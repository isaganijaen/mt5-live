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BC53E6F7-D794-4408-B46F-9D0AF795853F}" xr6:coauthVersionLast="47" xr6:coauthVersionMax="47" xr10:uidLastSave="{00000000-0000-0000-0000-000000000000}"/>
  <bookViews>
    <workbookView xWindow="-120" yWindow="-120" windowWidth="29040" windowHeight="15720" tabRatio="803" activeTab="1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22" r:id="rId6"/>
    <pivotCache cacheId="3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8" l="1"/>
  <c r="D17" i="8"/>
  <c r="O5" i="3"/>
  <c r="P5" i="3"/>
  <c r="Q5" i="3" s="1"/>
  <c r="R5" i="3"/>
  <c r="O6" i="3"/>
  <c r="P6" i="3"/>
  <c r="O7" i="3"/>
  <c r="P7" i="3"/>
  <c r="S7" i="3"/>
  <c r="O8" i="3"/>
  <c r="P8" i="3" s="1"/>
  <c r="S8" i="3"/>
  <c r="O9" i="3"/>
  <c r="P9" i="3"/>
  <c r="S9" i="3" s="1"/>
  <c r="Q9" i="3"/>
  <c r="O10" i="3"/>
  <c r="P10" i="3" s="1"/>
  <c r="Q10" i="3"/>
  <c r="O11" i="3"/>
  <c r="O12" i="3"/>
  <c r="P12" i="3" s="1"/>
  <c r="R12" i="3"/>
  <c r="O13" i="3"/>
  <c r="P13" i="3"/>
  <c r="Q13" i="3" s="1"/>
  <c r="R13" i="3"/>
  <c r="O14" i="3"/>
  <c r="P14" i="3"/>
  <c r="O15" i="3"/>
  <c r="P15" i="3"/>
  <c r="S15" i="3"/>
  <c r="O16" i="3"/>
  <c r="P16" i="3" s="1"/>
  <c r="S16" i="3"/>
  <c r="O17" i="3"/>
  <c r="P17" i="3"/>
  <c r="S17" i="3" s="1"/>
  <c r="Q17" i="3"/>
  <c r="O18" i="3"/>
  <c r="P18" i="3" s="1"/>
  <c r="O19" i="3"/>
  <c r="P19" i="3" s="1"/>
  <c r="O20" i="3"/>
  <c r="P20" i="3" s="1"/>
  <c r="R20" i="3"/>
  <c r="O21" i="3"/>
  <c r="P21" i="3"/>
  <c r="Q21" i="3" s="1"/>
  <c r="R21" i="3"/>
  <c r="O22" i="3"/>
  <c r="P22" i="3"/>
  <c r="O23" i="3"/>
  <c r="P23" i="3"/>
  <c r="S23" i="3"/>
  <c r="O24" i="3"/>
  <c r="P24" i="3" s="1"/>
  <c r="S24" i="3"/>
  <c r="O25" i="3"/>
  <c r="P25" i="3"/>
  <c r="S25" i="3" s="1"/>
  <c r="Q25" i="3"/>
  <c r="O26" i="3"/>
  <c r="P26" i="3" s="1"/>
  <c r="O27" i="3"/>
  <c r="P27" i="3" s="1"/>
  <c r="O28" i="3"/>
  <c r="P28" i="3" s="1"/>
  <c r="R28" i="3"/>
  <c r="O29" i="3"/>
  <c r="P29" i="3"/>
  <c r="Q29" i="3" s="1"/>
  <c r="R29" i="3"/>
  <c r="O30" i="3"/>
  <c r="P30" i="3"/>
  <c r="O31" i="3"/>
  <c r="P31" i="3"/>
  <c r="S31" i="3"/>
  <c r="O32" i="3"/>
  <c r="P32" i="3" s="1"/>
  <c r="S32" i="3"/>
  <c r="O33" i="3"/>
  <c r="P33" i="3"/>
  <c r="S33" i="3" s="1"/>
  <c r="Q33" i="3"/>
  <c r="O34" i="3"/>
  <c r="P34" i="3" s="1"/>
  <c r="Q34" i="3" s="1"/>
  <c r="O35" i="3"/>
  <c r="P35" i="3" s="1"/>
  <c r="O36" i="3"/>
  <c r="P36" i="3" s="1"/>
  <c r="R36" i="3"/>
  <c r="O37" i="3"/>
  <c r="P37" i="3"/>
  <c r="Q37" i="3" s="1"/>
  <c r="R37" i="3"/>
  <c r="O38" i="3"/>
  <c r="P38" i="3"/>
  <c r="O39" i="3"/>
  <c r="P39" i="3"/>
  <c r="S39" i="3"/>
  <c r="O40" i="3"/>
  <c r="P40" i="3" s="1"/>
  <c r="S40" i="3"/>
  <c r="O41" i="3"/>
  <c r="P41" i="3"/>
  <c r="S41" i="3" s="1"/>
  <c r="Q41" i="3"/>
  <c r="O42" i="3"/>
  <c r="P42" i="3" s="1"/>
  <c r="Q42" i="3"/>
  <c r="O43" i="3"/>
  <c r="P43" i="3" s="1"/>
  <c r="O44" i="3"/>
  <c r="P44" i="3" s="1"/>
  <c r="R44" i="3"/>
  <c r="O45" i="3"/>
  <c r="P45" i="3"/>
  <c r="Q45" i="3" s="1"/>
  <c r="R45" i="3"/>
  <c r="O46" i="3"/>
  <c r="P46" i="3"/>
  <c r="O47" i="3"/>
  <c r="P47" i="3"/>
  <c r="S47" i="3"/>
  <c r="O48" i="3"/>
  <c r="P48" i="3"/>
  <c r="Q48" i="3" s="1"/>
  <c r="S48" i="3"/>
  <c r="O49" i="3"/>
  <c r="P49" i="3"/>
  <c r="S49" i="3" s="1"/>
  <c r="Q49" i="3"/>
  <c r="O50" i="3"/>
  <c r="P50" i="3" s="1"/>
  <c r="Q50" i="3"/>
  <c r="O51" i="3"/>
  <c r="P51" i="3" s="1"/>
  <c r="O52" i="3"/>
  <c r="P52" i="3" s="1"/>
  <c r="R52" i="3" s="1"/>
  <c r="O53" i="3"/>
  <c r="P53" i="3" s="1"/>
  <c r="R53" i="3"/>
  <c r="O54" i="3"/>
  <c r="P54" i="3"/>
  <c r="O55" i="3"/>
  <c r="P55" i="3"/>
  <c r="S55" i="3"/>
  <c r="O56" i="3"/>
  <c r="P56" i="3"/>
  <c r="Q56" i="3" s="1"/>
  <c r="S56" i="3"/>
  <c r="O57" i="3"/>
  <c r="P57" i="3"/>
  <c r="S57" i="3" s="1"/>
  <c r="Q57" i="3"/>
  <c r="O58" i="3"/>
  <c r="P58" i="3"/>
  <c r="R58" i="3" s="1"/>
  <c r="Q58" i="3"/>
  <c r="S58" i="3"/>
  <c r="O59" i="3"/>
  <c r="P59" i="3" s="1"/>
  <c r="O60" i="3"/>
  <c r="P60" i="3" s="1"/>
  <c r="R60" i="3"/>
  <c r="O61" i="3"/>
  <c r="P61" i="3" s="1"/>
  <c r="R61" i="3"/>
  <c r="O62" i="3"/>
  <c r="P62" i="3" s="1"/>
  <c r="T34" i="2" s="1"/>
  <c r="U34" i="2" s="1"/>
  <c r="O63" i="3"/>
  <c r="P63" i="3"/>
  <c r="S63" i="3" s="1"/>
  <c r="O64" i="3"/>
  <c r="P64" i="3"/>
  <c r="Q64" i="3" s="1"/>
  <c r="S64" i="3"/>
  <c r="O65" i="3"/>
  <c r="P65" i="3"/>
  <c r="O66" i="3"/>
  <c r="P66" i="3" s="1"/>
  <c r="R66" i="3" s="1"/>
  <c r="Q66" i="3"/>
  <c r="O67" i="3"/>
  <c r="P67" i="3" s="1"/>
  <c r="O68" i="3"/>
  <c r="P68" i="3" s="1"/>
  <c r="S68" i="3" s="1"/>
  <c r="R68" i="3"/>
  <c r="O69" i="3"/>
  <c r="P69" i="3" s="1"/>
  <c r="O70" i="3"/>
  <c r="P70" i="3" s="1"/>
  <c r="O71" i="3"/>
  <c r="P71" i="3"/>
  <c r="Q71" i="3" s="1"/>
  <c r="S71" i="3"/>
  <c r="O72" i="3"/>
  <c r="P72" i="3"/>
  <c r="Q72" i="3" s="1"/>
  <c r="S72" i="3"/>
  <c r="O73" i="3"/>
  <c r="P73" i="3"/>
  <c r="Q73" i="3" s="1"/>
  <c r="O74" i="3"/>
  <c r="P74" i="3"/>
  <c r="R74" i="3" s="1"/>
  <c r="Q74" i="3"/>
  <c r="S74" i="3"/>
  <c r="O75" i="3"/>
  <c r="P75" i="3" s="1"/>
  <c r="O76" i="3"/>
  <c r="P76" i="3" s="1"/>
  <c r="S76" i="3" s="1"/>
  <c r="Q76" i="3"/>
  <c r="R76" i="3"/>
  <c r="O77" i="3"/>
  <c r="P77" i="3" s="1"/>
  <c r="R77" i="3"/>
  <c r="O78" i="3"/>
  <c r="P78" i="3" s="1"/>
  <c r="O79" i="3"/>
  <c r="P79" i="3"/>
  <c r="Q79" i="3" s="1"/>
  <c r="R79" i="3"/>
  <c r="S79" i="3"/>
  <c r="O80" i="3"/>
  <c r="P80" i="3" s="1"/>
  <c r="S80" i="3"/>
  <c r="O81" i="3"/>
  <c r="P81" i="3"/>
  <c r="Q81" i="3"/>
  <c r="O82" i="3"/>
  <c r="P82" i="3" s="1"/>
  <c r="R82" i="3" s="1"/>
  <c r="Q82" i="3"/>
  <c r="S82" i="3"/>
  <c r="O83" i="3"/>
  <c r="P83" i="3" s="1"/>
  <c r="O84" i="3"/>
  <c r="P84" i="3" s="1"/>
  <c r="Q84" i="3"/>
  <c r="O85" i="3"/>
  <c r="P85" i="3" s="1"/>
  <c r="O86" i="3"/>
  <c r="P86" i="3" s="1"/>
  <c r="O87" i="3"/>
  <c r="P87" i="3"/>
  <c r="R87" i="3"/>
  <c r="O88" i="3"/>
  <c r="P88" i="3"/>
  <c r="Q88" i="3" s="1"/>
  <c r="S88" i="3"/>
  <c r="O89" i="3"/>
  <c r="P89" i="3"/>
  <c r="Q89" i="3"/>
  <c r="O90" i="3"/>
  <c r="P90" i="3" s="1"/>
  <c r="S90" i="3"/>
  <c r="O91" i="3"/>
  <c r="P91" i="3" s="1"/>
  <c r="O92" i="3"/>
  <c r="P92" i="3" s="1"/>
  <c r="S92" i="3" s="1"/>
  <c r="O93" i="3"/>
  <c r="P93" i="3" s="1"/>
  <c r="R93" i="3" s="1"/>
  <c r="O94" i="3"/>
  <c r="P94" i="3"/>
  <c r="O95" i="3"/>
  <c r="P95" i="3"/>
  <c r="Q95" i="3" s="1"/>
  <c r="O96" i="3"/>
  <c r="P96" i="3"/>
  <c r="Q96" i="3" s="1"/>
  <c r="S96" i="3"/>
  <c r="O97" i="3"/>
  <c r="P97" i="3"/>
  <c r="Q97" i="3"/>
  <c r="O98" i="3"/>
  <c r="P98" i="3" s="1"/>
  <c r="R98" i="3" s="1"/>
  <c r="S98" i="3"/>
  <c r="O99" i="3"/>
  <c r="P99" i="3" s="1"/>
  <c r="O100" i="3"/>
  <c r="P100" i="3" s="1"/>
  <c r="S100" i="3" s="1"/>
  <c r="Q100" i="3"/>
  <c r="R100" i="3"/>
  <c r="O101" i="3"/>
  <c r="P101" i="3" s="1"/>
  <c r="R101" i="3" s="1"/>
  <c r="O102" i="3"/>
  <c r="P102" i="3"/>
  <c r="O103" i="3"/>
  <c r="P103" i="3"/>
  <c r="Q103" i="3" s="1"/>
  <c r="R103" i="3"/>
  <c r="O104" i="3"/>
  <c r="P104" i="3"/>
  <c r="Q104" i="3" s="1"/>
  <c r="S104" i="3"/>
  <c r="O105" i="3"/>
  <c r="P105" i="3"/>
  <c r="O106" i="3"/>
  <c r="P106" i="3"/>
  <c r="R106" i="3" s="1"/>
  <c r="Q106" i="3"/>
  <c r="S106" i="3"/>
  <c r="O107" i="3"/>
  <c r="P107" i="3" s="1"/>
  <c r="O108" i="3"/>
  <c r="P108" i="3" s="1"/>
  <c r="Q108" i="3"/>
  <c r="O109" i="3"/>
  <c r="P109" i="3" s="1"/>
  <c r="O110" i="3"/>
  <c r="P110" i="3" s="1"/>
  <c r="O111" i="3"/>
  <c r="P111" i="3"/>
  <c r="R111" i="3"/>
  <c r="O112" i="3"/>
  <c r="P112" i="3" s="1"/>
  <c r="O113" i="3"/>
  <c r="P113" i="3"/>
  <c r="Q113" i="3" s="1"/>
  <c r="O114" i="3"/>
  <c r="P114" i="3" s="1"/>
  <c r="Q114" i="3"/>
  <c r="O115" i="3"/>
  <c r="P115" i="3" s="1"/>
  <c r="O116" i="3"/>
  <c r="P116" i="3" s="1"/>
  <c r="S116" i="3" s="1"/>
  <c r="Q116" i="3"/>
  <c r="R116" i="3"/>
  <c r="O117" i="3"/>
  <c r="P117" i="3"/>
  <c r="Q117" i="3" s="1"/>
  <c r="R117" i="3"/>
  <c r="O118" i="3"/>
  <c r="P118" i="3"/>
  <c r="O119" i="3"/>
  <c r="P119" i="3"/>
  <c r="O120" i="3"/>
  <c r="P120" i="3" s="1"/>
  <c r="S120" i="3" s="1"/>
  <c r="O121" i="3"/>
  <c r="P121" i="3"/>
  <c r="O122" i="3"/>
  <c r="P122" i="3" s="1"/>
  <c r="O123" i="3"/>
  <c r="P123" i="3" s="1"/>
  <c r="O124" i="3"/>
  <c r="P124" i="3" s="1"/>
  <c r="R124" i="3"/>
  <c r="O125" i="3"/>
  <c r="P125" i="3"/>
  <c r="Q125" i="3" s="1"/>
  <c r="R125" i="3"/>
  <c r="O126" i="3"/>
  <c r="P126" i="3"/>
  <c r="O127" i="3"/>
  <c r="P127" i="3"/>
  <c r="Q127" i="3" s="1"/>
  <c r="R127" i="3"/>
  <c r="O128" i="3"/>
  <c r="P128" i="3" s="1"/>
  <c r="O129" i="3"/>
  <c r="P129" i="3"/>
  <c r="Q129" i="3" s="1"/>
  <c r="O130" i="3"/>
  <c r="P130" i="3" s="1"/>
  <c r="R130" i="3" s="1"/>
  <c r="Q130" i="3"/>
  <c r="O131" i="3"/>
  <c r="P131" i="3" s="1"/>
  <c r="O132" i="3"/>
  <c r="P132" i="3" s="1"/>
  <c r="S132" i="3" s="1"/>
  <c r="R132" i="3"/>
  <c r="O133" i="3"/>
  <c r="P133" i="3"/>
  <c r="Q133" i="3" s="1"/>
  <c r="R133" i="3"/>
  <c r="O134" i="3"/>
  <c r="P134" i="3"/>
  <c r="O135" i="3"/>
  <c r="P135" i="3"/>
  <c r="Q135" i="3" s="1"/>
  <c r="R135" i="3"/>
  <c r="S135" i="3"/>
  <c r="O136" i="3"/>
  <c r="P136" i="3"/>
  <c r="Q136" i="3" s="1"/>
  <c r="S136" i="3"/>
  <c r="O137" i="3"/>
  <c r="P137" i="3"/>
  <c r="Q137" i="3" s="1"/>
  <c r="O138" i="3"/>
  <c r="P138" i="3"/>
  <c r="R138" i="3" s="1"/>
  <c r="Q138" i="3"/>
  <c r="S138" i="3"/>
  <c r="O139" i="3"/>
  <c r="P139" i="3" s="1"/>
  <c r="O140" i="3"/>
  <c r="P140" i="3" s="1"/>
  <c r="O141" i="3"/>
  <c r="P141" i="3" s="1"/>
  <c r="O142" i="3"/>
  <c r="P142" i="3"/>
  <c r="O143" i="3"/>
  <c r="P143" i="3"/>
  <c r="O144" i="3"/>
  <c r="P144" i="3" s="1"/>
  <c r="S144" i="3"/>
  <c r="O145" i="3"/>
  <c r="P145" i="3"/>
  <c r="O146" i="3"/>
  <c r="P146" i="3" s="1"/>
  <c r="O147" i="3"/>
  <c r="P147" i="3" s="1"/>
  <c r="O148" i="3"/>
  <c r="P148" i="3" s="1"/>
  <c r="R148" i="3"/>
  <c r="O149" i="3"/>
  <c r="P149" i="3"/>
  <c r="Q149" i="3" s="1"/>
  <c r="R149" i="3"/>
  <c r="O150" i="3"/>
  <c r="P150" i="3"/>
  <c r="O151" i="3"/>
  <c r="P151" i="3"/>
  <c r="Q151" i="3" s="1"/>
  <c r="R151" i="3"/>
  <c r="O152" i="3"/>
  <c r="P152" i="3" s="1"/>
  <c r="O153" i="3"/>
  <c r="P153" i="3"/>
  <c r="O154" i="3"/>
  <c r="P154" i="3" s="1"/>
  <c r="R154" i="3" s="1"/>
  <c r="Q154" i="3"/>
  <c r="O155" i="3"/>
  <c r="P155" i="3" s="1"/>
  <c r="O156" i="3"/>
  <c r="P156" i="3" s="1"/>
  <c r="S156" i="3" s="1"/>
  <c r="R156" i="3"/>
  <c r="O157" i="3"/>
  <c r="P157" i="3"/>
  <c r="Q157" i="3" s="1"/>
  <c r="R157" i="3"/>
  <c r="O158" i="3"/>
  <c r="P158" i="3"/>
  <c r="O159" i="3"/>
  <c r="P159" i="3"/>
  <c r="Q159" i="3" s="1"/>
  <c r="R159" i="3"/>
  <c r="S159" i="3"/>
  <c r="O160" i="3"/>
  <c r="P160" i="3" s="1"/>
  <c r="S160" i="3"/>
  <c r="O161" i="3"/>
  <c r="P161" i="3"/>
  <c r="Q161" i="3" s="1"/>
  <c r="O162" i="3"/>
  <c r="P162" i="3" s="1"/>
  <c r="R162" i="3" s="1"/>
  <c r="Q162" i="3"/>
  <c r="S162" i="3"/>
  <c r="O163" i="3"/>
  <c r="P163" i="3" s="1"/>
  <c r="O164" i="3"/>
  <c r="P164" i="3" s="1"/>
  <c r="R164" i="3"/>
  <c r="O165" i="3"/>
  <c r="P165" i="3" s="1"/>
  <c r="O166" i="3"/>
  <c r="P166" i="3"/>
  <c r="O167" i="3"/>
  <c r="P167" i="3"/>
  <c r="S167" i="3"/>
  <c r="O168" i="3"/>
  <c r="P168" i="3" s="1"/>
  <c r="O169" i="3"/>
  <c r="P169" i="3"/>
  <c r="O170" i="3"/>
  <c r="P170" i="3" s="1"/>
  <c r="S170" i="3"/>
  <c r="O171" i="3"/>
  <c r="P171" i="3" s="1"/>
  <c r="O172" i="3"/>
  <c r="P172" i="3" s="1"/>
  <c r="S172" i="3" s="1"/>
  <c r="Q172" i="3"/>
  <c r="R172" i="3"/>
  <c r="O173" i="3"/>
  <c r="P173" i="3" s="1"/>
  <c r="R173" i="3"/>
  <c r="O174" i="3"/>
  <c r="P174" i="3"/>
  <c r="O175" i="3"/>
  <c r="P175" i="3"/>
  <c r="Q175" i="3"/>
  <c r="R175" i="3"/>
  <c r="S175" i="3"/>
  <c r="O176" i="3"/>
  <c r="P176" i="3" s="1"/>
  <c r="O177" i="3"/>
  <c r="P177" i="3"/>
  <c r="S177" i="3"/>
  <c r="O178" i="3"/>
  <c r="P178" i="3" s="1"/>
  <c r="O179" i="3"/>
  <c r="P179" i="3"/>
  <c r="Q179" i="3" s="1"/>
  <c r="O180" i="3"/>
  <c r="P180" i="3"/>
  <c r="R180" i="3" s="1"/>
  <c r="O181" i="3"/>
  <c r="P181" i="3" s="1"/>
  <c r="R181" i="3" s="1"/>
  <c r="Q181" i="3"/>
  <c r="S181" i="3"/>
  <c r="O182" i="3"/>
  <c r="P182" i="3" s="1"/>
  <c r="S182" i="3" s="1"/>
  <c r="Q182" i="3"/>
  <c r="R182" i="3"/>
  <c r="O183" i="3"/>
  <c r="P183" i="3" s="1"/>
  <c r="R183" i="3"/>
  <c r="O184" i="3"/>
  <c r="P184" i="3" s="1"/>
  <c r="Q184" i="3"/>
  <c r="O185" i="3"/>
  <c r="P185" i="3"/>
  <c r="S185" i="3" s="1"/>
  <c r="W94" i="2" s="1"/>
  <c r="O186" i="3"/>
  <c r="P186" i="3" s="1"/>
  <c r="R186" i="3"/>
  <c r="O187" i="3"/>
  <c r="P187" i="3"/>
  <c r="Q187" i="3" s="1"/>
  <c r="O188" i="3"/>
  <c r="P188" i="3"/>
  <c r="O189" i="3"/>
  <c r="P189" i="3" s="1"/>
  <c r="R189" i="3" s="1"/>
  <c r="Q189" i="3"/>
  <c r="S189" i="3"/>
  <c r="O190" i="3"/>
  <c r="P190" i="3" s="1"/>
  <c r="S190" i="3" s="1"/>
  <c r="Q190" i="3"/>
  <c r="R190" i="3"/>
  <c r="O191" i="3"/>
  <c r="P191" i="3" s="1"/>
  <c r="R191" i="3" s="1"/>
  <c r="O192" i="3"/>
  <c r="P192" i="3" s="1"/>
  <c r="Q192" i="3"/>
  <c r="O193" i="3"/>
  <c r="P193" i="3"/>
  <c r="S193" i="3"/>
  <c r="O194" i="3"/>
  <c r="P194" i="3" s="1"/>
  <c r="O195" i="3"/>
  <c r="P195" i="3"/>
  <c r="Q195" i="3" s="1"/>
  <c r="R195" i="3"/>
  <c r="S195" i="3"/>
  <c r="O196" i="3"/>
  <c r="P196" i="3"/>
  <c r="O197" i="3"/>
  <c r="P197" i="3" s="1"/>
  <c r="O198" i="3"/>
  <c r="P198" i="3" s="1"/>
  <c r="S198" i="3" s="1"/>
  <c r="Q198" i="3"/>
  <c r="R198" i="3"/>
  <c r="O199" i="3"/>
  <c r="P199" i="3" s="1"/>
  <c r="Q199" i="3" s="1"/>
  <c r="O200" i="3"/>
  <c r="P200" i="3" s="1"/>
  <c r="Q200" i="3"/>
  <c r="O201" i="3"/>
  <c r="P201" i="3"/>
  <c r="Q201" i="3" s="1"/>
  <c r="R201" i="3"/>
  <c r="S201" i="3"/>
  <c r="O202" i="3"/>
  <c r="P202" i="3" s="1"/>
  <c r="O203" i="3"/>
  <c r="P203" i="3"/>
  <c r="Q203" i="3"/>
  <c r="R203" i="3"/>
  <c r="S203" i="3"/>
  <c r="O204" i="3"/>
  <c r="P204" i="3"/>
  <c r="O205" i="3"/>
  <c r="P205" i="3" s="1"/>
  <c r="O206" i="3"/>
  <c r="P206" i="3" s="1"/>
  <c r="S206" i="3" s="1"/>
  <c r="Q206" i="3"/>
  <c r="R206" i="3"/>
  <c r="O207" i="3"/>
  <c r="P207" i="3" s="1"/>
  <c r="O208" i="3"/>
  <c r="P208" i="3" s="1"/>
  <c r="Q208" i="3"/>
  <c r="O209" i="3"/>
  <c r="P209" i="3"/>
  <c r="R209" i="3" s="1"/>
  <c r="O210" i="3"/>
  <c r="P210" i="3" s="1"/>
  <c r="R210" i="3" s="1"/>
  <c r="O211" i="3"/>
  <c r="P211" i="3"/>
  <c r="Q211" i="3" s="1"/>
  <c r="S211" i="3"/>
  <c r="O212" i="3"/>
  <c r="P212" i="3"/>
  <c r="O213" i="3"/>
  <c r="P213" i="3"/>
  <c r="R213" i="3" s="1"/>
  <c r="Q213" i="3"/>
  <c r="S213" i="3"/>
  <c r="O214" i="3"/>
  <c r="P214" i="3" s="1"/>
  <c r="S214" i="3" s="1"/>
  <c r="Q214" i="3"/>
  <c r="R214" i="3"/>
  <c r="O215" i="3"/>
  <c r="P215" i="3" s="1"/>
  <c r="S215" i="3" s="1"/>
  <c r="R215" i="3"/>
  <c r="O216" i="3"/>
  <c r="P216" i="3" s="1"/>
  <c r="R216" i="3"/>
  <c r="O217" i="3"/>
  <c r="P217" i="3"/>
  <c r="O218" i="3"/>
  <c r="P218" i="3" s="1"/>
  <c r="Q218" i="3" s="1"/>
  <c r="R218" i="3"/>
  <c r="S218" i="3"/>
  <c r="O219" i="3"/>
  <c r="P219" i="3"/>
  <c r="Q219" i="3"/>
  <c r="O220" i="3"/>
  <c r="P220" i="3"/>
  <c r="O221" i="3"/>
  <c r="P221" i="3" s="1"/>
  <c r="O222" i="3"/>
  <c r="P222" i="3" s="1"/>
  <c r="S222" i="3" s="1"/>
  <c r="Q222" i="3"/>
  <c r="R222" i="3"/>
  <c r="O223" i="3"/>
  <c r="P223" i="3" s="1"/>
  <c r="S223" i="3" s="1"/>
  <c r="Q223" i="3"/>
  <c r="R223" i="3"/>
  <c r="O224" i="3"/>
  <c r="P224" i="3" s="1"/>
  <c r="O225" i="3"/>
  <c r="P225" i="3"/>
  <c r="S225" i="3" s="1"/>
  <c r="O226" i="3"/>
  <c r="P226" i="3" s="1"/>
  <c r="O227" i="3"/>
  <c r="P227" i="3"/>
  <c r="Q227" i="3"/>
  <c r="R227" i="3"/>
  <c r="S227" i="3"/>
  <c r="O228" i="3"/>
  <c r="P228" i="3"/>
  <c r="O229" i="3"/>
  <c r="P229" i="3"/>
  <c r="R229" i="3" s="1"/>
  <c r="Q229" i="3"/>
  <c r="S229" i="3"/>
  <c r="O230" i="3"/>
  <c r="P230" i="3" s="1"/>
  <c r="S230" i="3" s="1"/>
  <c r="Q230" i="3"/>
  <c r="R230" i="3"/>
  <c r="O231" i="3"/>
  <c r="P231" i="3" s="1"/>
  <c r="S231" i="3" s="1"/>
  <c r="R231" i="3"/>
  <c r="O232" i="3"/>
  <c r="P232" i="3" s="1"/>
  <c r="R232" i="3"/>
  <c r="O233" i="3"/>
  <c r="P233" i="3"/>
  <c r="O234" i="3"/>
  <c r="P234" i="3" s="1"/>
  <c r="Q234" i="3" s="1"/>
  <c r="R234" i="3"/>
  <c r="S234" i="3"/>
  <c r="O235" i="3"/>
  <c r="P235" i="3"/>
  <c r="Q235" i="3"/>
  <c r="O236" i="3"/>
  <c r="P236" i="3"/>
  <c r="O237" i="3"/>
  <c r="P237" i="3" s="1"/>
  <c r="Q237" i="3"/>
  <c r="O238" i="3"/>
  <c r="P238" i="3" s="1"/>
  <c r="S238" i="3" s="1"/>
  <c r="Q238" i="3"/>
  <c r="R238" i="3"/>
  <c r="O239" i="3"/>
  <c r="P239" i="3" s="1"/>
  <c r="S239" i="3" s="1"/>
  <c r="Q239" i="3"/>
  <c r="R239" i="3"/>
  <c r="O240" i="3"/>
  <c r="P240" i="3" s="1"/>
  <c r="O241" i="3"/>
  <c r="P241" i="3"/>
  <c r="S241" i="3"/>
  <c r="O242" i="3"/>
  <c r="P242" i="3" s="1"/>
  <c r="R242" i="3"/>
  <c r="V122" i="2" s="1"/>
  <c r="O243" i="3"/>
  <c r="P243" i="3"/>
  <c r="Q243" i="3"/>
  <c r="R243" i="3"/>
  <c r="S243" i="3"/>
  <c r="O244" i="3"/>
  <c r="P244" i="3"/>
  <c r="O245" i="3"/>
  <c r="P245" i="3"/>
  <c r="R245" i="3" s="1"/>
  <c r="Q245" i="3"/>
  <c r="S245" i="3"/>
  <c r="O246" i="3"/>
  <c r="P246" i="3" s="1"/>
  <c r="S246" i="3" s="1"/>
  <c r="Q246" i="3"/>
  <c r="R246" i="3"/>
  <c r="O247" i="3"/>
  <c r="P247" i="3" s="1"/>
  <c r="S247" i="3" s="1"/>
  <c r="R247" i="3"/>
  <c r="O248" i="3"/>
  <c r="P248" i="3" s="1"/>
  <c r="O249" i="3"/>
  <c r="P249" i="3"/>
  <c r="O250" i="3"/>
  <c r="P250" i="3" s="1"/>
  <c r="Q250" i="3" s="1"/>
  <c r="R250" i="3"/>
  <c r="V126" i="2" s="1"/>
  <c r="S250" i="3"/>
  <c r="O251" i="3"/>
  <c r="P251" i="3"/>
  <c r="Q251" i="3" s="1"/>
  <c r="O252" i="3"/>
  <c r="P252" i="3"/>
  <c r="Q252" i="3" s="1"/>
  <c r="O253" i="3"/>
  <c r="P253" i="3"/>
  <c r="Q253" i="3"/>
  <c r="O254" i="3"/>
  <c r="P254" i="3" s="1"/>
  <c r="S254" i="3" s="1"/>
  <c r="Q254" i="3"/>
  <c r="R254" i="3"/>
  <c r="O255" i="3"/>
  <c r="P255" i="3" s="1"/>
  <c r="S255" i="3" s="1"/>
  <c r="R255" i="3"/>
  <c r="O256" i="3"/>
  <c r="P256" i="3" s="1"/>
  <c r="O257" i="3"/>
  <c r="P257" i="3"/>
  <c r="Q257" i="3" s="1"/>
  <c r="S257" i="3"/>
  <c r="O258" i="3"/>
  <c r="P258" i="3" s="1"/>
  <c r="R258" i="3" s="1"/>
  <c r="V130" i="2" s="1"/>
  <c r="O259" i="3"/>
  <c r="P259" i="3"/>
  <c r="Q259" i="3"/>
  <c r="O260" i="3"/>
  <c r="P260" i="3"/>
  <c r="O261" i="3"/>
  <c r="P261" i="3"/>
  <c r="R261" i="3" s="1"/>
  <c r="Q261" i="3"/>
  <c r="S261" i="3"/>
  <c r="O262" i="3"/>
  <c r="P262" i="3" s="1"/>
  <c r="S262" i="3" s="1"/>
  <c r="Q262" i="3"/>
  <c r="R262" i="3"/>
  <c r="O263" i="3"/>
  <c r="P263" i="3" s="1"/>
  <c r="S263" i="3" s="1"/>
  <c r="R263" i="3"/>
  <c r="O264" i="3"/>
  <c r="P264" i="3" s="1"/>
  <c r="S264" i="3" s="1"/>
  <c r="Q264" i="3"/>
  <c r="R264" i="3"/>
  <c r="O265" i="3"/>
  <c r="P265" i="3"/>
  <c r="O266" i="3"/>
  <c r="P266" i="3" s="1"/>
  <c r="O267" i="3"/>
  <c r="P267" i="3"/>
  <c r="O268" i="3"/>
  <c r="P268" i="3"/>
  <c r="Q268" i="3"/>
  <c r="O269" i="3"/>
  <c r="P269" i="3" s="1"/>
  <c r="Q269" i="3" s="1"/>
  <c r="O270" i="3"/>
  <c r="P270" i="3" s="1"/>
  <c r="S270" i="3" s="1"/>
  <c r="Q270" i="3"/>
  <c r="R270" i="3"/>
  <c r="O271" i="3"/>
  <c r="P271" i="3" s="1"/>
  <c r="S271" i="3" s="1"/>
  <c r="Q271" i="3"/>
  <c r="R271" i="3"/>
  <c r="O272" i="3"/>
  <c r="P272" i="3" s="1"/>
  <c r="O273" i="3"/>
  <c r="P273" i="3"/>
  <c r="R273" i="3"/>
  <c r="V138" i="2" s="1"/>
  <c r="O274" i="3"/>
  <c r="P274" i="3" s="1"/>
  <c r="R274" i="3"/>
  <c r="V139" i="2" s="1"/>
  <c r="O275" i="3"/>
  <c r="P275" i="3"/>
  <c r="Q275" i="3"/>
  <c r="R275" i="3"/>
  <c r="S275" i="3"/>
  <c r="O276" i="3"/>
  <c r="P276" i="3"/>
  <c r="O277" i="3"/>
  <c r="P277" i="3"/>
  <c r="R277" i="3" s="1"/>
  <c r="S277" i="3"/>
  <c r="O278" i="3"/>
  <c r="P278" i="3"/>
  <c r="O279" i="3"/>
  <c r="P279" i="3" s="1"/>
  <c r="S279" i="3" s="1"/>
  <c r="Q279" i="3"/>
  <c r="R279" i="3"/>
  <c r="O280" i="3"/>
  <c r="P280" i="3"/>
  <c r="O281" i="3"/>
  <c r="P281" i="3" s="1"/>
  <c r="O282" i="3"/>
  <c r="P282" i="3" s="1"/>
  <c r="Q282" i="3" s="1"/>
  <c r="R282" i="3"/>
  <c r="S282" i="3"/>
  <c r="O283" i="3"/>
  <c r="P283" i="3"/>
  <c r="O284" i="3"/>
  <c r="P284" i="3"/>
  <c r="S284" i="3"/>
  <c r="O285" i="3"/>
  <c r="P285" i="3"/>
  <c r="Q285" i="3" s="1"/>
  <c r="O286" i="3"/>
  <c r="O287" i="3"/>
  <c r="P287" i="3" s="1"/>
  <c r="Q287" i="3"/>
  <c r="O288" i="3"/>
  <c r="P288" i="3"/>
  <c r="Q288" i="3"/>
  <c r="O289" i="3"/>
  <c r="P289" i="3" s="1"/>
  <c r="O290" i="3"/>
  <c r="P290" i="3" s="1"/>
  <c r="O291" i="3"/>
  <c r="P291" i="3" s="1"/>
  <c r="Q291" i="3"/>
  <c r="R291" i="3"/>
  <c r="S291" i="3"/>
  <c r="O292" i="3"/>
  <c r="P292" i="3"/>
  <c r="S292" i="3" s="1"/>
  <c r="Q292" i="3"/>
  <c r="R292" i="3"/>
  <c r="O293" i="3"/>
  <c r="P293" i="3"/>
  <c r="R293" i="3" s="1"/>
  <c r="Q293" i="3"/>
  <c r="O294" i="3"/>
  <c r="P294" i="3"/>
  <c r="R294" i="3" s="1"/>
  <c r="S294" i="3"/>
  <c r="O295" i="3"/>
  <c r="P295" i="3" s="1"/>
  <c r="S295" i="3" s="1"/>
  <c r="R295" i="3"/>
  <c r="V150" i="2" s="1"/>
  <c r="O296" i="3"/>
  <c r="P296" i="3"/>
  <c r="O297" i="3"/>
  <c r="P297" i="3"/>
  <c r="R297" i="3" s="1"/>
  <c r="Q297" i="3"/>
  <c r="S297" i="3"/>
  <c r="O298" i="3"/>
  <c r="P298" i="3" s="1"/>
  <c r="Q298" i="3" s="1"/>
  <c r="R298" i="3"/>
  <c r="S298" i="3"/>
  <c r="O299" i="3"/>
  <c r="P299" i="3" s="1"/>
  <c r="O300" i="3"/>
  <c r="P300" i="3"/>
  <c r="S300" i="3" s="1"/>
  <c r="R300" i="3"/>
  <c r="O301" i="3"/>
  <c r="P301" i="3"/>
  <c r="O302" i="3"/>
  <c r="P302" i="3"/>
  <c r="O303" i="3"/>
  <c r="P303" i="3" s="1"/>
  <c r="R303" i="3" s="1"/>
  <c r="S303" i="3"/>
  <c r="O304" i="3"/>
  <c r="P304" i="3" s="1"/>
  <c r="O305" i="3"/>
  <c r="P305" i="3" s="1"/>
  <c r="O306" i="3"/>
  <c r="P306" i="3"/>
  <c r="S306" i="3"/>
  <c r="O307" i="3"/>
  <c r="P307" i="3" s="1"/>
  <c r="O308" i="3"/>
  <c r="P308" i="3" s="1"/>
  <c r="S308" i="3" s="1"/>
  <c r="Q308" i="3"/>
  <c r="R308" i="3"/>
  <c r="O309" i="3"/>
  <c r="P309" i="3" s="1"/>
  <c r="O310" i="3"/>
  <c r="P310" i="3" s="1"/>
  <c r="Q310" i="3" s="1"/>
  <c r="R310" i="3"/>
  <c r="S310" i="3"/>
  <c r="O311" i="3"/>
  <c r="P311" i="3"/>
  <c r="Q311" i="3" s="1"/>
  <c r="R311" i="3"/>
  <c r="O312" i="3"/>
  <c r="P312" i="3"/>
  <c r="Q312" i="3"/>
  <c r="R312" i="3"/>
  <c r="S312" i="3"/>
  <c r="O313" i="3"/>
  <c r="P313" i="3"/>
  <c r="O314" i="3"/>
  <c r="P314" i="3"/>
  <c r="R314" i="3" s="1"/>
  <c r="Q314" i="3"/>
  <c r="S314" i="3"/>
  <c r="O315" i="3"/>
  <c r="P315" i="3" s="1"/>
  <c r="S315" i="3" s="1"/>
  <c r="Q315" i="3"/>
  <c r="R315" i="3"/>
  <c r="O316" i="3"/>
  <c r="P316" i="3" s="1"/>
  <c r="S316" i="3" s="1"/>
  <c r="Q316" i="3"/>
  <c r="R316" i="3"/>
  <c r="O317" i="3"/>
  <c r="P317" i="3" s="1"/>
  <c r="R317" i="3"/>
  <c r="O318" i="3"/>
  <c r="P318" i="3" s="1"/>
  <c r="R318" i="3"/>
  <c r="O319" i="3"/>
  <c r="P319" i="3"/>
  <c r="O320" i="3"/>
  <c r="P320" i="3"/>
  <c r="Q320" i="3"/>
  <c r="R320" i="3"/>
  <c r="S320" i="3"/>
  <c r="O321" i="3"/>
  <c r="P321" i="3"/>
  <c r="Q321" i="3" s="1"/>
  <c r="O322" i="3"/>
  <c r="P322" i="3"/>
  <c r="Q322" i="3"/>
  <c r="O323" i="3"/>
  <c r="P323" i="3" s="1"/>
  <c r="S323" i="3" s="1"/>
  <c r="Q323" i="3"/>
  <c r="R323" i="3"/>
  <c r="O324" i="3"/>
  <c r="P324" i="3" s="1"/>
  <c r="S324" i="3" s="1"/>
  <c r="Q324" i="3"/>
  <c r="R324" i="3"/>
  <c r="O325" i="3"/>
  <c r="P325" i="3" s="1"/>
  <c r="R325" i="3"/>
  <c r="V164" i="2" s="1"/>
  <c r="O326" i="3"/>
  <c r="P326" i="3" s="1"/>
  <c r="Q326" i="3" s="1"/>
  <c r="S326" i="3"/>
  <c r="O327" i="3"/>
  <c r="P327" i="3"/>
  <c r="O328" i="3"/>
  <c r="P328" i="3"/>
  <c r="Q328" i="3"/>
  <c r="R328" i="3"/>
  <c r="S328" i="3"/>
  <c r="O329" i="3"/>
  <c r="P329" i="3"/>
  <c r="Q329" i="3"/>
  <c r="O330" i="3"/>
  <c r="P330" i="3"/>
  <c r="R330" i="3" s="1"/>
  <c r="S330" i="3"/>
  <c r="O331" i="3"/>
  <c r="P331" i="3" s="1"/>
  <c r="O332" i="3"/>
  <c r="P332" i="3" s="1"/>
  <c r="S332" i="3" s="1"/>
  <c r="Q332" i="3"/>
  <c r="R332" i="3"/>
  <c r="O333" i="3"/>
  <c r="P333" i="3"/>
  <c r="S333" i="3" s="1"/>
  <c r="Q333" i="3"/>
  <c r="R333" i="3"/>
  <c r="O334" i="3"/>
  <c r="P334" i="3" s="1"/>
  <c r="Q334" i="3" s="1"/>
  <c r="R334" i="3"/>
  <c r="S334" i="3"/>
  <c r="O335" i="3"/>
  <c r="P335" i="3" s="1"/>
  <c r="Q335" i="3" s="1"/>
  <c r="R335" i="3"/>
  <c r="O336" i="3"/>
  <c r="P336" i="3"/>
  <c r="Q336" i="3"/>
  <c r="R336" i="3"/>
  <c r="S336" i="3"/>
  <c r="O337" i="3"/>
  <c r="P337" i="3"/>
  <c r="O338" i="3"/>
  <c r="P338" i="3"/>
  <c r="R338" i="3" s="1"/>
  <c r="Q338" i="3"/>
  <c r="S338" i="3"/>
  <c r="O339" i="3"/>
  <c r="P339" i="3" s="1"/>
  <c r="S339" i="3" s="1"/>
  <c r="R339" i="3"/>
  <c r="O340" i="3"/>
  <c r="P340" i="3" s="1"/>
  <c r="S340" i="3" s="1"/>
  <c r="Q340" i="3"/>
  <c r="R340" i="3"/>
  <c r="O341" i="3"/>
  <c r="P341" i="3"/>
  <c r="O342" i="3"/>
  <c r="P342" i="3" s="1"/>
  <c r="Q342" i="3" s="1"/>
  <c r="O343" i="3"/>
  <c r="P343" i="3"/>
  <c r="Q343" i="3" s="1"/>
  <c r="R343" i="3"/>
  <c r="S343" i="3"/>
  <c r="O344" i="3"/>
  <c r="P344" i="3"/>
  <c r="Q344" i="3"/>
  <c r="R344" i="3"/>
  <c r="S344" i="3"/>
  <c r="O345" i="3"/>
  <c r="P345" i="3"/>
  <c r="O346" i="3"/>
  <c r="P346" i="3"/>
  <c r="R346" i="3" s="1"/>
  <c r="Q346" i="3"/>
  <c r="O347" i="3"/>
  <c r="P347" i="3" s="1"/>
  <c r="S347" i="3" s="1"/>
  <c r="Q347" i="3"/>
  <c r="R347" i="3"/>
  <c r="O348" i="3"/>
  <c r="P348" i="3" s="1"/>
  <c r="S348" i="3" s="1"/>
  <c r="Q348" i="3"/>
  <c r="R348" i="3"/>
  <c r="O349" i="3"/>
  <c r="P349" i="3" s="1"/>
  <c r="O350" i="3"/>
  <c r="P350" i="3"/>
  <c r="Q350" i="3" s="1"/>
  <c r="R350" i="3"/>
  <c r="S350" i="3"/>
  <c r="O351" i="3"/>
  <c r="P351" i="3" s="1"/>
  <c r="O352" i="3"/>
  <c r="P352" i="3"/>
  <c r="Q352" i="3"/>
  <c r="R352" i="3"/>
  <c r="S352" i="3"/>
  <c r="O353" i="3"/>
  <c r="P353" i="3"/>
  <c r="Q353" i="3"/>
  <c r="O354" i="3"/>
  <c r="P354" i="3"/>
  <c r="R354" i="3" s="1"/>
  <c r="S354" i="3"/>
  <c r="O355" i="3"/>
  <c r="P355" i="3" s="1"/>
  <c r="O356" i="3"/>
  <c r="P356" i="3" s="1"/>
  <c r="S356" i="3" s="1"/>
  <c r="Q356" i="3"/>
  <c r="R356" i="3"/>
  <c r="O357" i="3"/>
  <c r="P357" i="3"/>
  <c r="S357" i="3" s="1"/>
  <c r="Q357" i="3"/>
  <c r="R357" i="3"/>
  <c r="O358" i="3"/>
  <c r="P358" i="3"/>
  <c r="Q358" i="3" s="1"/>
  <c r="R358" i="3"/>
  <c r="S358" i="3"/>
  <c r="O359" i="3"/>
  <c r="P359" i="3"/>
  <c r="Q359" i="3" s="1"/>
  <c r="R359" i="3"/>
  <c r="S359" i="3"/>
  <c r="O360" i="3"/>
  <c r="P360" i="3"/>
  <c r="S360" i="3" s="1"/>
  <c r="Q360" i="3"/>
  <c r="R360" i="3"/>
  <c r="O361" i="3"/>
  <c r="P361" i="3"/>
  <c r="Q361" i="3"/>
  <c r="O362" i="3"/>
  <c r="P362" i="3"/>
  <c r="R362" i="3" s="1"/>
  <c r="Q362" i="3"/>
  <c r="S362" i="3"/>
  <c r="O363" i="3"/>
  <c r="P363" i="3" s="1"/>
  <c r="S363" i="3" s="1"/>
  <c r="Q363" i="3"/>
  <c r="R363" i="3"/>
  <c r="O364" i="3"/>
  <c r="P364" i="3" s="1"/>
  <c r="O365" i="3"/>
  <c r="P365" i="3" s="1"/>
  <c r="O366" i="3"/>
  <c r="P366" i="3"/>
  <c r="O367" i="3"/>
  <c r="P367" i="3" s="1"/>
  <c r="S367" i="3"/>
  <c r="O368" i="3"/>
  <c r="P368" i="3"/>
  <c r="S368" i="3"/>
  <c r="O369" i="3"/>
  <c r="P369" i="3"/>
  <c r="Q369" i="3"/>
  <c r="O370" i="3"/>
  <c r="P370" i="3"/>
  <c r="O371" i="3"/>
  <c r="P371" i="3" s="1"/>
  <c r="O372" i="3"/>
  <c r="P372" i="3" s="1"/>
  <c r="S372" i="3" s="1"/>
  <c r="Q372" i="3"/>
  <c r="O373" i="3"/>
  <c r="P373" i="3"/>
  <c r="S373" i="3" s="1"/>
  <c r="Q373" i="3"/>
  <c r="R373" i="3"/>
  <c r="O374" i="3"/>
  <c r="P374" i="3"/>
  <c r="Q374" i="3" s="1"/>
  <c r="R374" i="3"/>
  <c r="O375" i="3"/>
  <c r="P375" i="3"/>
  <c r="Q375" i="3" s="1"/>
  <c r="R375" i="3"/>
  <c r="S375" i="3"/>
  <c r="O376" i="3"/>
  <c r="P376" i="3"/>
  <c r="S376" i="3" s="1"/>
  <c r="Q376" i="3"/>
  <c r="O377" i="3"/>
  <c r="P377" i="3"/>
  <c r="O378" i="3"/>
  <c r="P378" i="3"/>
  <c r="R378" i="3" s="1"/>
  <c r="O379" i="3"/>
  <c r="P379" i="3" s="1"/>
  <c r="S379" i="3" s="1"/>
  <c r="Q379" i="3"/>
  <c r="R379" i="3"/>
  <c r="O380" i="3"/>
  <c r="P380" i="3" s="1"/>
  <c r="S380" i="3" s="1"/>
  <c r="R380" i="3"/>
  <c r="O381" i="3"/>
  <c r="P381" i="3" s="1"/>
  <c r="O382" i="3"/>
  <c r="P382" i="3"/>
  <c r="Q382" i="3" s="1"/>
  <c r="S382" i="3"/>
  <c r="O383" i="3"/>
  <c r="P383" i="3"/>
  <c r="O384" i="3"/>
  <c r="P384" i="3"/>
  <c r="Q384" i="3" s="1"/>
  <c r="R384" i="3"/>
  <c r="S384" i="3"/>
  <c r="O385" i="3"/>
  <c r="P385" i="3"/>
  <c r="Q385" i="3"/>
  <c r="O386" i="3"/>
  <c r="P386" i="3" s="1"/>
  <c r="O387" i="3"/>
  <c r="P387" i="3" s="1"/>
  <c r="Q387" i="3" s="1"/>
  <c r="O388" i="3"/>
  <c r="P388" i="3" s="1"/>
  <c r="S388" i="3" s="1"/>
  <c r="Q388" i="3"/>
  <c r="R388" i="3"/>
  <c r="O389" i="3"/>
  <c r="P389" i="3"/>
  <c r="O390" i="3"/>
  <c r="P390" i="3"/>
  <c r="S390" i="3" s="1"/>
  <c r="Q390" i="3"/>
  <c r="R390" i="3"/>
  <c r="O391" i="3"/>
  <c r="P391" i="3"/>
  <c r="O392" i="3"/>
  <c r="P392" i="3"/>
  <c r="S392" i="3"/>
  <c r="O393" i="3"/>
  <c r="P393" i="3" s="1"/>
  <c r="O394" i="3"/>
  <c r="P394" i="3" s="1"/>
  <c r="R394" i="3"/>
  <c r="O395" i="3"/>
  <c r="P395" i="3"/>
  <c r="S395" i="3" s="1"/>
  <c r="O396" i="3"/>
  <c r="P396" i="3" s="1"/>
  <c r="Q396" i="3" s="1"/>
  <c r="R396" i="3"/>
  <c r="O397" i="3"/>
  <c r="P397" i="3" s="1"/>
  <c r="R397" i="3"/>
  <c r="O398" i="3"/>
  <c r="P398" i="3"/>
  <c r="S398" i="3" s="1"/>
  <c r="O399" i="3"/>
  <c r="P399" i="3"/>
  <c r="O400" i="3"/>
  <c r="P400" i="3"/>
  <c r="O401" i="3"/>
  <c r="P401" i="3" s="1"/>
  <c r="S401" i="3" s="1"/>
  <c r="W203" i="2" s="1"/>
  <c r="O402" i="3"/>
  <c r="P402" i="3"/>
  <c r="O403" i="3"/>
  <c r="P403" i="3" s="1"/>
  <c r="Q403" i="3" s="1"/>
  <c r="R403" i="3"/>
  <c r="S403" i="3"/>
  <c r="O404" i="3"/>
  <c r="P404" i="3" s="1"/>
  <c r="S404" i="3"/>
  <c r="O405" i="3"/>
  <c r="P405" i="3" s="1"/>
  <c r="Q405" i="3"/>
  <c r="R405" i="3"/>
  <c r="S405" i="3"/>
  <c r="O406" i="3"/>
  <c r="P406" i="3"/>
  <c r="S406" i="3" s="1"/>
  <c r="Q406" i="3"/>
  <c r="R406" i="3"/>
  <c r="O407" i="3"/>
  <c r="P407" i="3"/>
  <c r="Q407" i="3"/>
  <c r="O408" i="3"/>
  <c r="P408" i="3"/>
  <c r="S408" i="3"/>
  <c r="O409" i="3"/>
  <c r="P409" i="3" s="1"/>
  <c r="Q409" i="3"/>
  <c r="O410" i="3"/>
  <c r="P410" i="3" s="1"/>
  <c r="R410" i="3"/>
  <c r="O411" i="3"/>
  <c r="P411" i="3" s="1"/>
  <c r="O412" i="3"/>
  <c r="P412" i="3" s="1"/>
  <c r="O413" i="3"/>
  <c r="P413" i="3" s="1"/>
  <c r="R413" i="3"/>
  <c r="O414" i="3"/>
  <c r="P414" i="3"/>
  <c r="S414" i="3" s="1"/>
  <c r="Q414" i="3"/>
  <c r="R414" i="3"/>
  <c r="O415" i="3"/>
  <c r="P415" i="3"/>
  <c r="O416" i="3"/>
  <c r="P416" i="3"/>
  <c r="Q416" i="3"/>
  <c r="O417" i="3"/>
  <c r="P417" i="3" s="1"/>
  <c r="S417" i="3"/>
  <c r="O418" i="3"/>
  <c r="P418" i="3" s="1"/>
  <c r="O419" i="3"/>
  <c r="P419" i="3" s="1"/>
  <c r="Q419" i="3" s="1"/>
  <c r="O420" i="3"/>
  <c r="P420" i="3" s="1"/>
  <c r="O421" i="3"/>
  <c r="P421" i="3" s="1"/>
  <c r="R421" i="3" s="1"/>
  <c r="Q421" i="3"/>
  <c r="O422" i="3"/>
  <c r="P422" i="3"/>
  <c r="S422" i="3" s="1"/>
  <c r="Q422" i="3"/>
  <c r="R422" i="3"/>
  <c r="O423" i="3"/>
  <c r="P423" i="3"/>
  <c r="O424" i="3"/>
  <c r="P424" i="3"/>
  <c r="S424" i="3"/>
  <c r="O425" i="3"/>
  <c r="P425" i="3" s="1"/>
  <c r="O426" i="3"/>
  <c r="P426" i="3" s="1"/>
  <c r="R426" i="3"/>
  <c r="O427" i="3"/>
  <c r="P427" i="3"/>
  <c r="S427" i="3" s="1"/>
  <c r="O428" i="3"/>
  <c r="P428" i="3" s="1"/>
  <c r="Q428" i="3" s="1"/>
  <c r="R428" i="3"/>
  <c r="O429" i="3"/>
  <c r="P429" i="3" s="1"/>
  <c r="R429" i="3"/>
  <c r="O430" i="3"/>
  <c r="P430" i="3"/>
  <c r="S430" i="3" s="1"/>
  <c r="O431" i="3"/>
  <c r="P431" i="3"/>
  <c r="O432" i="3"/>
  <c r="P432" i="3"/>
  <c r="O433" i="3"/>
  <c r="P433" i="3" s="1"/>
  <c r="S433" i="3" s="1"/>
  <c r="O434" i="3"/>
  <c r="P434" i="3"/>
  <c r="O435" i="3"/>
  <c r="P435" i="3" s="1"/>
  <c r="Q435" i="3" s="1"/>
  <c r="R435" i="3"/>
  <c r="S435" i="3"/>
  <c r="O436" i="3"/>
  <c r="P436" i="3" s="1"/>
  <c r="S436" i="3"/>
  <c r="O437" i="3"/>
  <c r="P437" i="3" s="1"/>
  <c r="Q437" i="3"/>
  <c r="R437" i="3"/>
  <c r="S437" i="3"/>
  <c r="O438" i="3"/>
  <c r="P438" i="3"/>
  <c r="S438" i="3" s="1"/>
  <c r="Q438" i="3"/>
  <c r="R438" i="3"/>
  <c r="O439" i="3"/>
  <c r="P439" i="3"/>
  <c r="Q439" i="3"/>
  <c r="O440" i="3"/>
  <c r="P440" i="3"/>
  <c r="S440" i="3"/>
  <c r="O441" i="3"/>
  <c r="P441" i="3" s="1"/>
  <c r="Q441" i="3"/>
  <c r="O442" i="3"/>
  <c r="P442" i="3" s="1"/>
  <c r="Q442" i="3" s="1"/>
  <c r="R442" i="3"/>
  <c r="S442" i="3"/>
  <c r="W224" i="2" s="1"/>
  <c r="O443" i="3"/>
  <c r="P443" i="3" s="1"/>
  <c r="R443" i="3"/>
  <c r="O444" i="3"/>
  <c r="P444" i="3"/>
  <c r="S444" i="3" s="1"/>
  <c r="Q444" i="3"/>
  <c r="O445" i="3"/>
  <c r="P445" i="3"/>
  <c r="O446" i="3"/>
  <c r="P446" i="3"/>
  <c r="O447" i="3"/>
  <c r="P447" i="3" s="1"/>
  <c r="Q447" i="3" s="1"/>
  <c r="S447" i="3"/>
  <c r="O448" i="3"/>
  <c r="P448" i="3"/>
  <c r="S448" i="3" s="1"/>
  <c r="Q448" i="3"/>
  <c r="R448" i="3"/>
  <c r="O449" i="3"/>
  <c r="P449" i="3" s="1"/>
  <c r="O450" i="3"/>
  <c r="P450" i="3" s="1"/>
  <c r="O451" i="3"/>
  <c r="P451" i="3" s="1"/>
  <c r="O452" i="3"/>
  <c r="P452" i="3"/>
  <c r="S452" i="3" s="1"/>
  <c r="Q452" i="3"/>
  <c r="R452" i="3"/>
  <c r="O453" i="3"/>
  <c r="P453" i="3"/>
  <c r="S453" i="3"/>
  <c r="O454" i="3"/>
  <c r="P454" i="3"/>
  <c r="S454" i="3" s="1"/>
  <c r="O455" i="3"/>
  <c r="P455" i="3" s="1"/>
  <c r="R455" i="3" s="1"/>
  <c r="Q455" i="3"/>
  <c r="S455" i="3"/>
  <c r="O456" i="3"/>
  <c r="P456" i="3"/>
  <c r="S456" i="3" s="1"/>
  <c r="Q456" i="3"/>
  <c r="R456" i="3"/>
  <c r="O457" i="3"/>
  <c r="P457" i="3"/>
  <c r="O458" i="3"/>
  <c r="P458" i="3" s="1"/>
  <c r="Q458" i="3" s="1"/>
  <c r="R458" i="3"/>
  <c r="O459" i="3"/>
  <c r="P459" i="3" s="1"/>
  <c r="R459" i="3" s="1"/>
  <c r="O460" i="3"/>
  <c r="P460" i="3"/>
  <c r="R460" i="3" s="1"/>
  <c r="V231" i="2" s="1"/>
  <c r="O461" i="3"/>
  <c r="P461" i="3"/>
  <c r="S461" i="3"/>
  <c r="O462" i="3"/>
  <c r="P462" i="3"/>
  <c r="S462" i="3"/>
  <c r="W233" i="2" s="1"/>
  <c r="O463" i="3"/>
  <c r="P463" i="3" s="1"/>
  <c r="Q463" i="3"/>
  <c r="R463" i="3"/>
  <c r="S463" i="3"/>
  <c r="O464" i="3"/>
  <c r="P464" i="3"/>
  <c r="S464" i="3" s="1"/>
  <c r="Q464" i="3"/>
  <c r="R464" i="3"/>
  <c r="O465" i="3"/>
  <c r="P465" i="3"/>
  <c r="Q465" i="3" s="1"/>
  <c r="O466" i="3"/>
  <c r="P466" i="3" s="1"/>
  <c r="Q466" i="3" s="1"/>
  <c r="R466" i="3"/>
  <c r="O467" i="3"/>
  <c r="P467" i="3" s="1"/>
  <c r="R467" i="3"/>
  <c r="O468" i="3"/>
  <c r="P468" i="3"/>
  <c r="Q468" i="3" s="1"/>
  <c r="O469" i="3"/>
  <c r="P469" i="3"/>
  <c r="S469" i="3"/>
  <c r="O470" i="3"/>
  <c r="P470" i="3" s="1"/>
  <c r="S470" i="3"/>
  <c r="O471" i="3"/>
  <c r="P471" i="3" s="1"/>
  <c r="O472" i="3"/>
  <c r="P472" i="3"/>
  <c r="S472" i="3" s="1"/>
  <c r="Q472" i="3"/>
  <c r="R472" i="3"/>
  <c r="O473" i="3"/>
  <c r="P473" i="3" s="1"/>
  <c r="O474" i="3"/>
  <c r="P474" i="3" s="1"/>
  <c r="Q474" i="3" s="1"/>
  <c r="R474" i="3"/>
  <c r="S474" i="3"/>
  <c r="W239" i="2" s="1"/>
  <c r="O475" i="3"/>
  <c r="P475" i="3" s="1"/>
  <c r="R475" i="3"/>
  <c r="O476" i="3"/>
  <c r="P476" i="3"/>
  <c r="S476" i="3" s="1"/>
  <c r="Q476" i="3"/>
  <c r="O477" i="3"/>
  <c r="P477" i="3"/>
  <c r="O478" i="3"/>
  <c r="P478" i="3" s="1"/>
  <c r="O479" i="3"/>
  <c r="P479" i="3" s="1"/>
  <c r="Q479" i="3" s="1"/>
  <c r="S479" i="3"/>
  <c r="O480" i="3"/>
  <c r="P480" i="3"/>
  <c r="S480" i="3" s="1"/>
  <c r="Q480" i="3"/>
  <c r="R480" i="3"/>
  <c r="O481" i="3"/>
  <c r="P481" i="3" s="1"/>
  <c r="T242" i="2" s="1"/>
  <c r="U242" i="2" s="1"/>
  <c r="O482" i="3"/>
  <c r="P482" i="3" s="1"/>
  <c r="S482" i="3"/>
  <c r="O483" i="3"/>
  <c r="P483" i="3" s="1"/>
  <c r="O484" i="3"/>
  <c r="P484" i="3"/>
  <c r="S484" i="3" s="1"/>
  <c r="Q484" i="3"/>
  <c r="R484" i="3"/>
  <c r="O485" i="3"/>
  <c r="P485" i="3"/>
  <c r="S485" i="3"/>
  <c r="O486" i="3"/>
  <c r="P486" i="3"/>
  <c r="S486" i="3" s="1"/>
  <c r="O487" i="3"/>
  <c r="P487" i="3" s="1"/>
  <c r="R487" i="3" s="1"/>
  <c r="Q487" i="3"/>
  <c r="S487" i="3"/>
  <c r="O488" i="3"/>
  <c r="P488" i="3"/>
  <c r="S488" i="3" s="1"/>
  <c r="Q488" i="3"/>
  <c r="R488" i="3"/>
  <c r="O489" i="3"/>
  <c r="P489" i="3"/>
  <c r="O490" i="3"/>
  <c r="P490" i="3"/>
  <c r="O491" i="3"/>
  <c r="P491" i="3" s="1"/>
  <c r="Q491" i="3" s="1"/>
  <c r="R491" i="3"/>
  <c r="S491" i="3"/>
  <c r="O492" i="3"/>
  <c r="P492" i="3"/>
  <c r="Q492" i="3"/>
  <c r="O493" i="3"/>
  <c r="P493" i="3"/>
  <c r="R493" i="3" s="1"/>
  <c r="Q493" i="3"/>
  <c r="S493" i="3"/>
  <c r="O494" i="3"/>
  <c r="P494" i="3"/>
  <c r="S494" i="3"/>
  <c r="O495" i="3"/>
  <c r="P495" i="3" s="1"/>
  <c r="R495" i="3" s="1"/>
  <c r="Q495" i="3"/>
  <c r="S495" i="3"/>
  <c r="O496" i="3"/>
  <c r="P496" i="3"/>
  <c r="S496" i="3" s="1"/>
  <c r="Q496" i="3"/>
  <c r="R496" i="3"/>
  <c r="O497" i="3"/>
  <c r="P497" i="3"/>
  <c r="Q497" i="3" s="1"/>
  <c r="O498" i="3"/>
  <c r="P498" i="3"/>
  <c r="S498" i="3"/>
  <c r="O499" i="3"/>
  <c r="P499" i="3" s="1"/>
  <c r="O500" i="3"/>
  <c r="P500" i="3"/>
  <c r="S500" i="3" s="1"/>
  <c r="Q500" i="3"/>
  <c r="O501" i="3"/>
  <c r="P501" i="3"/>
  <c r="O502" i="3"/>
  <c r="P502" i="3"/>
  <c r="S502" i="3"/>
  <c r="O503" i="3"/>
  <c r="P503" i="3" s="1"/>
  <c r="Q503" i="3"/>
  <c r="R503" i="3"/>
  <c r="S503" i="3"/>
  <c r="O504" i="3"/>
  <c r="P504" i="3"/>
  <c r="S504" i="3" s="1"/>
  <c r="Q504" i="3"/>
  <c r="R504" i="3"/>
  <c r="O505" i="3"/>
  <c r="P505" i="3"/>
  <c r="Q505" i="3"/>
  <c r="O506" i="3"/>
  <c r="P506" i="3"/>
  <c r="Q506" i="3" s="1"/>
  <c r="S506" i="3"/>
  <c r="O507" i="3"/>
  <c r="P507" i="3" s="1"/>
  <c r="O508" i="3"/>
  <c r="P508" i="3"/>
  <c r="S508" i="3" s="1"/>
  <c r="Q508" i="3"/>
  <c r="O509" i="3"/>
  <c r="P509" i="3"/>
  <c r="S509" i="3"/>
  <c r="O510" i="3"/>
  <c r="P510" i="3" s="1"/>
  <c r="O511" i="3"/>
  <c r="P511" i="3" s="1"/>
  <c r="S511" i="3" s="1"/>
  <c r="Q511" i="3"/>
  <c r="R511" i="3"/>
  <c r="O512" i="3"/>
  <c r="P512" i="3"/>
  <c r="S512" i="3" s="1"/>
  <c r="Q512" i="3"/>
  <c r="R512" i="3"/>
  <c r="O513" i="3"/>
  <c r="P513" i="3"/>
  <c r="Q513" i="3"/>
  <c r="O514" i="3"/>
  <c r="P514" i="3"/>
  <c r="R514" i="3"/>
  <c r="O515" i="3"/>
  <c r="P515" i="3" s="1"/>
  <c r="Q515" i="3" s="1"/>
  <c r="O516" i="3"/>
  <c r="P516" i="3"/>
  <c r="S516" i="3" s="1"/>
  <c r="Q516" i="3"/>
  <c r="R516" i="3"/>
  <c r="O517" i="3"/>
  <c r="P517" i="3"/>
  <c r="R517" i="3" s="1"/>
  <c r="O518" i="3"/>
  <c r="P518" i="3" s="1"/>
  <c r="S518" i="3" s="1"/>
  <c r="O519" i="3"/>
  <c r="P519" i="3" s="1"/>
  <c r="O520" i="3"/>
  <c r="P520" i="3"/>
  <c r="S520" i="3" s="1"/>
  <c r="Q520" i="3"/>
  <c r="R520" i="3"/>
  <c r="O521" i="3"/>
  <c r="P521" i="3" s="1"/>
  <c r="O522" i="3"/>
  <c r="P522" i="3"/>
  <c r="Q522" i="3" s="1"/>
  <c r="R522" i="3"/>
  <c r="O523" i="3"/>
  <c r="P523" i="3" s="1"/>
  <c r="O524" i="3"/>
  <c r="P524" i="3"/>
  <c r="S524" i="3" s="1"/>
  <c r="Q524" i="3"/>
  <c r="R524" i="3"/>
  <c r="O525" i="3"/>
  <c r="P525" i="3"/>
  <c r="Q525" i="3"/>
  <c r="N5" i="2"/>
  <c r="O5" i="2"/>
  <c r="R5" i="2" s="1"/>
  <c r="P5" i="2"/>
  <c r="Q5" i="2"/>
  <c r="S5" i="2"/>
  <c r="T5" i="2"/>
  <c r="U5" i="2" s="1"/>
  <c r="W5" i="2"/>
  <c r="X5" i="2"/>
  <c r="Y5" i="2"/>
  <c r="Z5" i="2"/>
  <c r="AA5" i="2"/>
  <c r="N6" i="2"/>
  <c r="O6" i="2"/>
  <c r="P6" i="2"/>
  <c r="Q6" i="2"/>
  <c r="R6" i="2"/>
  <c r="S6" i="2"/>
  <c r="T6" i="2"/>
  <c r="U6" i="2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V9" i="2"/>
  <c r="X9" i="2"/>
  <c r="Y9" i="2"/>
  <c r="Z9" i="2"/>
  <c r="AA9" i="2"/>
  <c r="N10" i="2"/>
  <c r="O10" i="2"/>
  <c r="R10" i="2" s="1"/>
  <c r="P10" i="2"/>
  <c r="Q10" i="2"/>
  <c r="S10" i="2"/>
  <c r="T10" i="2"/>
  <c r="U10" i="2" s="1"/>
  <c r="V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S12" i="2"/>
  <c r="T12" i="2"/>
  <c r="U12" i="2" s="1"/>
  <c r="V12" i="2"/>
  <c r="X12" i="2"/>
  <c r="Y12" i="2"/>
  <c r="Z12" i="2"/>
  <c r="AA12" i="2"/>
  <c r="N13" i="2"/>
  <c r="O13" i="2"/>
  <c r="R13" i="2" s="1"/>
  <c r="P13" i="2"/>
  <c r="Q13" i="2"/>
  <c r="S13" i="2"/>
  <c r="T13" i="2"/>
  <c r="U13" i="2" s="1"/>
  <c r="V13" i="2"/>
  <c r="X13" i="2"/>
  <c r="Y13" i="2"/>
  <c r="Z13" i="2"/>
  <c r="AA13" i="2"/>
  <c r="N14" i="2"/>
  <c r="O14" i="2"/>
  <c r="R14" i="2" s="1"/>
  <c r="P14" i="2"/>
  <c r="Q14" i="2"/>
  <c r="S14" i="2"/>
  <c r="T14" i="2"/>
  <c r="U14" i="2" s="1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S16" i="2"/>
  <c r="T16" i="2"/>
  <c r="U16" i="2" s="1"/>
  <c r="V16" i="2"/>
  <c r="X16" i="2"/>
  <c r="Y16" i="2"/>
  <c r="Z16" i="2"/>
  <c r="AA16" i="2"/>
  <c r="N17" i="2"/>
  <c r="O17" i="2"/>
  <c r="R17" i="2" s="1"/>
  <c r="P17" i="2"/>
  <c r="Q17" i="2"/>
  <c r="S17" i="2"/>
  <c r="T17" i="2"/>
  <c r="U17" i="2" s="1"/>
  <c r="V17" i="2"/>
  <c r="X17" i="2"/>
  <c r="Y17" i="2"/>
  <c r="Z17" i="2"/>
  <c r="AA17" i="2"/>
  <c r="N18" i="2"/>
  <c r="O18" i="2"/>
  <c r="R18" i="2" s="1"/>
  <c r="P18" i="2"/>
  <c r="Q18" i="2"/>
  <c r="S18" i="2"/>
  <c r="T18" i="2"/>
  <c r="U18" i="2" s="1"/>
  <c r="X18" i="2"/>
  <c r="Y18" i="2"/>
  <c r="Z18" i="2"/>
  <c r="AA18" i="2"/>
  <c r="N19" i="2"/>
  <c r="O19" i="2"/>
  <c r="R19" i="2" s="1"/>
  <c r="P19" i="2"/>
  <c r="Q19" i="2"/>
  <c r="S19" i="2"/>
  <c r="T19" i="2"/>
  <c r="U19" i="2" s="1"/>
  <c r="X19" i="2"/>
  <c r="Y19" i="2"/>
  <c r="Z19" i="2"/>
  <c r="AA19" i="2"/>
  <c r="N20" i="2"/>
  <c r="O20" i="2"/>
  <c r="R20" i="2" s="1"/>
  <c r="P20" i="2"/>
  <c r="Q20" i="2"/>
  <c r="S20" i="2"/>
  <c r="T20" i="2"/>
  <c r="U20" i="2" s="1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S22" i="2"/>
  <c r="T22" i="2"/>
  <c r="U22" i="2" s="1"/>
  <c r="W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S25" i="2"/>
  <c r="T25" i="2"/>
  <c r="U25" i="2"/>
  <c r="V25" i="2"/>
  <c r="X25" i="2"/>
  <c r="Y25" i="2"/>
  <c r="Z25" i="2"/>
  <c r="AA25" i="2"/>
  <c r="N26" i="2"/>
  <c r="O26" i="2"/>
  <c r="R26" i="2" s="1"/>
  <c r="P26" i="2"/>
  <c r="Q26" i="2"/>
  <c r="S26" i="2"/>
  <c r="T26" i="2"/>
  <c r="U26" i="2" s="1"/>
  <c r="X26" i="2"/>
  <c r="Y26" i="2"/>
  <c r="Z26" i="2"/>
  <c r="AA26" i="2"/>
  <c r="N27" i="2"/>
  <c r="O27" i="2"/>
  <c r="R27" i="2" s="1"/>
  <c r="P27" i="2"/>
  <c r="Q27" i="2"/>
  <c r="S27" i="2"/>
  <c r="T27" i="2"/>
  <c r="U27" i="2" s="1"/>
  <c r="W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T29" i="2"/>
  <c r="U29" i="2" s="1"/>
  <c r="V29" i="2"/>
  <c r="X29" i="2"/>
  <c r="Y29" i="2"/>
  <c r="Z29" i="2"/>
  <c r="AA29" i="2"/>
  <c r="N30" i="2"/>
  <c r="O30" i="2"/>
  <c r="R30" i="2" s="1"/>
  <c r="P30" i="2"/>
  <c r="Q30" i="2"/>
  <c r="S30" i="2"/>
  <c r="T30" i="2"/>
  <c r="U30" i="2" s="1"/>
  <c r="V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V32" i="2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S35" i="2"/>
  <c r="T35" i="2"/>
  <c r="U35" i="2" s="1"/>
  <c r="W35" i="2"/>
  <c r="X35" i="2"/>
  <c r="Y35" i="2"/>
  <c r="Z35" i="2"/>
  <c r="AA35" i="2"/>
  <c r="N36" i="2"/>
  <c r="O36" i="2"/>
  <c r="R36" i="2" s="1"/>
  <c r="P36" i="2"/>
  <c r="Q36" i="2"/>
  <c r="S36" i="2"/>
  <c r="X36" i="2"/>
  <c r="Y36" i="2"/>
  <c r="Z36" i="2"/>
  <c r="AA36" i="2"/>
  <c r="N37" i="2"/>
  <c r="O37" i="2"/>
  <c r="R37" i="2" s="1"/>
  <c r="P37" i="2"/>
  <c r="Q37" i="2"/>
  <c r="S37" i="2"/>
  <c r="T37" i="2"/>
  <c r="U37" i="2" s="1"/>
  <c r="V37" i="2"/>
  <c r="W37" i="2"/>
  <c r="X37" i="2"/>
  <c r="Y37" i="2"/>
  <c r="Z37" i="2"/>
  <c r="AA37" i="2"/>
  <c r="N38" i="2"/>
  <c r="O38" i="2"/>
  <c r="R38" i="2" s="1"/>
  <c r="P38" i="2"/>
  <c r="Q38" i="2"/>
  <c r="S38" i="2"/>
  <c r="T38" i="2"/>
  <c r="U38" i="2" s="1"/>
  <c r="X38" i="2"/>
  <c r="Y38" i="2"/>
  <c r="Z38" i="2"/>
  <c r="AA38" i="2"/>
  <c r="N39" i="2"/>
  <c r="O39" i="2"/>
  <c r="P39" i="2"/>
  <c r="Q39" i="2"/>
  <c r="R39" i="2"/>
  <c r="S39" i="2"/>
  <c r="T39" i="2"/>
  <c r="U39" i="2" s="1"/>
  <c r="W39" i="2"/>
  <c r="X39" i="2"/>
  <c r="Y39" i="2"/>
  <c r="Z39" i="2"/>
  <c r="AA39" i="2"/>
  <c r="N40" i="2"/>
  <c r="O40" i="2"/>
  <c r="R40" i="2" s="1"/>
  <c r="P40" i="2"/>
  <c r="Q40" i="2"/>
  <c r="S40" i="2"/>
  <c r="T40" i="2"/>
  <c r="U40" i="2" s="1"/>
  <c r="V40" i="2"/>
  <c r="W40" i="2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P43" i="2"/>
  <c r="Q43" i="2"/>
  <c r="R43" i="2"/>
  <c r="S43" i="2"/>
  <c r="T43" i="2"/>
  <c r="U43" i="2" s="1"/>
  <c r="V43" i="2"/>
  <c r="W43" i="2"/>
  <c r="X43" i="2"/>
  <c r="Y43" i="2"/>
  <c r="Z43" i="2"/>
  <c r="AA43" i="2"/>
  <c r="N44" i="2"/>
  <c r="O44" i="2"/>
  <c r="R44" i="2" s="1"/>
  <c r="P44" i="2"/>
  <c r="Q44" i="2"/>
  <c r="S44" i="2"/>
  <c r="T44" i="2"/>
  <c r="U44" i="2"/>
  <c r="W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P46" i="2"/>
  <c r="Q46" i="2"/>
  <c r="R46" i="2"/>
  <c r="S46" i="2"/>
  <c r="T46" i="2"/>
  <c r="U46" i="2" s="1"/>
  <c r="V46" i="2"/>
  <c r="X46" i="2"/>
  <c r="Y46" i="2"/>
  <c r="Z46" i="2"/>
  <c r="AA46" i="2"/>
  <c r="N47" i="2"/>
  <c r="O47" i="2"/>
  <c r="R47" i="2" s="1"/>
  <c r="P47" i="2"/>
  <c r="Q47" i="2"/>
  <c r="S47" i="2"/>
  <c r="T47" i="2"/>
  <c r="U47" i="2" s="1"/>
  <c r="W47" i="2"/>
  <c r="X47" i="2"/>
  <c r="Y47" i="2"/>
  <c r="Z47" i="2"/>
  <c r="AA47" i="2"/>
  <c r="N48" i="2"/>
  <c r="O48" i="2"/>
  <c r="P48" i="2"/>
  <c r="Q48" i="2"/>
  <c r="R48" i="2"/>
  <c r="S48" i="2"/>
  <c r="T48" i="2"/>
  <c r="U48" i="2" s="1"/>
  <c r="W48" i="2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S50" i="2"/>
  <c r="T50" i="2"/>
  <c r="U50" i="2" s="1"/>
  <c r="W50" i="2"/>
  <c r="X50" i="2"/>
  <c r="Y50" i="2"/>
  <c r="Z50" i="2"/>
  <c r="AA50" i="2"/>
  <c r="N51" i="2"/>
  <c r="O51" i="2"/>
  <c r="R51" i="2" s="1"/>
  <c r="P51" i="2"/>
  <c r="Q51" i="2"/>
  <c r="S51" i="2"/>
  <c r="T51" i="2"/>
  <c r="U51" i="2" s="1"/>
  <c r="X51" i="2"/>
  <c r="Y51" i="2"/>
  <c r="Z51" i="2"/>
  <c r="AA51" i="2"/>
  <c r="N52" i="2"/>
  <c r="O52" i="2"/>
  <c r="R52" i="2" s="1"/>
  <c r="P52" i="2"/>
  <c r="Q52" i="2"/>
  <c r="S52" i="2"/>
  <c r="T52" i="2"/>
  <c r="U52" i="2" s="1"/>
  <c r="V52" i="2"/>
  <c r="W52" i="2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S54" i="2"/>
  <c r="T54" i="2"/>
  <c r="U54" i="2" s="1"/>
  <c r="V54" i="2"/>
  <c r="W54" i="2"/>
  <c r="X54" i="2"/>
  <c r="Y54" i="2"/>
  <c r="Z54" i="2"/>
  <c r="AA54" i="2"/>
  <c r="N55" i="2"/>
  <c r="O55" i="2"/>
  <c r="R55" i="2" s="1"/>
  <c r="P55" i="2"/>
  <c r="Q55" i="2"/>
  <c r="S55" i="2"/>
  <c r="T55" i="2"/>
  <c r="U55" i="2" s="1"/>
  <c r="X55" i="2"/>
  <c r="Y55" i="2"/>
  <c r="Z55" i="2"/>
  <c r="AA55" i="2"/>
  <c r="N56" i="2"/>
  <c r="O56" i="2"/>
  <c r="R56" i="2" s="1"/>
  <c r="P56" i="2"/>
  <c r="Q56" i="2"/>
  <c r="S56" i="2"/>
  <c r="T56" i="2"/>
  <c r="U56" i="2" s="1"/>
  <c r="V56" i="2"/>
  <c r="W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P58" i="2"/>
  <c r="Q58" i="2"/>
  <c r="R58" i="2"/>
  <c r="S58" i="2"/>
  <c r="T58" i="2"/>
  <c r="U58" i="2" s="1"/>
  <c r="X58" i="2"/>
  <c r="Y58" i="2"/>
  <c r="Z58" i="2"/>
  <c r="AA58" i="2"/>
  <c r="N59" i="2"/>
  <c r="O59" i="2"/>
  <c r="R59" i="2" s="1"/>
  <c r="P59" i="2"/>
  <c r="Q59" i="2"/>
  <c r="S59" i="2"/>
  <c r="T59" i="2"/>
  <c r="U59" i="2" s="1"/>
  <c r="X59" i="2"/>
  <c r="Y59" i="2"/>
  <c r="Z59" i="2"/>
  <c r="AA59" i="2"/>
  <c r="N60" i="2"/>
  <c r="O60" i="2"/>
  <c r="R60" i="2" s="1"/>
  <c r="P60" i="2"/>
  <c r="Q60" i="2"/>
  <c r="S60" i="2"/>
  <c r="T60" i="2"/>
  <c r="U60" i="2" s="1"/>
  <c r="V60" i="2"/>
  <c r="W60" i="2"/>
  <c r="X60" i="2"/>
  <c r="Y60" i="2"/>
  <c r="Z60" i="2"/>
  <c r="AA60" i="2"/>
  <c r="N61" i="2"/>
  <c r="O61" i="2"/>
  <c r="R61" i="2" s="1"/>
  <c r="P61" i="2"/>
  <c r="Q61" i="2"/>
  <c r="S61" i="2"/>
  <c r="T61" i="2"/>
  <c r="U61" i="2" s="1"/>
  <c r="V61" i="2"/>
  <c r="X61" i="2"/>
  <c r="Y61" i="2"/>
  <c r="Z61" i="2"/>
  <c r="AA61" i="2"/>
  <c r="N62" i="2"/>
  <c r="O62" i="2"/>
  <c r="R62" i="2" s="1"/>
  <c r="P62" i="2"/>
  <c r="Q62" i="2"/>
  <c r="S62" i="2"/>
  <c r="T62" i="2"/>
  <c r="U62" i="2" s="1"/>
  <c r="X62" i="2"/>
  <c r="Y62" i="2"/>
  <c r="Z62" i="2"/>
  <c r="AA62" i="2"/>
  <c r="N63" i="2"/>
  <c r="O63" i="2"/>
  <c r="R63" i="2" s="1"/>
  <c r="P63" i="2"/>
  <c r="Q63" i="2"/>
  <c r="S63" i="2"/>
  <c r="T63" i="2"/>
  <c r="U63" i="2" s="1"/>
  <c r="X63" i="2"/>
  <c r="Y63" i="2"/>
  <c r="Z63" i="2"/>
  <c r="AA63" i="2"/>
  <c r="N64" i="2"/>
  <c r="O64" i="2"/>
  <c r="R64" i="2" s="1"/>
  <c r="P64" i="2"/>
  <c r="Q64" i="2"/>
  <c r="S64" i="2"/>
  <c r="T64" i="2"/>
  <c r="U64" i="2" s="1"/>
  <c r="X64" i="2"/>
  <c r="Y64" i="2"/>
  <c r="Z64" i="2"/>
  <c r="AA64" i="2"/>
  <c r="N65" i="2"/>
  <c r="O65" i="2"/>
  <c r="R65" i="2" s="1"/>
  <c r="P65" i="2"/>
  <c r="Q65" i="2"/>
  <c r="S65" i="2"/>
  <c r="T65" i="2"/>
  <c r="U65" i="2" s="1"/>
  <c r="V65" i="2"/>
  <c r="X65" i="2"/>
  <c r="Y65" i="2"/>
  <c r="Z65" i="2"/>
  <c r="AA65" i="2"/>
  <c r="N66" i="2"/>
  <c r="O66" i="2"/>
  <c r="R66" i="2" s="1"/>
  <c r="P66" i="2"/>
  <c r="Q66" i="2"/>
  <c r="S66" i="2"/>
  <c r="T66" i="2"/>
  <c r="U66" i="2" s="1"/>
  <c r="X66" i="2"/>
  <c r="Y66" i="2"/>
  <c r="Z66" i="2"/>
  <c r="AA66" i="2"/>
  <c r="N67" i="2"/>
  <c r="O67" i="2"/>
  <c r="P67" i="2"/>
  <c r="Q67" i="2"/>
  <c r="R67" i="2"/>
  <c r="S67" i="2"/>
  <c r="T67" i="2"/>
  <c r="U67" i="2" s="1"/>
  <c r="X67" i="2"/>
  <c r="Y67" i="2"/>
  <c r="Z67" i="2"/>
  <c r="AA67" i="2"/>
  <c r="N68" i="2"/>
  <c r="O68" i="2"/>
  <c r="R68" i="2" s="1"/>
  <c r="P68" i="2"/>
  <c r="Q68" i="2"/>
  <c r="S68" i="2"/>
  <c r="T68" i="2"/>
  <c r="U68" i="2" s="1"/>
  <c r="X68" i="2"/>
  <c r="Y68" i="2"/>
  <c r="Z68" i="2"/>
  <c r="AA68" i="2"/>
  <c r="N69" i="2"/>
  <c r="O69" i="2"/>
  <c r="R69" i="2" s="1"/>
  <c r="P69" i="2"/>
  <c r="Q69" i="2"/>
  <c r="S69" i="2"/>
  <c r="T69" i="2"/>
  <c r="U69" i="2" s="1"/>
  <c r="V69" i="2"/>
  <c r="W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W70" i="2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P72" i="2"/>
  <c r="Q72" i="2"/>
  <c r="R72" i="2"/>
  <c r="S72" i="2"/>
  <c r="T72" i="2"/>
  <c r="U72" i="2" s="1"/>
  <c r="V72" i="2"/>
  <c r="W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W74" i="2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S76" i="2"/>
  <c r="T76" i="2"/>
  <c r="U76" i="2" s="1"/>
  <c r="X76" i="2"/>
  <c r="Y76" i="2"/>
  <c r="Z76" i="2"/>
  <c r="AA76" i="2"/>
  <c r="N77" i="2"/>
  <c r="O77" i="2"/>
  <c r="R77" i="2" s="1"/>
  <c r="P77" i="2"/>
  <c r="Q77" i="2"/>
  <c r="S77" i="2"/>
  <c r="T77" i="2"/>
  <c r="U77" i="2" s="1"/>
  <c r="V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V78" i="2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T81" i="2"/>
  <c r="U81" i="2" s="1"/>
  <c r="V81" i="2"/>
  <c r="W81" i="2"/>
  <c r="X81" i="2"/>
  <c r="Y81" i="2"/>
  <c r="Z81" i="2"/>
  <c r="AA81" i="2"/>
  <c r="N82" i="2"/>
  <c r="O82" i="2"/>
  <c r="R82" i="2" s="1"/>
  <c r="P82" i="2"/>
  <c r="Q82" i="2"/>
  <c r="S82" i="2"/>
  <c r="T82" i="2"/>
  <c r="U82" i="2" s="1"/>
  <c r="V82" i="2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T86" i="2"/>
  <c r="U86" i="2" s="1"/>
  <c r="X86" i="2"/>
  <c r="Y86" i="2"/>
  <c r="Z86" i="2"/>
  <c r="AA86" i="2"/>
  <c r="N87" i="2"/>
  <c r="O87" i="2"/>
  <c r="R87" i="2" s="1"/>
  <c r="P87" i="2"/>
  <c r="Q87" i="2"/>
  <c r="S87" i="2"/>
  <c r="T87" i="2"/>
  <c r="U87" i="2" s="1"/>
  <c r="W87" i="2"/>
  <c r="X87" i="2"/>
  <c r="Y87" i="2"/>
  <c r="Z87" i="2"/>
  <c r="AA87" i="2"/>
  <c r="N88" i="2"/>
  <c r="O88" i="2"/>
  <c r="P88" i="2"/>
  <c r="Q88" i="2"/>
  <c r="R88" i="2"/>
  <c r="S88" i="2"/>
  <c r="T88" i="2"/>
  <c r="U88" i="2" s="1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S90" i="2"/>
  <c r="T90" i="2"/>
  <c r="U90" i="2" s="1"/>
  <c r="W90" i="2"/>
  <c r="X90" i="2"/>
  <c r="Y90" i="2"/>
  <c r="Z90" i="2"/>
  <c r="AA90" i="2"/>
  <c r="N91" i="2"/>
  <c r="O91" i="2"/>
  <c r="R91" i="2" s="1"/>
  <c r="P91" i="2"/>
  <c r="Q91" i="2"/>
  <c r="S91" i="2"/>
  <c r="X91" i="2"/>
  <c r="Y91" i="2"/>
  <c r="Z91" i="2"/>
  <c r="AA91" i="2"/>
  <c r="N92" i="2"/>
  <c r="O92" i="2"/>
  <c r="R92" i="2" s="1"/>
  <c r="P92" i="2"/>
  <c r="Q92" i="2"/>
  <c r="S92" i="2"/>
  <c r="T92" i="2"/>
  <c r="U92" i="2" s="1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T94" i="2"/>
  <c r="U94" i="2" s="1"/>
  <c r="X94" i="2"/>
  <c r="Y94" i="2"/>
  <c r="Z94" i="2"/>
  <c r="AA94" i="2"/>
  <c r="N95" i="2"/>
  <c r="O95" i="2"/>
  <c r="R95" i="2" s="1"/>
  <c r="P95" i="2"/>
  <c r="Q95" i="2"/>
  <c r="S95" i="2"/>
  <c r="T95" i="2"/>
  <c r="U95" i="2" s="1"/>
  <c r="V95" i="2"/>
  <c r="X95" i="2"/>
  <c r="Y95" i="2"/>
  <c r="Z95" i="2"/>
  <c r="AA95" i="2"/>
  <c r="N96" i="2"/>
  <c r="O96" i="2"/>
  <c r="R96" i="2" s="1"/>
  <c r="P96" i="2"/>
  <c r="Q96" i="2"/>
  <c r="S96" i="2"/>
  <c r="T96" i="2"/>
  <c r="U96" i="2" s="1"/>
  <c r="X96" i="2"/>
  <c r="Y96" i="2"/>
  <c r="Z96" i="2"/>
  <c r="AA96" i="2"/>
  <c r="N97" i="2"/>
  <c r="O97" i="2"/>
  <c r="R97" i="2" s="1"/>
  <c r="P97" i="2"/>
  <c r="Q97" i="2"/>
  <c r="S97" i="2"/>
  <c r="T97" i="2"/>
  <c r="U97" i="2" s="1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T99" i="2"/>
  <c r="U99" i="2" s="1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W100" i="2"/>
  <c r="X100" i="2"/>
  <c r="Y100" i="2"/>
  <c r="Z100" i="2"/>
  <c r="AA100" i="2"/>
  <c r="N101" i="2"/>
  <c r="O101" i="2"/>
  <c r="R101" i="2" s="1"/>
  <c r="P101" i="2"/>
  <c r="Q101" i="2"/>
  <c r="S101" i="2"/>
  <c r="T101" i="2"/>
  <c r="U101" i="2" s="1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V102" i="2"/>
  <c r="W102" i="2"/>
  <c r="X102" i="2"/>
  <c r="Y102" i="2"/>
  <c r="Z102" i="2"/>
  <c r="AA102" i="2"/>
  <c r="N103" i="2"/>
  <c r="O103" i="2"/>
  <c r="P103" i="2"/>
  <c r="Q103" i="2"/>
  <c r="R103" i="2"/>
  <c r="X103" i="2"/>
  <c r="Y103" i="2"/>
  <c r="Z103" i="2"/>
  <c r="AA103" i="2"/>
  <c r="N104" i="2"/>
  <c r="O104" i="2"/>
  <c r="P104" i="2"/>
  <c r="Q104" i="2"/>
  <c r="R104" i="2"/>
  <c r="S104" i="2"/>
  <c r="T104" i="2"/>
  <c r="U104" i="2" s="1"/>
  <c r="V104" i="2"/>
  <c r="W104" i="2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P106" i="2"/>
  <c r="Q106" i="2"/>
  <c r="R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T107" i="2"/>
  <c r="U107" i="2" s="1"/>
  <c r="W107" i="2"/>
  <c r="X107" i="2"/>
  <c r="Y107" i="2"/>
  <c r="Z107" i="2"/>
  <c r="AA107" i="2"/>
  <c r="N108" i="2"/>
  <c r="O108" i="2"/>
  <c r="P108" i="2"/>
  <c r="Q108" i="2"/>
  <c r="R108" i="2"/>
  <c r="S108" i="2"/>
  <c r="T108" i="2"/>
  <c r="U108" i="2" s="1"/>
  <c r="X108" i="2"/>
  <c r="Y108" i="2"/>
  <c r="Z108" i="2"/>
  <c r="AA108" i="2"/>
  <c r="N109" i="2"/>
  <c r="O109" i="2"/>
  <c r="R109" i="2" s="1"/>
  <c r="P109" i="2"/>
  <c r="Q109" i="2"/>
  <c r="S109" i="2"/>
  <c r="T109" i="2"/>
  <c r="U109" i="2" s="1"/>
  <c r="V109" i="2"/>
  <c r="W109" i="2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V110" i="2"/>
  <c r="W110" i="2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S112" i="2"/>
  <c r="T112" i="2"/>
  <c r="U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S114" i="2"/>
  <c r="T114" i="2"/>
  <c r="U114" i="2" s="1"/>
  <c r="X114" i="2"/>
  <c r="Y114" i="2"/>
  <c r="Z114" i="2"/>
  <c r="AA114" i="2"/>
  <c r="N115" i="2"/>
  <c r="O115" i="2"/>
  <c r="R115" i="2" s="1"/>
  <c r="P115" i="2"/>
  <c r="Q115" i="2"/>
  <c r="S115" i="2"/>
  <c r="T115" i="2"/>
  <c r="U115" i="2" s="1"/>
  <c r="V115" i="2"/>
  <c r="W115" i="2"/>
  <c r="X115" i="2"/>
  <c r="Y115" i="2"/>
  <c r="Z115" i="2"/>
  <c r="AA115" i="2"/>
  <c r="N116" i="2"/>
  <c r="O116" i="2"/>
  <c r="R116" i="2" s="1"/>
  <c r="P116" i="2"/>
  <c r="Q116" i="2"/>
  <c r="S116" i="2"/>
  <c r="T116" i="2"/>
  <c r="U116" i="2" s="1"/>
  <c r="X116" i="2"/>
  <c r="Y116" i="2"/>
  <c r="Z116" i="2"/>
  <c r="AA116" i="2"/>
  <c r="N117" i="2"/>
  <c r="O117" i="2"/>
  <c r="R117" i="2" s="1"/>
  <c r="P117" i="2"/>
  <c r="Q117" i="2"/>
  <c r="S117" i="2"/>
  <c r="T117" i="2"/>
  <c r="U117" i="2" s="1"/>
  <c r="V117" i="2"/>
  <c r="W117" i="2"/>
  <c r="X117" i="2"/>
  <c r="Y117" i="2"/>
  <c r="Z117" i="2"/>
  <c r="AA117" i="2"/>
  <c r="N118" i="2"/>
  <c r="O118" i="2"/>
  <c r="R118" i="2" s="1"/>
  <c r="P118" i="2"/>
  <c r="Q118" i="2"/>
  <c r="S118" i="2"/>
  <c r="T118" i="2"/>
  <c r="U118" i="2" s="1"/>
  <c r="V118" i="2"/>
  <c r="W118" i="2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T120" i="2"/>
  <c r="U120" i="2" s="1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S123" i="2"/>
  <c r="T123" i="2"/>
  <c r="U123" i="2" s="1"/>
  <c r="V123" i="2"/>
  <c r="W123" i="2"/>
  <c r="X123" i="2"/>
  <c r="Y123" i="2"/>
  <c r="Z123" i="2"/>
  <c r="AA123" i="2"/>
  <c r="N124" i="2"/>
  <c r="O124" i="2"/>
  <c r="R124" i="2" s="1"/>
  <c r="P124" i="2"/>
  <c r="Q124" i="2"/>
  <c r="S124" i="2"/>
  <c r="T124" i="2"/>
  <c r="U124" i="2" s="1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V125" i="2"/>
  <c r="W125" i="2"/>
  <c r="X125" i="2"/>
  <c r="Y125" i="2"/>
  <c r="Z125" i="2"/>
  <c r="AA125" i="2"/>
  <c r="N126" i="2"/>
  <c r="O126" i="2"/>
  <c r="P126" i="2"/>
  <c r="Q126" i="2"/>
  <c r="R126" i="2"/>
  <c r="S126" i="2"/>
  <c r="T126" i="2"/>
  <c r="U126" i="2" s="1"/>
  <c r="W126" i="2"/>
  <c r="X126" i="2"/>
  <c r="Y126" i="2"/>
  <c r="Z126" i="2"/>
  <c r="AA126" i="2"/>
  <c r="N127" i="2"/>
  <c r="O127" i="2"/>
  <c r="R127" i="2" s="1"/>
  <c r="P127" i="2"/>
  <c r="Q127" i="2"/>
  <c r="S127" i="2"/>
  <c r="T127" i="2"/>
  <c r="U127" i="2" s="1"/>
  <c r="X127" i="2"/>
  <c r="Y127" i="2"/>
  <c r="Z127" i="2"/>
  <c r="AA127" i="2"/>
  <c r="N128" i="2"/>
  <c r="O128" i="2"/>
  <c r="R128" i="2" s="1"/>
  <c r="P128" i="2"/>
  <c r="Q128" i="2"/>
  <c r="S128" i="2"/>
  <c r="T128" i="2"/>
  <c r="U128" i="2" s="1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S130" i="2"/>
  <c r="T130" i="2"/>
  <c r="U130" i="2" s="1"/>
  <c r="X130" i="2"/>
  <c r="Y130" i="2"/>
  <c r="Z130" i="2"/>
  <c r="AA130" i="2"/>
  <c r="N131" i="2"/>
  <c r="O131" i="2"/>
  <c r="R131" i="2" s="1"/>
  <c r="P131" i="2"/>
  <c r="Q131" i="2"/>
  <c r="S131" i="2"/>
  <c r="T131" i="2"/>
  <c r="U131" i="2" s="1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S133" i="2"/>
  <c r="T133" i="2"/>
  <c r="U133" i="2" s="1"/>
  <c r="V133" i="2"/>
  <c r="W133" i="2"/>
  <c r="X133" i="2"/>
  <c r="Y133" i="2"/>
  <c r="Z133" i="2"/>
  <c r="AA133" i="2"/>
  <c r="N134" i="2"/>
  <c r="O134" i="2"/>
  <c r="R134" i="2" s="1"/>
  <c r="P134" i="2"/>
  <c r="Q134" i="2"/>
  <c r="S134" i="2"/>
  <c r="T134" i="2"/>
  <c r="U134" i="2" s="1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P136" i="2"/>
  <c r="Q136" i="2"/>
  <c r="R136" i="2"/>
  <c r="S136" i="2"/>
  <c r="T136" i="2"/>
  <c r="U136" i="2" s="1"/>
  <c r="V136" i="2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S140" i="2"/>
  <c r="T140" i="2"/>
  <c r="U140" i="2" s="1"/>
  <c r="V140" i="2"/>
  <c r="W140" i="2"/>
  <c r="X140" i="2"/>
  <c r="Y140" i="2"/>
  <c r="Z140" i="2"/>
  <c r="AA140" i="2"/>
  <c r="N141" i="2"/>
  <c r="O141" i="2"/>
  <c r="R141" i="2" s="1"/>
  <c r="P141" i="2"/>
  <c r="Q141" i="2"/>
  <c r="S141" i="2"/>
  <c r="T141" i="2"/>
  <c r="U141" i="2" s="1"/>
  <c r="X141" i="2"/>
  <c r="Y141" i="2"/>
  <c r="Z141" i="2"/>
  <c r="AA141" i="2"/>
  <c r="N142" i="2"/>
  <c r="O142" i="2"/>
  <c r="R142" i="2" s="1"/>
  <c r="P142" i="2"/>
  <c r="Q142" i="2"/>
  <c r="S142" i="2"/>
  <c r="T142" i="2"/>
  <c r="U142" i="2" s="1"/>
  <c r="V142" i="2"/>
  <c r="W142" i="2"/>
  <c r="X142" i="2"/>
  <c r="Y142" i="2"/>
  <c r="Z142" i="2"/>
  <c r="AA142" i="2"/>
  <c r="N143" i="2"/>
  <c r="O143" i="2"/>
  <c r="R143" i="2" s="1"/>
  <c r="P143" i="2"/>
  <c r="Q143" i="2"/>
  <c r="S143" i="2"/>
  <c r="T143" i="2"/>
  <c r="U143" i="2" s="1"/>
  <c r="W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S147" i="2"/>
  <c r="T147" i="2"/>
  <c r="U147" i="2" s="1"/>
  <c r="X147" i="2"/>
  <c r="Y147" i="2"/>
  <c r="Z147" i="2"/>
  <c r="AA147" i="2"/>
  <c r="N148" i="2"/>
  <c r="O148" i="2"/>
  <c r="P148" i="2"/>
  <c r="Q148" i="2"/>
  <c r="R148" i="2"/>
  <c r="S148" i="2"/>
  <c r="T148" i="2"/>
  <c r="U148" i="2" s="1"/>
  <c r="V148" i="2"/>
  <c r="X148" i="2"/>
  <c r="Y148" i="2"/>
  <c r="Z148" i="2"/>
  <c r="AA148" i="2"/>
  <c r="N149" i="2"/>
  <c r="O149" i="2"/>
  <c r="R149" i="2" s="1"/>
  <c r="P149" i="2"/>
  <c r="Q149" i="2"/>
  <c r="S149" i="2"/>
  <c r="T149" i="2"/>
  <c r="U149" i="2" s="1"/>
  <c r="V149" i="2"/>
  <c r="W149" i="2"/>
  <c r="X149" i="2"/>
  <c r="Y149" i="2"/>
  <c r="Z149" i="2"/>
  <c r="AA149" i="2"/>
  <c r="N150" i="2"/>
  <c r="O150" i="2"/>
  <c r="P150" i="2"/>
  <c r="Q150" i="2"/>
  <c r="R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V152" i="2"/>
  <c r="W152" i="2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P154" i="2"/>
  <c r="Q154" i="2"/>
  <c r="R154" i="2"/>
  <c r="S154" i="2"/>
  <c r="T154" i="2"/>
  <c r="U154" i="2" s="1"/>
  <c r="V154" i="2"/>
  <c r="W154" i="2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V156" i="2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S158" i="2"/>
  <c r="T158" i="2"/>
  <c r="U158" i="2" s="1"/>
  <c r="V158" i="2"/>
  <c r="W158" i="2"/>
  <c r="X158" i="2"/>
  <c r="Y158" i="2"/>
  <c r="Z158" i="2"/>
  <c r="AA158" i="2"/>
  <c r="N159" i="2"/>
  <c r="O159" i="2"/>
  <c r="R159" i="2" s="1"/>
  <c r="P159" i="2"/>
  <c r="Q159" i="2"/>
  <c r="S159" i="2"/>
  <c r="T159" i="2"/>
  <c r="U159" i="2" s="1"/>
  <c r="V159" i="2"/>
  <c r="W159" i="2"/>
  <c r="X159" i="2"/>
  <c r="Y159" i="2"/>
  <c r="Z159" i="2"/>
  <c r="AA159" i="2"/>
  <c r="N160" i="2"/>
  <c r="O160" i="2"/>
  <c r="R160" i="2" s="1"/>
  <c r="P160" i="2"/>
  <c r="Q160" i="2"/>
  <c r="S160" i="2"/>
  <c r="T160" i="2"/>
  <c r="U160" i="2" s="1"/>
  <c r="V160" i="2"/>
  <c r="X160" i="2"/>
  <c r="Y160" i="2"/>
  <c r="Z160" i="2"/>
  <c r="AA160" i="2"/>
  <c r="N161" i="2"/>
  <c r="O161" i="2"/>
  <c r="R161" i="2" s="1"/>
  <c r="P161" i="2"/>
  <c r="Q161" i="2"/>
  <c r="S161" i="2"/>
  <c r="T161" i="2"/>
  <c r="U161" i="2" s="1"/>
  <c r="V161" i="2"/>
  <c r="X161" i="2"/>
  <c r="Y161" i="2"/>
  <c r="Z161" i="2"/>
  <c r="AA161" i="2"/>
  <c r="N162" i="2"/>
  <c r="O162" i="2"/>
  <c r="R162" i="2" s="1"/>
  <c r="P162" i="2"/>
  <c r="Q162" i="2"/>
  <c r="S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T163" i="2"/>
  <c r="U163" i="2" s="1"/>
  <c r="X163" i="2"/>
  <c r="Y163" i="2"/>
  <c r="Z163" i="2"/>
  <c r="AA163" i="2"/>
  <c r="N164" i="2"/>
  <c r="O164" i="2"/>
  <c r="R164" i="2" s="1"/>
  <c r="P164" i="2"/>
  <c r="Q164" i="2"/>
  <c r="S164" i="2"/>
  <c r="T164" i="2"/>
  <c r="U164" i="2" s="1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W165" i="2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V167" i="2"/>
  <c r="W167" i="2"/>
  <c r="X167" i="2"/>
  <c r="Y167" i="2"/>
  <c r="Z167" i="2"/>
  <c r="AA167" i="2"/>
  <c r="N168" i="2"/>
  <c r="O168" i="2"/>
  <c r="R168" i="2" s="1"/>
  <c r="P168" i="2"/>
  <c r="Q168" i="2"/>
  <c r="S168" i="2"/>
  <c r="T168" i="2"/>
  <c r="U168" i="2" s="1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W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V170" i="2"/>
  <c r="W170" i="2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P172" i="2"/>
  <c r="Q172" i="2"/>
  <c r="R172" i="2"/>
  <c r="S172" i="2"/>
  <c r="T172" i="2"/>
  <c r="U172" i="2" s="1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V173" i="2"/>
  <c r="W173" i="2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V174" i="2"/>
  <c r="W174" i="2"/>
  <c r="X174" i="2"/>
  <c r="Y174" i="2"/>
  <c r="Z174" i="2"/>
  <c r="AA174" i="2"/>
  <c r="N175" i="2"/>
  <c r="O175" i="2"/>
  <c r="R175" i="2" s="1"/>
  <c r="P175" i="2"/>
  <c r="Q175" i="2"/>
  <c r="S175" i="2"/>
  <c r="T175" i="2"/>
  <c r="U175" i="2" s="1"/>
  <c r="X175" i="2"/>
  <c r="Y175" i="2"/>
  <c r="Z175" i="2"/>
  <c r="AA175" i="2"/>
  <c r="N176" i="2"/>
  <c r="O176" i="2"/>
  <c r="R176" i="2" s="1"/>
  <c r="P176" i="2"/>
  <c r="Q176" i="2"/>
  <c r="S176" i="2"/>
  <c r="T176" i="2"/>
  <c r="U176" i="2" s="1"/>
  <c r="V176" i="2"/>
  <c r="W176" i="2"/>
  <c r="X176" i="2"/>
  <c r="Y176" i="2"/>
  <c r="Z176" i="2"/>
  <c r="AA176" i="2"/>
  <c r="N177" i="2"/>
  <c r="O177" i="2"/>
  <c r="R177" i="2" s="1"/>
  <c r="P177" i="2"/>
  <c r="Q177" i="2"/>
  <c r="S177" i="2"/>
  <c r="T177" i="2"/>
  <c r="U177" i="2" s="1"/>
  <c r="X177" i="2"/>
  <c r="Y177" i="2"/>
  <c r="Z177" i="2"/>
  <c r="AA177" i="2"/>
  <c r="N178" i="2"/>
  <c r="O178" i="2"/>
  <c r="R178" i="2" s="1"/>
  <c r="P178" i="2"/>
  <c r="Q178" i="2"/>
  <c r="S178" i="2"/>
  <c r="T178" i="2"/>
  <c r="U178" i="2" s="1"/>
  <c r="V178" i="2"/>
  <c r="W178" i="2"/>
  <c r="X178" i="2"/>
  <c r="Y178" i="2"/>
  <c r="Z178" i="2"/>
  <c r="AA178" i="2"/>
  <c r="N179" i="2"/>
  <c r="O179" i="2"/>
  <c r="R179" i="2" s="1"/>
  <c r="P179" i="2"/>
  <c r="Q179" i="2"/>
  <c r="S179" i="2"/>
  <c r="T179" i="2"/>
  <c r="U179" i="2" s="1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V180" i="2"/>
  <c r="W180" i="2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V182" i="2"/>
  <c r="W182" i="2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V183" i="2"/>
  <c r="W183" i="2"/>
  <c r="X183" i="2"/>
  <c r="Y183" i="2"/>
  <c r="Z183" i="2"/>
  <c r="AA183" i="2"/>
  <c r="N184" i="2"/>
  <c r="O184" i="2"/>
  <c r="P184" i="2"/>
  <c r="Q184" i="2"/>
  <c r="R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S185" i="2"/>
  <c r="T185" i="2"/>
  <c r="U185" i="2" s="1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S187" i="2"/>
  <c r="T187" i="2"/>
  <c r="U187" i="2" s="1"/>
  <c r="X187" i="2"/>
  <c r="Y187" i="2"/>
  <c r="Z187" i="2"/>
  <c r="AA187" i="2"/>
  <c r="N188" i="2"/>
  <c r="O188" i="2"/>
  <c r="R188" i="2" s="1"/>
  <c r="P188" i="2"/>
  <c r="Q188" i="2"/>
  <c r="S188" i="2"/>
  <c r="T188" i="2"/>
  <c r="U188" i="2" s="1"/>
  <c r="W188" i="2"/>
  <c r="X188" i="2"/>
  <c r="Y188" i="2"/>
  <c r="Z188" i="2"/>
  <c r="AA188" i="2"/>
  <c r="N189" i="2"/>
  <c r="O189" i="2"/>
  <c r="R189" i="2" s="1"/>
  <c r="P189" i="2"/>
  <c r="Q189" i="2"/>
  <c r="S189" i="2"/>
  <c r="T189" i="2"/>
  <c r="U189" i="2" s="1"/>
  <c r="V189" i="2"/>
  <c r="W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V190" i="2"/>
  <c r="W190" i="2"/>
  <c r="X190" i="2"/>
  <c r="Y190" i="2"/>
  <c r="Z190" i="2"/>
  <c r="AA190" i="2"/>
  <c r="N191" i="2"/>
  <c r="O191" i="2"/>
  <c r="R191" i="2" s="1"/>
  <c r="P191" i="2"/>
  <c r="Q191" i="2"/>
  <c r="S191" i="2"/>
  <c r="T191" i="2"/>
  <c r="U191" i="2" s="1"/>
  <c r="V191" i="2"/>
  <c r="W191" i="2"/>
  <c r="X191" i="2"/>
  <c r="Y191" i="2"/>
  <c r="Z191" i="2"/>
  <c r="AA191" i="2"/>
  <c r="N192" i="2"/>
  <c r="O192" i="2"/>
  <c r="R192" i="2" s="1"/>
  <c r="P192" i="2"/>
  <c r="Q192" i="2"/>
  <c r="S192" i="2"/>
  <c r="T192" i="2"/>
  <c r="U192" i="2" s="1"/>
  <c r="V192" i="2"/>
  <c r="W192" i="2"/>
  <c r="X192" i="2"/>
  <c r="Y192" i="2"/>
  <c r="Z192" i="2"/>
  <c r="AA192" i="2"/>
  <c r="N193" i="2"/>
  <c r="O193" i="2"/>
  <c r="R193" i="2" s="1"/>
  <c r="P193" i="2"/>
  <c r="Q193" i="2"/>
  <c r="S193" i="2"/>
  <c r="T193" i="2"/>
  <c r="U193" i="2" s="1"/>
  <c r="X193" i="2"/>
  <c r="Y193" i="2"/>
  <c r="Z193" i="2"/>
  <c r="AA193" i="2"/>
  <c r="N194" i="2"/>
  <c r="O194" i="2"/>
  <c r="R194" i="2" s="1"/>
  <c r="P194" i="2"/>
  <c r="Q194" i="2"/>
  <c r="S194" i="2"/>
  <c r="T194" i="2"/>
  <c r="U194" i="2" s="1"/>
  <c r="X194" i="2"/>
  <c r="Y194" i="2"/>
  <c r="Z194" i="2"/>
  <c r="AA194" i="2"/>
  <c r="N195" i="2"/>
  <c r="O195" i="2"/>
  <c r="R195" i="2" s="1"/>
  <c r="P195" i="2"/>
  <c r="Q195" i="2"/>
  <c r="S195" i="2"/>
  <c r="T195" i="2"/>
  <c r="U195" i="2" s="1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V196" i="2"/>
  <c r="W196" i="2"/>
  <c r="X196" i="2"/>
  <c r="Y196" i="2"/>
  <c r="Z196" i="2"/>
  <c r="AA196" i="2"/>
  <c r="N197" i="2"/>
  <c r="O197" i="2"/>
  <c r="R197" i="2" s="1"/>
  <c r="P197" i="2"/>
  <c r="Q197" i="2"/>
  <c r="S197" i="2"/>
  <c r="T197" i="2"/>
  <c r="U197" i="2" s="1"/>
  <c r="X197" i="2"/>
  <c r="Y197" i="2"/>
  <c r="Z197" i="2"/>
  <c r="AA197" i="2"/>
  <c r="N198" i="2"/>
  <c r="O198" i="2"/>
  <c r="R198" i="2" s="1"/>
  <c r="P198" i="2"/>
  <c r="Q198" i="2"/>
  <c r="S198" i="2"/>
  <c r="T198" i="2"/>
  <c r="U198" i="2" s="1"/>
  <c r="V198" i="2"/>
  <c r="W198" i="2"/>
  <c r="X198" i="2"/>
  <c r="Y198" i="2"/>
  <c r="Z198" i="2"/>
  <c r="AA198" i="2"/>
  <c r="N199" i="2"/>
  <c r="O199" i="2"/>
  <c r="R199" i="2" s="1"/>
  <c r="P199" i="2"/>
  <c r="Q199" i="2"/>
  <c r="S199" i="2"/>
  <c r="T199" i="2"/>
  <c r="U199" i="2" s="1"/>
  <c r="X199" i="2"/>
  <c r="Y199" i="2"/>
  <c r="Z199" i="2"/>
  <c r="AA199" i="2"/>
  <c r="N200" i="2"/>
  <c r="O200" i="2"/>
  <c r="R200" i="2" s="1"/>
  <c r="P200" i="2"/>
  <c r="Q200" i="2"/>
  <c r="S200" i="2"/>
  <c r="T200" i="2"/>
  <c r="U200" i="2" s="1"/>
  <c r="W200" i="2"/>
  <c r="X200" i="2"/>
  <c r="Y200" i="2"/>
  <c r="Z200" i="2"/>
  <c r="AA200" i="2"/>
  <c r="N201" i="2"/>
  <c r="O201" i="2"/>
  <c r="R201" i="2" s="1"/>
  <c r="P201" i="2"/>
  <c r="Q201" i="2"/>
  <c r="S201" i="2"/>
  <c r="T201" i="2"/>
  <c r="U201" i="2" s="1"/>
  <c r="X201" i="2"/>
  <c r="Y201" i="2"/>
  <c r="Z201" i="2"/>
  <c r="AA201" i="2"/>
  <c r="N202" i="2"/>
  <c r="O202" i="2"/>
  <c r="P202" i="2"/>
  <c r="Q202" i="2"/>
  <c r="R202" i="2"/>
  <c r="S202" i="2"/>
  <c r="T202" i="2"/>
  <c r="U202" i="2" s="1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S206" i="2"/>
  <c r="T206" i="2"/>
  <c r="U206" i="2" s="1"/>
  <c r="X206" i="2"/>
  <c r="Y206" i="2"/>
  <c r="Z206" i="2"/>
  <c r="AA206" i="2"/>
  <c r="N207" i="2"/>
  <c r="O207" i="2"/>
  <c r="P207" i="2"/>
  <c r="Q207" i="2"/>
  <c r="R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/>
  <c r="X208" i="2"/>
  <c r="Y208" i="2"/>
  <c r="Z208" i="2"/>
  <c r="AA208" i="2"/>
  <c r="N209" i="2"/>
  <c r="O209" i="2"/>
  <c r="R209" i="2" s="1"/>
  <c r="P209" i="2"/>
  <c r="Q209" i="2"/>
  <c r="S209" i="2"/>
  <c r="T209" i="2"/>
  <c r="U209" i="2" s="1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W210" i="2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V213" i="2"/>
  <c r="W213" i="2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T215" i="2"/>
  <c r="U215" i="2" s="1"/>
  <c r="W215" i="2"/>
  <c r="X215" i="2"/>
  <c r="Y215" i="2"/>
  <c r="Z215" i="2"/>
  <c r="AA215" i="2"/>
  <c r="N216" i="2"/>
  <c r="O216" i="2"/>
  <c r="P216" i="2"/>
  <c r="Q216" i="2"/>
  <c r="R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T217" i="2"/>
  <c r="U217" i="2" s="1"/>
  <c r="X217" i="2"/>
  <c r="Y217" i="2"/>
  <c r="Z217" i="2"/>
  <c r="AA217" i="2"/>
  <c r="N218" i="2"/>
  <c r="O218" i="2"/>
  <c r="R218" i="2" s="1"/>
  <c r="P218" i="2"/>
  <c r="Q218" i="2"/>
  <c r="S218" i="2"/>
  <c r="T218" i="2"/>
  <c r="U218" i="2" s="1"/>
  <c r="X218" i="2"/>
  <c r="Y218" i="2"/>
  <c r="Z218" i="2"/>
  <c r="AA218" i="2"/>
  <c r="N219" i="2"/>
  <c r="O219" i="2"/>
  <c r="R219" i="2" s="1"/>
  <c r="P219" i="2"/>
  <c r="Q219" i="2"/>
  <c r="S219" i="2"/>
  <c r="T219" i="2"/>
  <c r="U219" i="2" s="1"/>
  <c r="W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T221" i="2"/>
  <c r="U221" i="2" s="1"/>
  <c r="X221" i="2"/>
  <c r="Y221" i="2"/>
  <c r="Z221" i="2"/>
  <c r="AA221" i="2"/>
  <c r="N222" i="2"/>
  <c r="O222" i="2"/>
  <c r="R222" i="2" s="1"/>
  <c r="P222" i="2"/>
  <c r="Q222" i="2"/>
  <c r="S222" i="2"/>
  <c r="T222" i="2"/>
  <c r="U222" i="2" s="1"/>
  <c r="W222" i="2"/>
  <c r="X222" i="2"/>
  <c r="Y222" i="2"/>
  <c r="Z222" i="2"/>
  <c r="AA222" i="2"/>
  <c r="N223" i="2"/>
  <c r="O223" i="2"/>
  <c r="R223" i="2" s="1"/>
  <c r="P223" i="2"/>
  <c r="Q223" i="2"/>
  <c r="S223" i="2"/>
  <c r="T223" i="2"/>
  <c r="U223" i="2" s="1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V224" i="2"/>
  <c r="X224" i="2"/>
  <c r="Y224" i="2"/>
  <c r="Z224" i="2"/>
  <c r="AA224" i="2"/>
  <c r="N225" i="2"/>
  <c r="O225" i="2"/>
  <c r="R225" i="2" s="1"/>
  <c r="P225" i="2"/>
  <c r="Q225" i="2"/>
  <c r="S225" i="2"/>
  <c r="T225" i="2"/>
  <c r="U225" i="2" s="1"/>
  <c r="W225" i="2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V226" i="2"/>
  <c r="W226" i="2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T229" i="2"/>
  <c r="U229" i="2" s="1"/>
  <c r="V229" i="2"/>
  <c r="W229" i="2"/>
  <c r="X229" i="2"/>
  <c r="Y229" i="2"/>
  <c r="Z229" i="2"/>
  <c r="AA229" i="2"/>
  <c r="N230" i="2"/>
  <c r="O230" i="2"/>
  <c r="R230" i="2" s="1"/>
  <c r="P230" i="2"/>
  <c r="Q230" i="2"/>
  <c r="S230" i="2"/>
  <c r="T230" i="2"/>
  <c r="U230" i="2" s="1"/>
  <c r="W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T232" i="2"/>
  <c r="U232" i="2" s="1"/>
  <c r="W232" i="2"/>
  <c r="X232" i="2"/>
  <c r="Y232" i="2"/>
  <c r="Z232" i="2"/>
  <c r="AA232" i="2"/>
  <c r="N233" i="2"/>
  <c r="O233" i="2"/>
  <c r="R233" i="2" s="1"/>
  <c r="P233" i="2"/>
  <c r="Q233" i="2"/>
  <c r="S233" i="2"/>
  <c r="T233" i="2"/>
  <c r="U233" i="2" s="1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V234" i="2"/>
  <c r="W234" i="2"/>
  <c r="X234" i="2"/>
  <c r="Y234" i="2"/>
  <c r="Z234" i="2"/>
  <c r="AA234" i="2"/>
  <c r="N235" i="2"/>
  <c r="O235" i="2"/>
  <c r="P235" i="2"/>
  <c r="Q235" i="2"/>
  <c r="R235" i="2"/>
  <c r="S235" i="2"/>
  <c r="T235" i="2"/>
  <c r="U235" i="2" s="1"/>
  <c r="V235" i="2"/>
  <c r="W235" i="2"/>
  <c r="X235" i="2"/>
  <c r="Y235" i="2"/>
  <c r="Z235" i="2"/>
  <c r="AA235" i="2"/>
  <c r="N236" i="2"/>
  <c r="O236" i="2"/>
  <c r="R236" i="2" s="1"/>
  <c r="P236" i="2"/>
  <c r="Q236" i="2"/>
  <c r="S236" i="2"/>
  <c r="T236" i="2"/>
  <c r="U236" i="2" s="1"/>
  <c r="X236" i="2"/>
  <c r="Y236" i="2"/>
  <c r="Z236" i="2"/>
  <c r="AA236" i="2"/>
  <c r="N237" i="2"/>
  <c r="O237" i="2"/>
  <c r="R237" i="2" s="1"/>
  <c r="P237" i="2"/>
  <c r="Q237" i="2"/>
  <c r="S237" i="2"/>
  <c r="T237" i="2"/>
  <c r="U237" i="2" s="1"/>
  <c r="V237" i="2"/>
  <c r="W237" i="2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P239" i="2"/>
  <c r="Q239" i="2"/>
  <c r="R239" i="2"/>
  <c r="S239" i="2"/>
  <c r="T239" i="2"/>
  <c r="U239" i="2" s="1"/>
  <c r="V239" i="2"/>
  <c r="X239" i="2"/>
  <c r="Y239" i="2"/>
  <c r="Z239" i="2"/>
  <c r="AA239" i="2"/>
  <c r="N240" i="2"/>
  <c r="O240" i="2"/>
  <c r="R240" i="2" s="1"/>
  <c r="P240" i="2"/>
  <c r="Q240" i="2"/>
  <c r="S240" i="2"/>
  <c r="T240" i="2"/>
  <c r="U240" i="2" s="1"/>
  <c r="V240" i="2"/>
  <c r="X240" i="2"/>
  <c r="Y240" i="2"/>
  <c r="Z240" i="2"/>
  <c r="AA240" i="2"/>
  <c r="N241" i="2"/>
  <c r="O241" i="2"/>
  <c r="R241" i="2" s="1"/>
  <c r="P241" i="2"/>
  <c r="Q241" i="2"/>
  <c r="S241" i="2"/>
  <c r="T241" i="2"/>
  <c r="U241" i="2" s="1"/>
  <c r="X241" i="2"/>
  <c r="Y241" i="2"/>
  <c r="Z241" i="2"/>
  <c r="AA241" i="2"/>
  <c r="N242" i="2"/>
  <c r="O242" i="2"/>
  <c r="R242" i="2" s="1"/>
  <c r="P242" i="2"/>
  <c r="Q242" i="2"/>
  <c r="S242" i="2"/>
  <c r="X242" i="2"/>
  <c r="Y242" i="2"/>
  <c r="Z242" i="2"/>
  <c r="AA242" i="2"/>
  <c r="N243" i="2"/>
  <c r="O243" i="2"/>
  <c r="R243" i="2" s="1"/>
  <c r="P243" i="2"/>
  <c r="Q243" i="2"/>
  <c r="S243" i="2"/>
  <c r="T243" i="2"/>
  <c r="U243" i="2" s="1"/>
  <c r="W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/>
  <c r="X244" i="2"/>
  <c r="Y244" i="2"/>
  <c r="Z244" i="2"/>
  <c r="AA244" i="2"/>
  <c r="N245" i="2"/>
  <c r="O245" i="2"/>
  <c r="R245" i="2" s="1"/>
  <c r="P245" i="2"/>
  <c r="Q245" i="2"/>
  <c r="S245" i="2"/>
  <c r="T245" i="2"/>
  <c r="U245" i="2" s="1"/>
  <c r="V245" i="2"/>
  <c r="W245" i="2"/>
  <c r="X245" i="2"/>
  <c r="Y245" i="2"/>
  <c r="Z245" i="2"/>
  <c r="AA245" i="2"/>
  <c r="N246" i="2"/>
  <c r="O246" i="2"/>
  <c r="R246" i="2" s="1"/>
  <c r="P246" i="2"/>
  <c r="Q246" i="2"/>
  <c r="S246" i="2"/>
  <c r="T246" i="2"/>
  <c r="U246" i="2" s="1"/>
  <c r="W246" i="2"/>
  <c r="X246" i="2"/>
  <c r="Y246" i="2"/>
  <c r="Z246" i="2"/>
  <c r="AA246" i="2"/>
  <c r="N247" i="2"/>
  <c r="O247" i="2"/>
  <c r="R247" i="2" s="1"/>
  <c r="P247" i="2"/>
  <c r="Q247" i="2"/>
  <c r="S247" i="2"/>
  <c r="T247" i="2"/>
  <c r="U247" i="2" s="1"/>
  <c r="X247" i="2"/>
  <c r="Y247" i="2"/>
  <c r="Z247" i="2"/>
  <c r="AA247" i="2"/>
  <c r="N248" i="2"/>
  <c r="O248" i="2"/>
  <c r="P248" i="2"/>
  <c r="Q248" i="2"/>
  <c r="R248" i="2"/>
  <c r="S248" i="2"/>
  <c r="T248" i="2"/>
  <c r="U248" i="2" s="1"/>
  <c r="V248" i="2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P250" i="2"/>
  <c r="Q250" i="2"/>
  <c r="R250" i="2"/>
  <c r="S250" i="2"/>
  <c r="T250" i="2"/>
  <c r="U250" i="2" s="1"/>
  <c r="V250" i="2"/>
  <c r="W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P252" i="2"/>
  <c r="Q252" i="2"/>
  <c r="R252" i="2"/>
  <c r="S252" i="2"/>
  <c r="T252" i="2"/>
  <c r="U252" i="2" s="1"/>
  <c r="X252" i="2"/>
  <c r="Y252" i="2"/>
  <c r="Z252" i="2"/>
  <c r="AA252" i="2"/>
  <c r="N253" i="2"/>
  <c r="O253" i="2"/>
  <c r="R253" i="2" s="1"/>
  <c r="P253" i="2"/>
  <c r="Q253" i="2"/>
  <c r="S253" i="2"/>
  <c r="T253" i="2"/>
  <c r="U253" i="2" s="1"/>
  <c r="W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T255" i="2"/>
  <c r="U255" i="2" s="1"/>
  <c r="V255" i="2"/>
  <c r="W255" i="2"/>
  <c r="X255" i="2"/>
  <c r="Y255" i="2"/>
  <c r="Z255" i="2"/>
  <c r="AA255" i="2"/>
  <c r="N256" i="2"/>
  <c r="O256" i="2"/>
  <c r="P256" i="2"/>
  <c r="Q256" i="2"/>
  <c r="R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S257" i="2"/>
  <c r="T257" i="2"/>
  <c r="U257" i="2" s="1"/>
  <c r="V257" i="2"/>
  <c r="W257" i="2"/>
  <c r="X257" i="2"/>
  <c r="Y257" i="2"/>
  <c r="Z257" i="2"/>
  <c r="AA257" i="2"/>
  <c r="N258" i="2"/>
  <c r="O258" i="2"/>
  <c r="R258" i="2" s="1"/>
  <c r="P258" i="2"/>
  <c r="Q258" i="2"/>
  <c r="S258" i="2"/>
  <c r="T258" i="2"/>
  <c r="U258" i="2" s="1"/>
  <c r="X258" i="2"/>
  <c r="Y258" i="2"/>
  <c r="Z258" i="2"/>
  <c r="AA258" i="2"/>
  <c r="N259" i="2"/>
  <c r="O259" i="2"/>
  <c r="R259" i="2" s="1"/>
  <c r="P259" i="2"/>
  <c r="Q259" i="2"/>
  <c r="S259" i="2"/>
  <c r="T259" i="2"/>
  <c r="U259" i="2" s="1"/>
  <c r="V259" i="2"/>
  <c r="X259" i="2"/>
  <c r="Y259" i="2"/>
  <c r="Z259" i="2"/>
  <c r="AA259" i="2"/>
  <c r="N260" i="2"/>
  <c r="O260" i="2"/>
  <c r="R260" i="2" s="1"/>
  <c r="P260" i="2"/>
  <c r="Q260" i="2"/>
  <c r="S260" i="2"/>
  <c r="T260" i="2"/>
  <c r="U260" i="2" s="1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F35" i="9" s="1"/>
  <c r="L34" i="9"/>
  <c r="M34" i="9" s="1"/>
  <c r="K34" i="9"/>
  <c r="E34" i="9"/>
  <c r="F34" i="9" s="1"/>
  <c r="L33" i="9"/>
  <c r="M33" i="9" s="1"/>
  <c r="K33" i="9"/>
  <c r="E33" i="9"/>
  <c r="F33" i="9" s="1"/>
  <c r="L32" i="9"/>
  <c r="M32" i="9" s="1"/>
  <c r="K32" i="9"/>
  <c r="E32" i="9"/>
  <c r="F32" i="9" s="1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F23" i="9" s="1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E17" i="8" l="1"/>
  <c r="M29" i="9"/>
  <c r="M30" i="9"/>
  <c r="M28" i="9"/>
  <c r="C16" i="8"/>
  <c r="F31" i="9"/>
  <c r="Q478" i="3"/>
  <c r="R478" i="3"/>
  <c r="S478" i="3"/>
  <c r="R18" i="3"/>
  <c r="S18" i="3"/>
  <c r="Q18" i="3"/>
  <c r="R525" i="3"/>
  <c r="S525" i="3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Q523" i="3"/>
  <c r="S523" i="3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R523" i="3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R386" i="3"/>
  <c r="V194" i="2" s="1"/>
  <c r="Q386" i="3"/>
  <c r="S386" i="3"/>
  <c r="W194" i="2" s="1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R244" i="3"/>
  <c r="V124" i="2" s="1"/>
  <c r="S244" i="3"/>
  <c r="W124" i="2" s="1"/>
  <c r="Q244" i="3"/>
  <c r="Q242" i="3"/>
  <c r="S242" i="3"/>
  <c r="W122" i="2" s="1"/>
  <c r="Q178" i="3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Q454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T91" i="2"/>
  <c r="U91" i="2" s="1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Q284" i="3"/>
  <c r="R284" i="3"/>
  <c r="V14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Q123" i="3"/>
  <c r="R123" i="3"/>
  <c r="V64" i="2" s="1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S179" i="3"/>
  <c r="W92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R179" i="3"/>
  <c r="V92" i="2" s="1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S129" i="3"/>
  <c r="W67" i="2" s="1"/>
  <c r="R129" i="3"/>
  <c r="V67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R92" i="3"/>
  <c r="V50" i="2" s="1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Q92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R47" i="3"/>
  <c r="V27" i="2" s="1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F24" i="9"/>
  <c r="F25" i="9" s="1"/>
  <c r="D14" i="8"/>
  <c r="C14" i="8"/>
  <c r="D13" i="8"/>
  <c r="C13" i="8"/>
  <c r="D12" i="8"/>
  <c r="C12" i="8"/>
  <c r="D11" i="8"/>
  <c r="D18" i="8" s="1"/>
  <c r="C11" i="8"/>
  <c r="C18" i="8" s="1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E18" i="8" l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</calcChain>
</file>

<file path=xl/sharedStrings.xml><?xml version="1.0" encoding="utf-8"?>
<sst xmlns="http://schemas.openxmlformats.org/spreadsheetml/2006/main" count="3841" uniqueCount="465">
  <si>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</si>
  <si>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</si>
  <si>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</si>
  <si>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</si>
  <si>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</si>
  <si>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</si>
  <si>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</si>
  <si>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</si>
  <si>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</si>
  <si>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</si>
  <si>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</si>
  <si>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</si>
  <si>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</si>
  <si>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</si>
  <si>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</si>
  <si>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</si>
  <si>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</si>
  <si>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</si>
  <si>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</si>
  <si>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</si>
  <si>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</si>
  <si>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</si>
  <si>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</si>
  <si>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</si>
  <si>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</si>
  <si>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</si>
  <si>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</si>
  <si>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</si>
  <si>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</si>
  <si>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</si>
  <si>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</si>
  <si>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</si>
  <si>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</si>
  <si>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</si>
  <si>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</si>
  <si>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</si>
  <si>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</si>
  <si>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</si>
  <si>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</si>
  <si>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</si>
  <si>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</si>
  <si>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</si>
  <si>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</si>
  <si>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</si>
  <si>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</si>
  <si>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</si>
  <si>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</si>
  <si>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</si>
  <si>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</si>
  <si>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</si>
  <si>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</si>
  <si>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</si>
  <si>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</si>
  <si>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</si>
  <si>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</si>
  <si>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</si>
  <si>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</si>
  <si>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</si>
  <si>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</si>
  <si>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</si>
  <si>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</si>
  <si>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</si>
  <si>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</si>
  <si>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</si>
  <si>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</si>
  <si>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</si>
  <si>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</si>
  <si>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</si>
  <si>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</si>
  <si>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</si>
  <si>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</si>
  <si>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</si>
  <si>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</si>
  <si>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</si>
  <si>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</si>
  <si>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</si>
  <si>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</si>
  <si>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</si>
  <si>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</si>
  <si>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</si>
  <si>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</si>
  <si>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</si>
  <si>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</si>
  <si>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</si>
  <si>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</si>
  <si>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</si>
  <si>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</si>
  <si>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</si>
  <si>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</si>
  <si>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</si>
  <si>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</si>
  <si>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</si>
  <si>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</si>
  <si>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</si>
  <si>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</si>
  <si>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</si>
  <si>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</si>
  <si>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</si>
  <si>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</si>
  <si>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</si>
  <si>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</si>
  <si>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</si>
  <si>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</si>
  <si>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</si>
  <si>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</si>
  <si>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</si>
  <si>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</si>
  <si>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</si>
  <si>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</si>
  <si>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</si>
  <si>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</si>
  <si>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</si>
  <si>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</si>
  <si>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</si>
  <si>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</si>
  <si>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</si>
  <si>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</si>
  <si>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</si>
  <si>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</si>
  <si>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</si>
  <si>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</si>
  <si>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</si>
  <si>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</si>
  <si>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</si>
  <si>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</si>
  <si>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</si>
  <si>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</si>
  <si>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</si>
  <si>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</si>
  <si>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</si>
  <si>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</si>
  <si>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</si>
  <si>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</si>
  <si>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</si>
  <si>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</si>
  <si>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</si>
  <si>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</si>
  <si>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</si>
  <si>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</si>
  <si>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</si>
  <si>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</si>
  <si>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</si>
  <si>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</si>
  <si>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</si>
  <si>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</si>
  <si>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</si>
  <si>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</si>
  <si>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</si>
  <si>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</si>
  <si>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</si>
  <si>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</si>
  <si>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</si>
  <si>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</si>
  <si>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</si>
  <si>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</si>
  <si>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</si>
  <si>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</si>
  <si>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</si>
  <si>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</si>
  <si>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</si>
  <si>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</si>
  <si>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</si>
  <si>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</si>
  <si>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</si>
  <si>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</si>
  <si>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</si>
  <si>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</si>
  <si>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</si>
  <si>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</si>
  <si>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</si>
  <si>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</si>
  <si>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</si>
  <si>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</si>
  <si>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</si>
  <si>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</si>
  <si>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</si>
  <si>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</si>
  <si>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</si>
  <si>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</si>
  <si>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</si>
  <si>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</si>
  <si>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</si>
  <si>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</si>
  <si>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</si>
  <si>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</si>
  <si>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</si>
  <si>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</si>
  <si>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</si>
  <si>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</si>
  <si>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</si>
  <si>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</si>
  <si>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</si>
  <si>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</si>
  <si>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</si>
  <si>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</si>
  <si>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</si>
  <si>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</si>
  <si>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</si>
  <si>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</si>
  <si>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</si>
  <si>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</si>
  <si>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</si>
  <si>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</si>
  <si>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</si>
  <si>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</si>
  <si>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</si>
  <si>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</si>
  <si>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</si>
  <si>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</si>
  <si>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</si>
  <si>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</si>
  <si>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</si>
  <si>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</si>
  <si>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</si>
  <si>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</si>
  <si>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</si>
  <si>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</si>
  <si>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</si>
  <si>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</si>
  <si>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</si>
  <si>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</si>
  <si>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</si>
  <si>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</si>
  <si>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</si>
  <si>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</si>
  <si>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</si>
  <si>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</si>
  <si>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</si>
  <si>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</si>
  <si>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</si>
  <si>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</si>
  <si>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</si>
  <si>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</si>
  <si>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</si>
  <si>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</si>
  <si>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</si>
  <si>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</si>
  <si>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</si>
  <si>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</si>
  <si>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</si>
  <si>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</si>
  <si>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</si>
  <si>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</si>
  <si>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</si>
  <si>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</si>
  <si>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</si>
  <si>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</si>
  <si>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</si>
  <si>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</si>
  <si>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</si>
  <si>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</si>
  <si>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</si>
  <si>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</si>
  <si>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</si>
  <si>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</si>
  <si>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</si>
  <si>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</si>
  <si>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</si>
  <si>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</si>
  <si>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</si>
  <si>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</si>
  <si>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</si>
  <si>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</si>
  <si>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</si>
  <si>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</si>
  <si>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</si>
  <si>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</si>
  <si>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</si>
  <si>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</si>
  <si>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</si>
  <si>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</si>
  <si>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</si>
  <si>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</si>
  <si>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</si>
  <si>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</si>
  <si>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</si>
  <si>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</si>
  <si>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</si>
  <si>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</si>
  <si>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</si>
  <si>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</si>
  <si>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</si>
  <si>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</si>
  <si>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</si>
  <si>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</si>
  <si>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</si>
  <si>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</si>
  <si>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</si>
  <si>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</si>
  <si>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</si>
  <si>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</si>
  <si>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</si>
  <si>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</si>
  <si>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</si>
  <si>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</si>
  <si>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</si>
  <si>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</si>
  <si>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</si>
  <si>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</si>
  <si>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</si>
  <si>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</si>
  <si>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</si>
  <si>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</si>
  <si>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</si>
  <si>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</si>
  <si>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</si>
  <si>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</si>
  <si>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</si>
  <si>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</si>
  <si>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</si>
  <si>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</si>
  <si>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</si>
  <si>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</si>
  <si>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</si>
  <si>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</si>
  <si>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</si>
  <si>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</si>
  <si>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</si>
  <si>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</si>
  <si>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</si>
  <si>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</si>
  <si>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</si>
  <si>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</si>
  <si>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</si>
  <si>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</si>
  <si>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</si>
  <si>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</si>
  <si>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</si>
  <si>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</si>
  <si>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</si>
  <si>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</si>
  <si>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</si>
  <si>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</si>
  <si>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</si>
  <si>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</si>
  <si>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</si>
  <si>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</si>
  <si>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</si>
  <si>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</si>
  <si>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</si>
  <si>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</si>
  <si>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</si>
  <si>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</si>
  <si>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</si>
  <si>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</si>
  <si>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</si>
  <si>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</si>
  <si>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</si>
  <si>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</si>
  <si>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</si>
  <si>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</si>
  <si>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</si>
  <si>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</si>
  <si>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</si>
  <si>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</si>
  <si>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</si>
  <si>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</si>
  <si>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</si>
  <si>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</si>
  <si>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</si>
  <si>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</si>
  <si>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</si>
  <si>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</si>
  <si>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</si>
  <si>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</si>
  <si>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</si>
  <si>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</si>
  <si>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</si>
  <si>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</si>
  <si>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</si>
  <si>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</si>
  <si>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</si>
  <si>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</si>
  <si>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</si>
  <si>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</si>
  <si>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</si>
  <si>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</si>
  <si>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</si>
  <si>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</si>
  <si>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</si>
  <si>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</si>
  <si>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</si>
  <si>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</si>
  <si>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</si>
  <si>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</si>
  <si>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</si>
  <si>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</si>
  <si>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</si>
  <si>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</si>
  <si>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</si>
  <si>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</si>
  <si>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</si>
  <si>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</si>
  <si>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</si>
  <si>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</si>
  <si>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</si>
  <si>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</si>
  <si>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</si>
  <si>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</si>
  <si>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</si>
  <si>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</si>
  <si>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</si>
  <si>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</si>
  <si>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</si>
  <si>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</si>
  <si>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</si>
  <si>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</si>
  <si>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</si>
  <si>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</si>
  <si>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</si>
  <si>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</si>
  <si>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</si>
  <si>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</si>
  <si>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</si>
  <si>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</si>
  <si>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</si>
  <si>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</si>
  <si>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</si>
  <si>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</si>
  <si>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</si>
  <si>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</si>
  <si>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</si>
  <si>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</si>
  <si>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</si>
  <si>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</si>
  <si>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</si>
  <si>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</si>
  <si>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</si>
  <si>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</si>
  <si>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</si>
  <si>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</si>
  <si>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</si>
  <si>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</si>
  <si>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</si>
  <si>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</si>
  <si>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</si>
  <si>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</si>
  <si>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</si>
  <si>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</si>
  <si>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</si>
  <si>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</si>
  <si>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</si>
  <si>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</si>
  <si>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</si>
  <si>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</si>
  <si>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</si>
  <si>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</si>
  <si>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</si>
  <si>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</si>
  <si>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</si>
  <si>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</si>
  <si>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</si>
  <si>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</si>
  <si>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</si>
  <si>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</si>
  <si>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</si>
  <si>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</si>
  <si>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</si>
  <si>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</si>
  <si>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</si>
  <si>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</si>
  <si>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</si>
  <si>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</si>
  <si>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Column Labels</t>
  </si>
  <si>
    <t>STRATEGY Comparison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</si>
</sst>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0" xfId="0" applyNumberFormat="1"/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2" xfId="0" applyNumberFormat="1" applyFont="1" applyBorder="1" applyAlignment="1">
      <alignment horizontal="center"/>
    </xf>
    <xf numFmtId="0" fontId="10" fillId="9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31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>
          <bgColor theme="9"/>
        </patternFill>
      </fill>
    </dxf>
    <dxf>
      <font>
        <color theme="0"/>
      </font>
    </dxf>
    <dxf>
      <fill>
        <patternFill patternType="solid">
          <bgColor rgb="FF7030A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general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491461921294" createdVersion="8" refreshedVersion="8" minRefreshableVersion="3" recordCount="26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06:09:49"/>
    </cacheField>
    <cacheField name="Position" numFmtId="0">
      <sharedItems containsString="0" containsBlank="1" containsNumber="1" containsInteger="1" minValue="442874070" maxValue="44319734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49.74" maxValue="3699.07"/>
    </cacheField>
    <cacheField name="S / L" numFmtId="0">
      <sharedItems containsString="0" containsBlank="1" containsNumber="1" minValue="3652.34" maxValue="3696.57"/>
    </cacheField>
    <cacheField name="T / P" numFmtId="0">
      <sharedItems containsString="0" containsBlank="1" containsNumber="1" minValue="3646.34" maxValue="3702.57"/>
    </cacheField>
    <cacheField name="Time2" numFmtId="0">
      <sharedItems containsBlank="1"/>
    </cacheField>
    <cacheField name="Price2" numFmtId="0">
      <sharedItems containsString="0" containsBlank="1" containsNumber="1" minValue="3646.67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06:09:49"/>
    </cacheField>
    <cacheField name="opening_timestamp_manila" numFmtId="0">
      <sharedItems containsNonDate="0" containsDate="1" containsString="0" containsBlank="1" minDate="2025-09-16T14:04:38" maxDate="2025-09-18T11:09:49" count="248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16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1:09:4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1:09:4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504541319446" createdVersion="8" refreshedVersion="8" minRefreshableVersion="3" recordCount="26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06:09:49"/>
    </cacheField>
    <cacheField name="Position" numFmtId="0">
      <sharedItems containsString="0" containsBlank="1" containsNumber="1" containsInteger="1" minValue="442874070" maxValue="44319734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49.74" maxValue="3699.07"/>
    </cacheField>
    <cacheField name="S / L" numFmtId="0">
      <sharedItems containsString="0" containsBlank="1" containsNumber="1" minValue="3652.34" maxValue="3696.57"/>
    </cacheField>
    <cacheField name="T / P" numFmtId="0">
      <sharedItems containsString="0" containsBlank="1" containsNumber="1" minValue="3646.34" maxValue="3702.57"/>
    </cacheField>
    <cacheField name="Time2" numFmtId="0">
      <sharedItems containsBlank="1"/>
    </cacheField>
    <cacheField name="Price2" numFmtId="0">
      <sharedItems containsString="0" containsBlank="1" containsNumber="1" minValue="3646.67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3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06:09:49"/>
    </cacheField>
    <cacheField name="opening_timestamp_manila" numFmtId="0">
      <sharedItems containsNonDate="0" containsDate="1" containsString="0" containsBlank="1" minDate="2025-09-16T14:04:38" maxDate="2025-09-18T11:09:49" count="244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 count="4">
        <s v="2025-09-17"/>
        <s v="2025-09-18"/>
        <m/>
        <s v="2025-09-16" u="1"/>
      </sharedItems>
    </cacheField>
    <cacheField name="opening_hours_manila" numFmtId="0">
      <sharedItems containsBlank="1" count="23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m/>
        <s v="14" u="1"/>
        <s v="15" u="1"/>
        <s v="16" u="1"/>
        <s v="17" u="1"/>
        <s v="18" u="1"/>
        <s v="13" u="1"/>
        <s v="19" u="1"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Seconds (opening_timestamp_manila)" numFmtId="0" databaseField="0">
      <fieldGroup base="19">
        <rangePr groupBy="second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1:09:4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1:09:4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1:09:4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m/>
    <m/>
    <m/>
    <m/>
    <m/>
    <m/>
    <m/>
    <m/>
    <m/>
    <m/>
    <m/>
    <m/>
    <m/>
    <m/>
    <m/>
    <m/>
    <x v="9"/>
    <m/>
    <m/>
    <x v="139"/>
    <x v="2"/>
    <x v="15"/>
    <x v="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</r>
  <r>
    <m/>
    <m/>
    <m/>
    <m/>
    <m/>
    <m/>
    <m/>
    <m/>
    <m/>
    <m/>
    <m/>
    <m/>
    <m/>
    <m/>
    <m/>
    <m/>
    <x v="9"/>
    <m/>
    <m/>
    <x v="139"/>
    <x v="2"/>
    <x v="15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K3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4">
        <item x="4"/>
        <item x="5"/>
        <item x="3"/>
        <item m="1" x="10"/>
        <item x="8"/>
        <item m="1" x="11"/>
        <item x="7"/>
        <item m="1" x="12"/>
        <item x="0"/>
        <item x="2"/>
        <item x="1"/>
        <item x="6"/>
        <item x="9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 t="grand">
      <x/>
    </i>
  </colItems>
  <dataFields count="1">
    <dataField name="Sum of Profit" fld="12" baseField="0" baseItem="0"/>
  </dataFields>
  <formats count="22">
    <format dxfId="129">
      <pivotArea dataOnly="0" labelOnly="1" fieldPosition="0">
        <references count="1">
          <reference field="16" count="1">
            <x v="1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type="origin" dataOnly="0" labelOnly="1" outline="0" fieldPosition="0"/>
    </format>
    <format dxfId="83">
      <pivotArea field="16" type="button" dataOnly="0" labelOnly="1" outline="0" axis="axisCol" fieldPosition="0"/>
    </format>
    <format dxfId="82">
      <pivotArea type="topRight" dataOnly="0" labelOnly="1" outline="0" fieldPosition="0"/>
    </format>
    <format dxfId="81">
      <pivotArea field="20" type="button" dataOnly="0" labelOnly="1" outline="0" axis="axisRow" fieldPosition="0"/>
    </format>
    <format dxfId="80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7">
      <pivotArea dataOnly="0" labelOnly="1" grandCol="1" outline="0" fieldPosition="0"/>
    </format>
    <format dxfId="7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38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35">
      <pivotArea dataOnly="0" labelOnly="1" fieldPosition="0">
        <references count="1">
          <reference field="16" count="1">
            <x v="8"/>
          </reference>
        </references>
      </pivotArea>
    </format>
    <format dxfId="34">
      <pivotArea dataOnly="0" labelOnly="1" fieldPosition="0">
        <references count="1">
          <reference field="16" count="1">
            <x v="8"/>
          </reference>
        </references>
      </pivotArea>
    </format>
    <format dxfId="33">
      <pivotArea dataOnly="0" labelOnly="1" fieldPosition="0">
        <references count="1">
          <reference field="16" count="1">
            <x v="8"/>
          </reference>
        </references>
      </pivotArea>
    </format>
    <format dxfId="29">
      <pivotArea outline="0" collapsedLevelsAreSubtotals="1" fieldPosition="0"/>
    </format>
    <format dxfId="27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5">
      <pivotArea dataOnly="0" labelOnly="1" grandCol="1" outline="0" fieldPosition="0"/>
    </format>
    <format dxfId="21">
      <pivotArea outline="0" collapsedLevelsAreSubtotals="1" fieldPosition="0"/>
    </format>
    <format dxfId="1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7">
      <pivotArea dataOnly="0" labelOnly="1" grandCol="1" outline="0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W28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5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axis="axisRow" showAll="0">
      <items count="24">
        <item x="5"/>
        <item x="6"/>
        <item x="7"/>
        <item x="8"/>
        <item x="9"/>
        <item x="10"/>
        <item x="11"/>
        <item x="12"/>
        <item x="13"/>
        <item x="14"/>
        <item m="1" x="21"/>
        <item m="1" x="16"/>
        <item m="1" x="17"/>
        <item m="1" x="18"/>
        <item m="1" x="19"/>
        <item m="1" x="20"/>
        <item m="1" x="22"/>
        <item x="15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0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Profit" fld="12" baseField="0" baseItem="0"/>
  </dataFields>
  <formats count="10">
    <format dxfId="6">
      <pivotArea type="all" dataOnly="0" outline="0" fieldPosition="0"/>
    </format>
    <format dxfId="7">
      <pivotArea outline="0" collapsedLevelsAreSubtotals="1" fieldPosition="0"/>
    </format>
    <format dxfId="8">
      <pivotArea dataOnly="0" labelOnly="1" fieldPosition="0">
        <references count="1">
          <reference field="16" count="9">
            <x v="3"/>
            <x v="4"/>
            <x v="5"/>
            <x v="7"/>
            <x v="8"/>
            <x v="9"/>
            <x v="10"/>
            <x v="11"/>
            <x v="12"/>
          </reference>
        </references>
      </pivotArea>
    </format>
    <format dxfId="9">
      <pivotArea dataOnly="0" labelOnly="1" grandCol="1" outline="0" fieldPosition="0"/>
    </format>
    <format dxfId="10">
      <pivotArea outline="0" collapsedLevelsAreSubtotals="1" fieldPosition="0"/>
    </format>
    <format dxfId="11">
      <pivotArea field="21" type="button" dataOnly="0" labelOnly="1" outline="0" axis="axisRow" fieldPosition="0"/>
    </format>
    <format dxfId="12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8"/>
            <x v="19"/>
            <x v="20"/>
            <x v="21"/>
            <x v="22"/>
          </reference>
        </references>
      </pivotArea>
    </format>
    <format dxfId="13">
      <pivotArea dataOnly="0" labelOnly="1" grandRow="1" outline="0" fieldPosition="0"/>
    </format>
    <format dxfId="14">
      <pivotArea dataOnly="0" labelOnly="1" fieldPosition="0">
        <references count="1">
          <reference field="16" count="9">
            <x v="3"/>
            <x v="4"/>
            <x v="5"/>
            <x v="7"/>
            <x v="8"/>
            <x v="9"/>
            <x v="10"/>
            <x v="11"/>
            <x v="12"/>
          </reference>
        </references>
      </pivotArea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5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2" type="button" dataOnly="0" labelOnly="1" outline="0" axis="axisRow" fieldPosition="0"/>
    </format>
    <format dxfId="45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44">
      <pivotArea dataOnly="0" labelOnly="1" grandRow="1" outline="0" fieldPosition="0"/>
    </format>
    <format dxfId="4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18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14">
        <item x="4"/>
        <item x="5"/>
        <item x="3"/>
        <item m="1" x="10"/>
        <item x="8"/>
        <item m="1" x="11"/>
        <item x="7"/>
        <item m="1" x="12"/>
        <item x="0"/>
        <item x="2"/>
        <item x="1"/>
        <item x="6"/>
        <item x="9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Profit" fld="12" baseField="0" baseItem="0"/>
  </dataFields>
  <formats count="7">
    <format dxfId="130">
      <pivotArea dataOnly="0" labelOnly="1" fieldPosition="0">
        <references count="1">
          <reference field="16" count="1">
            <x v="1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6" type="button" dataOnly="0" labelOnly="1" outline="0" axis="axisRow" fieldPosition="0"/>
    </format>
    <format dxfId="5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axis="axisRow" showAll="0">
      <items count="17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15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8">
    <i>
      <x/>
    </i>
    <i>
      <x v="1"/>
    </i>
    <i>
      <x v="5"/>
    </i>
    <i>
      <x v="8"/>
    </i>
    <i>
      <x v="12"/>
    </i>
    <i>
      <x v="13"/>
    </i>
    <i>
      <x v="14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>
      <items count="17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15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4">
        <item m="1" x="10"/>
        <item m="1" x="11"/>
        <item m="1" x="12"/>
        <item x="0"/>
        <item x="2"/>
        <item x="1"/>
        <item x="9"/>
        <item x="3"/>
        <item x="4"/>
        <item x="5"/>
        <item x="6"/>
        <item x="7"/>
        <item x="8"/>
        <item t="default"/>
      </items>
    </pivotField>
    <pivotField showAll="0"/>
    <pivotField showAll="0"/>
    <pivotField axis="axisRow" showAll="0">
      <items count="249"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x="139"/>
        <item m="1" x="244"/>
        <item m="1" x="245"/>
        <item m="1" x="246"/>
        <item m="1" x="2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1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W104"/>
  <sheetViews>
    <sheetView showGridLines="0" tabSelected="1" topLeftCell="A22" workbookViewId="0">
      <selection activeCell="F50" sqref="F50"/>
    </sheetView>
  </sheetViews>
  <sheetFormatPr defaultRowHeight="15" zeroHeight="1" x14ac:dyDescent="0.25"/>
  <cols>
    <col min="1" max="1" width="17.85546875" bestFit="1" customWidth="1"/>
    <col min="2" max="2" width="19.7109375" customWidth="1"/>
    <col min="3" max="4" width="18" bestFit="1" customWidth="1"/>
    <col min="5" max="7" width="17.5703125" bestFit="1" customWidth="1"/>
    <col min="8" max="8" width="20.5703125" bestFit="1" customWidth="1"/>
    <col min="9" max="10" width="17.5703125" bestFit="1" customWidth="1"/>
    <col min="11" max="11" width="11.28515625" bestFit="1" customWidth="1"/>
    <col min="12" max="13" width="13.140625" bestFit="1" customWidth="1"/>
    <col min="14" max="16" width="17.5703125" bestFit="1" customWidth="1"/>
    <col min="17" max="19" width="18" bestFit="1" customWidth="1"/>
    <col min="20" max="22" width="17.5703125" bestFit="1" customWidth="1"/>
    <col min="23" max="23" width="11.28515625" bestFit="1" customWidth="1"/>
    <col min="24" max="25" width="17.5703125" bestFit="1" customWidth="1"/>
    <col min="26" max="26" width="11.28515625" bestFit="1" customWidth="1"/>
  </cols>
  <sheetData>
    <row r="1" spans="1:23" ht="18.75" x14ac:dyDescent="0.3">
      <c r="A1" s="27" t="s">
        <v>59</v>
      </c>
      <c r="C1" s="26">
        <v>32.25</v>
      </c>
    </row>
    <row r="2" spans="1:23" x14ac:dyDescent="0.25"/>
    <row r="3" spans="1:23" x14ac:dyDescent="0.25"/>
    <row r="4" spans="1:23" x14ac:dyDescent="0.25">
      <c r="J4" s="30"/>
      <c r="K4" s="30"/>
    </row>
    <row r="5" spans="1:23" x14ac:dyDescent="0.25">
      <c r="J5" s="30"/>
      <c r="K5" s="30"/>
    </row>
    <row r="6" spans="1:23" x14ac:dyDescent="0.25">
      <c r="J6" s="30"/>
      <c r="K6" s="30"/>
    </row>
    <row r="7" spans="1:23" ht="17.100000000000001" customHeight="1" x14ac:dyDescent="0.25">
      <c r="A7" s="27" t="s">
        <v>280</v>
      </c>
    </row>
    <row r="8" spans="1:23" ht="17.100000000000001" customHeight="1" x14ac:dyDescent="0.25">
      <c r="A8" s="48" t="s">
        <v>54</v>
      </c>
      <c r="B8" s="49" t="s">
        <v>56</v>
      </c>
      <c r="C8" s="52" t="s">
        <v>175</v>
      </c>
      <c r="D8" s="52" t="s">
        <v>176</v>
      </c>
      <c r="E8" s="52" t="s">
        <v>177</v>
      </c>
      <c r="H8" s="27" t="s">
        <v>282</v>
      </c>
      <c r="M8" s="27" t="s">
        <v>281</v>
      </c>
    </row>
    <row r="9" spans="1:23" ht="17.100000000000001" customHeight="1" x14ac:dyDescent="0.25">
      <c r="A9" s="50" t="s">
        <v>124</v>
      </c>
      <c r="B9" s="51">
        <v>3.5000000000000013</v>
      </c>
      <c r="C9" s="53">
        <f>COUNTIFS(Positions_Demo!$Q:$Q,$A9,Positions_Demo!$N:$N,"W")</f>
        <v>6</v>
      </c>
      <c r="D9" s="53">
        <f>COUNTIFS(Positions_Demo!$Q:$Q,$A9,Positions_Demo!$N:$N,"L")</f>
        <v>4</v>
      </c>
      <c r="E9" s="54">
        <f>C9/(C9+D9)</f>
        <v>0.6</v>
      </c>
      <c r="H9" s="48" t="s">
        <v>29</v>
      </c>
      <c r="I9" s="49" t="s">
        <v>279</v>
      </c>
    </row>
    <row r="10" spans="1:23" ht="17.100000000000001" customHeight="1" x14ac:dyDescent="0.25">
      <c r="A10" s="50" t="s">
        <v>125</v>
      </c>
      <c r="B10" s="51">
        <v>13.96</v>
      </c>
      <c r="C10" s="53">
        <f>COUNTIFS(Positions_Demo!$Q:$Q,$A10,Positions_Demo!$N:$N,"W")</f>
        <v>6</v>
      </c>
      <c r="D10" s="53">
        <f>COUNTIFS(Positions_Demo!$Q:$Q,$A10,Positions_Demo!$N:$N,"L")</f>
        <v>4</v>
      </c>
      <c r="E10" s="54">
        <f t="shared" ref="E10:E14" si="0">C10/(C10+D10)</f>
        <v>0.6</v>
      </c>
      <c r="H10" s="49"/>
      <c r="I10" s="49"/>
    </row>
    <row r="11" spans="1:23" ht="17.100000000000001" customHeight="1" x14ac:dyDescent="0.25">
      <c r="A11" s="50" t="s">
        <v>123</v>
      </c>
      <c r="B11" s="51">
        <v>10.039999999999999</v>
      </c>
      <c r="C11" s="53">
        <f>COUNTIFS(Positions_Demo!$Q:$Q,$A11,Positions_Demo!$N:$N,"W")</f>
        <v>7</v>
      </c>
      <c r="D11" s="53">
        <f>COUNTIFS(Positions_Demo!$Q:$Q,$A11,Positions_Demo!$N:$N,"L")</f>
        <v>5</v>
      </c>
      <c r="E11" s="54">
        <f t="shared" si="0"/>
        <v>0.58333333333333337</v>
      </c>
      <c r="H11" s="48" t="s">
        <v>54</v>
      </c>
      <c r="I11" s="49" t="s">
        <v>56</v>
      </c>
      <c r="M11" s="48" t="s">
        <v>56</v>
      </c>
      <c r="N11" s="48" t="s">
        <v>463</v>
      </c>
      <c r="O11" s="49"/>
      <c r="P11" s="49"/>
      <c r="Q11" s="49"/>
      <c r="R11" s="49"/>
      <c r="S11" s="49"/>
      <c r="T11" s="49"/>
      <c r="U11" s="49"/>
      <c r="V11" s="49"/>
      <c r="W11" s="49"/>
    </row>
    <row r="12" spans="1:23" ht="17.100000000000001" customHeight="1" x14ac:dyDescent="0.25">
      <c r="A12" s="50" t="s">
        <v>395</v>
      </c>
      <c r="B12" s="51">
        <v>-3.99</v>
      </c>
      <c r="C12" s="53">
        <f>COUNTIFS(Positions_Demo!$Q:$Q,$A12,Positions_Demo!$N:$N,"W")</f>
        <v>2</v>
      </c>
      <c r="D12" s="53">
        <f>COUNTIFS(Positions_Demo!$Q:$Q,$A12,Positions_Demo!$N:$N,"L")</f>
        <v>3</v>
      </c>
      <c r="E12" s="54">
        <f t="shared" si="0"/>
        <v>0.4</v>
      </c>
      <c r="H12" s="50" t="s">
        <v>74</v>
      </c>
      <c r="I12" s="51">
        <v>-32.900000000000006</v>
      </c>
      <c r="M12" s="57" t="s">
        <v>54</v>
      </c>
      <c r="N12" s="58" t="s">
        <v>48</v>
      </c>
      <c r="O12" s="58" t="s">
        <v>49</v>
      </c>
      <c r="P12" s="58" t="s">
        <v>53</v>
      </c>
      <c r="Q12" s="58" t="s">
        <v>123</v>
      </c>
      <c r="R12" s="58" t="s">
        <v>124</v>
      </c>
      <c r="S12" s="58" t="s">
        <v>125</v>
      </c>
      <c r="T12" s="58" t="s">
        <v>150</v>
      </c>
      <c r="U12" s="58" t="s">
        <v>268</v>
      </c>
      <c r="V12" s="58" t="s">
        <v>395</v>
      </c>
      <c r="W12" s="58" t="s">
        <v>55</v>
      </c>
    </row>
    <row r="13" spans="1:23" ht="17.100000000000001" customHeight="1" x14ac:dyDescent="0.25">
      <c r="A13" s="50" t="s">
        <v>268</v>
      </c>
      <c r="B13" s="51">
        <v>-7.57</v>
      </c>
      <c r="C13" s="53">
        <f>COUNTIFS(Positions_Demo!$Q:$Q,$A13,Positions_Demo!$N:$N,"W")</f>
        <v>6</v>
      </c>
      <c r="D13" s="53">
        <f>COUNTIFS(Positions_Demo!$Q:$Q,$A13,Positions_Demo!$N:$N,"L")</f>
        <v>8</v>
      </c>
      <c r="E13" s="54">
        <f t="shared" si="0"/>
        <v>0.42857142857142855</v>
      </c>
      <c r="H13" s="50" t="s">
        <v>277</v>
      </c>
      <c r="I13" s="51">
        <v>49.829999999999913</v>
      </c>
      <c r="M13" s="59" t="s">
        <v>72</v>
      </c>
      <c r="N13" s="60">
        <v>9.11</v>
      </c>
      <c r="O13" s="60">
        <v>9.75</v>
      </c>
      <c r="P13" s="60">
        <v>8.42</v>
      </c>
      <c r="Q13" s="60">
        <v>5.8800000000000008</v>
      </c>
      <c r="R13" s="60">
        <v>4.17</v>
      </c>
      <c r="S13" s="60">
        <v>8.98</v>
      </c>
      <c r="T13" s="60">
        <v>7.61</v>
      </c>
      <c r="U13" s="60"/>
      <c r="V13" s="60"/>
      <c r="W13" s="60">
        <v>53.92</v>
      </c>
    </row>
    <row r="14" spans="1:23" ht="17.100000000000001" customHeight="1" x14ac:dyDescent="0.25">
      <c r="A14" s="50" t="s">
        <v>48</v>
      </c>
      <c r="B14" s="51">
        <v>-3.8699999999999988</v>
      </c>
      <c r="C14" s="53">
        <f>COUNTIFS(Positions_Demo!$Q:$Q,$A14,Positions_Demo!$N:$N,"W")</f>
        <v>28</v>
      </c>
      <c r="D14" s="53">
        <f>COUNTIFS(Positions_Demo!$Q:$Q,$A14,Positions_Demo!$N:$N,"L")</f>
        <v>24</v>
      </c>
      <c r="E14" s="54">
        <f t="shared" si="0"/>
        <v>0.53846153846153844</v>
      </c>
      <c r="H14" s="50" t="s">
        <v>55</v>
      </c>
      <c r="I14" s="51">
        <v>16.929999999999907</v>
      </c>
      <c r="M14" s="59" t="s">
        <v>70</v>
      </c>
      <c r="N14" s="60">
        <v>11.76</v>
      </c>
      <c r="O14" s="60">
        <v>11.71</v>
      </c>
      <c r="P14" s="60">
        <v>14.229999999999999</v>
      </c>
      <c r="Q14" s="60"/>
      <c r="R14" s="60"/>
      <c r="S14" s="60"/>
      <c r="T14" s="60">
        <v>8</v>
      </c>
      <c r="U14" s="60"/>
      <c r="V14" s="60"/>
      <c r="W14" s="60">
        <v>45.699999999999996</v>
      </c>
    </row>
    <row r="15" spans="1:23" ht="17.100000000000001" customHeight="1" x14ac:dyDescent="0.25">
      <c r="A15" s="50" t="s">
        <v>49</v>
      </c>
      <c r="B15" s="51">
        <v>-4.4000000000000004</v>
      </c>
      <c r="C15" s="53">
        <f>COUNTIFS(Positions_Demo!$Q:$Q,$A15,Positions_Demo!$N:$N,"W")</f>
        <v>29</v>
      </c>
      <c r="D15" s="53">
        <f>COUNTIFS(Positions_Demo!$Q:$Q,$A15,Positions_Demo!$N:$N,"L")</f>
        <v>27</v>
      </c>
      <c r="E15" s="54">
        <f>C15/(C15+D15)</f>
        <v>0.5178571428571429</v>
      </c>
      <c r="M15" s="59" t="s">
        <v>71</v>
      </c>
      <c r="N15" s="60">
        <v>-9.2100000000000009</v>
      </c>
      <c r="O15" s="60">
        <v>-7.54</v>
      </c>
      <c r="P15" s="60">
        <v>-9.07</v>
      </c>
      <c r="Q15" s="60"/>
      <c r="R15" s="60"/>
      <c r="S15" s="60"/>
      <c r="T15" s="60">
        <v>-9.36</v>
      </c>
      <c r="U15" s="60">
        <v>1.6899999999999995</v>
      </c>
      <c r="V15" s="60"/>
      <c r="W15" s="60">
        <v>-33.49</v>
      </c>
    </row>
    <row r="16" spans="1:23" ht="17.100000000000001" customHeight="1" x14ac:dyDescent="0.25">
      <c r="A16" s="50" t="s">
        <v>53</v>
      </c>
      <c r="B16" s="51">
        <v>-0.66999999999999504</v>
      </c>
      <c r="C16" s="53">
        <f>COUNTIFS(Positions_Demo!$Q:$Q,$A16,Positions_Demo!$N:$N,"W")</f>
        <v>28</v>
      </c>
      <c r="D16" s="53">
        <f>COUNTIFS(Positions_Demo!$Q:$Q,$A16,Positions_Demo!$N:$N,"L")</f>
        <v>24</v>
      </c>
      <c r="E16" s="54">
        <f>C16/(C16+D16)</f>
        <v>0.53846153846153844</v>
      </c>
      <c r="M16" s="59" t="s">
        <v>461</v>
      </c>
      <c r="N16" s="60">
        <v>-0.38999999999999996</v>
      </c>
      <c r="O16" s="60">
        <v>-2.21</v>
      </c>
      <c r="P16" s="60">
        <v>-0.44999999999999996</v>
      </c>
      <c r="Q16" s="60"/>
      <c r="R16" s="60"/>
      <c r="S16" s="60"/>
      <c r="T16" s="60">
        <v>4.1900000000000004</v>
      </c>
      <c r="U16" s="60"/>
      <c r="V16" s="60"/>
      <c r="W16" s="60">
        <v>1.1400000000000006</v>
      </c>
    </row>
    <row r="17" spans="1:23" ht="17.100000000000001" customHeight="1" x14ac:dyDescent="0.25">
      <c r="A17" s="55" t="s">
        <v>150</v>
      </c>
      <c r="B17" s="51">
        <v>9.9299999999999979</v>
      </c>
      <c r="C17" s="53">
        <f>COUNTIFS(Positions_Demo!$Q:$Q,$A17,Positions_Demo!$N:$N,"W")</f>
        <v>33</v>
      </c>
      <c r="D17" s="53">
        <f>COUNTIFS(Positions_Demo!$Q:$Q,$A17,Positions_Demo!$N:$N,"L")</f>
        <v>15</v>
      </c>
      <c r="E17" s="54">
        <f>C17/(C17+D17)</f>
        <v>0.6875</v>
      </c>
      <c r="M17" s="59" t="s">
        <v>456</v>
      </c>
      <c r="N17" s="60">
        <v>3.3699999999999997</v>
      </c>
      <c r="O17" s="60">
        <v>-2.1799999999999997</v>
      </c>
      <c r="P17" s="60">
        <v>3.83</v>
      </c>
      <c r="Q17" s="60">
        <v>-6.0600000000000005</v>
      </c>
      <c r="R17" s="60">
        <v>-6.26</v>
      </c>
      <c r="S17" s="60">
        <v>-6.32</v>
      </c>
      <c r="T17" s="60">
        <v>-1.4099999999999997</v>
      </c>
      <c r="U17" s="60"/>
      <c r="V17" s="60"/>
      <c r="W17" s="60">
        <v>-15.030000000000001</v>
      </c>
    </row>
    <row r="18" spans="1:23" ht="17.100000000000001" customHeight="1" x14ac:dyDescent="0.25">
      <c r="A18" s="50" t="s">
        <v>55</v>
      </c>
      <c r="B18" s="51">
        <v>16.93</v>
      </c>
      <c r="C18" s="52">
        <f>SUM(C11:C17)</f>
        <v>133</v>
      </c>
      <c r="D18" s="52">
        <f>SUM(D11:D17)</f>
        <v>106</v>
      </c>
      <c r="E18" s="56">
        <f t="shared" ref="E18" si="1">C18/(C18+D18)</f>
        <v>0.55648535564853552</v>
      </c>
      <c r="M18" s="59" t="s">
        <v>460</v>
      </c>
      <c r="N18" s="60">
        <v>0.10000000000000009</v>
      </c>
      <c r="O18" s="60">
        <v>3.62</v>
      </c>
      <c r="P18" s="60">
        <v>1.1300000000000003</v>
      </c>
      <c r="Q18" s="60"/>
      <c r="R18" s="60"/>
      <c r="S18" s="60"/>
      <c r="T18" s="60">
        <v>0.16000000000000014</v>
      </c>
      <c r="U18" s="60">
        <v>-3.02</v>
      </c>
      <c r="V18" s="60">
        <v>-3.02</v>
      </c>
      <c r="W18" s="60">
        <v>-1.0299999999999994</v>
      </c>
    </row>
    <row r="19" spans="1:23" ht="17.100000000000001" customHeight="1" x14ac:dyDescent="0.25">
      <c r="M19" s="59" t="s">
        <v>459</v>
      </c>
      <c r="N19" s="60">
        <v>4.2</v>
      </c>
      <c r="O19" s="60">
        <v>4.46</v>
      </c>
      <c r="P19" s="60">
        <v>4.9800000000000004</v>
      </c>
      <c r="Q19" s="60"/>
      <c r="R19" s="60"/>
      <c r="S19" s="60"/>
      <c r="T19" s="60">
        <v>3.41</v>
      </c>
      <c r="U19" s="60">
        <v>0.41000000000000014</v>
      </c>
      <c r="V19" s="60">
        <v>3.46</v>
      </c>
      <c r="W19" s="60">
        <v>20.92</v>
      </c>
    </row>
    <row r="20" spans="1:23" ht="17.100000000000001" customHeight="1" x14ac:dyDescent="0.25">
      <c r="M20" s="59" t="s">
        <v>462</v>
      </c>
      <c r="N20" s="60">
        <v>-2.9099999999999997</v>
      </c>
      <c r="O20" s="60">
        <v>-7.1700000000000008</v>
      </c>
      <c r="P20" s="60">
        <v>-4.4000000000000004</v>
      </c>
      <c r="Q20" s="60">
        <v>4.62</v>
      </c>
      <c r="R20" s="60">
        <v>2.14</v>
      </c>
      <c r="S20" s="60">
        <v>5.99</v>
      </c>
      <c r="T20" s="60">
        <v>-4.4099999999999993</v>
      </c>
      <c r="U20" s="60">
        <v>-5.3</v>
      </c>
      <c r="V20" s="60"/>
      <c r="W20" s="60">
        <v>-11.439999999999998</v>
      </c>
    </row>
    <row r="21" spans="1:23" ht="17.100000000000001" customHeight="1" x14ac:dyDescent="0.25">
      <c r="M21" s="59" t="s">
        <v>458</v>
      </c>
      <c r="N21" s="60">
        <v>3.7800000000000002</v>
      </c>
      <c r="O21" s="60">
        <v>1.32</v>
      </c>
      <c r="P21" s="60">
        <v>4.25</v>
      </c>
      <c r="Q21" s="60"/>
      <c r="R21" s="60"/>
      <c r="S21" s="60"/>
      <c r="T21" s="60">
        <v>3.17</v>
      </c>
      <c r="U21" s="60">
        <v>1.68</v>
      </c>
      <c r="V21" s="60">
        <v>-1.39</v>
      </c>
      <c r="W21" s="60">
        <v>12.81</v>
      </c>
    </row>
    <row r="22" spans="1:23" ht="17.100000000000001" customHeight="1" x14ac:dyDescent="0.25">
      <c r="M22" s="59" t="s">
        <v>457</v>
      </c>
      <c r="N22" s="60">
        <v>-2.7</v>
      </c>
      <c r="O22" s="60">
        <v>-2.29</v>
      </c>
      <c r="P22" s="60">
        <v>-2.82</v>
      </c>
      <c r="Q22" s="60"/>
      <c r="R22" s="60"/>
      <c r="S22" s="60"/>
      <c r="T22" s="60">
        <v>0.17</v>
      </c>
      <c r="U22" s="60">
        <v>-3.03</v>
      </c>
      <c r="V22" s="60">
        <v>-3.04</v>
      </c>
      <c r="W22" s="60">
        <v>-13.71</v>
      </c>
    </row>
    <row r="23" spans="1:23" ht="17.100000000000001" customHeight="1" x14ac:dyDescent="0.25">
      <c r="A23" s="27" t="s">
        <v>464</v>
      </c>
      <c r="M23" s="59" t="s">
        <v>272</v>
      </c>
      <c r="N23" s="60">
        <v>-3.04</v>
      </c>
      <c r="O23" s="60">
        <v>-2.4500000000000002</v>
      </c>
      <c r="P23" s="60">
        <v>-2.99</v>
      </c>
      <c r="Q23" s="60"/>
      <c r="R23" s="60"/>
      <c r="S23" s="60"/>
      <c r="T23" s="60"/>
      <c r="U23" s="60"/>
      <c r="V23" s="60"/>
      <c r="W23" s="60">
        <v>-8.48</v>
      </c>
    </row>
    <row r="24" spans="1:23" ht="17.100000000000001" customHeight="1" x14ac:dyDescent="0.25">
      <c r="M24" s="59" t="s">
        <v>273</v>
      </c>
      <c r="N24" s="60">
        <v>-9.1999999999999993</v>
      </c>
      <c r="O24" s="60">
        <v>-7.59</v>
      </c>
      <c r="P24" s="60">
        <v>-9.08</v>
      </c>
      <c r="Q24" s="60">
        <v>6.6899999999999995</v>
      </c>
      <c r="R24" s="60">
        <v>6.61</v>
      </c>
      <c r="S24" s="60">
        <v>8.51</v>
      </c>
      <c r="T24" s="60"/>
      <c r="U24" s="60"/>
      <c r="V24" s="60"/>
      <c r="W24" s="60">
        <v>-4.0600000000000005</v>
      </c>
    </row>
    <row r="25" spans="1:23" ht="17.100000000000001" customHeight="1" x14ac:dyDescent="0.25">
      <c r="M25" s="59" t="s">
        <v>274</v>
      </c>
      <c r="N25" s="60">
        <v>-2.23</v>
      </c>
      <c r="O25" s="60">
        <v>-1.77</v>
      </c>
      <c r="P25" s="60">
        <v>-2.27</v>
      </c>
      <c r="Q25" s="60">
        <v>1.04</v>
      </c>
      <c r="R25" s="60">
        <v>2.96</v>
      </c>
      <c r="S25" s="60">
        <v>2.8499999999999996</v>
      </c>
      <c r="T25" s="60"/>
      <c r="U25" s="60"/>
      <c r="V25" s="60"/>
      <c r="W25" s="60">
        <v>0.58000000000000007</v>
      </c>
    </row>
    <row r="26" spans="1:23" ht="17.100000000000001" customHeight="1" x14ac:dyDescent="0.25">
      <c r="A26" s="48" t="s">
        <v>56</v>
      </c>
      <c r="B26" s="48" t="s">
        <v>463</v>
      </c>
      <c r="C26" s="49"/>
      <c r="D26" s="49"/>
      <c r="E26" s="49"/>
      <c r="F26" s="49"/>
      <c r="G26" s="49"/>
      <c r="H26" s="49"/>
      <c r="I26" s="49"/>
      <c r="J26" s="49"/>
      <c r="K26" s="49"/>
      <c r="M26" s="59" t="s">
        <v>275</v>
      </c>
      <c r="N26" s="60">
        <v>-6.06</v>
      </c>
      <c r="O26" s="60">
        <v>-2.16</v>
      </c>
      <c r="P26" s="60">
        <v>-5.98</v>
      </c>
      <c r="Q26" s="60">
        <v>0.92</v>
      </c>
      <c r="R26" s="60">
        <v>-3.03</v>
      </c>
      <c r="S26" s="60">
        <v>-3.03</v>
      </c>
      <c r="T26" s="60">
        <v>-1.5999999999999999</v>
      </c>
      <c r="U26" s="60"/>
      <c r="V26" s="60"/>
      <c r="W26" s="60">
        <v>-20.94</v>
      </c>
    </row>
    <row r="27" spans="1:23" ht="17.100000000000001" customHeight="1" x14ac:dyDescent="0.25">
      <c r="A27" s="48" t="s">
        <v>54</v>
      </c>
      <c r="B27" s="53" t="s">
        <v>124</v>
      </c>
      <c r="C27" s="53" t="s">
        <v>125</v>
      </c>
      <c r="D27" s="53" t="s">
        <v>123</v>
      </c>
      <c r="E27" s="53" t="s">
        <v>395</v>
      </c>
      <c r="F27" s="53" t="s">
        <v>268</v>
      </c>
      <c r="G27" s="61" t="s">
        <v>48</v>
      </c>
      <c r="H27" s="53" t="s">
        <v>49</v>
      </c>
      <c r="I27" s="53" t="s">
        <v>53</v>
      </c>
      <c r="J27" s="62" t="s">
        <v>150</v>
      </c>
      <c r="K27" s="53" t="s">
        <v>55</v>
      </c>
      <c r="M27" s="59" t="s">
        <v>276</v>
      </c>
      <c r="N27" s="60">
        <v>-0.44999999999999973</v>
      </c>
      <c r="O27" s="60">
        <v>0.10000000000000009</v>
      </c>
      <c r="P27" s="60">
        <v>-0.44999999999999973</v>
      </c>
      <c r="Q27" s="60">
        <v>-3.05</v>
      </c>
      <c r="R27" s="60">
        <v>-3.09</v>
      </c>
      <c r="S27" s="60">
        <v>-3.02</v>
      </c>
      <c r="T27" s="60">
        <v>0</v>
      </c>
      <c r="U27" s="60"/>
      <c r="V27" s="60"/>
      <c r="W27" s="60">
        <v>-9.9599999999999991</v>
      </c>
    </row>
    <row r="28" spans="1:23" ht="17.100000000000001" customHeight="1" x14ac:dyDescent="0.25">
      <c r="A28" s="50" t="s">
        <v>62</v>
      </c>
      <c r="B28" s="63">
        <v>6.5400000000000009</v>
      </c>
      <c r="C28" s="63">
        <v>8.33</v>
      </c>
      <c r="D28" s="63">
        <v>8.65</v>
      </c>
      <c r="E28" s="63"/>
      <c r="F28" s="63"/>
      <c r="G28" s="63">
        <v>-20.53</v>
      </c>
      <c r="H28" s="63">
        <v>-13.970000000000002</v>
      </c>
      <c r="I28" s="63">
        <v>-20.32</v>
      </c>
      <c r="J28" s="63">
        <v>-1.5999999999999999</v>
      </c>
      <c r="K28" s="63">
        <v>-32.9</v>
      </c>
      <c r="M28" s="59" t="s">
        <v>55</v>
      </c>
      <c r="N28" s="60">
        <v>-3.8700000000000019</v>
      </c>
      <c r="O28" s="60">
        <v>-4.3999999999999986</v>
      </c>
      <c r="P28" s="60">
        <v>-0.67000000000000037</v>
      </c>
      <c r="Q28" s="60">
        <v>10.039999999999999</v>
      </c>
      <c r="R28" s="60">
        <v>3.5000000000000018</v>
      </c>
      <c r="S28" s="60">
        <v>13.959999999999997</v>
      </c>
      <c r="T28" s="60">
        <v>9.9300000000000015</v>
      </c>
      <c r="U28" s="60">
        <v>-7.57</v>
      </c>
      <c r="V28" s="60">
        <v>-3.99</v>
      </c>
      <c r="W28" s="60">
        <v>16.93</v>
      </c>
    </row>
    <row r="29" spans="1:23" ht="17.100000000000001" customHeight="1" x14ac:dyDescent="0.25">
      <c r="A29" s="50" t="s">
        <v>278</v>
      </c>
      <c r="B29" s="63">
        <v>-3.0399999999999996</v>
      </c>
      <c r="C29" s="63">
        <v>5.6300000000000008</v>
      </c>
      <c r="D29" s="63">
        <v>1.390000000000001</v>
      </c>
      <c r="E29" s="63">
        <v>-3.99</v>
      </c>
      <c r="F29" s="63">
        <v>-7.57</v>
      </c>
      <c r="G29" s="63">
        <v>16.659999999999993</v>
      </c>
      <c r="H29" s="63">
        <v>9.5699999999999914</v>
      </c>
      <c r="I29" s="63">
        <v>19.649999999999999</v>
      </c>
      <c r="J29" s="63">
        <v>11.53</v>
      </c>
      <c r="K29" s="63">
        <v>49.829999999999984</v>
      </c>
    </row>
    <row r="30" spans="1:23" ht="17.100000000000001" customHeight="1" x14ac:dyDescent="0.25">
      <c r="A30" s="50" t="s">
        <v>55</v>
      </c>
      <c r="B30" s="63">
        <v>3.5000000000000013</v>
      </c>
      <c r="C30" s="63">
        <v>13.96</v>
      </c>
      <c r="D30" s="63">
        <v>10.040000000000001</v>
      </c>
      <c r="E30" s="63">
        <v>-3.99</v>
      </c>
      <c r="F30" s="63">
        <v>-7.57</v>
      </c>
      <c r="G30" s="63">
        <v>-3.8700000000000081</v>
      </c>
      <c r="H30" s="63">
        <v>-4.400000000000011</v>
      </c>
      <c r="I30" s="63">
        <v>-0.67000000000000171</v>
      </c>
      <c r="J30" s="63">
        <v>9.93</v>
      </c>
      <c r="K30" s="63">
        <v>16.929999999999986</v>
      </c>
    </row>
    <row r="31" spans="1:23" x14ac:dyDescent="0.25">
      <c r="H31" s="28"/>
    </row>
    <row r="32" spans="1:23" x14ac:dyDescent="0.25">
      <c r="H32" s="28"/>
    </row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B9:B17 N13:W27">
    <cfRule type="cellIs" dxfId="39" priority="4" operator="greaterThan">
      <formula>0</formula>
    </cfRule>
    <cfRule type="cellIs" dxfId="40" priority="3" operator="lessThan">
      <formula>0</formula>
    </cfRule>
  </conditionalFormatting>
  <conditionalFormatting pivot="1" sqref="B28:K29">
    <cfRule type="cellIs" dxfId="36" priority="1" operator="lessThan">
      <formula>0</formula>
    </cfRule>
    <cfRule type="cellIs" dxfId="37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2.0299999999999998</v>
      </c>
    </row>
    <row r="6" spans="2:13" x14ac:dyDescent="0.25">
      <c r="B6" s="31" t="s">
        <v>66</v>
      </c>
      <c r="C6" s="32">
        <f>AVERAGE(C22:C61)</f>
        <v>0.63636363636363658</v>
      </c>
      <c r="D6" s="30"/>
      <c r="E6" s="30"/>
    </row>
    <row r="7" spans="2:13" x14ac:dyDescent="0.25">
      <c r="B7" s="31" t="s">
        <v>67</v>
      </c>
      <c r="C7" s="32">
        <f>MIN(C22:C61)</f>
        <v>-3.24</v>
      </c>
      <c r="D7" s="30"/>
      <c r="E7" s="30"/>
    </row>
    <row r="8" spans="2:13" x14ac:dyDescent="0.25">
      <c r="B8" s="31" t="s">
        <v>68</v>
      </c>
      <c r="C8" s="32">
        <f>MAX(C22:C61)</f>
        <v>4.2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 s="47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 s="47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 s="47">
        <v>6.5400000000000009</v>
      </c>
    </row>
    <row r="23" spans="2:18" x14ac:dyDescent="0.25">
      <c r="B23" s="22">
        <v>45917.906921296293</v>
      </c>
      <c r="C23" s="47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 s="47">
        <v>-3.04</v>
      </c>
      <c r="K23" s="25">
        <f t="shared" ref="K23:K62" si="2">IF(OR(I23="Grand Total",I23=""),"",K22+J23)</f>
        <v>35.75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277</v>
      </c>
      <c r="R23" s="47">
        <v>-3.04</v>
      </c>
    </row>
    <row r="24" spans="2:18" x14ac:dyDescent="0.25">
      <c r="B24" s="22">
        <v>45917.934699074074</v>
      </c>
      <c r="C24" s="47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 s="47">
        <v>3.5000000000000009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 s="47">
        <v>3.5000000000000009</v>
      </c>
    </row>
    <row r="25" spans="2:18" x14ac:dyDescent="0.25">
      <c r="B25" s="22">
        <v>45917.954143518517</v>
      </c>
      <c r="C25" s="47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 s="47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47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47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47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47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47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1" t="s">
        <v>55</v>
      </c>
      <c r="C32" s="47">
        <v>3.5000000000000013</v>
      </c>
      <c r="D32" s="25" t="str">
        <f t="shared" si="0"/>
        <v/>
      </c>
      <c r="E32" s="24" t="str">
        <f t="shared" si="1"/>
        <v/>
      </c>
      <c r="F32" t="str">
        <f t="shared" si="4"/>
        <v/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4:18" x14ac:dyDescent="0.25">
      <c r="D33" s="25" t="str">
        <f t="shared" si="0"/>
        <v/>
      </c>
      <c r="E33" s="24" t="str">
        <f t="shared" si="1"/>
        <v/>
      </c>
      <c r="F33" t="str">
        <f t="shared" si="4"/>
        <v/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4:18" x14ac:dyDescent="0.25">
      <c r="D34" s="25" t="str">
        <f t="shared" si="0"/>
        <v/>
      </c>
      <c r="E34" s="24" t="str">
        <f t="shared" si="1"/>
        <v/>
      </c>
      <c r="F34" t="str">
        <f t="shared" si="4"/>
        <v/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4:18" x14ac:dyDescent="0.25">
      <c r="D35" s="25" t="str">
        <f t="shared" si="0"/>
        <v/>
      </c>
      <c r="E35" s="24" t="str">
        <f t="shared" si="1"/>
        <v/>
      </c>
      <c r="F35" t="str">
        <f t="shared" si="4"/>
        <v/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4:18" x14ac:dyDescent="0.25"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4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4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4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 s="47">
        <v>-3.09</v>
      </c>
    </row>
    <row r="40" spans="4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 s="47">
        <v>4.17</v>
      </c>
    </row>
    <row r="41" spans="4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 s="47">
        <v>-6.26</v>
      </c>
    </row>
    <row r="42" spans="4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 s="47">
        <v>2.14</v>
      </c>
    </row>
    <row r="43" spans="4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273</v>
      </c>
      <c r="R43" s="47">
        <v>6.61</v>
      </c>
    </row>
    <row r="44" spans="4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274</v>
      </c>
      <c r="R44" s="47">
        <v>2.96</v>
      </c>
    </row>
    <row r="45" spans="4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275</v>
      </c>
      <c r="R45" s="47">
        <v>-3.03</v>
      </c>
    </row>
    <row r="46" spans="4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55</v>
      </c>
      <c r="R46" s="47">
        <v>3.5000000000000013</v>
      </c>
    </row>
    <row r="47" spans="4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</row>
    <row r="48" spans="4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114" priority="27" operator="greaterThan">
      <formula>$M$1</formula>
    </cfRule>
    <cfRule type="cellIs" dxfId="113" priority="28" operator="greaterThan">
      <formula>"31.555$G$1"</formula>
    </cfRule>
  </conditionalFormatting>
  <conditionalFormatting sqref="K22:K62">
    <cfRule type="cellIs" dxfId="112" priority="26" operator="lessThan">
      <formula>0</formula>
    </cfRule>
  </conditionalFormatting>
  <conditionalFormatting sqref="K22:K62">
    <cfRule type="cellIs" dxfId="111" priority="25" operator="lessThan">
      <formula>0</formula>
    </cfRule>
  </conditionalFormatting>
  <conditionalFormatting sqref="D22">
    <cfRule type="cellIs" dxfId="110" priority="23" operator="greaterThan">
      <formula>$M$1</formula>
    </cfRule>
    <cfRule type="cellIs" dxfId="109" priority="24" operator="greaterThan">
      <formula>"31.555$G$1"</formula>
    </cfRule>
  </conditionalFormatting>
  <conditionalFormatting sqref="D22">
    <cfRule type="cellIs" dxfId="108" priority="22" operator="lessThan">
      <formula>0</formula>
    </cfRule>
  </conditionalFormatting>
  <conditionalFormatting sqref="D22">
    <cfRule type="cellIs" dxfId="107" priority="21" operator="lessThan">
      <formula>0</formula>
    </cfRule>
  </conditionalFormatting>
  <conditionalFormatting sqref="D23:D64">
    <cfRule type="cellIs" dxfId="106" priority="19" operator="greaterThan">
      <formula>$M$1</formula>
    </cfRule>
    <cfRule type="cellIs" dxfId="105" priority="20" operator="greaterThan">
      <formula>"31.555$G$1"</formula>
    </cfRule>
  </conditionalFormatting>
  <conditionalFormatting sqref="D23:D64">
    <cfRule type="cellIs" dxfId="104" priority="18" operator="lessThan">
      <formula>0</formula>
    </cfRule>
  </conditionalFormatting>
  <conditionalFormatting sqref="D23:D64">
    <cfRule type="cellIs" dxfId="103" priority="17" operator="lessThan">
      <formula>0</formula>
    </cfRule>
  </conditionalFormatting>
  <conditionalFormatting pivot="1" sqref="C22:C28">
    <cfRule type="cellIs" dxfId="98" priority="12" operator="greaterThan">
      <formula>0</formula>
    </cfRule>
  </conditionalFormatting>
  <conditionalFormatting pivot="1" sqref="C22:C28">
    <cfRule type="cellIs" dxfId="97" priority="11" operator="lessThan">
      <formula>0</formula>
    </cfRule>
  </conditionalFormatting>
  <conditionalFormatting pivot="1" sqref="J22:J23">
    <cfRule type="cellIs" dxfId="92" priority="6" operator="greaterThan">
      <formula>0</formula>
    </cfRule>
  </conditionalFormatting>
  <conditionalFormatting pivot="1" sqref="J22:J23">
    <cfRule type="cellIs" dxfId="91" priority="5" operator="lessThan">
      <formula>0</formula>
    </cfRule>
  </conditionalFormatting>
  <conditionalFormatting pivot="1" sqref="R22:R23">
    <cfRule type="cellIs" dxfId="90" priority="4" operator="greaterThan">
      <formula>0</formula>
    </cfRule>
  </conditionalFormatting>
  <conditionalFormatting pivot="1" sqref="R22:R23">
    <cfRule type="cellIs" dxfId="89" priority="3" operator="lessThan">
      <formula>0</formula>
    </cfRule>
  </conditionalFormatting>
  <conditionalFormatting pivot="1" sqref="R39:R45">
    <cfRule type="cellIs" dxfId="88" priority="2" operator="greaterThan">
      <formula>0</formula>
    </cfRule>
  </conditionalFormatting>
  <conditionalFormatting pivot="1" sqref="R39:R4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60"/>
  <sheetViews>
    <sheetView showGridLines="0" topLeftCell="A93" workbookViewId="0">
      <selection activeCell="I120" sqref="I120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66" si="0">IF(M3&gt;0,"W",IF(M3&lt;0,"L","BE"))</f>
        <v>L</v>
      </c>
      <c r="O3" s="11">
        <f t="shared" ref="O3:O66" si="1">INT(LEFT(A3,10))</f>
        <v>45917</v>
      </c>
      <c r="P3" s="12" t="str">
        <f t="shared" ref="P3:P66" si="2">TEXT(A3,"hh")</f>
        <v>15</v>
      </c>
      <c r="Q3" s="13" t="str">
        <f>VLOOKUP($B3,Deals_Demo!$H:$N,7,0)</f>
        <v>strategy_11_demo</v>
      </c>
      <c r="R3" s="13" t="str">
        <f t="shared" ref="R3:R66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66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66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260" si="42">$M259*0.1</f>
        <v>2.7000000000000003E-2</v>
      </c>
      <c r="Y259" s="13">
        <f t="shared" ref="Y259:Y260" si="43">$M259*0.2</f>
        <v>5.4000000000000006E-2</v>
      </c>
      <c r="Z259" s="13">
        <f t="shared" ref="Z259:Z260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525"/>
  <sheetViews>
    <sheetView showGridLines="0" topLeftCell="A10" workbookViewId="0">
      <selection activeCell="L29" sqref="L2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4" width="9.140625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66" si="0">A3</f>
        <v>45917.666180555556</v>
      </c>
      <c r="P3" s="19">
        <f t="shared" ref="P3:P66" si="1">O3+(5/24)</f>
        <v>45917.874513888892</v>
      </c>
      <c r="Q3" s="20" t="str">
        <f t="shared" ref="Q3:Q66" si="2">TEXT(P3,"dd/mm/yyyy")</f>
        <v>17/09/2025</v>
      </c>
      <c r="R3" s="13" t="str">
        <f t="shared" ref="R3:R66" si="3">TEXT(P3,"hh")</f>
        <v>20</v>
      </c>
      <c r="S3" s="13" t="str">
        <f t="shared" ref="S3:S66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2025-09-18T05:23:41Z</dcterms:modified>
</cp:coreProperties>
</file>