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710247BE-D4F9-4710-BA8C-2B2648285B88}" xr6:coauthVersionLast="47" xr6:coauthVersionMax="47" xr10:uidLastSave="{00000000-0000-0000-0000-000000000000}"/>
  <bookViews>
    <workbookView xWindow="-120" yWindow="-120" windowWidth="29040" windowHeight="15720" tabRatio="803" activeTab="3" xr2:uid="{00000000-000D-0000-FFFF-FFFF00000000}"/>
  </bookViews>
  <sheets>
    <sheet name="Strategy_Builder" sheetId="1" r:id="rId1"/>
    <sheet name="Overall" sheetId="8" r:id="rId2"/>
    <sheet name="strategy_01" sheetId="9" r:id="rId3"/>
    <sheet name="Positions_Demo" sheetId="2" r:id="rId4"/>
    <sheet name="Deals_Demo" sheetId="3" r:id="rId5"/>
  </sheets>
  <definedNames>
    <definedName name="_xlnm._FilterDatabase" localSheetId="3" hidden="1">Positions_Demo!$A$1:$AA$260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90" i="3" l="1"/>
  <c r="P1090" i="3" s="1"/>
  <c r="O1091" i="3"/>
  <c r="P1091" i="3"/>
  <c r="R1091" i="3" s="1"/>
  <c r="O1092" i="3"/>
  <c r="P1092" i="3" s="1"/>
  <c r="O1093" i="3"/>
  <c r="P1093" i="3" s="1"/>
  <c r="O1094" i="3"/>
  <c r="P1094" i="3"/>
  <c r="S1094" i="3" s="1"/>
  <c r="Q1094" i="3"/>
  <c r="R1094" i="3"/>
  <c r="O1095" i="3"/>
  <c r="P1095" i="3"/>
  <c r="Q1095" i="3" s="1"/>
  <c r="S1095" i="3"/>
  <c r="O1096" i="3"/>
  <c r="P1096" i="3" s="1"/>
  <c r="O1097" i="3"/>
  <c r="P1097" i="3"/>
  <c r="Q1097" i="3"/>
  <c r="R1097" i="3"/>
  <c r="S1097" i="3"/>
  <c r="O1098" i="3"/>
  <c r="P1098" i="3" s="1"/>
  <c r="O1099" i="3"/>
  <c r="P1099" i="3"/>
  <c r="R1099" i="3" s="1"/>
  <c r="O1100" i="3"/>
  <c r="P1100" i="3" s="1"/>
  <c r="O1101" i="3"/>
  <c r="P1101" i="3" s="1"/>
  <c r="O1102" i="3"/>
  <c r="P1102" i="3"/>
  <c r="S1102" i="3" s="1"/>
  <c r="W553" i="2" s="1"/>
  <c r="Q1102" i="3"/>
  <c r="R1102" i="3"/>
  <c r="V553" i="2" s="1"/>
  <c r="O1103" i="3"/>
  <c r="P1103" i="3"/>
  <c r="Q1103" i="3" s="1"/>
  <c r="S1103" i="3"/>
  <c r="O1104" i="3"/>
  <c r="S555" i="2" s="1"/>
  <c r="O1105" i="3"/>
  <c r="P1105" i="3"/>
  <c r="Q1105" i="3"/>
  <c r="R1105" i="3"/>
  <c r="V556" i="2" s="1"/>
  <c r="S1105" i="3"/>
  <c r="W556" i="2" s="1"/>
  <c r="O1106" i="3"/>
  <c r="P1106" i="3" s="1"/>
  <c r="O1107" i="3"/>
  <c r="P1107" i="3"/>
  <c r="R1107" i="3" s="1"/>
  <c r="V558" i="2" s="1"/>
  <c r="O1108" i="3"/>
  <c r="P1108" i="3" s="1"/>
  <c r="O1109" i="3"/>
  <c r="P1109" i="3" s="1"/>
  <c r="O1110" i="3"/>
  <c r="P1110" i="3"/>
  <c r="S1110" i="3" s="1"/>
  <c r="Q1110" i="3"/>
  <c r="R1110" i="3"/>
  <c r="O1111" i="3"/>
  <c r="P1111" i="3"/>
  <c r="Q1111" i="3" s="1"/>
  <c r="S1111" i="3"/>
  <c r="O1112" i="3"/>
  <c r="P1112" i="3" s="1"/>
  <c r="O1113" i="3"/>
  <c r="P1113" i="3"/>
  <c r="Q1113" i="3"/>
  <c r="R1113" i="3"/>
  <c r="S1113" i="3"/>
  <c r="O1114" i="3"/>
  <c r="P1114" i="3" s="1"/>
  <c r="O1115" i="3"/>
  <c r="P1115" i="3"/>
  <c r="R1115" i="3" s="1"/>
  <c r="O1116" i="3"/>
  <c r="P1116" i="3" s="1"/>
  <c r="O1117" i="3"/>
  <c r="P1117" i="3" s="1"/>
  <c r="O1118" i="3"/>
  <c r="P1118" i="3"/>
  <c r="S1118" i="3" s="1"/>
  <c r="Q1118" i="3"/>
  <c r="R1118" i="3"/>
  <c r="O1119" i="3"/>
  <c r="P1119" i="3"/>
  <c r="Q1119" i="3" s="1"/>
  <c r="S1119" i="3"/>
  <c r="O1120" i="3"/>
  <c r="S562" i="2" s="1"/>
  <c r="O1121" i="3"/>
  <c r="P1121" i="3"/>
  <c r="Q1121" i="3"/>
  <c r="R1121" i="3"/>
  <c r="V563" i="2" s="1"/>
  <c r="S1121" i="3"/>
  <c r="O1122" i="3"/>
  <c r="P1122" i="3" s="1"/>
  <c r="O1123" i="3"/>
  <c r="P1123" i="3"/>
  <c r="R1123" i="3" s="1"/>
  <c r="V565" i="2" s="1"/>
  <c r="O1124" i="3"/>
  <c r="P1124" i="3" s="1"/>
  <c r="O1125" i="3"/>
  <c r="P1125" i="3" s="1"/>
  <c r="O1126" i="3"/>
  <c r="P1126" i="3"/>
  <c r="S1126" i="3" s="1"/>
  <c r="Q1126" i="3"/>
  <c r="R1126" i="3"/>
  <c r="O1127" i="3"/>
  <c r="P1127" i="3"/>
  <c r="Q1127" i="3" s="1"/>
  <c r="S1127" i="3"/>
  <c r="O1128" i="3"/>
  <c r="P1128" i="3" s="1"/>
  <c r="O1129" i="3"/>
  <c r="P1129" i="3"/>
  <c r="Q1129" i="3"/>
  <c r="R1129" i="3"/>
  <c r="S1129" i="3"/>
  <c r="O1130" i="3"/>
  <c r="P1130" i="3" s="1"/>
  <c r="O1131" i="3"/>
  <c r="P1131" i="3"/>
  <c r="R1131" i="3" s="1"/>
  <c r="O1132" i="3"/>
  <c r="P1132" i="3" s="1"/>
  <c r="O1133" i="3"/>
  <c r="P1133" i="3" s="1"/>
  <c r="O1134" i="3"/>
  <c r="P1134" i="3"/>
  <c r="S1134" i="3" s="1"/>
  <c r="W569" i="2" s="1"/>
  <c r="Q1134" i="3"/>
  <c r="R1134" i="3"/>
  <c r="V569" i="2" s="1"/>
  <c r="O1135" i="3"/>
  <c r="P1135" i="3"/>
  <c r="Q1135" i="3" s="1"/>
  <c r="S1135" i="3"/>
  <c r="O1136" i="3"/>
  <c r="P1136" i="3" s="1"/>
  <c r="O1137" i="3"/>
  <c r="P1137" i="3"/>
  <c r="Q1137" i="3"/>
  <c r="R1137" i="3"/>
  <c r="S1137" i="3"/>
  <c r="O1138" i="3"/>
  <c r="P1138" i="3" s="1"/>
  <c r="O1139" i="3"/>
  <c r="P1139" i="3"/>
  <c r="R1139" i="3" s="1"/>
  <c r="V571" i="2" s="1"/>
  <c r="O1140" i="3"/>
  <c r="P1140" i="3" s="1"/>
  <c r="O1141" i="3"/>
  <c r="P1141" i="3" s="1"/>
  <c r="O1142" i="3"/>
  <c r="P1142" i="3"/>
  <c r="S1142" i="3" s="1"/>
  <c r="W574" i="2" s="1"/>
  <c r="Q1142" i="3"/>
  <c r="R1142" i="3"/>
  <c r="V574" i="2" s="1"/>
  <c r="O1143" i="3"/>
  <c r="P1143" i="3"/>
  <c r="Q1143" i="3" s="1"/>
  <c r="S1143" i="3"/>
  <c r="O1144" i="3"/>
  <c r="P1144" i="3" s="1"/>
  <c r="O1145" i="3"/>
  <c r="P1145" i="3"/>
  <c r="Q1145" i="3"/>
  <c r="R1145" i="3"/>
  <c r="V577" i="2" s="1"/>
  <c r="S1145" i="3"/>
  <c r="O1146" i="3"/>
  <c r="P1146" i="3" s="1"/>
  <c r="O1147" i="3"/>
  <c r="P1147" i="3"/>
  <c r="R1147" i="3" s="1"/>
  <c r="O1148" i="3"/>
  <c r="P1148" i="3" s="1"/>
  <c r="O1149" i="3"/>
  <c r="P1149" i="3" s="1"/>
  <c r="O1150" i="3"/>
  <c r="P1150" i="3"/>
  <c r="S1150" i="3" s="1"/>
  <c r="Q1150" i="3"/>
  <c r="R1150" i="3"/>
  <c r="O1151" i="3"/>
  <c r="P1151" i="3"/>
  <c r="Q1151" i="3" s="1"/>
  <c r="S1151" i="3"/>
  <c r="O1152" i="3"/>
  <c r="S579" i="2" s="1"/>
  <c r="O1153" i="3"/>
  <c r="P1153" i="3"/>
  <c r="Q1153" i="3"/>
  <c r="R1153" i="3"/>
  <c r="V580" i="2" s="1"/>
  <c r="S1153" i="3"/>
  <c r="O1154" i="3"/>
  <c r="P1154" i="3" s="1"/>
  <c r="O1155" i="3"/>
  <c r="P1155" i="3"/>
  <c r="R1155" i="3" s="1"/>
  <c r="V582" i="2" s="1"/>
  <c r="O1156" i="3"/>
  <c r="P1156" i="3" s="1"/>
  <c r="O1157" i="3"/>
  <c r="P1157" i="3" s="1"/>
  <c r="O1158" i="3"/>
  <c r="P1158" i="3"/>
  <c r="S1158" i="3" s="1"/>
  <c r="Q1158" i="3"/>
  <c r="R1158" i="3"/>
  <c r="O1159" i="3"/>
  <c r="P1159" i="3"/>
  <c r="Q1159" i="3" s="1"/>
  <c r="S1159" i="3"/>
  <c r="O1160" i="3"/>
  <c r="P1160" i="3" s="1"/>
  <c r="O1161" i="3"/>
  <c r="P1161" i="3"/>
  <c r="Q1161" i="3"/>
  <c r="R1161" i="3"/>
  <c r="V584" i="2" s="1"/>
  <c r="S1161" i="3"/>
  <c r="O1162" i="3"/>
  <c r="P1162" i="3" s="1"/>
  <c r="O1163" i="3"/>
  <c r="P1163" i="3"/>
  <c r="R1163" i="3" s="1"/>
  <c r="V586" i="2" s="1"/>
  <c r="O1164" i="3"/>
  <c r="P1164" i="3" s="1"/>
  <c r="O1165" i="3"/>
  <c r="P1165" i="3" s="1"/>
  <c r="O1166" i="3"/>
  <c r="P1166" i="3"/>
  <c r="S1166" i="3" s="1"/>
  <c r="Q1166" i="3"/>
  <c r="R1166" i="3"/>
  <c r="O1167" i="3"/>
  <c r="P1167" i="3"/>
  <c r="Q1167" i="3" s="1"/>
  <c r="S1167" i="3"/>
  <c r="O1168" i="3"/>
  <c r="S587" i="2" s="1"/>
  <c r="O1169" i="3"/>
  <c r="P1169" i="3"/>
  <c r="Q1169" i="3"/>
  <c r="R1169" i="3"/>
  <c r="V588" i="2" s="1"/>
  <c r="S1169" i="3"/>
  <c r="O1170" i="3"/>
  <c r="P1170" i="3" s="1"/>
  <c r="O1171" i="3"/>
  <c r="P1171" i="3"/>
  <c r="R1171" i="3" s="1"/>
  <c r="V590" i="2" s="1"/>
  <c r="O1172" i="3"/>
  <c r="P1172" i="3" s="1"/>
  <c r="O1173" i="3"/>
  <c r="P1173" i="3" s="1"/>
  <c r="O1174" i="3"/>
  <c r="P1174" i="3"/>
  <c r="S1174" i="3" s="1"/>
  <c r="Q1174" i="3"/>
  <c r="R1174" i="3"/>
  <c r="O1175" i="3"/>
  <c r="P1175" i="3"/>
  <c r="Q1175" i="3" s="1"/>
  <c r="S1175" i="3"/>
  <c r="O1176" i="3"/>
  <c r="P1176" i="3" s="1"/>
  <c r="O1177" i="3"/>
  <c r="P1177" i="3"/>
  <c r="Q1177" i="3"/>
  <c r="R1177" i="3"/>
  <c r="S1177" i="3"/>
  <c r="O1178" i="3"/>
  <c r="P1178" i="3" s="1"/>
  <c r="O1179" i="3"/>
  <c r="P1179" i="3"/>
  <c r="R1179" i="3" s="1"/>
  <c r="O1180" i="3"/>
  <c r="P1180" i="3" s="1"/>
  <c r="O1181" i="3"/>
  <c r="P1181" i="3" s="1"/>
  <c r="O1182" i="3"/>
  <c r="P1182" i="3"/>
  <c r="S1182" i="3" s="1"/>
  <c r="Q1182" i="3"/>
  <c r="R1182" i="3"/>
  <c r="O1183" i="3"/>
  <c r="P1183" i="3"/>
  <c r="Q1183" i="3" s="1"/>
  <c r="S1183" i="3"/>
  <c r="O1184" i="3"/>
  <c r="P1184" i="3" s="1"/>
  <c r="O1185" i="3"/>
  <c r="P1185" i="3"/>
  <c r="Q1185" i="3"/>
  <c r="R1185" i="3"/>
  <c r="S1185" i="3"/>
  <c r="O1186" i="3"/>
  <c r="P1186" i="3" s="1"/>
  <c r="O1187" i="3"/>
  <c r="P1187" i="3"/>
  <c r="R1187" i="3" s="1"/>
  <c r="O1188" i="3"/>
  <c r="P1188" i="3" s="1"/>
  <c r="O1189" i="3"/>
  <c r="P1189" i="3" s="1"/>
  <c r="O1190" i="3"/>
  <c r="P1190" i="3"/>
  <c r="S1190" i="3" s="1"/>
  <c r="Q1190" i="3"/>
  <c r="R1190" i="3"/>
  <c r="N545" i="2"/>
  <c r="O545" i="2"/>
  <c r="R545" i="2" s="1"/>
  <c r="P545" i="2"/>
  <c r="Q545" i="2"/>
  <c r="X545" i="2"/>
  <c r="Y545" i="2"/>
  <c r="Z545" i="2"/>
  <c r="AA545" i="2"/>
  <c r="N546" i="2"/>
  <c r="O546" i="2"/>
  <c r="R546" i="2" s="1"/>
  <c r="P546" i="2"/>
  <c r="Q546" i="2"/>
  <c r="X546" i="2"/>
  <c r="Y546" i="2"/>
  <c r="Z546" i="2"/>
  <c r="AA546" i="2"/>
  <c r="N547" i="2"/>
  <c r="O547" i="2"/>
  <c r="R547" i="2" s="1"/>
  <c r="P547" i="2"/>
  <c r="Q547" i="2"/>
  <c r="S547" i="2"/>
  <c r="X547" i="2"/>
  <c r="Y547" i="2"/>
  <c r="Z547" i="2"/>
  <c r="AA547" i="2"/>
  <c r="N548" i="2"/>
  <c r="O548" i="2"/>
  <c r="P548" i="2"/>
  <c r="Q548" i="2"/>
  <c r="R548" i="2"/>
  <c r="X548" i="2"/>
  <c r="Y548" i="2"/>
  <c r="Z548" i="2"/>
  <c r="AA548" i="2"/>
  <c r="N549" i="2"/>
  <c r="O549" i="2"/>
  <c r="R549" i="2" s="1"/>
  <c r="P549" i="2"/>
  <c r="Q549" i="2"/>
  <c r="X549" i="2"/>
  <c r="Y549" i="2"/>
  <c r="Z549" i="2"/>
  <c r="AA549" i="2"/>
  <c r="N550" i="2"/>
  <c r="O550" i="2"/>
  <c r="R550" i="2" s="1"/>
  <c r="P550" i="2"/>
  <c r="Q550" i="2"/>
  <c r="S550" i="2"/>
  <c r="T550" i="2"/>
  <c r="U550" i="2"/>
  <c r="V550" i="2"/>
  <c r="W550" i="2"/>
  <c r="X550" i="2"/>
  <c r="Y550" i="2"/>
  <c r="Z550" i="2"/>
  <c r="AA550" i="2"/>
  <c r="N551" i="2"/>
  <c r="O551" i="2"/>
  <c r="R551" i="2" s="1"/>
  <c r="P551" i="2"/>
  <c r="Q551" i="2"/>
  <c r="S551" i="2"/>
  <c r="X551" i="2"/>
  <c r="Y551" i="2"/>
  <c r="Z551" i="2"/>
  <c r="AA551" i="2"/>
  <c r="N552" i="2"/>
  <c r="O552" i="2"/>
  <c r="P552" i="2"/>
  <c r="Q552" i="2"/>
  <c r="R552" i="2"/>
  <c r="X552" i="2"/>
  <c r="Y552" i="2"/>
  <c r="Z552" i="2"/>
  <c r="AA552" i="2"/>
  <c r="N553" i="2"/>
  <c r="O553" i="2"/>
  <c r="R553" i="2" s="1"/>
  <c r="P553" i="2"/>
  <c r="Q553" i="2"/>
  <c r="S553" i="2"/>
  <c r="T553" i="2"/>
  <c r="U553" i="2" s="1"/>
  <c r="X553" i="2"/>
  <c r="Y553" i="2"/>
  <c r="Z553" i="2"/>
  <c r="AA553" i="2"/>
  <c r="N554" i="2"/>
  <c r="O554" i="2"/>
  <c r="R554" i="2" s="1"/>
  <c r="P554" i="2"/>
  <c r="Q554" i="2"/>
  <c r="S554" i="2"/>
  <c r="T554" i="2"/>
  <c r="U554" i="2" s="1"/>
  <c r="W554" i="2"/>
  <c r="X554" i="2"/>
  <c r="Y554" i="2"/>
  <c r="Z554" i="2"/>
  <c r="AA554" i="2"/>
  <c r="N555" i="2"/>
  <c r="O555" i="2"/>
  <c r="R555" i="2" s="1"/>
  <c r="P555" i="2"/>
  <c r="Q555" i="2"/>
  <c r="X555" i="2"/>
  <c r="Y555" i="2"/>
  <c r="Z555" i="2"/>
  <c r="AA555" i="2"/>
  <c r="N556" i="2"/>
  <c r="O556" i="2"/>
  <c r="R556" i="2" s="1"/>
  <c r="P556" i="2"/>
  <c r="Q556" i="2"/>
  <c r="S556" i="2"/>
  <c r="T556" i="2"/>
  <c r="U556" i="2"/>
  <c r="X556" i="2"/>
  <c r="Y556" i="2"/>
  <c r="Z556" i="2"/>
  <c r="AA556" i="2"/>
  <c r="N557" i="2"/>
  <c r="O557" i="2"/>
  <c r="R557" i="2" s="1"/>
  <c r="P557" i="2"/>
  <c r="Q557" i="2"/>
  <c r="S557" i="2"/>
  <c r="X557" i="2"/>
  <c r="Y557" i="2"/>
  <c r="Z557" i="2"/>
  <c r="AA557" i="2"/>
  <c r="N558" i="2"/>
  <c r="O558" i="2"/>
  <c r="R558" i="2" s="1"/>
  <c r="P558" i="2"/>
  <c r="Q558" i="2"/>
  <c r="S558" i="2"/>
  <c r="X558" i="2"/>
  <c r="Y558" i="2"/>
  <c r="Z558" i="2"/>
  <c r="AA558" i="2"/>
  <c r="N559" i="2"/>
  <c r="O559" i="2"/>
  <c r="R559" i="2" s="1"/>
  <c r="P559" i="2"/>
  <c r="Q559" i="2"/>
  <c r="S559" i="2"/>
  <c r="X559" i="2"/>
  <c r="Y559" i="2"/>
  <c r="Z559" i="2"/>
  <c r="AA559" i="2"/>
  <c r="N560" i="2"/>
  <c r="O560" i="2"/>
  <c r="R560" i="2" s="1"/>
  <c r="P560" i="2"/>
  <c r="Q560" i="2"/>
  <c r="S560" i="2"/>
  <c r="X560" i="2"/>
  <c r="Y560" i="2"/>
  <c r="Z560" i="2"/>
  <c r="AA560" i="2"/>
  <c r="N561" i="2"/>
  <c r="O561" i="2"/>
  <c r="R561" i="2" s="1"/>
  <c r="P561" i="2"/>
  <c r="Q561" i="2"/>
  <c r="S561" i="2"/>
  <c r="X561" i="2"/>
  <c r="Y561" i="2"/>
  <c r="Z561" i="2"/>
  <c r="AA561" i="2"/>
  <c r="N562" i="2"/>
  <c r="O562" i="2"/>
  <c r="R562" i="2" s="1"/>
  <c r="P562" i="2"/>
  <c r="Q562" i="2"/>
  <c r="X562" i="2"/>
  <c r="Y562" i="2"/>
  <c r="Z562" i="2"/>
  <c r="AA562" i="2"/>
  <c r="N563" i="2"/>
  <c r="O563" i="2"/>
  <c r="R563" i="2" s="1"/>
  <c r="P563" i="2"/>
  <c r="Q563" i="2"/>
  <c r="S563" i="2"/>
  <c r="T563" i="2"/>
  <c r="U563" i="2" s="1"/>
  <c r="W563" i="2"/>
  <c r="X563" i="2"/>
  <c r="Y563" i="2"/>
  <c r="Z563" i="2"/>
  <c r="AA563" i="2"/>
  <c r="N564" i="2"/>
  <c r="O564" i="2"/>
  <c r="R564" i="2" s="1"/>
  <c r="P564" i="2"/>
  <c r="Q564" i="2"/>
  <c r="S564" i="2"/>
  <c r="X564" i="2"/>
  <c r="Y564" i="2"/>
  <c r="Z564" i="2"/>
  <c r="AA564" i="2"/>
  <c r="N565" i="2"/>
  <c r="O565" i="2"/>
  <c r="R565" i="2" s="1"/>
  <c r="P565" i="2"/>
  <c r="Q565" i="2"/>
  <c r="S565" i="2"/>
  <c r="X565" i="2"/>
  <c r="Y565" i="2"/>
  <c r="Z565" i="2"/>
  <c r="AA565" i="2"/>
  <c r="N566" i="2"/>
  <c r="O566" i="2"/>
  <c r="R566" i="2" s="1"/>
  <c r="P566" i="2"/>
  <c r="Q566" i="2"/>
  <c r="S566" i="2"/>
  <c r="X566" i="2"/>
  <c r="Y566" i="2"/>
  <c r="Z566" i="2"/>
  <c r="AA566" i="2"/>
  <c r="N567" i="2"/>
  <c r="O567" i="2"/>
  <c r="R567" i="2" s="1"/>
  <c r="P567" i="2"/>
  <c r="Q567" i="2"/>
  <c r="S567" i="2"/>
  <c r="X567" i="2"/>
  <c r="Y567" i="2"/>
  <c r="Z567" i="2"/>
  <c r="AA567" i="2"/>
  <c r="N568" i="2"/>
  <c r="O568" i="2"/>
  <c r="R568" i="2" s="1"/>
  <c r="P568" i="2"/>
  <c r="Q568" i="2"/>
  <c r="X568" i="2"/>
  <c r="Y568" i="2"/>
  <c r="Z568" i="2"/>
  <c r="AA568" i="2"/>
  <c r="N569" i="2"/>
  <c r="O569" i="2"/>
  <c r="R569" i="2" s="1"/>
  <c r="P569" i="2"/>
  <c r="Q569" i="2"/>
  <c r="S569" i="2"/>
  <c r="T569" i="2"/>
  <c r="U569" i="2" s="1"/>
  <c r="X569" i="2"/>
  <c r="Y569" i="2"/>
  <c r="Z569" i="2"/>
  <c r="AA569" i="2"/>
  <c r="N570" i="2"/>
  <c r="O570" i="2"/>
  <c r="R570" i="2" s="1"/>
  <c r="P570" i="2"/>
  <c r="Q570" i="2"/>
  <c r="S570" i="2"/>
  <c r="X570" i="2"/>
  <c r="Y570" i="2"/>
  <c r="Z570" i="2"/>
  <c r="AA570" i="2"/>
  <c r="N571" i="2"/>
  <c r="O571" i="2"/>
  <c r="R571" i="2" s="1"/>
  <c r="P571" i="2"/>
  <c r="Q571" i="2"/>
  <c r="S571" i="2"/>
  <c r="X571" i="2"/>
  <c r="Y571" i="2"/>
  <c r="Z571" i="2"/>
  <c r="AA571" i="2"/>
  <c r="N572" i="2"/>
  <c r="O572" i="2"/>
  <c r="R572" i="2" s="1"/>
  <c r="P572" i="2"/>
  <c r="Q572" i="2"/>
  <c r="S572" i="2"/>
  <c r="X572" i="2"/>
  <c r="Y572" i="2"/>
  <c r="Z572" i="2"/>
  <c r="AA572" i="2"/>
  <c r="N573" i="2"/>
  <c r="O573" i="2"/>
  <c r="R573" i="2" s="1"/>
  <c r="P573" i="2"/>
  <c r="Q573" i="2"/>
  <c r="X573" i="2"/>
  <c r="Y573" i="2"/>
  <c r="Z573" i="2"/>
  <c r="AA573" i="2"/>
  <c r="N574" i="2"/>
  <c r="O574" i="2"/>
  <c r="R574" i="2" s="1"/>
  <c r="P574" i="2"/>
  <c r="Q574" i="2"/>
  <c r="S574" i="2"/>
  <c r="T574" i="2"/>
  <c r="U574" i="2" s="1"/>
  <c r="X574" i="2"/>
  <c r="Y574" i="2"/>
  <c r="Z574" i="2"/>
  <c r="AA574" i="2"/>
  <c r="N575" i="2"/>
  <c r="O575" i="2"/>
  <c r="R575" i="2" s="1"/>
  <c r="P575" i="2"/>
  <c r="Q575" i="2"/>
  <c r="S575" i="2"/>
  <c r="T575" i="2"/>
  <c r="U575" i="2" s="1"/>
  <c r="W575" i="2"/>
  <c r="X575" i="2"/>
  <c r="Y575" i="2"/>
  <c r="Z575" i="2"/>
  <c r="AA575" i="2"/>
  <c r="N576" i="2"/>
  <c r="O576" i="2"/>
  <c r="R576" i="2" s="1"/>
  <c r="P576" i="2"/>
  <c r="Q576" i="2"/>
  <c r="S576" i="2"/>
  <c r="X576" i="2"/>
  <c r="Y576" i="2"/>
  <c r="Z576" i="2"/>
  <c r="AA576" i="2"/>
  <c r="N577" i="2"/>
  <c r="O577" i="2"/>
  <c r="R577" i="2" s="1"/>
  <c r="P577" i="2"/>
  <c r="Q577" i="2"/>
  <c r="S577" i="2"/>
  <c r="T577" i="2"/>
  <c r="U577" i="2" s="1"/>
  <c r="W577" i="2"/>
  <c r="X577" i="2"/>
  <c r="Y577" i="2"/>
  <c r="Z577" i="2"/>
  <c r="AA577" i="2"/>
  <c r="N578" i="2"/>
  <c r="O578" i="2"/>
  <c r="P578" i="2"/>
  <c r="Q578" i="2"/>
  <c r="R578" i="2"/>
  <c r="S578" i="2"/>
  <c r="X578" i="2"/>
  <c r="Y578" i="2"/>
  <c r="Z578" i="2"/>
  <c r="AA578" i="2"/>
  <c r="N579" i="2"/>
  <c r="O579" i="2"/>
  <c r="P579" i="2"/>
  <c r="Q579" i="2"/>
  <c r="R579" i="2"/>
  <c r="X579" i="2"/>
  <c r="Y579" i="2"/>
  <c r="Z579" i="2"/>
  <c r="AA579" i="2"/>
  <c r="N580" i="2"/>
  <c r="O580" i="2"/>
  <c r="R580" i="2" s="1"/>
  <c r="P580" i="2"/>
  <c r="Q580" i="2"/>
  <c r="S580" i="2"/>
  <c r="T580" i="2"/>
  <c r="U580" i="2"/>
  <c r="W580" i="2"/>
  <c r="X580" i="2"/>
  <c r="Y580" i="2"/>
  <c r="Z580" i="2"/>
  <c r="AA580" i="2"/>
  <c r="N581" i="2"/>
  <c r="O581" i="2"/>
  <c r="R581" i="2" s="1"/>
  <c r="P581" i="2"/>
  <c r="Q581" i="2"/>
  <c r="S581" i="2"/>
  <c r="X581" i="2"/>
  <c r="Y581" i="2"/>
  <c r="Z581" i="2"/>
  <c r="AA581" i="2"/>
  <c r="N582" i="2"/>
  <c r="O582" i="2"/>
  <c r="P582" i="2"/>
  <c r="Q582" i="2"/>
  <c r="R582" i="2"/>
  <c r="S582" i="2"/>
  <c r="X582" i="2"/>
  <c r="Y582" i="2"/>
  <c r="Z582" i="2"/>
  <c r="AA582" i="2"/>
  <c r="N583" i="2"/>
  <c r="O583" i="2"/>
  <c r="P583" i="2"/>
  <c r="Q583" i="2"/>
  <c r="R583" i="2"/>
  <c r="S583" i="2"/>
  <c r="X583" i="2"/>
  <c r="Y583" i="2"/>
  <c r="Z583" i="2"/>
  <c r="AA583" i="2"/>
  <c r="N584" i="2"/>
  <c r="O584" i="2"/>
  <c r="R584" i="2" s="1"/>
  <c r="P584" i="2"/>
  <c r="Q584" i="2"/>
  <c r="S584" i="2"/>
  <c r="T584" i="2"/>
  <c r="U584" i="2" s="1"/>
  <c r="W584" i="2"/>
  <c r="X584" i="2"/>
  <c r="Y584" i="2"/>
  <c r="Z584" i="2"/>
  <c r="AA584" i="2"/>
  <c r="N585" i="2"/>
  <c r="O585" i="2"/>
  <c r="R585" i="2" s="1"/>
  <c r="P585" i="2"/>
  <c r="Q585" i="2"/>
  <c r="S585" i="2"/>
  <c r="X585" i="2"/>
  <c r="Y585" i="2"/>
  <c r="Z585" i="2"/>
  <c r="AA585" i="2"/>
  <c r="N586" i="2"/>
  <c r="O586" i="2"/>
  <c r="P586" i="2"/>
  <c r="Q586" i="2"/>
  <c r="R586" i="2"/>
  <c r="S586" i="2"/>
  <c r="X586" i="2"/>
  <c r="Y586" i="2"/>
  <c r="Z586" i="2"/>
  <c r="AA586" i="2"/>
  <c r="N587" i="2"/>
  <c r="O587" i="2"/>
  <c r="P587" i="2"/>
  <c r="Q587" i="2"/>
  <c r="R587" i="2"/>
  <c r="X587" i="2"/>
  <c r="Y587" i="2"/>
  <c r="Z587" i="2"/>
  <c r="AA587" i="2"/>
  <c r="N588" i="2"/>
  <c r="O588" i="2"/>
  <c r="R588" i="2" s="1"/>
  <c r="P588" i="2"/>
  <c r="Q588" i="2"/>
  <c r="S588" i="2"/>
  <c r="T588" i="2"/>
  <c r="U588" i="2" s="1"/>
  <c r="W588" i="2"/>
  <c r="X588" i="2"/>
  <c r="Y588" i="2"/>
  <c r="Z588" i="2"/>
  <c r="AA588" i="2"/>
  <c r="N589" i="2"/>
  <c r="O589" i="2"/>
  <c r="R589" i="2" s="1"/>
  <c r="P589" i="2"/>
  <c r="Q589" i="2"/>
  <c r="S589" i="2"/>
  <c r="X589" i="2"/>
  <c r="Y589" i="2"/>
  <c r="Z589" i="2"/>
  <c r="AA589" i="2"/>
  <c r="N590" i="2"/>
  <c r="O590" i="2"/>
  <c r="P590" i="2"/>
  <c r="Q590" i="2"/>
  <c r="R590" i="2"/>
  <c r="S590" i="2"/>
  <c r="X590" i="2"/>
  <c r="Y590" i="2"/>
  <c r="Z590" i="2"/>
  <c r="AA590" i="2"/>
  <c r="N591" i="2"/>
  <c r="O591" i="2"/>
  <c r="P591" i="2"/>
  <c r="Q591" i="2"/>
  <c r="R591" i="2"/>
  <c r="S591" i="2"/>
  <c r="X591" i="2"/>
  <c r="Y591" i="2"/>
  <c r="Z591" i="2"/>
  <c r="AA591" i="2"/>
  <c r="AA37" i="8"/>
  <c r="AA39" i="8" s="1"/>
  <c r="AB37" i="8"/>
  <c r="AC37" i="8"/>
  <c r="AA38" i="8"/>
  <c r="AB38" i="8"/>
  <c r="AC38" i="8"/>
  <c r="AB39" i="8"/>
  <c r="AC39" i="8"/>
  <c r="O880" i="3"/>
  <c r="O881" i="3"/>
  <c r="P881" i="3"/>
  <c r="O882" i="3"/>
  <c r="O883" i="3"/>
  <c r="O884" i="3"/>
  <c r="P884" i="3" s="1"/>
  <c r="Q884" i="3" s="1"/>
  <c r="O885" i="3"/>
  <c r="P885" i="3"/>
  <c r="O886" i="3"/>
  <c r="P886" i="3" s="1"/>
  <c r="O887" i="3"/>
  <c r="P887" i="3"/>
  <c r="R887" i="3"/>
  <c r="O888" i="3"/>
  <c r="P888" i="3" s="1"/>
  <c r="O889" i="3"/>
  <c r="P889" i="3" s="1"/>
  <c r="O890" i="3"/>
  <c r="P890" i="3" s="1"/>
  <c r="R890" i="3" s="1"/>
  <c r="Q890" i="3"/>
  <c r="S890" i="3"/>
  <c r="O891" i="3"/>
  <c r="P891" i="3" s="1"/>
  <c r="O892" i="3"/>
  <c r="P892" i="3" s="1"/>
  <c r="O893" i="3"/>
  <c r="P893" i="3"/>
  <c r="O894" i="3"/>
  <c r="P894" i="3" s="1"/>
  <c r="O895" i="3"/>
  <c r="P895" i="3" s="1"/>
  <c r="O896" i="3"/>
  <c r="P896" i="3" s="1"/>
  <c r="S896" i="3"/>
  <c r="W453" i="2" s="1"/>
  <c r="O897" i="3"/>
  <c r="P897" i="3"/>
  <c r="O898" i="3"/>
  <c r="P898" i="3" s="1"/>
  <c r="S898" i="3"/>
  <c r="O899" i="3"/>
  <c r="P899" i="3" s="1"/>
  <c r="O900" i="3"/>
  <c r="P900" i="3" s="1"/>
  <c r="Q900" i="3" s="1"/>
  <c r="O901" i="3"/>
  <c r="P901" i="3"/>
  <c r="Q901" i="3" s="1"/>
  <c r="R901" i="3"/>
  <c r="O902" i="3"/>
  <c r="P902" i="3" s="1"/>
  <c r="O903" i="3"/>
  <c r="P903" i="3"/>
  <c r="O904" i="3"/>
  <c r="P904" i="3" s="1"/>
  <c r="S904" i="3" s="1"/>
  <c r="O905" i="3"/>
  <c r="P905" i="3"/>
  <c r="O906" i="3"/>
  <c r="O907" i="3"/>
  <c r="P907" i="3"/>
  <c r="Q907" i="3" s="1"/>
  <c r="R907" i="3"/>
  <c r="O908" i="3"/>
  <c r="P908" i="3" s="1"/>
  <c r="Q908" i="3" s="1"/>
  <c r="O909" i="3"/>
  <c r="P909" i="3"/>
  <c r="O910" i="3"/>
  <c r="P910" i="3" s="1"/>
  <c r="S910" i="3"/>
  <c r="W457" i="2" s="1"/>
  <c r="O911" i="3"/>
  <c r="P911" i="3"/>
  <c r="R911" i="3"/>
  <c r="O912" i="3"/>
  <c r="P912" i="3" s="1"/>
  <c r="R912" i="3" s="1"/>
  <c r="Q912" i="3"/>
  <c r="O913" i="3"/>
  <c r="P913" i="3" s="1"/>
  <c r="O914" i="3"/>
  <c r="P914" i="3" s="1"/>
  <c r="O915" i="3"/>
  <c r="O916" i="3"/>
  <c r="P916" i="3" s="1"/>
  <c r="Q916" i="3"/>
  <c r="O917" i="3"/>
  <c r="P917" i="3" s="1"/>
  <c r="R917" i="3"/>
  <c r="V461" i="2" s="1"/>
  <c r="O918" i="3"/>
  <c r="O919" i="3"/>
  <c r="P919" i="3" s="1"/>
  <c r="R919" i="3"/>
  <c r="O920" i="3"/>
  <c r="P920" i="3" s="1"/>
  <c r="O921" i="3"/>
  <c r="P921" i="3"/>
  <c r="O922" i="3"/>
  <c r="P922" i="3" s="1"/>
  <c r="S922" i="3"/>
  <c r="W465" i="2" s="1"/>
  <c r="O923" i="3"/>
  <c r="P923" i="3" s="1"/>
  <c r="O924" i="3"/>
  <c r="P924" i="3" s="1"/>
  <c r="Q924" i="3" s="1"/>
  <c r="O925" i="3"/>
  <c r="P925" i="3" s="1"/>
  <c r="R925" i="3" s="1"/>
  <c r="O926" i="3"/>
  <c r="P926" i="3" s="1"/>
  <c r="S926" i="3" s="1"/>
  <c r="O927" i="3"/>
  <c r="P927" i="3"/>
  <c r="R927" i="3" s="1"/>
  <c r="O928" i="3"/>
  <c r="P928" i="3" s="1"/>
  <c r="R928" i="3" s="1"/>
  <c r="S928" i="3"/>
  <c r="O929" i="3"/>
  <c r="P929" i="3" s="1"/>
  <c r="O930" i="3"/>
  <c r="P930" i="3" s="1"/>
  <c r="S930" i="3"/>
  <c r="W466" i="2" s="1"/>
  <c r="O931" i="3"/>
  <c r="O932" i="3"/>
  <c r="P932" i="3" s="1"/>
  <c r="Q932" i="3" s="1"/>
  <c r="O933" i="3"/>
  <c r="P933" i="3" s="1"/>
  <c r="O934" i="3"/>
  <c r="P934" i="3" s="1"/>
  <c r="O935" i="3"/>
  <c r="O936" i="3"/>
  <c r="P936" i="3" s="1"/>
  <c r="Q936" i="3" s="1"/>
  <c r="O937" i="3"/>
  <c r="P937" i="3" s="1"/>
  <c r="O938" i="3"/>
  <c r="P938" i="3" s="1"/>
  <c r="R938" i="3" s="1"/>
  <c r="O939" i="3"/>
  <c r="P939" i="3"/>
  <c r="Q939" i="3" s="1"/>
  <c r="R939" i="3"/>
  <c r="O940" i="3"/>
  <c r="P940" i="3" s="1"/>
  <c r="O941" i="3"/>
  <c r="P941" i="3" s="1"/>
  <c r="R941" i="3" s="1"/>
  <c r="O942" i="3"/>
  <c r="P942" i="3" s="1"/>
  <c r="S942" i="3"/>
  <c r="O943" i="3"/>
  <c r="P943" i="3"/>
  <c r="O944" i="3"/>
  <c r="P944" i="3" s="1"/>
  <c r="R944" i="3" s="1"/>
  <c r="V473" i="2" s="1"/>
  <c r="Q944" i="3"/>
  <c r="O945" i="3"/>
  <c r="O946" i="3"/>
  <c r="P946" i="3" s="1"/>
  <c r="R946" i="3" s="1"/>
  <c r="V475" i="2" s="1"/>
  <c r="O947" i="3"/>
  <c r="P947" i="3" s="1"/>
  <c r="Q947" i="3" s="1"/>
  <c r="R947" i="3"/>
  <c r="V476" i="2" s="1"/>
  <c r="O948" i="3"/>
  <c r="P948" i="3" s="1"/>
  <c r="Q948" i="3" s="1"/>
  <c r="O949" i="3"/>
  <c r="O950" i="3"/>
  <c r="O951" i="3"/>
  <c r="P951" i="3"/>
  <c r="R951" i="3"/>
  <c r="O952" i="3"/>
  <c r="O953" i="3"/>
  <c r="P953" i="3" s="1"/>
  <c r="O954" i="3"/>
  <c r="P954" i="3" s="1"/>
  <c r="Q954" i="3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/>
  <c r="R959" i="3" s="1"/>
  <c r="O960" i="3"/>
  <c r="P960" i="3" s="1"/>
  <c r="R960" i="3" s="1"/>
  <c r="Q960" i="3"/>
  <c r="S960" i="3"/>
  <c r="W482" i="2" s="1"/>
  <c r="O961" i="3"/>
  <c r="P961" i="3"/>
  <c r="O962" i="3"/>
  <c r="P962" i="3" s="1"/>
  <c r="Q962" i="3"/>
  <c r="O963" i="3"/>
  <c r="P963" i="3"/>
  <c r="Q963" i="3" s="1"/>
  <c r="O964" i="3"/>
  <c r="P964" i="3" s="1"/>
  <c r="Q964" i="3" s="1"/>
  <c r="O965" i="3"/>
  <c r="P965" i="3"/>
  <c r="R965" i="3"/>
  <c r="O966" i="3"/>
  <c r="P966" i="3" s="1"/>
  <c r="S966" i="3" s="1"/>
  <c r="O967" i="3"/>
  <c r="P967" i="3"/>
  <c r="R967" i="3" s="1"/>
  <c r="O968" i="3"/>
  <c r="P968" i="3" s="1"/>
  <c r="R968" i="3" s="1"/>
  <c r="Q968" i="3"/>
  <c r="S968" i="3"/>
  <c r="O969" i="3"/>
  <c r="P969" i="3"/>
  <c r="O970" i="3"/>
  <c r="P970" i="3" s="1"/>
  <c r="R970" i="3" s="1"/>
  <c r="Q970" i="3"/>
  <c r="O971" i="3"/>
  <c r="P971" i="3" s="1"/>
  <c r="R971" i="3" s="1"/>
  <c r="V487" i="2" s="1"/>
  <c r="O972" i="3"/>
  <c r="O973" i="3"/>
  <c r="P973" i="3" s="1"/>
  <c r="T489" i="2" s="1"/>
  <c r="U489" i="2" s="1"/>
  <c r="O974" i="3"/>
  <c r="O975" i="3"/>
  <c r="P975" i="3"/>
  <c r="R975" i="3" s="1"/>
  <c r="V491" i="2" s="1"/>
  <c r="O976" i="3"/>
  <c r="P976" i="3" s="1"/>
  <c r="R976" i="3" s="1"/>
  <c r="Q976" i="3"/>
  <c r="O977" i="3"/>
  <c r="P977" i="3"/>
  <c r="O978" i="3"/>
  <c r="P978" i="3" s="1"/>
  <c r="R978" i="3" s="1"/>
  <c r="O979" i="3"/>
  <c r="P979" i="3"/>
  <c r="Q979" i="3" s="1"/>
  <c r="O980" i="3"/>
  <c r="P980" i="3" s="1"/>
  <c r="Q980" i="3"/>
  <c r="O981" i="3"/>
  <c r="P981" i="3"/>
  <c r="R981" i="3" s="1"/>
  <c r="O982" i="3"/>
  <c r="P982" i="3" s="1"/>
  <c r="S982" i="3"/>
  <c r="W493" i="2" s="1"/>
  <c r="O983" i="3"/>
  <c r="P983" i="3" s="1"/>
  <c r="O984" i="3"/>
  <c r="P984" i="3" s="1"/>
  <c r="R984" i="3" s="1"/>
  <c r="O985" i="3"/>
  <c r="O986" i="3"/>
  <c r="P986" i="3" s="1"/>
  <c r="R986" i="3" s="1"/>
  <c r="S986" i="3"/>
  <c r="O987" i="3"/>
  <c r="P987" i="3" s="1"/>
  <c r="O988" i="3"/>
  <c r="P988" i="3" s="1"/>
  <c r="Q988" i="3"/>
  <c r="O989" i="3"/>
  <c r="P989" i="3" s="1"/>
  <c r="R989" i="3"/>
  <c r="O990" i="3"/>
  <c r="P990" i="3" s="1"/>
  <c r="S990" i="3" s="1"/>
  <c r="O991" i="3"/>
  <c r="P991" i="3" s="1"/>
  <c r="R991" i="3" s="1"/>
  <c r="O992" i="3"/>
  <c r="P992" i="3" s="1"/>
  <c r="R992" i="3" s="1"/>
  <c r="S992" i="3"/>
  <c r="O993" i="3"/>
  <c r="P993" i="3"/>
  <c r="O994" i="3"/>
  <c r="P994" i="3" s="1"/>
  <c r="R994" i="3" s="1"/>
  <c r="Q994" i="3"/>
  <c r="O995" i="3"/>
  <c r="P995" i="3"/>
  <c r="Q995" i="3" s="1"/>
  <c r="R995" i="3"/>
  <c r="O996" i="3"/>
  <c r="P996" i="3" s="1"/>
  <c r="Q996" i="3" s="1"/>
  <c r="O997" i="3"/>
  <c r="P997" i="3"/>
  <c r="R997" i="3"/>
  <c r="O998" i="3"/>
  <c r="P998" i="3" s="1"/>
  <c r="O999" i="3"/>
  <c r="P999" i="3"/>
  <c r="R999" i="3" s="1"/>
  <c r="O1000" i="3"/>
  <c r="O1001" i="3"/>
  <c r="P1001" i="3"/>
  <c r="O1002" i="3"/>
  <c r="O1003" i="3"/>
  <c r="P1003" i="3" s="1"/>
  <c r="O1004" i="3"/>
  <c r="P1004" i="3" s="1"/>
  <c r="O1005" i="3"/>
  <c r="P1005" i="3"/>
  <c r="R1005" i="3" s="1"/>
  <c r="O1006" i="3"/>
  <c r="O1007" i="3"/>
  <c r="P1007" i="3"/>
  <c r="O1008" i="3"/>
  <c r="P1008" i="3" s="1"/>
  <c r="R1008" i="3" s="1"/>
  <c r="Q1008" i="3"/>
  <c r="O1009" i="3"/>
  <c r="S506" i="2" s="1"/>
  <c r="P1009" i="3"/>
  <c r="T506" i="2" s="1"/>
  <c r="U506" i="2" s="1"/>
  <c r="O1010" i="3"/>
  <c r="P1010" i="3" s="1"/>
  <c r="O1011" i="3"/>
  <c r="P1011" i="3"/>
  <c r="Q1011" i="3" s="1"/>
  <c r="R1011" i="3"/>
  <c r="O1012" i="3"/>
  <c r="P1012" i="3" s="1"/>
  <c r="Q1012" i="3"/>
  <c r="O1013" i="3"/>
  <c r="P1013" i="3"/>
  <c r="O1014" i="3"/>
  <c r="O1015" i="3"/>
  <c r="S510" i="2" s="1"/>
  <c r="P1015" i="3"/>
  <c r="R1015" i="3" s="1"/>
  <c r="O1016" i="3"/>
  <c r="P1016" i="3" s="1"/>
  <c r="R1016" i="3" s="1"/>
  <c r="O1017" i="3"/>
  <c r="P1017" i="3"/>
  <c r="O1018" i="3"/>
  <c r="P1018" i="3" s="1"/>
  <c r="S1018" i="3"/>
  <c r="O1019" i="3"/>
  <c r="P1019" i="3" s="1"/>
  <c r="O1020" i="3"/>
  <c r="P1020" i="3" s="1"/>
  <c r="T511" i="2" s="1"/>
  <c r="U511" i="2" s="1"/>
  <c r="Q1020" i="3"/>
  <c r="O1021" i="3"/>
  <c r="P1021" i="3" s="1"/>
  <c r="R1021" i="3" s="1"/>
  <c r="O1022" i="3"/>
  <c r="P1022" i="3" s="1"/>
  <c r="R1022" i="3" s="1"/>
  <c r="V512" i="2" s="1"/>
  <c r="O1023" i="3"/>
  <c r="P1023" i="3"/>
  <c r="O1024" i="3"/>
  <c r="P1024" i="3" s="1"/>
  <c r="R1024" i="3" s="1"/>
  <c r="Q1024" i="3"/>
  <c r="S1024" i="3"/>
  <c r="W514" i="2" s="1"/>
  <c r="O1025" i="3"/>
  <c r="P1025" i="3"/>
  <c r="R1025" i="3"/>
  <c r="V515" i="2" s="1"/>
  <c r="O1026" i="3"/>
  <c r="P1026" i="3" s="1"/>
  <c r="R1026" i="3" s="1"/>
  <c r="O1027" i="3"/>
  <c r="O1028" i="3"/>
  <c r="P1028" i="3" s="1"/>
  <c r="Q1028" i="3"/>
  <c r="O1029" i="3"/>
  <c r="S518" i="2" s="1"/>
  <c r="P1029" i="3"/>
  <c r="R1029" i="3" s="1"/>
  <c r="O1030" i="3"/>
  <c r="P1030" i="3" s="1"/>
  <c r="R1030" i="3" s="1"/>
  <c r="O1031" i="3"/>
  <c r="P1031" i="3"/>
  <c r="R1031" i="3" s="1"/>
  <c r="O1032" i="3"/>
  <c r="P1032" i="3" s="1"/>
  <c r="S1032" i="3"/>
  <c r="O1033" i="3"/>
  <c r="P1033" i="3" s="1"/>
  <c r="R1033" i="3" s="1"/>
  <c r="O1034" i="3"/>
  <c r="P1034" i="3" s="1"/>
  <c r="R1034" i="3" s="1"/>
  <c r="O1035" i="3"/>
  <c r="P1035" i="3"/>
  <c r="R1035" i="3" s="1"/>
  <c r="O1036" i="3"/>
  <c r="P1036" i="3" s="1"/>
  <c r="R1036" i="3" s="1"/>
  <c r="Q1036" i="3"/>
  <c r="S1036" i="3"/>
  <c r="O1037" i="3"/>
  <c r="P1037" i="3"/>
  <c r="R1037" i="3"/>
  <c r="O1038" i="3"/>
  <c r="P1038" i="3" s="1"/>
  <c r="R1038" i="3" s="1"/>
  <c r="O1039" i="3"/>
  <c r="P1039" i="3" s="1"/>
  <c r="R1039" i="3" s="1"/>
  <c r="O1040" i="3"/>
  <c r="O1041" i="3"/>
  <c r="P1041" i="3"/>
  <c r="T522" i="2" s="1"/>
  <c r="U522" i="2" s="1"/>
  <c r="O1042" i="3"/>
  <c r="P1042" i="3" s="1"/>
  <c r="R1042" i="3" s="1"/>
  <c r="O1043" i="3"/>
  <c r="P1043" i="3"/>
  <c r="R1043" i="3" s="1"/>
  <c r="O1044" i="3"/>
  <c r="P1044" i="3" s="1"/>
  <c r="O1045" i="3"/>
  <c r="P1045" i="3"/>
  <c r="T524" i="2" s="1"/>
  <c r="U524" i="2" s="1"/>
  <c r="O1046" i="3"/>
  <c r="P1046" i="3" s="1"/>
  <c r="R1046" i="3" s="1"/>
  <c r="V525" i="2" s="1"/>
  <c r="O1047" i="3"/>
  <c r="P1047" i="3"/>
  <c r="R1047" i="3" s="1"/>
  <c r="V526" i="2" s="1"/>
  <c r="O1048" i="3"/>
  <c r="P1048" i="3" s="1"/>
  <c r="R1048" i="3" s="1"/>
  <c r="Q1048" i="3"/>
  <c r="S1048" i="3"/>
  <c r="W527" i="2" s="1"/>
  <c r="O1049" i="3"/>
  <c r="P1049" i="3" s="1"/>
  <c r="O1050" i="3"/>
  <c r="P1050" i="3" s="1"/>
  <c r="R1050" i="3" s="1"/>
  <c r="V529" i="2" s="1"/>
  <c r="Q1050" i="3"/>
  <c r="S1050" i="3"/>
  <c r="W529" i="2" s="1"/>
  <c r="O1051" i="3"/>
  <c r="O1052" i="3"/>
  <c r="P1052" i="3" s="1"/>
  <c r="S1052" i="3" s="1"/>
  <c r="W531" i="2" s="1"/>
  <c r="Q1052" i="3"/>
  <c r="O1053" i="3"/>
  <c r="P1053" i="3" s="1"/>
  <c r="Q1053" i="3" s="1"/>
  <c r="S1053" i="3"/>
  <c r="O1054" i="3"/>
  <c r="P1054" i="3" s="1"/>
  <c r="O1055" i="3"/>
  <c r="P1055" i="3"/>
  <c r="O1056" i="3"/>
  <c r="P1056" i="3" s="1"/>
  <c r="R1056" i="3" s="1"/>
  <c r="V532" i="2" s="1"/>
  <c r="Q1056" i="3"/>
  <c r="O1057" i="3"/>
  <c r="P1057" i="3"/>
  <c r="R1057" i="3" s="1"/>
  <c r="V533" i="2" s="1"/>
  <c r="O1058" i="3"/>
  <c r="P1058" i="3" s="1"/>
  <c r="O1059" i="3"/>
  <c r="P1059" i="3" s="1"/>
  <c r="O1060" i="3"/>
  <c r="P1060" i="3" s="1"/>
  <c r="O1061" i="3"/>
  <c r="P1061" i="3"/>
  <c r="Q1061" i="3" s="1"/>
  <c r="O1062" i="3"/>
  <c r="P1062" i="3" s="1"/>
  <c r="O1063" i="3"/>
  <c r="P1063" i="3"/>
  <c r="Q1063" i="3" s="1"/>
  <c r="O1064" i="3"/>
  <c r="P1064" i="3"/>
  <c r="R1064" i="3" s="1"/>
  <c r="Q1064" i="3"/>
  <c r="O1065" i="3"/>
  <c r="P1065" i="3" s="1"/>
  <c r="R1065" i="3" s="1"/>
  <c r="O1066" i="3"/>
  <c r="P1066" i="3" s="1"/>
  <c r="O1067" i="3"/>
  <c r="P1067" i="3" s="1"/>
  <c r="O1068" i="3"/>
  <c r="P1068" i="3"/>
  <c r="O1069" i="3"/>
  <c r="P1069" i="3"/>
  <c r="O1070" i="3"/>
  <c r="P1070" i="3" s="1"/>
  <c r="O1071" i="3"/>
  <c r="P1071" i="3" s="1"/>
  <c r="Q1071" i="3"/>
  <c r="R1071" i="3"/>
  <c r="V538" i="2" s="1"/>
  <c r="O1072" i="3"/>
  <c r="P1072" i="3" s="1"/>
  <c r="O1073" i="3"/>
  <c r="S540" i="2" s="1"/>
  <c r="P1073" i="3"/>
  <c r="R1073" i="3" s="1"/>
  <c r="V540" i="2" s="1"/>
  <c r="O1074" i="3"/>
  <c r="P1074" i="3" s="1"/>
  <c r="O1075" i="3"/>
  <c r="P1075" i="3" s="1"/>
  <c r="O1076" i="3"/>
  <c r="S543" i="2" s="1"/>
  <c r="P1076" i="3"/>
  <c r="Q1076" i="3"/>
  <c r="O1077" i="3"/>
  <c r="P1077" i="3"/>
  <c r="Q1077" i="3" s="1"/>
  <c r="S1077" i="3"/>
  <c r="W544" i="2" s="1"/>
  <c r="O1078" i="3"/>
  <c r="P1078" i="3" s="1"/>
  <c r="O1079" i="3"/>
  <c r="P1079" i="3"/>
  <c r="S1079" i="3" s="1"/>
  <c r="Q1079" i="3"/>
  <c r="R1079" i="3"/>
  <c r="O1080" i="3"/>
  <c r="P1080" i="3"/>
  <c r="R1080" i="3" s="1"/>
  <c r="Q1080" i="3"/>
  <c r="O1081" i="3"/>
  <c r="P1081" i="3"/>
  <c r="R1081" i="3" s="1"/>
  <c r="O1082" i="3"/>
  <c r="P1082" i="3" s="1"/>
  <c r="O1083" i="3"/>
  <c r="P1083" i="3" s="1"/>
  <c r="O1084" i="3"/>
  <c r="P1084" i="3" s="1"/>
  <c r="O1085" i="3"/>
  <c r="P1085" i="3" s="1"/>
  <c r="Q1085" i="3" s="1"/>
  <c r="S1085" i="3"/>
  <c r="O1086" i="3"/>
  <c r="P1086" i="3" s="1"/>
  <c r="O1087" i="3"/>
  <c r="P1087" i="3"/>
  <c r="R1087" i="3"/>
  <c r="O1088" i="3"/>
  <c r="O1089" i="3"/>
  <c r="S546" i="2" s="1"/>
  <c r="P1089" i="3"/>
  <c r="N441" i="2"/>
  <c r="O441" i="2"/>
  <c r="R441" i="2" s="1"/>
  <c r="P441" i="2"/>
  <c r="Q441" i="2"/>
  <c r="X441" i="2"/>
  <c r="Y441" i="2"/>
  <c r="Z441" i="2"/>
  <c r="AA441" i="2"/>
  <c r="N442" i="2"/>
  <c r="O442" i="2"/>
  <c r="P442" i="2"/>
  <c r="Q442" i="2"/>
  <c r="R442" i="2"/>
  <c r="S442" i="2"/>
  <c r="T442" i="2"/>
  <c r="U442" i="2" s="1"/>
  <c r="X442" i="2"/>
  <c r="Y442" i="2"/>
  <c r="Z442" i="2"/>
  <c r="AA442" i="2"/>
  <c r="N443" i="2"/>
  <c r="O443" i="2"/>
  <c r="R443" i="2" s="1"/>
  <c r="P443" i="2"/>
  <c r="Q443" i="2"/>
  <c r="X443" i="2"/>
  <c r="Y443" i="2"/>
  <c r="Z443" i="2"/>
  <c r="AA443" i="2"/>
  <c r="N444" i="2"/>
  <c r="O444" i="2"/>
  <c r="R444" i="2" s="1"/>
  <c r="P444" i="2"/>
  <c r="Q444" i="2"/>
  <c r="X444" i="2"/>
  <c r="Y444" i="2"/>
  <c r="Z444" i="2"/>
  <c r="AA444" i="2"/>
  <c r="N445" i="2"/>
  <c r="O445" i="2"/>
  <c r="R445" i="2" s="1"/>
  <c r="P445" i="2"/>
  <c r="Q445" i="2"/>
  <c r="S445" i="2"/>
  <c r="X445" i="2"/>
  <c r="Y445" i="2"/>
  <c r="Z445" i="2"/>
  <c r="AA445" i="2"/>
  <c r="N446" i="2"/>
  <c r="O446" i="2"/>
  <c r="R446" i="2" s="1"/>
  <c r="P446" i="2"/>
  <c r="Q446" i="2"/>
  <c r="S446" i="2"/>
  <c r="T446" i="2"/>
  <c r="U446" i="2" s="1"/>
  <c r="X446" i="2"/>
  <c r="Y446" i="2"/>
  <c r="Z446" i="2"/>
  <c r="AA446" i="2"/>
  <c r="N447" i="2"/>
  <c r="O447" i="2"/>
  <c r="R447" i="2" s="1"/>
  <c r="P447" i="2"/>
  <c r="Q447" i="2"/>
  <c r="S447" i="2"/>
  <c r="T447" i="2"/>
  <c r="U447" i="2" s="1"/>
  <c r="X447" i="2"/>
  <c r="Y447" i="2"/>
  <c r="Z447" i="2"/>
  <c r="AA447" i="2"/>
  <c r="N448" i="2"/>
  <c r="O448" i="2"/>
  <c r="P448" i="2"/>
  <c r="Q448" i="2"/>
  <c r="R448" i="2"/>
  <c r="S448" i="2"/>
  <c r="X448" i="2"/>
  <c r="Y448" i="2"/>
  <c r="Z448" i="2"/>
  <c r="AA448" i="2"/>
  <c r="N449" i="2"/>
  <c r="O449" i="2"/>
  <c r="R449" i="2" s="1"/>
  <c r="P449" i="2"/>
  <c r="Q449" i="2"/>
  <c r="S449" i="2"/>
  <c r="T449" i="2"/>
  <c r="U449" i="2" s="1"/>
  <c r="X449" i="2"/>
  <c r="Y449" i="2"/>
  <c r="Z449" i="2"/>
  <c r="AA449" i="2"/>
  <c r="N450" i="2"/>
  <c r="O450" i="2"/>
  <c r="R450" i="2" s="1"/>
  <c r="P450" i="2"/>
  <c r="Q450" i="2"/>
  <c r="S450" i="2"/>
  <c r="X450" i="2"/>
  <c r="Y450" i="2"/>
  <c r="Z450" i="2"/>
  <c r="AA450" i="2"/>
  <c r="N451" i="2"/>
  <c r="O451" i="2"/>
  <c r="R451" i="2" s="1"/>
  <c r="P451" i="2"/>
  <c r="Q451" i="2"/>
  <c r="S451" i="2"/>
  <c r="T451" i="2"/>
  <c r="U451" i="2" s="1"/>
  <c r="X451" i="2"/>
  <c r="Y451" i="2"/>
  <c r="Z451" i="2"/>
  <c r="AA451" i="2"/>
  <c r="N452" i="2"/>
  <c r="O452" i="2"/>
  <c r="R452" i="2" s="1"/>
  <c r="P452" i="2"/>
  <c r="Q452" i="2"/>
  <c r="S452" i="2"/>
  <c r="X452" i="2"/>
  <c r="Y452" i="2"/>
  <c r="Z452" i="2"/>
  <c r="AA452" i="2"/>
  <c r="N453" i="2"/>
  <c r="O453" i="2"/>
  <c r="R453" i="2" s="1"/>
  <c r="P453" i="2"/>
  <c r="Q453" i="2"/>
  <c r="S453" i="2"/>
  <c r="T453" i="2"/>
  <c r="U453" i="2" s="1"/>
  <c r="X453" i="2"/>
  <c r="Y453" i="2"/>
  <c r="Z453" i="2"/>
  <c r="AA453" i="2"/>
  <c r="N454" i="2"/>
  <c r="O454" i="2"/>
  <c r="P454" i="2"/>
  <c r="Q454" i="2"/>
  <c r="R454" i="2"/>
  <c r="X454" i="2"/>
  <c r="Y454" i="2"/>
  <c r="Z454" i="2"/>
  <c r="AA454" i="2"/>
  <c r="N455" i="2"/>
  <c r="O455" i="2"/>
  <c r="R455" i="2" s="1"/>
  <c r="P455" i="2"/>
  <c r="Q455" i="2"/>
  <c r="S455" i="2"/>
  <c r="T455" i="2"/>
  <c r="U455" i="2" s="1"/>
  <c r="X455" i="2"/>
  <c r="Y455" i="2"/>
  <c r="Z455" i="2"/>
  <c r="AA455" i="2"/>
  <c r="N456" i="2"/>
  <c r="O456" i="2"/>
  <c r="R456" i="2" s="1"/>
  <c r="P456" i="2"/>
  <c r="Q456" i="2"/>
  <c r="S456" i="2"/>
  <c r="X456" i="2"/>
  <c r="Y456" i="2"/>
  <c r="Z456" i="2"/>
  <c r="AA456" i="2"/>
  <c r="N457" i="2"/>
  <c r="O457" i="2"/>
  <c r="R457" i="2" s="1"/>
  <c r="P457" i="2"/>
  <c r="Q457" i="2"/>
  <c r="S457" i="2"/>
  <c r="T457" i="2"/>
  <c r="U457" i="2" s="1"/>
  <c r="X457" i="2"/>
  <c r="Y457" i="2"/>
  <c r="Z457" i="2"/>
  <c r="AA457" i="2"/>
  <c r="N458" i="2"/>
  <c r="O458" i="2"/>
  <c r="R458" i="2" s="1"/>
  <c r="P458" i="2"/>
  <c r="Q458" i="2"/>
  <c r="S458" i="2"/>
  <c r="X458" i="2"/>
  <c r="Y458" i="2"/>
  <c r="Z458" i="2"/>
  <c r="AA458" i="2"/>
  <c r="N459" i="2"/>
  <c r="O459" i="2"/>
  <c r="P459" i="2"/>
  <c r="Q459" i="2"/>
  <c r="R459" i="2"/>
  <c r="X459" i="2"/>
  <c r="Y459" i="2"/>
  <c r="Z459" i="2"/>
  <c r="AA459" i="2"/>
  <c r="N460" i="2"/>
  <c r="O460" i="2"/>
  <c r="R460" i="2" s="1"/>
  <c r="P460" i="2"/>
  <c r="Q460" i="2"/>
  <c r="S460" i="2"/>
  <c r="T460" i="2"/>
  <c r="U460" i="2" s="1"/>
  <c r="X460" i="2"/>
  <c r="Y460" i="2"/>
  <c r="Z460" i="2"/>
  <c r="AA460" i="2"/>
  <c r="N461" i="2"/>
  <c r="O461" i="2"/>
  <c r="R461" i="2" s="1"/>
  <c r="P461" i="2"/>
  <c r="Q461" i="2"/>
  <c r="S461" i="2"/>
  <c r="T461" i="2"/>
  <c r="U461" i="2" s="1"/>
  <c r="X461" i="2"/>
  <c r="Y461" i="2"/>
  <c r="Z461" i="2"/>
  <c r="AA461" i="2"/>
  <c r="N462" i="2"/>
  <c r="O462" i="2"/>
  <c r="R462" i="2" s="1"/>
  <c r="P462" i="2"/>
  <c r="Q462" i="2"/>
  <c r="X462" i="2"/>
  <c r="Y462" i="2"/>
  <c r="Z462" i="2"/>
  <c r="AA462" i="2"/>
  <c r="N463" i="2"/>
  <c r="O463" i="2"/>
  <c r="R463" i="2" s="1"/>
  <c r="P463" i="2"/>
  <c r="Q463" i="2"/>
  <c r="S463" i="2"/>
  <c r="T463" i="2"/>
  <c r="U463" i="2" s="1"/>
  <c r="V463" i="2"/>
  <c r="X463" i="2"/>
  <c r="Y463" i="2"/>
  <c r="Z463" i="2"/>
  <c r="AA463" i="2"/>
  <c r="N464" i="2"/>
  <c r="O464" i="2"/>
  <c r="R464" i="2" s="1"/>
  <c r="P464" i="2"/>
  <c r="Q464" i="2"/>
  <c r="S464" i="2"/>
  <c r="X464" i="2"/>
  <c r="Y464" i="2"/>
  <c r="Z464" i="2"/>
  <c r="AA464" i="2"/>
  <c r="N465" i="2"/>
  <c r="O465" i="2"/>
  <c r="R465" i="2" s="1"/>
  <c r="P465" i="2"/>
  <c r="Q465" i="2"/>
  <c r="X465" i="2"/>
  <c r="Y465" i="2"/>
  <c r="Z465" i="2"/>
  <c r="AA465" i="2"/>
  <c r="N466" i="2"/>
  <c r="O466" i="2"/>
  <c r="R466" i="2" s="1"/>
  <c r="P466" i="2"/>
  <c r="Q466" i="2"/>
  <c r="X466" i="2"/>
  <c r="Y466" i="2"/>
  <c r="Z466" i="2"/>
  <c r="AA466" i="2"/>
  <c r="N467" i="2"/>
  <c r="O467" i="2"/>
  <c r="R467" i="2" s="1"/>
  <c r="P467" i="2"/>
  <c r="Q467" i="2"/>
  <c r="X467" i="2"/>
  <c r="Y467" i="2"/>
  <c r="Z467" i="2"/>
  <c r="AA467" i="2"/>
  <c r="N468" i="2"/>
  <c r="O468" i="2"/>
  <c r="R468" i="2" s="1"/>
  <c r="P468" i="2"/>
  <c r="Q468" i="2"/>
  <c r="S468" i="2"/>
  <c r="T468" i="2"/>
  <c r="U468" i="2" s="1"/>
  <c r="X468" i="2"/>
  <c r="Y468" i="2"/>
  <c r="Z468" i="2"/>
  <c r="AA468" i="2"/>
  <c r="N469" i="2"/>
  <c r="O469" i="2"/>
  <c r="R469" i="2" s="1"/>
  <c r="P469" i="2"/>
  <c r="Q469" i="2"/>
  <c r="S469" i="2"/>
  <c r="X469" i="2"/>
  <c r="Y469" i="2"/>
  <c r="Z469" i="2"/>
  <c r="AA469" i="2"/>
  <c r="N470" i="2"/>
  <c r="O470" i="2"/>
  <c r="R470" i="2" s="1"/>
  <c r="P470" i="2"/>
  <c r="Q470" i="2"/>
  <c r="S470" i="2"/>
  <c r="T470" i="2"/>
  <c r="U470" i="2" s="1"/>
  <c r="X470" i="2"/>
  <c r="Y470" i="2"/>
  <c r="Z470" i="2"/>
  <c r="AA470" i="2"/>
  <c r="N471" i="2"/>
  <c r="O471" i="2"/>
  <c r="R471" i="2" s="1"/>
  <c r="P471" i="2"/>
  <c r="Q471" i="2"/>
  <c r="X471" i="2"/>
  <c r="Y471" i="2"/>
  <c r="Z471" i="2"/>
  <c r="AA471" i="2"/>
  <c r="N472" i="2"/>
  <c r="O472" i="2"/>
  <c r="R472" i="2" s="1"/>
  <c r="P472" i="2"/>
  <c r="Q472" i="2"/>
  <c r="S472" i="2"/>
  <c r="T472" i="2"/>
  <c r="U472" i="2" s="1"/>
  <c r="X472" i="2"/>
  <c r="Y472" i="2"/>
  <c r="Z472" i="2"/>
  <c r="AA472" i="2"/>
  <c r="N473" i="2"/>
  <c r="O473" i="2"/>
  <c r="R473" i="2" s="1"/>
  <c r="P473" i="2"/>
  <c r="Q473" i="2"/>
  <c r="X473" i="2"/>
  <c r="Y473" i="2"/>
  <c r="Z473" i="2"/>
  <c r="AA473" i="2"/>
  <c r="N474" i="2"/>
  <c r="O474" i="2"/>
  <c r="R474" i="2" s="1"/>
  <c r="P474" i="2"/>
  <c r="Q474" i="2"/>
  <c r="X474" i="2"/>
  <c r="Y474" i="2"/>
  <c r="Z474" i="2"/>
  <c r="AA474" i="2"/>
  <c r="N475" i="2"/>
  <c r="O475" i="2"/>
  <c r="R475" i="2" s="1"/>
  <c r="P475" i="2"/>
  <c r="Q475" i="2"/>
  <c r="X475" i="2"/>
  <c r="Y475" i="2"/>
  <c r="Z475" i="2"/>
  <c r="AA475" i="2"/>
  <c r="N476" i="2"/>
  <c r="O476" i="2"/>
  <c r="R476" i="2" s="1"/>
  <c r="P476" i="2"/>
  <c r="Q476" i="2"/>
  <c r="S476" i="2"/>
  <c r="T476" i="2"/>
  <c r="U476" i="2" s="1"/>
  <c r="X476" i="2"/>
  <c r="Y476" i="2"/>
  <c r="Z476" i="2"/>
  <c r="AA476" i="2"/>
  <c r="N477" i="2"/>
  <c r="O477" i="2"/>
  <c r="R477" i="2" s="1"/>
  <c r="P477" i="2"/>
  <c r="Q477" i="2"/>
  <c r="S477" i="2"/>
  <c r="T477" i="2"/>
  <c r="U477" i="2" s="1"/>
  <c r="X477" i="2"/>
  <c r="Y477" i="2"/>
  <c r="Z477" i="2"/>
  <c r="AA477" i="2"/>
  <c r="N478" i="2"/>
  <c r="O478" i="2"/>
  <c r="R478" i="2" s="1"/>
  <c r="P478" i="2"/>
  <c r="Q478" i="2"/>
  <c r="X478" i="2"/>
  <c r="Y478" i="2"/>
  <c r="Z478" i="2"/>
  <c r="AA478" i="2"/>
  <c r="N479" i="2"/>
  <c r="O479" i="2"/>
  <c r="R479" i="2" s="1"/>
  <c r="P479" i="2"/>
  <c r="Q479" i="2"/>
  <c r="X479" i="2"/>
  <c r="Y479" i="2"/>
  <c r="Z479" i="2"/>
  <c r="AA479" i="2"/>
  <c r="N480" i="2"/>
  <c r="O480" i="2"/>
  <c r="R480" i="2" s="1"/>
  <c r="P480" i="2"/>
  <c r="Q480" i="2"/>
  <c r="X480" i="2"/>
  <c r="Y480" i="2"/>
  <c r="Z480" i="2"/>
  <c r="AA480" i="2"/>
  <c r="N481" i="2"/>
  <c r="O481" i="2"/>
  <c r="R481" i="2" s="1"/>
  <c r="P481" i="2"/>
  <c r="Q481" i="2"/>
  <c r="S481" i="2"/>
  <c r="T481" i="2"/>
  <c r="U481" i="2" s="1"/>
  <c r="X481" i="2"/>
  <c r="Y481" i="2"/>
  <c r="Z481" i="2"/>
  <c r="AA481" i="2"/>
  <c r="N482" i="2"/>
  <c r="O482" i="2"/>
  <c r="P482" i="2"/>
  <c r="Q482" i="2"/>
  <c r="R482" i="2"/>
  <c r="S482" i="2"/>
  <c r="T482" i="2"/>
  <c r="U482" i="2"/>
  <c r="V482" i="2"/>
  <c r="X482" i="2"/>
  <c r="Y482" i="2"/>
  <c r="Z482" i="2"/>
  <c r="AA482" i="2"/>
  <c r="N483" i="2"/>
  <c r="O483" i="2"/>
  <c r="R483" i="2" s="1"/>
  <c r="P483" i="2"/>
  <c r="Q483" i="2"/>
  <c r="S483" i="2"/>
  <c r="T483" i="2"/>
  <c r="U483" i="2" s="1"/>
  <c r="X483" i="2"/>
  <c r="Y483" i="2"/>
  <c r="Z483" i="2"/>
  <c r="AA483" i="2"/>
  <c r="N484" i="2"/>
  <c r="O484" i="2"/>
  <c r="P484" i="2"/>
  <c r="Q484" i="2"/>
  <c r="R484" i="2"/>
  <c r="S484" i="2"/>
  <c r="X484" i="2"/>
  <c r="Y484" i="2"/>
  <c r="Z484" i="2"/>
  <c r="AA484" i="2"/>
  <c r="N485" i="2"/>
  <c r="O485" i="2"/>
  <c r="R485" i="2" s="1"/>
  <c r="P485" i="2"/>
  <c r="Q485" i="2"/>
  <c r="S485" i="2"/>
  <c r="T485" i="2"/>
  <c r="U485" i="2" s="1"/>
  <c r="X485" i="2"/>
  <c r="Y485" i="2"/>
  <c r="Z485" i="2"/>
  <c r="AA485" i="2"/>
  <c r="N486" i="2"/>
  <c r="O486" i="2"/>
  <c r="P486" i="2"/>
  <c r="Q486" i="2"/>
  <c r="R486" i="2"/>
  <c r="S486" i="2"/>
  <c r="T486" i="2"/>
  <c r="U486" i="2" s="1"/>
  <c r="V486" i="2"/>
  <c r="X486" i="2"/>
  <c r="Y486" i="2"/>
  <c r="Z486" i="2"/>
  <c r="AA486" i="2"/>
  <c r="N487" i="2"/>
  <c r="O487" i="2"/>
  <c r="R487" i="2" s="1"/>
  <c r="P487" i="2"/>
  <c r="Q487" i="2"/>
  <c r="S487" i="2"/>
  <c r="X487" i="2"/>
  <c r="Y487" i="2"/>
  <c r="Z487" i="2"/>
  <c r="AA487" i="2"/>
  <c r="N488" i="2"/>
  <c r="O488" i="2"/>
  <c r="P488" i="2"/>
  <c r="Q488" i="2"/>
  <c r="R488" i="2"/>
  <c r="X488" i="2"/>
  <c r="Y488" i="2"/>
  <c r="Z488" i="2"/>
  <c r="AA488" i="2"/>
  <c r="N489" i="2"/>
  <c r="O489" i="2"/>
  <c r="R489" i="2" s="1"/>
  <c r="P489" i="2"/>
  <c r="Q489" i="2"/>
  <c r="S489" i="2"/>
  <c r="X489" i="2"/>
  <c r="Y489" i="2"/>
  <c r="Z489" i="2"/>
  <c r="AA489" i="2"/>
  <c r="N490" i="2"/>
  <c r="O490" i="2"/>
  <c r="R490" i="2" s="1"/>
  <c r="P490" i="2"/>
  <c r="Q490" i="2"/>
  <c r="X490" i="2"/>
  <c r="Y490" i="2"/>
  <c r="Z490" i="2"/>
  <c r="AA490" i="2"/>
  <c r="N491" i="2"/>
  <c r="O491" i="2"/>
  <c r="R491" i="2" s="1"/>
  <c r="P491" i="2"/>
  <c r="Q491" i="2"/>
  <c r="S491" i="2"/>
  <c r="T491" i="2"/>
  <c r="U491" i="2" s="1"/>
  <c r="X491" i="2"/>
  <c r="Y491" i="2"/>
  <c r="Z491" i="2"/>
  <c r="AA491" i="2"/>
  <c r="N492" i="2"/>
  <c r="O492" i="2"/>
  <c r="R492" i="2" s="1"/>
  <c r="P492" i="2"/>
  <c r="Q492" i="2"/>
  <c r="S492" i="2"/>
  <c r="T492" i="2"/>
  <c r="U492" i="2" s="1"/>
  <c r="V492" i="2"/>
  <c r="X492" i="2"/>
  <c r="Y492" i="2"/>
  <c r="Z492" i="2"/>
  <c r="AA492" i="2"/>
  <c r="N493" i="2"/>
  <c r="O493" i="2"/>
  <c r="R493" i="2" s="1"/>
  <c r="P493" i="2"/>
  <c r="Q493" i="2"/>
  <c r="S493" i="2"/>
  <c r="T493" i="2"/>
  <c r="U493" i="2" s="1"/>
  <c r="X493" i="2"/>
  <c r="Y493" i="2"/>
  <c r="Z493" i="2"/>
  <c r="AA493" i="2"/>
  <c r="N494" i="2"/>
  <c r="O494" i="2"/>
  <c r="R494" i="2" s="1"/>
  <c r="P494" i="2"/>
  <c r="Q494" i="2"/>
  <c r="S494" i="2"/>
  <c r="X494" i="2"/>
  <c r="Y494" i="2"/>
  <c r="Z494" i="2"/>
  <c r="AA494" i="2"/>
  <c r="N495" i="2"/>
  <c r="O495" i="2"/>
  <c r="R495" i="2" s="1"/>
  <c r="P495" i="2"/>
  <c r="Q495" i="2"/>
  <c r="S495" i="2"/>
  <c r="T495" i="2"/>
  <c r="U495" i="2" s="1"/>
  <c r="V495" i="2"/>
  <c r="X495" i="2"/>
  <c r="Y495" i="2"/>
  <c r="Z495" i="2"/>
  <c r="AA495" i="2"/>
  <c r="N496" i="2"/>
  <c r="O496" i="2"/>
  <c r="R496" i="2" s="1"/>
  <c r="P496" i="2"/>
  <c r="Q496" i="2"/>
  <c r="X496" i="2"/>
  <c r="Y496" i="2"/>
  <c r="Z496" i="2"/>
  <c r="AA496" i="2"/>
  <c r="N497" i="2"/>
  <c r="O497" i="2"/>
  <c r="R497" i="2" s="1"/>
  <c r="P497" i="2"/>
  <c r="Q497" i="2"/>
  <c r="S497" i="2"/>
  <c r="T497" i="2"/>
  <c r="U497" i="2" s="1"/>
  <c r="V497" i="2"/>
  <c r="W497" i="2"/>
  <c r="X497" i="2"/>
  <c r="Y497" i="2"/>
  <c r="Z497" i="2"/>
  <c r="AA497" i="2"/>
  <c r="N498" i="2"/>
  <c r="O498" i="2"/>
  <c r="P498" i="2"/>
  <c r="Q498" i="2"/>
  <c r="R498" i="2"/>
  <c r="S498" i="2"/>
  <c r="T498" i="2"/>
  <c r="U498" i="2" s="1"/>
  <c r="X498" i="2"/>
  <c r="Y498" i="2"/>
  <c r="Z498" i="2"/>
  <c r="AA498" i="2"/>
  <c r="N499" i="2"/>
  <c r="O499" i="2"/>
  <c r="R499" i="2" s="1"/>
  <c r="P499" i="2"/>
  <c r="Q499" i="2"/>
  <c r="S499" i="2"/>
  <c r="T499" i="2"/>
  <c r="U499" i="2" s="1"/>
  <c r="X499" i="2"/>
  <c r="Y499" i="2"/>
  <c r="Z499" i="2"/>
  <c r="AA499" i="2"/>
  <c r="N500" i="2"/>
  <c r="O500" i="2"/>
  <c r="R500" i="2" s="1"/>
  <c r="P500" i="2"/>
  <c r="Q500" i="2"/>
  <c r="S500" i="2"/>
  <c r="T500" i="2"/>
  <c r="U500" i="2" s="1"/>
  <c r="V500" i="2"/>
  <c r="X500" i="2"/>
  <c r="Y500" i="2"/>
  <c r="Z500" i="2"/>
  <c r="AA500" i="2"/>
  <c r="N501" i="2"/>
  <c r="O501" i="2"/>
  <c r="R501" i="2" s="1"/>
  <c r="P501" i="2"/>
  <c r="Q501" i="2"/>
  <c r="X501" i="2"/>
  <c r="Y501" i="2"/>
  <c r="Z501" i="2"/>
  <c r="AA501" i="2"/>
  <c r="N502" i="2"/>
  <c r="O502" i="2"/>
  <c r="R502" i="2" s="1"/>
  <c r="P502" i="2"/>
  <c r="Q502" i="2"/>
  <c r="X502" i="2"/>
  <c r="Y502" i="2"/>
  <c r="Z502" i="2"/>
  <c r="AA502" i="2"/>
  <c r="N503" i="2"/>
  <c r="O503" i="2"/>
  <c r="R503" i="2" s="1"/>
  <c r="P503" i="2"/>
  <c r="Q503" i="2"/>
  <c r="S503" i="2"/>
  <c r="X503" i="2"/>
  <c r="Y503" i="2"/>
  <c r="Z503" i="2"/>
  <c r="AA503" i="2"/>
  <c r="N504" i="2"/>
  <c r="O504" i="2"/>
  <c r="R504" i="2" s="1"/>
  <c r="P504" i="2"/>
  <c r="Q504" i="2"/>
  <c r="X504" i="2"/>
  <c r="Y504" i="2"/>
  <c r="Z504" i="2"/>
  <c r="AA504" i="2"/>
  <c r="N505" i="2"/>
  <c r="O505" i="2"/>
  <c r="R505" i="2" s="1"/>
  <c r="P505" i="2"/>
  <c r="Q505" i="2"/>
  <c r="S505" i="2"/>
  <c r="T505" i="2"/>
  <c r="U505" i="2" s="1"/>
  <c r="V505" i="2"/>
  <c r="X505" i="2"/>
  <c r="Y505" i="2"/>
  <c r="Z505" i="2"/>
  <c r="AA505" i="2"/>
  <c r="N506" i="2"/>
  <c r="O506" i="2"/>
  <c r="R506" i="2" s="1"/>
  <c r="P506" i="2"/>
  <c r="Q506" i="2"/>
  <c r="X506" i="2"/>
  <c r="Y506" i="2"/>
  <c r="Z506" i="2"/>
  <c r="AA506" i="2"/>
  <c r="N507" i="2"/>
  <c r="O507" i="2"/>
  <c r="R507" i="2" s="1"/>
  <c r="P507" i="2"/>
  <c r="Q507" i="2"/>
  <c r="X507" i="2"/>
  <c r="Y507" i="2"/>
  <c r="Z507" i="2"/>
  <c r="AA507" i="2"/>
  <c r="N508" i="2"/>
  <c r="O508" i="2"/>
  <c r="P508" i="2"/>
  <c r="Q508" i="2"/>
  <c r="R508" i="2"/>
  <c r="S508" i="2"/>
  <c r="T508" i="2"/>
  <c r="U508" i="2"/>
  <c r="V508" i="2"/>
  <c r="X508" i="2"/>
  <c r="Y508" i="2"/>
  <c r="Z508" i="2"/>
  <c r="AA508" i="2"/>
  <c r="N509" i="2"/>
  <c r="O509" i="2"/>
  <c r="R509" i="2" s="1"/>
  <c r="P509" i="2"/>
  <c r="Q509" i="2"/>
  <c r="X509" i="2"/>
  <c r="Y509" i="2"/>
  <c r="Z509" i="2"/>
  <c r="AA509" i="2"/>
  <c r="N510" i="2"/>
  <c r="O510" i="2"/>
  <c r="P510" i="2"/>
  <c r="Q510" i="2"/>
  <c r="R510" i="2"/>
  <c r="T510" i="2"/>
  <c r="U510" i="2"/>
  <c r="V510" i="2"/>
  <c r="X510" i="2"/>
  <c r="Y510" i="2"/>
  <c r="Z510" i="2"/>
  <c r="AA510" i="2"/>
  <c r="N511" i="2"/>
  <c r="O511" i="2"/>
  <c r="R511" i="2" s="1"/>
  <c r="P511" i="2"/>
  <c r="Q511" i="2"/>
  <c r="S511" i="2"/>
  <c r="X511" i="2"/>
  <c r="Y511" i="2"/>
  <c r="Z511" i="2"/>
  <c r="AA511" i="2"/>
  <c r="N512" i="2"/>
  <c r="O512" i="2"/>
  <c r="P512" i="2"/>
  <c r="Q512" i="2"/>
  <c r="R512" i="2"/>
  <c r="X512" i="2"/>
  <c r="Y512" i="2"/>
  <c r="Z512" i="2"/>
  <c r="AA512" i="2"/>
  <c r="N513" i="2"/>
  <c r="O513" i="2"/>
  <c r="R513" i="2" s="1"/>
  <c r="P513" i="2"/>
  <c r="Q513" i="2"/>
  <c r="S513" i="2"/>
  <c r="X513" i="2"/>
  <c r="Y513" i="2"/>
  <c r="Z513" i="2"/>
  <c r="AA513" i="2"/>
  <c r="N514" i="2"/>
  <c r="O514" i="2"/>
  <c r="R514" i="2" s="1"/>
  <c r="P514" i="2"/>
  <c r="Q514" i="2"/>
  <c r="S514" i="2"/>
  <c r="T514" i="2"/>
  <c r="U514" i="2" s="1"/>
  <c r="V514" i="2"/>
  <c r="X514" i="2"/>
  <c r="Y514" i="2"/>
  <c r="Z514" i="2"/>
  <c r="AA514" i="2"/>
  <c r="N515" i="2"/>
  <c r="O515" i="2"/>
  <c r="R515" i="2" s="1"/>
  <c r="P515" i="2"/>
  <c r="Q515" i="2"/>
  <c r="S515" i="2"/>
  <c r="T515" i="2"/>
  <c r="U515" i="2" s="1"/>
  <c r="X515" i="2"/>
  <c r="Y515" i="2"/>
  <c r="Z515" i="2"/>
  <c r="AA515" i="2"/>
  <c r="N516" i="2"/>
  <c r="O516" i="2"/>
  <c r="R516" i="2" s="1"/>
  <c r="P516" i="2"/>
  <c r="Q516" i="2"/>
  <c r="S516" i="2"/>
  <c r="T516" i="2"/>
  <c r="U516" i="2" s="1"/>
  <c r="V516" i="2"/>
  <c r="X516" i="2"/>
  <c r="Y516" i="2"/>
  <c r="Z516" i="2"/>
  <c r="AA516" i="2"/>
  <c r="N517" i="2"/>
  <c r="O517" i="2"/>
  <c r="R517" i="2" s="1"/>
  <c r="P517" i="2"/>
  <c r="Q517" i="2"/>
  <c r="X517" i="2"/>
  <c r="Y517" i="2"/>
  <c r="Z517" i="2"/>
  <c r="AA517" i="2"/>
  <c r="N518" i="2"/>
  <c r="O518" i="2"/>
  <c r="P518" i="2"/>
  <c r="Q518" i="2"/>
  <c r="R518" i="2"/>
  <c r="T518" i="2"/>
  <c r="U518" i="2" s="1"/>
  <c r="V518" i="2"/>
  <c r="X518" i="2"/>
  <c r="Y518" i="2"/>
  <c r="Z518" i="2"/>
  <c r="AA518" i="2"/>
  <c r="N519" i="2"/>
  <c r="O519" i="2"/>
  <c r="R519" i="2" s="1"/>
  <c r="P519" i="2"/>
  <c r="Q519" i="2"/>
  <c r="S519" i="2"/>
  <c r="T519" i="2"/>
  <c r="U519" i="2" s="1"/>
  <c r="V519" i="2"/>
  <c r="W519" i="2"/>
  <c r="X519" i="2"/>
  <c r="Y519" i="2"/>
  <c r="Z519" i="2"/>
  <c r="AA519" i="2"/>
  <c r="N520" i="2"/>
  <c r="O520" i="2"/>
  <c r="P520" i="2"/>
  <c r="Q520" i="2"/>
  <c r="R520" i="2"/>
  <c r="S520" i="2"/>
  <c r="T520" i="2"/>
  <c r="U520" i="2" s="1"/>
  <c r="V520" i="2"/>
  <c r="X520" i="2"/>
  <c r="Y520" i="2"/>
  <c r="Z520" i="2"/>
  <c r="AA520" i="2"/>
  <c r="N521" i="2"/>
  <c r="O521" i="2"/>
  <c r="R521" i="2" s="1"/>
  <c r="P521" i="2"/>
  <c r="Q521" i="2"/>
  <c r="X521" i="2"/>
  <c r="Y521" i="2"/>
  <c r="Z521" i="2"/>
  <c r="AA521" i="2"/>
  <c r="N522" i="2"/>
  <c r="O522" i="2"/>
  <c r="P522" i="2"/>
  <c r="Q522" i="2"/>
  <c r="R522" i="2"/>
  <c r="S522" i="2"/>
  <c r="X522" i="2"/>
  <c r="Y522" i="2"/>
  <c r="Z522" i="2"/>
  <c r="AA522" i="2"/>
  <c r="N523" i="2"/>
  <c r="O523" i="2"/>
  <c r="R523" i="2" s="1"/>
  <c r="P523" i="2"/>
  <c r="Q523" i="2"/>
  <c r="X523" i="2"/>
  <c r="Y523" i="2"/>
  <c r="Z523" i="2"/>
  <c r="AA523" i="2"/>
  <c r="N524" i="2"/>
  <c r="O524" i="2"/>
  <c r="P524" i="2"/>
  <c r="Q524" i="2"/>
  <c r="R524" i="2"/>
  <c r="S524" i="2"/>
  <c r="X524" i="2"/>
  <c r="Y524" i="2"/>
  <c r="Z524" i="2"/>
  <c r="AA524" i="2"/>
  <c r="N525" i="2"/>
  <c r="O525" i="2"/>
  <c r="R525" i="2" s="1"/>
  <c r="P525" i="2"/>
  <c r="Q525" i="2"/>
  <c r="T525" i="2"/>
  <c r="U525" i="2" s="1"/>
  <c r="X525" i="2"/>
  <c r="Y525" i="2"/>
  <c r="Z525" i="2"/>
  <c r="AA525" i="2"/>
  <c r="N526" i="2"/>
  <c r="O526" i="2"/>
  <c r="R526" i="2" s="1"/>
  <c r="P526" i="2"/>
  <c r="Q526" i="2"/>
  <c r="S526" i="2"/>
  <c r="T526" i="2"/>
  <c r="U526" i="2" s="1"/>
  <c r="X526" i="2"/>
  <c r="Y526" i="2"/>
  <c r="Z526" i="2"/>
  <c r="AA526" i="2"/>
  <c r="N527" i="2"/>
  <c r="O527" i="2"/>
  <c r="R527" i="2" s="1"/>
  <c r="P527" i="2"/>
  <c r="Q527" i="2"/>
  <c r="S527" i="2"/>
  <c r="T527" i="2"/>
  <c r="U527" i="2" s="1"/>
  <c r="V527" i="2"/>
  <c r="X527" i="2"/>
  <c r="Y527" i="2"/>
  <c r="Z527" i="2"/>
  <c r="AA527" i="2"/>
  <c r="N528" i="2"/>
  <c r="O528" i="2"/>
  <c r="R528" i="2" s="1"/>
  <c r="P528" i="2"/>
  <c r="Q528" i="2"/>
  <c r="X528" i="2"/>
  <c r="Y528" i="2"/>
  <c r="Z528" i="2"/>
  <c r="AA528" i="2"/>
  <c r="N529" i="2"/>
  <c r="O529" i="2"/>
  <c r="R529" i="2" s="1"/>
  <c r="P529" i="2"/>
  <c r="Q529" i="2"/>
  <c r="S529" i="2"/>
  <c r="T529" i="2"/>
  <c r="U529" i="2" s="1"/>
  <c r="X529" i="2"/>
  <c r="Y529" i="2"/>
  <c r="Z529" i="2"/>
  <c r="AA529" i="2"/>
  <c r="N530" i="2"/>
  <c r="O530" i="2"/>
  <c r="R530" i="2" s="1"/>
  <c r="P530" i="2"/>
  <c r="Q530" i="2"/>
  <c r="X530" i="2"/>
  <c r="Y530" i="2"/>
  <c r="Z530" i="2"/>
  <c r="AA530" i="2"/>
  <c r="N531" i="2"/>
  <c r="O531" i="2"/>
  <c r="R531" i="2" s="1"/>
  <c r="P531" i="2"/>
  <c r="Q531" i="2"/>
  <c r="S531" i="2"/>
  <c r="T531" i="2"/>
  <c r="U531" i="2" s="1"/>
  <c r="X531" i="2"/>
  <c r="Y531" i="2"/>
  <c r="Z531" i="2"/>
  <c r="AA531" i="2"/>
  <c r="N532" i="2"/>
  <c r="O532" i="2"/>
  <c r="P532" i="2"/>
  <c r="Q532" i="2"/>
  <c r="R532" i="2"/>
  <c r="S532" i="2"/>
  <c r="T532" i="2"/>
  <c r="U532" i="2" s="1"/>
  <c r="X532" i="2"/>
  <c r="Y532" i="2"/>
  <c r="Z532" i="2"/>
  <c r="AA532" i="2"/>
  <c r="N533" i="2"/>
  <c r="O533" i="2"/>
  <c r="R533" i="2" s="1"/>
  <c r="P533" i="2"/>
  <c r="Q533" i="2"/>
  <c r="S533" i="2"/>
  <c r="X533" i="2"/>
  <c r="Y533" i="2"/>
  <c r="Z533" i="2"/>
  <c r="AA533" i="2"/>
  <c r="N534" i="2"/>
  <c r="O534" i="2"/>
  <c r="R534" i="2" s="1"/>
  <c r="P534" i="2"/>
  <c r="Q534" i="2"/>
  <c r="S534" i="2"/>
  <c r="X534" i="2"/>
  <c r="Y534" i="2"/>
  <c r="Z534" i="2"/>
  <c r="AA534" i="2"/>
  <c r="N535" i="2"/>
  <c r="O535" i="2"/>
  <c r="R535" i="2" s="1"/>
  <c r="P535" i="2"/>
  <c r="Q535" i="2"/>
  <c r="S535" i="2"/>
  <c r="X535" i="2"/>
  <c r="Y535" i="2"/>
  <c r="Z535" i="2"/>
  <c r="AA535" i="2"/>
  <c r="N536" i="2"/>
  <c r="O536" i="2"/>
  <c r="R536" i="2" s="1"/>
  <c r="P536" i="2"/>
  <c r="Q536" i="2"/>
  <c r="S536" i="2"/>
  <c r="X536" i="2"/>
  <c r="Y536" i="2"/>
  <c r="Z536" i="2"/>
  <c r="AA536" i="2"/>
  <c r="N537" i="2"/>
  <c r="O537" i="2"/>
  <c r="R537" i="2" s="1"/>
  <c r="P537" i="2"/>
  <c r="Q537" i="2"/>
  <c r="S537" i="2"/>
  <c r="X537" i="2"/>
  <c r="Y537" i="2"/>
  <c r="Z537" i="2"/>
  <c r="AA537" i="2"/>
  <c r="N538" i="2"/>
  <c r="O538" i="2"/>
  <c r="P538" i="2"/>
  <c r="Q538" i="2"/>
  <c r="R538" i="2"/>
  <c r="S538" i="2"/>
  <c r="X538" i="2"/>
  <c r="Y538" i="2"/>
  <c r="Z538" i="2"/>
  <c r="AA538" i="2"/>
  <c r="N539" i="2"/>
  <c r="O539" i="2"/>
  <c r="R539" i="2" s="1"/>
  <c r="P539" i="2"/>
  <c r="Q539" i="2"/>
  <c r="X539" i="2"/>
  <c r="Y539" i="2"/>
  <c r="Z539" i="2"/>
  <c r="AA539" i="2"/>
  <c r="N540" i="2"/>
  <c r="O540" i="2"/>
  <c r="R540" i="2" s="1"/>
  <c r="P540" i="2"/>
  <c r="Q540" i="2"/>
  <c r="X540" i="2"/>
  <c r="Y540" i="2"/>
  <c r="Z540" i="2"/>
  <c r="AA540" i="2"/>
  <c r="N541" i="2"/>
  <c r="O541" i="2"/>
  <c r="R541" i="2" s="1"/>
  <c r="P541" i="2"/>
  <c r="Q541" i="2"/>
  <c r="S541" i="2"/>
  <c r="X541" i="2"/>
  <c r="Y541" i="2"/>
  <c r="Z541" i="2"/>
  <c r="AA541" i="2"/>
  <c r="N542" i="2"/>
  <c r="O542" i="2"/>
  <c r="P542" i="2"/>
  <c r="Q542" i="2"/>
  <c r="R542" i="2"/>
  <c r="S542" i="2"/>
  <c r="X542" i="2"/>
  <c r="Y542" i="2"/>
  <c r="Z542" i="2"/>
  <c r="AA542" i="2"/>
  <c r="N543" i="2"/>
  <c r="O543" i="2"/>
  <c r="R543" i="2" s="1"/>
  <c r="P543" i="2"/>
  <c r="Q543" i="2"/>
  <c r="X543" i="2"/>
  <c r="Y543" i="2"/>
  <c r="Z543" i="2"/>
  <c r="AA543" i="2"/>
  <c r="N544" i="2"/>
  <c r="O544" i="2"/>
  <c r="R544" i="2" s="1"/>
  <c r="P544" i="2"/>
  <c r="Q544" i="2"/>
  <c r="S544" i="2"/>
  <c r="T544" i="2"/>
  <c r="U544" i="2" s="1"/>
  <c r="X544" i="2"/>
  <c r="Y544" i="2"/>
  <c r="Z544" i="2"/>
  <c r="AA544" i="2"/>
  <c r="O37" i="8"/>
  <c r="P37" i="8"/>
  <c r="Q37" i="8"/>
  <c r="R37" i="8"/>
  <c r="S37" i="8"/>
  <c r="T37" i="8"/>
  <c r="U37" i="8"/>
  <c r="V37" i="8"/>
  <c r="W37" i="8"/>
  <c r="X37" i="8"/>
  <c r="Y37" i="8"/>
  <c r="Z37" i="8"/>
  <c r="O38" i="8"/>
  <c r="P38" i="8"/>
  <c r="Q38" i="8"/>
  <c r="R38" i="8"/>
  <c r="S38" i="8"/>
  <c r="T38" i="8"/>
  <c r="U38" i="8"/>
  <c r="V38" i="8"/>
  <c r="W38" i="8"/>
  <c r="X38" i="8"/>
  <c r="Y38" i="8"/>
  <c r="Z38" i="8"/>
  <c r="N38" i="8"/>
  <c r="N37" i="8"/>
  <c r="O526" i="3"/>
  <c r="P526" i="3" s="1"/>
  <c r="O527" i="3"/>
  <c r="P527" i="3" s="1"/>
  <c r="O528" i="3"/>
  <c r="P528" i="3" s="1"/>
  <c r="R528" i="3" s="1"/>
  <c r="O529" i="3"/>
  <c r="P529" i="3" s="1"/>
  <c r="O530" i="3"/>
  <c r="P530" i="3" s="1"/>
  <c r="O531" i="3"/>
  <c r="O532" i="3"/>
  <c r="P532" i="3" s="1"/>
  <c r="O533" i="3"/>
  <c r="P533" i="3" s="1"/>
  <c r="O534" i="3"/>
  <c r="P534" i="3" s="1"/>
  <c r="O535" i="3"/>
  <c r="P535" i="3" s="1"/>
  <c r="O536" i="3"/>
  <c r="P536" i="3" s="1"/>
  <c r="S536" i="3" s="1"/>
  <c r="O537" i="3"/>
  <c r="P537" i="3" s="1"/>
  <c r="T271" i="2" s="1"/>
  <c r="U271" i="2" s="1"/>
  <c r="O538" i="3"/>
  <c r="P538" i="3" s="1"/>
  <c r="Q538" i="3" s="1"/>
  <c r="O539" i="3"/>
  <c r="P539" i="3" s="1"/>
  <c r="O540" i="3"/>
  <c r="P540" i="3" s="1"/>
  <c r="O541" i="3"/>
  <c r="P541" i="3" s="1"/>
  <c r="S541" i="3" s="1"/>
  <c r="O542" i="3"/>
  <c r="P542" i="3" s="1"/>
  <c r="T272" i="2" s="1"/>
  <c r="U272" i="2" s="1"/>
  <c r="O543" i="3"/>
  <c r="O544" i="3"/>
  <c r="P544" i="3" s="1"/>
  <c r="O545" i="3"/>
  <c r="O546" i="3"/>
  <c r="P546" i="3"/>
  <c r="T276" i="2" s="1"/>
  <c r="U276" i="2" s="1"/>
  <c r="O547" i="3"/>
  <c r="S277" i="2" s="1"/>
  <c r="P547" i="3"/>
  <c r="O548" i="3"/>
  <c r="O549" i="3"/>
  <c r="P549" i="3" s="1"/>
  <c r="R549" i="3" s="1"/>
  <c r="V279" i="2" s="1"/>
  <c r="O550" i="3"/>
  <c r="P550" i="3" s="1"/>
  <c r="T280" i="2" s="1"/>
  <c r="U280" i="2" s="1"/>
  <c r="O551" i="3"/>
  <c r="P551" i="3" s="1"/>
  <c r="O552" i="3"/>
  <c r="P552" i="3" s="1"/>
  <c r="O553" i="3"/>
  <c r="P553" i="3" s="1"/>
  <c r="O554" i="3"/>
  <c r="P554" i="3" s="1"/>
  <c r="Q554" i="3" s="1"/>
  <c r="O555" i="3"/>
  <c r="P555" i="3" s="1"/>
  <c r="S555" i="3" s="1"/>
  <c r="O556" i="3"/>
  <c r="P556" i="3" s="1"/>
  <c r="O557" i="3"/>
  <c r="P557" i="3" s="1"/>
  <c r="R557" i="3" s="1"/>
  <c r="V283" i="2" s="1"/>
  <c r="O558" i="3"/>
  <c r="O559" i="3"/>
  <c r="P559" i="3" s="1"/>
  <c r="O560" i="3"/>
  <c r="P560" i="3" s="1"/>
  <c r="R560" i="3" s="1"/>
  <c r="O561" i="3"/>
  <c r="S285" i="2" s="1"/>
  <c r="O562" i="3"/>
  <c r="O563" i="3"/>
  <c r="P563" i="3" s="1"/>
  <c r="S563" i="3" s="1"/>
  <c r="O564" i="3"/>
  <c r="O565" i="3"/>
  <c r="P565" i="3" s="1"/>
  <c r="R565" i="3"/>
  <c r="O566" i="3"/>
  <c r="P566" i="3" s="1"/>
  <c r="Q566" i="3"/>
  <c r="O567" i="3"/>
  <c r="P567" i="3" s="1"/>
  <c r="O568" i="3"/>
  <c r="P568" i="3" s="1"/>
  <c r="Q568" i="3" s="1"/>
  <c r="S568" i="3"/>
  <c r="O569" i="3"/>
  <c r="P569" i="3" s="1"/>
  <c r="Q569" i="3" s="1"/>
  <c r="O570" i="3"/>
  <c r="P570" i="3"/>
  <c r="Q570" i="3" s="1"/>
  <c r="O571" i="3"/>
  <c r="P571" i="3"/>
  <c r="O572" i="3"/>
  <c r="P572" i="3" s="1"/>
  <c r="S572" i="3" s="1"/>
  <c r="W290" i="2" s="1"/>
  <c r="O573" i="3"/>
  <c r="P573" i="3" s="1"/>
  <c r="S573" i="3" s="1"/>
  <c r="O574" i="3"/>
  <c r="O575" i="3"/>
  <c r="S292" i="2" s="1"/>
  <c r="O576" i="3"/>
  <c r="P576" i="3" s="1"/>
  <c r="S576" i="3"/>
  <c r="O577" i="3"/>
  <c r="P577" i="3"/>
  <c r="Q577" i="3" s="1"/>
  <c r="R577" i="3"/>
  <c r="O578" i="3"/>
  <c r="P578" i="3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R584" i="3"/>
  <c r="V294" i="2" s="1"/>
  <c r="O585" i="3"/>
  <c r="O586" i="3"/>
  <c r="S296" i="2" s="1"/>
  <c r="O587" i="3"/>
  <c r="P587" i="3" s="1"/>
  <c r="T297" i="2" s="1"/>
  <c r="U297" i="2" s="1"/>
  <c r="O588" i="3"/>
  <c r="P588" i="3" s="1"/>
  <c r="O589" i="3"/>
  <c r="P589" i="3" s="1"/>
  <c r="S589" i="3" s="1"/>
  <c r="R589" i="3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O596" i="3"/>
  <c r="P596" i="3" s="1"/>
  <c r="T300" i="2" s="1"/>
  <c r="U300" i="2" s="1"/>
  <c r="O597" i="3"/>
  <c r="P597" i="3" s="1"/>
  <c r="Q597" i="3" s="1"/>
  <c r="O598" i="3"/>
  <c r="P598" i="3" s="1"/>
  <c r="Q598" i="3" s="1"/>
  <c r="O599" i="3"/>
  <c r="P599" i="3" s="1"/>
  <c r="O600" i="3"/>
  <c r="P600" i="3" s="1"/>
  <c r="S600" i="3" s="1"/>
  <c r="O601" i="3"/>
  <c r="P601" i="3"/>
  <c r="O602" i="3"/>
  <c r="O603" i="3"/>
  <c r="O604" i="3"/>
  <c r="O605" i="3"/>
  <c r="O606" i="3"/>
  <c r="P606" i="3" s="1"/>
  <c r="Q606" i="3" s="1"/>
  <c r="O607" i="3"/>
  <c r="P607" i="3" s="1"/>
  <c r="O608" i="3"/>
  <c r="P608" i="3" s="1"/>
  <c r="O609" i="3"/>
  <c r="P609" i="3" s="1"/>
  <c r="O610" i="3"/>
  <c r="P610" i="3" s="1"/>
  <c r="O611" i="3"/>
  <c r="P611" i="3" s="1"/>
  <c r="T307" i="2" s="1"/>
  <c r="U307" i="2" s="1"/>
  <c r="S611" i="3"/>
  <c r="W307" i="2" s="1"/>
  <c r="O612" i="3"/>
  <c r="P612" i="3" s="1"/>
  <c r="S612" i="3" s="1"/>
  <c r="O613" i="3"/>
  <c r="P613" i="3" s="1"/>
  <c r="R613" i="3" s="1"/>
  <c r="V309" i="2" s="1"/>
  <c r="O614" i="3"/>
  <c r="P614" i="3" s="1"/>
  <c r="O615" i="3"/>
  <c r="P615" i="3" s="1"/>
  <c r="O616" i="3"/>
  <c r="P616" i="3" s="1"/>
  <c r="O617" i="3"/>
  <c r="P617" i="3" s="1"/>
  <c r="Q617" i="3" s="1"/>
  <c r="R617" i="3"/>
  <c r="O618" i="3"/>
  <c r="O619" i="3"/>
  <c r="O620" i="3"/>
  <c r="P620" i="3" s="1"/>
  <c r="O621" i="3"/>
  <c r="O622" i="3"/>
  <c r="P622" i="3" s="1"/>
  <c r="Q622" i="3"/>
  <c r="O623" i="3"/>
  <c r="P623" i="3" s="1"/>
  <c r="O624" i="3"/>
  <c r="P624" i="3" s="1"/>
  <c r="R624" i="3" s="1"/>
  <c r="O625" i="3"/>
  <c r="P625" i="3" s="1"/>
  <c r="O626" i="3"/>
  <c r="P626" i="3" s="1"/>
  <c r="O627" i="3"/>
  <c r="P627" i="3" s="1"/>
  <c r="O628" i="3"/>
  <c r="O629" i="3"/>
  <c r="P629" i="3" s="1"/>
  <c r="O630" i="3"/>
  <c r="P630" i="3" s="1"/>
  <c r="O631" i="3"/>
  <c r="P631" i="3" s="1"/>
  <c r="O632" i="3"/>
  <c r="P632" i="3" s="1"/>
  <c r="Q632" i="3" s="1"/>
  <c r="O633" i="3"/>
  <c r="P633" i="3" s="1"/>
  <c r="Q633" i="3" s="1"/>
  <c r="O634" i="3"/>
  <c r="P634" i="3" s="1"/>
  <c r="T318" i="2" s="1"/>
  <c r="U318" i="2" s="1"/>
  <c r="Q634" i="3"/>
  <c r="O635" i="3"/>
  <c r="P635" i="3" s="1"/>
  <c r="T319" i="2" s="1"/>
  <c r="U319" i="2" s="1"/>
  <c r="O636" i="3"/>
  <c r="P636" i="3" s="1"/>
  <c r="O637" i="3"/>
  <c r="P637" i="3"/>
  <c r="R637" i="3"/>
  <c r="V321" i="2" s="1"/>
  <c r="O638" i="3"/>
  <c r="P638" i="3" s="1"/>
  <c r="Q638" i="3"/>
  <c r="O639" i="3"/>
  <c r="O640" i="3"/>
  <c r="P640" i="3" s="1"/>
  <c r="O641" i="3"/>
  <c r="P641" i="3" s="1"/>
  <c r="R641" i="3" s="1"/>
  <c r="V324" i="2" s="1"/>
  <c r="O642" i="3"/>
  <c r="P642" i="3"/>
  <c r="R642" i="3"/>
  <c r="O643" i="3"/>
  <c r="P643" i="3"/>
  <c r="O644" i="3"/>
  <c r="P644" i="3" s="1"/>
  <c r="S644" i="3" s="1"/>
  <c r="O645" i="3"/>
  <c r="P645" i="3" s="1"/>
  <c r="S645" i="3" s="1"/>
  <c r="Q645" i="3"/>
  <c r="O646" i="3"/>
  <c r="P646" i="3" s="1"/>
  <c r="O647" i="3"/>
  <c r="P647" i="3" s="1"/>
  <c r="Q647" i="3" s="1"/>
  <c r="O648" i="3"/>
  <c r="P648" i="3" s="1"/>
  <c r="O649" i="3"/>
  <c r="P649" i="3" s="1"/>
  <c r="O650" i="3"/>
  <c r="P650" i="3"/>
  <c r="R650" i="3" s="1"/>
  <c r="O651" i="3"/>
  <c r="P651" i="3"/>
  <c r="S651" i="3"/>
  <c r="W328" i="2" s="1"/>
  <c r="O652" i="3"/>
  <c r="P652" i="3"/>
  <c r="O653" i="3"/>
  <c r="P653" i="3" s="1"/>
  <c r="O654" i="3"/>
  <c r="P654" i="3" s="1"/>
  <c r="O655" i="3"/>
  <c r="P655" i="3" s="1"/>
  <c r="Q655" i="3" s="1"/>
  <c r="O656" i="3"/>
  <c r="P656" i="3" s="1"/>
  <c r="R656" i="3" s="1"/>
  <c r="V329" i="2" s="1"/>
  <c r="O657" i="3"/>
  <c r="O658" i="3"/>
  <c r="O659" i="3"/>
  <c r="P659" i="3"/>
  <c r="O660" i="3"/>
  <c r="P660" i="3" s="1"/>
  <c r="O661" i="3"/>
  <c r="P661" i="3" s="1"/>
  <c r="R661" i="3" s="1"/>
  <c r="V334" i="2" s="1"/>
  <c r="Q661" i="3"/>
  <c r="S661" i="3"/>
  <c r="O662" i="3"/>
  <c r="P662" i="3" s="1"/>
  <c r="Q662" i="3" s="1"/>
  <c r="O663" i="3"/>
  <c r="P663" i="3" s="1"/>
  <c r="Q663" i="3" s="1"/>
  <c r="O664" i="3"/>
  <c r="P664" i="3" s="1"/>
  <c r="S664" i="3" s="1"/>
  <c r="O665" i="3"/>
  <c r="P665" i="3" s="1"/>
  <c r="O666" i="3"/>
  <c r="P666" i="3"/>
  <c r="O667" i="3"/>
  <c r="P667" i="3" s="1"/>
  <c r="O668" i="3"/>
  <c r="O669" i="3"/>
  <c r="P669" i="3" s="1"/>
  <c r="S669" i="3" s="1"/>
  <c r="W336" i="2" s="1"/>
  <c r="O670" i="3"/>
  <c r="P670" i="3" s="1"/>
  <c r="T337" i="2" s="1"/>
  <c r="U337" i="2" s="1"/>
  <c r="O671" i="3"/>
  <c r="O672" i="3"/>
  <c r="P672" i="3" s="1"/>
  <c r="S672" i="3" s="1"/>
  <c r="W339" i="2" s="1"/>
  <c r="O673" i="3"/>
  <c r="P673" i="3"/>
  <c r="O674" i="3"/>
  <c r="P674" i="3"/>
  <c r="O675" i="3"/>
  <c r="P675" i="3" s="1"/>
  <c r="S675" i="3" s="1"/>
  <c r="O676" i="3"/>
  <c r="P676" i="3" s="1"/>
  <c r="O677" i="3"/>
  <c r="P677" i="3" s="1"/>
  <c r="O678" i="3"/>
  <c r="P678" i="3" s="1"/>
  <c r="Q678" i="3"/>
  <c r="O679" i="3"/>
  <c r="P679" i="3" s="1"/>
  <c r="O680" i="3"/>
  <c r="P680" i="3" s="1"/>
  <c r="Q680" i="3" s="1"/>
  <c r="S680" i="3"/>
  <c r="W341" i="2" s="1"/>
  <c r="O681" i="3"/>
  <c r="P681" i="3" s="1"/>
  <c r="O682" i="3"/>
  <c r="S343" i="2" s="1"/>
  <c r="P682" i="3"/>
  <c r="T343" i="2" s="1"/>
  <c r="U343" i="2" s="1"/>
  <c r="O683" i="3"/>
  <c r="P683" i="3"/>
  <c r="O684" i="3"/>
  <c r="P684" i="3" s="1"/>
  <c r="S684" i="3" s="1"/>
  <c r="O685" i="3"/>
  <c r="P685" i="3" s="1"/>
  <c r="S685" i="3" s="1"/>
  <c r="Q685" i="3"/>
  <c r="O686" i="3"/>
  <c r="P686" i="3" s="1"/>
  <c r="O687" i="3"/>
  <c r="P687" i="3" s="1"/>
  <c r="S687" i="3" s="1"/>
  <c r="O688" i="3"/>
  <c r="P688" i="3" s="1"/>
  <c r="S688" i="3" s="1"/>
  <c r="W345" i="2" s="1"/>
  <c r="O689" i="3"/>
  <c r="P689" i="3"/>
  <c r="R689" i="3" s="1"/>
  <c r="O690" i="3"/>
  <c r="P690" i="3" s="1"/>
  <c r="Q690" i="3" s="1"/>
  <c r="O691" i="3"/>
  <c r="P691" i="3" s="1"/>
  <c r="S691" i="3" s="1"/>
  <c r="W348" i="2" s="1"/>
  <c r="O692" i="3"/>
  <c r="P692" i="3" s="1"/>
  <c r="Q692" i="3" s="1"/>
  <c r="O693" i="3"/>
  <c r="P693" i="3" s="1"/>
  <c r="S693" i="3" s="1"/>
  <c r="Q693" i="3"/>
  <c r="R693" i="3"/>
  <c r="O694" i="3"/>
  <c r="P694" i="3" s="1"/>
  <c r="Q694" i="3" s="1"/>
  <c r="O695" i="3"/>
  <c r="P695" i="3" s="1"/>
  <c r="O696" i="3"/>
  <c r="P696" i="3" s="1"/>
  <c r="R696" i="3" s="1"/>
  <c r="V349" i="2" s="1"/>
  <c r="O697" i="3"/>
  <c r="P697" i="3" s="1"/>
  <c r="S697" i="3" s="1"/>
  <c r="W350" i="2" s="1"/>
  <c r="Q697" i="3"/>
  <c r="O698" i="3"/>
  <c r="P698" i="3" s="1"/>
  <c r="O699" i="3"/>
  <c r="P699" i="3" s="1"/>
  <c r="O700" i="3"/>
  <c r="P700" i="3" s="1"/>
  <c r="O701" i="3"/>
  <c r="P701" i="3" s="1"/>
  <c r="Q701" i="3"/>
  <c r="O702" i="3"/>
  <c r="P702" i="3" s="1"/>
  <c r="O703" i="3"/>
  <c r="P703" i="3" s="1"/>
  <c r="Q703" i="3" s="1"/>
  <c r="O704" i="3"/>
  <c r="P704" i="3" s="1"/>
  <c r="O705" i="3"/>
  <c r="P705" i="3" s="1"/>
  <c r="R705" i="3" s="1"/>
  <c r="S705" i="3"/>
  <c r="O706" i="3"/>
  <c r="O707" i="3"/>
  <c r="P707" i="3" s="1"/>
  <c r="S707" i="3" s="1"/>
  <c r="R707" i="3"/>
  <c r="V356" i="2" s="1"/>
  <c r="O708" i="3"/>
  <c r="P708" i="3" s="1"/>
  <c r="R708" i="3"/>
  <c r="O709" i="3"/>
  <c r="P709" i="3" s="1"/>
  <c r="Q709" i="3" s="1"/>
  <c r="O710" i="3"/>
  <c r="P710" i="3"/>
  <c r="O711" i="3"/>
  <c r="P711" i="3" s="1"/>
  <c r="Q711" i="3" s="1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P717" i="3"/>
  <c r="Q717" i="3" s="1"/>
  <c r="O718" i="3"/>
  <c r="P718" i="3"/>
  <c r="O719" i="3"/>
  <c r="P719" i="3" s="1"/>
  <c r="Q719" i="3" s="1"/>
  <c r="O720" i="3"/>
  <c r="O721" i="3"/>
  <c r="P721" i="3" s="1"/>
  <c r="S721" i="3" s="1"/>
  <c r="Q721" i="3"/>
  <c r="R721" i="3"/>
  <c r="O722" i="3"/>
  <c r="P722" i="3" s="1"/>
  <c r="R722" i="3" s="1"/>
  <c r="V365" i="2" s="1"/>
  <c r="O723" i="3"/>
  <c r="P723" i="3" s="1"/>
  <c r="R723" i="3" s="1"/>
  <c r="O724" i="3"/>
  <c r="P724" i="3"/>
  <c r="R724" i="3" s="1"/>
  <c r="O725" i="3"/>
  <c r="P725" i="3" s="1"/>
  <c r="Q725" i="3" s="1"/>
  <c r="O726" i="3"/>
  <c r="P726" i="3" s="1"/>
  <c r="S726" i="3" s="1"/>
  <c r="Q726" i="3"/>
  <c r="O727" i="3"/>
  <c r="P727" i="3" s="1"/>
  <c r="Q727" i="3" s="1"/>
  <c r="O728" i="3"/>
  <c r="P728" i="3" s="1"/>
  <c r="Q728" i="3"/>
  <c r="O729" i="3"/>
  <c r="P729" i="3" s="1"/>
  <c r="Q729" i="3"/>
  <c r="R729" i="3"/>
  <c r="S729" i="3"/>
  <c r="O730" i="3"/>
  <c r="P730" i="3" s="1"/>
  <c r="T366" i="2" s="1"/>
  <c r="U366" i="2" s="1"/>
  <c r="O731" i="3"/>
  <c r="P731" i="3" s="1"/>
  <c r="S731" i="3" s="1"/>
  <c r="Q731" i="3"/>
  <c r="R731" i="3"/>
  <c r="V367" i="2" s="1"/>
  <c r="O732" i="3"/>
  <c r="P732" i="3"/>
  <c r="O733" i="3"/>
  <c r="P733" i="3" s="1"/>
  <c r="Q733" i="3" s="1"/>
  <c r="O734" i="3"/>
  <c r="P734" i="3" s="1"/>
  <c r="Q734" i="3" s="1"/>
  <c r="O735" i="3"/>
  <c r="P735" i="3" s="1"/>
  <c r="Q735" i="3" s="1"/>
  <c r="O736" i="3"/>
  <c r="P736" i="3" s="1"/>
  <c r="Q736" i="3" s="1"/>
  <c r="O737" i="3"/>
  <c r="P737" i="3" s="1"/>
  <c r="O738" i="3"/>
  <c r="P738" i="3" s="1"/>
  <c r="R738" i="3" s="1"/>
  <c r="O739" i="3"/>
  <c r="P739" i="3" s="1"/>
  <c r="Q739" i="3" s="1"/>
  <c r="O740" i="3"/>
  <c r="O741" i="3"/>
  <c r="P741" i="3" s="1"/>
  <c r="Q741" i="3" s="1"/>
  <c r="O742" i="3"/>
  <c r="P742" i="3"/>
  <c r="Q742" i="3" s="1"/>
  <c r="O743" i="3"/>
  <c r="P743" i="3" s="1"/>
  <c r="Q743" i="3" s="1"/>
  <c r="O744" i="3"/>
  <c r="P744" i="3" s="1"/>
  <c r="Q744" i="3"/>
  <c r="O745" i="3"/>
  <c r="O746" i="3"/>
  <c r="P746" i="3" s="1"/>
  <c r="T376" i="2" s="1"/>
  <c r="U376" i="2" s="1"/>
  <c r="O747" i="3"/>
  <c r="P747" i="3" s="1"/>
  <c r="R747" i="3" s="1"/>
  <c r="V377" i="2" s="1"/>
  <c r="O748" i="3"/>
  <c r="P748" i="3" s="1"/>
  <c r="O749" i="3"/>
  <c r="P749" i="3"/>
  <c r="Q749" i="3" s="1"/>
  <c r="O750" i="3"/>
  <c r="P750" i="3"/>
  <c r="R750" i="3" s="1"/>
  <c r="O751" i="3"/>
  <c r="P751" i="3" s="1"/>
  <c r="Q751" i="3" s="1"/>
  <c r="O752" i="3"/>
  <c r="P752" i="3" s="1"/>
  <c r="Q752" i="3"/>
  <c r="O753" i="3"/>
  <c r="P753" i="3" s="1"/>
  <c r="S753" i="3" s="1"/>
  <c r="O754" i="3"/>
  <c r="P754" i="3" s="1"/>
  <c r="R754" i="3" s="1"/>
  <c r="O755" i="3"/>
  <c r="P755" i="3" s="1"/>
  <c r="O756" i="3"/>
  <c r="P756" i="3"/>
  <c r="R756" i="3"/>
  <c r="O757" i="3"/>
  <c r="P757" i="3" s="1"/>
  <c r="O758" i="3"/>
  <c r="P758" i="3" s="1"/>
  <c r="S758" i="3" s="1"/>
  <c r="Q758" i="3"/>
  <c r="R758" i="3"/>
  <c r="V382" i="2" s="1"/>
  <c r="O759" i="3"/>
  <c r="P759" i="3" s="1"/>
  <c r="T383" i="2" s="1"/>
  <c r="U383" i="2" s="1"/>
  <c r="O760" i="3"/>
  <c r="P760" i="3" s="1"/>
  <c r="Q760" i="3"/>
  <c r="O761" i="3"/>
  <c r="P761" i="3" s="1"/>
  <c r="R761" i="3" s="1"/>
  <c r="O762" i="3"/>
  <c r="P762" i="3" s="1"/>
  <c r="R762" i="3" s="1"/>
  <c r="O763" i="3"/>
  <c r="P763" i="3" s="1"/>
  <c r="S763" i="3" s="1"/>
  <c r="Q763" i="3"/>
  <c r="O764" i="3"/>
  <c r="P764" i="3" s="1"/>
  <c r="R764" i="3" s="1"/>
  <c r="V384" i="2" s="1"/>
  <c r="O765" i="3"/>
  <c r="P765" i="3" s="1"/>
  <c r="Q765" i="3" s="1"/>
  <c r="O766" i="3"/>
  <c r="O767" i="3"/>
  <c r="P767" i="3" s="1"/>
  <c r="T387" i="2" s="1"/>
  <c r="U387" i="2" s="1"/>
  <c r="O768" i="3"/>
  <c r="P768" i="3" s="1"/>
  <c r="Q768" i="3" s="1"/>
  <c r="O769" i="3"/>
  <c r="P769" i="3" s="1"/>
  <c r="R769" i="3"/>
  <c r="O770" i="3"/>
  <c r="O771" i="3"/>
  <c r="P771" i="3" s="1"/>
  <c r="S771" i="3" s="1"/>
  <c r="Q771" i="3"/>
  <c r="O772" i="3"/>
  <c r="P772" i="3" s="1"/>
  <c r="Q772" i="3" s="1"/>
  <c r="O773" i="3"/>
  <c r="P773" i="3"/>
  <c r="Q773" i="3" s="1"/>
  <c r="O774" i="3"/>
  <c r="P774" i="3"/>
  <c r="R774" i="3" s="1"/>
  <c r="O775" i="3"/>
  <c r="P775" i="3" s="1"/>
  <c r="Q775" i="3" s="1"/>
  <c r="O776" i="3"/>
  <c r="P776" i="3" s="1"/>
  <c r="Q776" i="3"/>
  <c r="O777" i="3"/>
  <c r="P777" i="3" s="1"/>
  <c r="Q777" i="3"/>
  <c r="R777" i="3"/>
  <c r="S777" i="3"/>
  <c r="O778" i="3"/>
  <c r="O779" i="3"/>
  <c r="O780" i="3"/>
  <c r="P780" i="3" s="1"/>
  <c r="R780" i="3"/>
  <c r="V393" i="2" s="1"/>
  <c r="O781" i="3"/>
  <c r="P781" i="3" s="1"/>
  <c r="O782" i="3"/>
  <c r="P782" i="3"/>
  <c r="R782" i="3" s="1"/>
  <c r="O783" i="3"/>
  <c r="P783" i="3" s="1"/>
  <c r="Q783" i="3" s="1"/>
  <c r="O784" i="3"/>
  <c r="O785" i="3"/>
  <c r="P785" i="3" s="1"/>
  <c r="R785" i="3"/>
  <c r="O786" i="3"/>
  <c r="P786" i="3" s="1"/>
  <c r="R786" i="3" s="1"/>
  <c r="V398" i="2" s="1"/>
  <c r="O787" i="3"/>
  <c r="P787" i="3" s="1"/>
  <c r="O788" i="3"/>
  <c r="P788" i="3"/>
  <c r="S788" i="3" s="1"/>
  <c r="O789" i="3"/>
  <c r="P789" i="3" s="1"/>
  <c r="Q789" i="3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R794" i="3"/>
  <c r="S794" i="3"/>
  <c r="O795" i="3"/>
  <c r="P795" i="3"/>
  <c r="O796" i="3"/>
  <c r="P796" i="3" s="1"/>
  <c r="O797" i="3"/>
  <c r="P797" i="3" s="1"/>
  <c r="S797" i="3" s="1"/>
  <c r="W400" i="2" s="1"/>
  <c r="O798" i="3"/>
  <c r="P798" i="3" s="1"/>
  <c r="T401" i="2" s="1"/>
  <c r="U401" i="2" s="1"/>
  <c r="S798" i="3"/>
  <c r="W401" i="2" s="1"/>
  <c r="O799" i="3"/>
  <c r="P799" i="3" s="1"/>
  <c r="S799" i="3" s="1"/>
  <c r="Q799" i="3"/>
  <c r="R799" i="3"/>
  <c r="O800" i="3"/>
  <c r="P800" i="3" s="1"/>
  <c r="Q800" i="3" s="1"/>
  <c r="O801" i="3"/>
  <c r="P801" i="3" s="1"/>
  <c r="O802" i="3"/>
  <c r="P802" i="3" s="1"/>
  <c r="Q802" i="3" s="1"/>
  <c r="O803" i="3"/>
  <c r="P803" i="3" s="1"/>
  <c r="Q803" i="3" s="1"/>
  <c r="R803" i="3"/>
  <c r="O804" i="3"/>
  <c r="P804" i="3"/>
  <c r="O805" i="3"/>
  <c r="P805" i="3" s="1"/>
  <c r="S805" i="3" s="1"/>
  <c r="O806" i="3"/>
  <c r="P806" i="3" s="1"/>
  <c r="S806" i="3" s="1"/>
  <c r="W407" i="2" s="1"/>
  <c r="O807" i="3"/>
  <c r="P807" i="3" s="1"/>
  <c r="R807" i="3"/>
  <c r="V408" i="2" s="1"/>
  <c r="O808" i="3"/>
  <c r="O809" i="3"/>
  <c r="P809" i="3" s="1"/>
  <c r="O810" i="3"/>
  <c r="P810" i="3" s="1"/>
  <c r="Q810" i="3" s="1"/>
  <c r="O811" i="3"/>
  <c r="P811" i="3" s="1"/>
  <c r="Q811" i="3" s="1"/>
  <c r="O812" i="3"/>
  <c r="P812" i="3"/>
  <c r="Q812" i="3" s="1"/>
  <c r="O813" i="3"/>
  <c r="P813" i="3"/>
  <c r="S813" i="3" s="1"/>
  <c r="O814" i="3"/>
  <c r="P814" i="3" s="1"/>
  <c r="S814" i="3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Q819" i="3" s="1"/>
  <c r="R819" i="3"/>
  <c r="O820" i="3"/>
  <c r="P820" i="3" s="1"/>
  <c r="Q820" i="3"/>
  <c r="O821" i="3"/>
  <c r="P821" i="3" s="1"/>
  <c r="T412" i="2" s="1"/>
  <c r="U412" i="2" s="1"/>
  <c r="S821" i="3"/>
  <c r="W412" i="2" s="1"/>
  <c r="O822" i="3"/>
  <c r="O823" i="3"/>
  <c r="P823" i="3" s="1"/>
  <c r="S823" i="3" s="1"/>
  <c r="O824" i="3"/>
  <c r="P824" i="3" s="1"/>
  <c r="Q824" i="3" s="1"/>
  <c r="O825" i="3"/>
  <c r="S416" i="2" s="1"/>
  <c r="O826" i="3"/>
  <c r="P826" i="3" s="1"/>
  <c r="Q826" i="3" s="1"/>
  <c r="R826" i="3"/>
  <c r="O827" i="3"/>
  <c r="P827" i="3" s="1"/>
  <c r="Q827" i="3" s="1"/>
  <c r="O828" i="3"/>
  <c r="P828" i="3"/>
  <c r="Q828" i="3" s="1"/>
  <c r="O829" i="3"/>
  <c r="P829" i="3"/>
  <c r="S829" i="3" s="1"/>
  <c r="O830" i="3"/>
  <c r="P830" i="3" s="1"/>
  <c r="S830" i="3"/>
  <c r="O831" i="3"/>
  <c r="P831" i="3" s="1"/>
  <c r="S831" i="3" s="1"/>
  <c r="O832" i="3"/>
  <c r="O833" i="3"/>
  <c r="P833" i="3" s="1"/>
  <c r="O834" i="3"/>
  <c r="P834" i="3" s="1"/>
  <c r="O835" i="3"/>
  <c r="P835" i="3"/>
  <c r="T420" i="2" s="1"/>
  <c r="U420" i="2" s="1"/>
  <c r="O836" i="3"/>
  <c r="S421" i="2" s="1"/>
  <c r="P836" i="3"/>
  <c r="O837" i="3"/>
  <c r="P837" i="3" s="1"/>
  <c r="S837" i="3"/>
  <c r="W422" i="2" s="1"/>
  <c r="O838" i="3"/>
  <c r="P838" i="3" s="1"/>
  <c r="S838" i="3" s="1"/>
  <c r="O839" i="3"/>
  <c r="P839" i="3" s="1"/>
  <c r="S839" i="3" s="1"/>
  <c r="Q839" i="3"/>
  <c r="R839" i="3"/>
  <c r="O840" i="3"/>
  <c r="P840" i="3" s="1"/>
  <c r="Q840" i="3" s="1"/>
  <c r="O841" i="3"/>
  <c r="P841" i="3" s="1"/>
  <c r="O842" i="3"/>
  <c r="P842" i="3" s="1"/>
  <c r="R842" i="3"/>
  <c r="O843" i="3"/>
  <c r="P843" i="3" s="1"/>
  <c r="O844" i="3"/>
  <c r="P844" i="3" s="1"/>
  <c r="Q844" i="3" s="1"/>
  <c r="O845" i="3"/>
  <c r="P845" i="3" s="1"/>
  <c r="O846" i="3"/>
  <c r="P846" i="3" s="1"/>
  <c r="S846" i="3" s="1"/>
  <c r="W425" i="2" s="1"/>
  <c r="O847" i="3"/>
  <c r="O848" i="3"/>
  <c r="O849" i="3"/>
  <c r="S428" i="2" s="1"/>
  <c r="P849" i="3"/>
  <c r="O850" i="3"/>
  <c r="P850" i="3" s="1"/>
  <c r="Q850" i="3" s="1"/>
  <c r="R850" i="3"/>
  <c r="S850" i="3"/>
  <c r="O851" i="3"/>
  <c r="P851" i="3"/>
  <c r="O852" i="3"/>
  <c r="P852" i="3" s="1"/>
  <c r="Q852" i="3" s="1"/>
  <c r="O853" i="3"/>
  <c r="P853" i="3"/>
  <c r="S853" i="3" s="1"/>
  <c r="O854" i="3"/>
  <c r="P854" i="3" s="1"/>
  <c r="S854" i="3" s="1"/>
  <c r="O855" i="3"/>
  <c r="P855" i="3" s="1"/>
  <c r="O856" i="3"/>
  <c r="P856" i="3" s="1"/>
  <c r="Q856" i="3" s="1"/>
  <c r="O857" i="3"/>
  <c r="P857" i="3"/>
  <c r="T430" i="2" s="1"/>
  <c r="U430" i="2" s="1"/>
  <c r="O858" i="3"/>
  <c r="P858" i="3" s="1"/>
  <c r="S858" i="3" s="1"/>
  <c r="W431" i="2" s="1"/>
  <c r="O859" i="3"/>
  <c r="P859" i="3"/>
  <c r="Q859" i="3" s="1"/>
  <c r="O860" i="3"/>
  <c r="P860" i="3"/>
  <c r="O861" i="3"/>
  <c r="S434" i="2" s="1"/>
  <c r="P861" i="3"/>
  <c r="T434" i="2" s="1"/>
  <c r="U434" i="2" s="1"/>
  <c r="O862" i="3"/>
  <c r="P862" i="3" s="1"/>
  <c r="S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R867" i="3"/>
  <c r="O868" i="3"/>
  <c r="P868" i="3" s="1"/>
  <c r="Q868" i="3"/>
  <c r="O869" i="3"/>
  <c r="P869" i="3" s="1"/>
  <c r="O870" i="3"/>
  <c r="P870" i="3" s="1"/>
  <c r="S870" i="3"/>
  <c r="W437" i="2" s="1"/>
  <c r="O871" i="3"/>
  <c r="O872" i="3"/>
  <c r="P872" i="3" s="1"/>
  <c r="Q872" i="3" s="1"/>
  <c r="O873" i="3"/>
  <c r="O874" i="3"/>
  <c r="P874" i="3" s="1"/>
  <c r="Q874" i="3" s="1"/>
  <c r="O875" i="3"/>
  <c r="P875" i="3" s="1"/>
  <c r="Q875" i="3" s="1"/>
  <c r="O876" i="3"/>
  <c r="P876" i="3"/>
  <c r="Q876" i="3"/>
  <c r="O877" i="3"/>
  <c r="P877" i="3" s="1"/>
  <c r="S877" i="3" s="1"/>
  <c r="O878" i="3"/>
  <c r="P878" i="3" s="1"/>
  <c r="S878" i="3"/>
  <c r="O879" i="3"/>
  <c r="P879" i="3" s="1"/>
  <c r="S879" i="3" s="1"/>
  <c r="Q879" i="3"/>
  <c r="R879" i="3"/>
  <c r="N261" i="2"/>
  <c r="O261" i="2"/>
  <c r="R261" i="2" s="1"/>
  <c r="P261" i="2"/>
  <c r="Q261" i="2"/>
  <c r="X261" i="2"/>
  <c r="Y261" i="2"/>
  <c r="Z261" i="2"/>
  <c r="AA261" i="2"/>
  <c r="N262" i="2"/>
  <c r="O262" i="2"/>
  <c r="R262" i="2" s="1"/>
  <c r="P262" i="2"/>
  <c r="Q262" i="2"/>
  <c r="X262" i="2"/>
  <c r="Y262" i="2"/>
  <c r="Z262" i="2"/>
  <c r="AA262" i="2"/>
  <c r="N263" i="2"/>
  <c r="O263" i="2"/>
  <c r="R263" i="2" s="1"/>
  <c r="P263" i="2"/>
  <c r="Q263" i="2"/>
  <c r="X263" i="2"/>
  <c r="Y263" i="2"/>
  <c r="Z263" i="2"/>
  <c r="AA263" i="2"/>
  <c r="N264" i="2"/>
  <c r="O264" i="2"/>
  <c r="R264" i="2" s="1"/>
  <c r="P264" i="2"/>
  <c r="Q264" i="2"/>
  <c r="X264" i="2"/>
  <c r="Y264" i="2"/>
  <c r="Z264" i="2"/>
  <c r="AA264" i="2"/>
  <c r="N265" i="2"/>
  <c r="O265" i="2"/>
  <c r="R265" i="2" s="1"/>
  <c r="P265" i="2"/>
  <c r="Q265" i="2"/>
  <c r="X265" i="2"/>
  <c r="Y265" i="2"/>
  <c r="Z265" i="2"/>
  <c r="AA265" i="2"/>
  <c r="N266" i="2"/>
  <c r="O266" i="2"/>
  <c r="R266" i="2" s="1"/>
  <c r="P266" i="2"/>
  <c r="Q266" i="2"/>
  <c r="X266" i="2"/>
  <c r="Y266" i="2"/>
  <c r="Z266" i="2"/>
  <c r="AA266" i="2"/>
  <c r="N267" i="2"/>
  <c r="O267" i="2"/>
  <c r="R267" i="2" s="1"/>
  <c r="P267" i="2"/>
  <c r="Q267" i="2"/>
  <c r="S267" i="2"/>
  <c r="X267" i="2"/>
  <c r="Y267" i="2"/>
  <c r="Z267" i="2"/>
  <c r="AA267" i="2"/>
  <c r="N268" i="2"/>
  <c r="O268" i="2"/>
  <c r="R268" i="2" s="1"/>
  <c r="P268" i="2"/>
  <c r="Q268" i="2"/>
  <c r="X268" i="2"/>
  <c r="Y268" i="2"/>
  <c r="Z268" i="2"/>
  <c r="AA268" i="2"/>
  <c r="N269" i="2"/>
  <c r="O269" i="2"/>
  <c r="R269" i="2" s="1"/>
  <c r="P269" i="2"/>
  <c r="Q269" i="2"/>
  <c r="S269" i="2"/>
  <c r="T269" i="2"/>
  <c r="U269" i="2" s="1"/>
  <c r="X269" i="2"/>
  <c r="Y269" i="2"/>
  <c r="Z269" i="2"/>
  <c r="AA269" i="2"/>
  <c r="N270" i="2"/>
  <c r="O270" i="2"/>
  <c r="R270" i="2" s="1"/>
  <c r="P270" i="2"/>
  <c r="Q270" i="2"/>
  <c r="S270" i="2"/>
  <c r="X270" i="2"/>
  <c r="Y270" i="2"/>
  <c r="Z270" i="2"/>
  <c r="AA270" i="2"/>
  <c r="N271" i="2"/>
  <c r="O271" i="2"/>
  <c r="R271" i="2" s="1"/>
  <c r="P271" i="2"/>
  <c r="Q271" i="2"/>
  <c r="S271" i="2"/>
  <c r="X271" i="2"/>
  <c r="Y271" i="2"/>
  <c r="Z271" i="2"/>
  <c r="AA271" i="2"/>
  <c r="N272" i="2"/>
  <c r="O272" i="2"/>
  <c r="R272" i="2" s="1"/>
  <c r="P272" i="2"/>
  <c r="Q272" i="2"/>
  <c r="S272" i="2"/>
  <c r="X272" i="2"/>
  <c r="Y272" i="2"/>
  <c r="Z272" i="2"/>
  <c r="AA272" i="2"/>
  <c r="N273" i="2"/>
  <c r="O273" i="2"/>
  <c r="R273" i="2" s="1"/>
  <c r="P273" i="2"/>
  <c r="Q273" i="2"/>
  <c r="X273" i="2"/>
  <c r="Y273" i="2"/>
  <c r="Z273" i="2"/>
  <c r="AA273" i="2"/>
  <c r="N274" i="2"/>
  <c r="O274" i="2"/>
  <c r="R274" i="2" s="1"/>
  <c r="P274" i="2"/>
  <c r="Q274" i="2"/>
  <c r="S274" i="2"/>
  <c r="X274" i="2"/>
  <c r="Y274" i="2"/>
  <c r="Z274" i="2"/>
  <c r="AA274" i="2"/>
  <c r="N275" i="2"/>
  <c r="O275" i="2"/>
  <c r="R275" i="2" s="1"/>
  <c r="P275" i="2"/>
  <c r="Q275" i="2"/>
  <c r="X275" i="2"/>
  <c r="Y275" i="2"/>
  <c r="Z275" i="2"/>
  <c r="AA275" i="2"/>
  <c r="N276" i="2"/>
  <c r="O276" i="2"/>
  <c r="R276" i="2" s="1"/>
  <c r="P276" i="2"/>
  <c r="Q276" i="2"/>
  <c r="S276" i="2"/>
  <c r="X276" i="2"/>
  <c r="Y276" i="2"/>
  <c r="Z276" i="2"/>
  <c r="AA276" i="2"/>
  <c r="N277" i="2"/>
  <c r="O277" i="2"/>
  <c r="R277" i="2" s="1"/>
  <c r="P277" i="2"/>
  <c r="Q277" i="2"/>
  <c r="X277" i="2"/>
  <c r="Y277" i="2"/>
  <c r="Z277" i="2"/>
  <c r="AA277" i="2"/>
  <c r="N278" i="2"/>
  <c r="O278" i="2"/>
  <c r="R278" i="2" s="1"/>
  <c r="P278" i="2"/>
  <c r="Q278" i="2"/>
  <c r="X278" i="2"/>
  <c r="Y278" i="2"/>
  <c r="Z278" i="2"/>
  <c r="AA278" i="2"/>
  <c r="N279" i="2"/>
  <c r="O279" i="2"/>
  <c r="R279" i="2" s="1"/>
  <c r="P279" i="2"/>
  <c r="Q279" i="2"/>
  <c r="S279" i="2"/>
  <c r="T279" i="2"/>
  <c r="U279" i="2" s="1"/>
  <c r="X279" i="2"/>
  <c r="Y279" i="2"/>
  <c r="Z279" i="2"/>
  <c r="AA279" i="2"/>
  <c r="N280" i="2"/>
  <c r="O280" i="2"/>
  <c r="R280" i="2" s="1"/>
  <c r="P280" i="2"/>
  <c r="Q280" i="2"/>
  <c r="S280" i="2"/>
  <c r="X280" i="2"/>
  <c r="Y280" i="2"/>
  <c r="Z280" i="2"/>
  <c r="AA280" i="2"/>
  <c r="N281" i="2"/>
  <c r="O281" i="2"/>
  <c r="R281" i="2" s="1"/>
  <c r="P281" i="2"/>
  <c r="Q281" i="2"/>
  <c r="S281" i="2"/>
  <c r="T281" i="2"/>
  <c r="U281" i="2" s="1"/>
  <c r="X281" i="2"/>
  <c r="Y281" i="2"/>
  <c r="Z281" i="2"/>
  <c r="AA281" i="2"/>
  <c r="N282" i="2"/>
  <c r="O282" i="2"/>
  <c r="R282" i="2" s="1"/>
  <c r="P282" i="2"/>
  <c r="Q282" i="2"/>
  <c r="S282" i="2"/>
  <c r="X282" i="2"/>
  <c r="Y282" i="2"/>
  <c r="Z282" i="2"/>
  <c r="AA282" i="2"/>
  <c r="N283" i="2"/>
  <c r="O283" i="2"/>
  <c r="R283" i="2" s="1"/>
  <c r="P283" i="2"/>
  <c r="Q283" i="2"/>
  <c r="S283" i="2"/>
  <c r="X283" i="2"/>
  <c r="Y283" i="2"/>
  <c r="Z283" i="2"/>
  <c r="AA283" i="2"/>
  <c r="N284" i="2"/>
  <c r="O284" i="2"/>
  <c r="R284" i="2" s="1"/>
  <c r="P284" i="2"/>
  <c r="Q284" i="2"/>
  <c r="X284" i="2"/>
  <c r="Y284" i="2"/>
  <c r="Z284" i="2"/>
  <c r="AA284" i="2"/>
  <c r="N285" i="2"/>
  <c r="O285" i="2"/>
  <c r="R285" i="2" s="1"/>
  <c r="P285" i="2"/>
  <c r="Q285" i="2"/>
  <c r="X285" i="2"/>
  <c r="Y285" i="2"/>
  <c r="Z285" i="2"/>
  <c r="AA285" i="2"/>
  <c r="N286" i="2"/>
  <c r="O286" i="2"/>
  <c r="R286" i="2" s="1"/>
  <c r="P286" i="2"/>
  <c r="Q286" i="2"/>
  <c r="X286" i="2"/>
  <c r="Y286" i="2"/>
  <c r="Z286" i="2"/>
  <c r="AA286" i="2"/>
  <c r="N287" i="2"/>
  <c r="O287" i="2"/>
  <c r="R287" i="2" s="1"/>
  <c r="P287" i="2"/>
  <c r="Q287" i="2"/>
  <c r="X287" i="2"/>
  <c r="Y287" i="2"/>
  <c r="Z287" i="2"/>
  <c r="AA287" i="2"/>
  <c r="N288" i="2"/>
  <c r="O288" i="2"/>
  <c r="R288" i="2" s="1"/>
  <c r="P288" i="2"/>
  <c r="Q288" i="2"/>
  <c r="S288" i="2"/>
  <c r="T288" i="2"/>
  <c r="U288" i="2" s="1"/>
  <c r="X288" i="2"/>
  <c r="Y288" i="2"/>
  <c r="Z288" i="2"/>
  <c r="AA288" i="2"/>
  <c r="N289" i="2"/>
  <c r="O289" i="2"/>
  <c r="R289" i="2" s="1"/>
  <c r="P289" i="2"/>
  <c r="Q289" i="2"/>
  <c r="S289" i="2"/>
  <c r="X289" i="2"/>
  <c r="Y289" i="2"/>
  <c r="Z289" i="2"/>
  <c r="AA289" i="2"/>
  <c r="N290" i="2"/>
  <c r="O290" i="2"/>
  <c r="R290" i="2" s="1"/>
  <c r="P290" i="2"/>
  <c r="Q290" i="2"/>
  <c r="X290" i="2"/>
  <c r="Y290" i="2"/>
  <c r="Z290" i="2"/>
  <c r="AA290" i="2"/>
  <c r="N291" i="2"/>
  <c r="O291" i="2"/>
  <c r="R291" i="2" s="1"/>
  <c r="P291" i="2"/>
  <c r="Q291" i="2"/>
  <c r="X291" i="2"/>
  <c r="Y291" i="2"/>
  <c r="Z291" i="2"/>
  <c r="AA291" i="2"/>
  <c r="N292" i="2"/>
  <c r="O292" i="2"/>
  <c r="R292" i="2" s="1"/>
  <c r="P292" i="2"/>
  <c r="Q292" i="2"/>
  <c r="X292" i="2"/>
  <c r="Y292" i="2"/>
  <c r="Z292" i="2"/>
  <c r="AA292" i="2"/>
  <c r="N293" i="2"/>
  <c r="O293" i="2"/>
  <c r="R293" i="2" s="1"/>
  <c r="P293" i="2"/>
  <c r="Q293" i="2"/>
  <c r="S293" i="2"/>
  <c r="T293" i="2"/>
  <c r="U293" i="2" s="1"/>
  <c r="W293" i="2"/>
  <c r="X293" i="2"/>
  <c r="Y293" i="2"/>
  <c r="Z293" i="2"/>
  <c r="AA293" i="2"/>
  <c r="N294" i="2"/>
  <c r="O294" i="2"/>
  <c r="R294" i="2" s="1"/>
  <c r="P294" i="2"/>
  <c r="Q294" i="2"/>
  <c r="S294" i="2"/>
  <c r="T294" i="2"/>
  <c r="U294" i="2" s="1"/>
  <c r="X294" i="2"/>
  <c r="Y294" i="2"/>
  <c r="Z294" i="2"/>
  <c r="AA294" i="2"/>
  <c r="N295" i="2"/>
  <c r="O295" i="2"/>
  <c r="R295" i="2" s="1"/>
  <c r="P295" i="2"/>
  <c r="Q295" i="2"/>
  <c r="X295" i="2"/>
  <c r="Y295" i="2"/>
  <c r="Z295" i="2"/>
  <c r="AA295" i="2"/>
  <c r="N296" i="2"/>
  <c r="O296" i="2"/>
  <c r="R296" i="2" s="1"/>
  <c r="P296" i="2"/>
  <c r="Q296" i="2"/>
  <c r="X296" i="2"/>
  <c r="Y296" i="2"/>
  <c r="Z296" i="2"/>
  <c r="AA296" i="2"/>
  <c r="N297" i="2"/>
  <c r="O297" i="2"/>
  <c r="R297" i="2" s="1"/>
  <c r="P297" i="2"/>
  <c r="Q297" i="2"/>
  <c r="S297" i="2"/>
  <c r="X297" i="2"/>
  <c r="Y297" i="2"/>
  <c r="Z297" i="2"/>
  <c r="AA297" i="2"/>
  <c r="N298" i="2"/>
  <c r="O298" i="2"/>
  <c r="R298" i="2" s="1"/>
  <c r="P298" i="2"/>
  <c r="Q298" i="2"/>
  <c r="S298" i="2"/>
  <c r="X298" i="2"/>
  <c r="Y298" i="2"/>
  <c r="Z298" i="2"/>
  <c r="AA298" i="2"/>
  <c r="N299" i="2"/>
  <c r="O299" i="2"/>
  <c r="R299" i="2" s="1"/>
  <c r="P299" i="2"/>
  <c r="Q299" i="2"/>
  <c r="X299" i="2"/>
  <c r="Y299" i="2"/>
  <c r="Z299" i="2"/>
  <c r="AA299" i="2"/>
  <c r="N300" i="2"/>
  <c r="O300" i="2"/>
  <c r="R300" i="2" s="1"/>
  <c r="P300" i="2"/>
  <c r="Q300" i="2"/>
  <c r="S300" i="2"/>
  <c r="X300" i="2"/>
  <c r="Y300" i="2"/>
  <c r="Z300" i="2"/>
  <c r="AA300" i="2"/>
  <c r="N301" i="2"/>
  <c r="O301" i="2"/>
  <c r="R301" i="2" s="1"/>
  <c r="P301" i="2"/>
  <c r="Q301" i="2"/>
  <c r="S301" i="2"/>
  <c r="X301" i="2"/>
  <c r="Y301" i="2"/>
  <c r="Z301" i="2"/>
  <c r="AA301" i="2"/>
  <c r="N302" i="2"/>
  <c r="O302" i="2"/>
  <c r="R302" i="2" s="1"/>
  <c r="P302" i="2"/>
  <c r="Q302" i="2"/>
  <c r="X302" i="2"/>
  <c r="Y302" i="2"/>
  <c r="Z302" i="2"/>
  <c r="AA302" i="2"/>
  <c r="N303" i="2"/>
  <c r="O303" i="2"/>
  <c r="R303" i="2" s="1"/>
  <c r="P303" i="2"/>
  <c r="Q303" i="2"/>
  <c r="X303" i="2"/>
  <c r="Y303" i="2"/>
  <c r="Z303" i="2"/>
  <c r="AA303" i="2"/>
  <c r="N304" i="2"/>
  <c r="O304" i="2"/>
  <c r="R304" i="2" s="1"/>
  <c r="P304" i="2"/>
  <c r="Q304" i="2"/>
  <c r="X304" i="2"/>
  <c r="Y304" i="2"/>
  <c r="Z304" i="2"/>
  <c r="AA304" i="2"/>
  <c r="N305" i="2"/>
  <c r="O305" i="2"/>
  <c r="R305" i="2" s="1"/>
  <c r="P305" i="2"/>
  <c r="Q305" i="2"/>
  <c r="X305" i="2"/>
  <c r="Y305" i="2"/>
  <c r="Z305" i="2"/>
  <c r="AA305" i="2"/>
  <c r="N306" i="2"/>
  <c r="O306" i="2"/>
  <c r="R306" i="2" s="1"/>
  <c r="P306" i="2"/>
  <c r="Q306" i="2"/>
  <c r="S306" i="2"/>
  <c r="X306" i="2"/>
  <c r="Y306" i="2"/>
  <c r="Z306" i="2"/>
  <c r="AA306" i="2"/>
  <c r="N307" i="2"/>
  <c r="O307" i="2"/>
  <c r="R307" i="2" s="1"/>
  <c r="P307" i="2"/>
  <c r="Q307" i="2"/>
  <c r="X307" i="2"/>
  <c r="Y307" i="2"/>
  <c r="Z307" i="2"/>
  <c r="AA307" i="2"/>
  <c r="N308" i="2"/>
  <c r="O308" i="2"/>
  <c r="R308" i="2" s="1"/>
  <c r="P308" i="2"/>
  <c r="Q308" i="2"/>
  <c r="S308" i="2"/>
  <c r="T308" i="2"/>
  <c r="U308" i="2" s="1"/>
  <c r="W308" i="2"/>
  <c r="X308" i="2"/>
  <c r="Y308" i="2"/>
  <c r="Z308" i="2"/>
  <c r="AA308" i="2"/>
  <c r="N309" i="2"/>
  <c r="O309" i="2"/>
  <c r="R309" i="2" s="1"/>
  <c r="P309" i="2"/>
  <c r="Q309" i="2"/>
  <c r="S309" i="2"/>
  <c r="X309" i="2"/>
  <c r="Y309" i="2"/>
  <c r="Z309" i="2"/>
  <c r="AA309" i="2"/>
  <c r="N310" i="2"/>
  <c r="O310" i="2"/>
  <c r="R310" i="2" s="1"/>
  <c r="P310" i="2"/>
  <c r="Q310" i="2"/>
  <c r="X310" i="2"/>
  <c r="Y310" i="2"/>
  <c r="Z310" i="2"/>
  <c r="AA310" i="2"/>
  <c r="N311" i="2"/>
  <c r="O311" i="2"/>
  <c r="R311" i="2" s="1"/>
  <c r="P311" i="2"/>
  <c r="Q311" i="2"/>
  <c r="X311" i="2"/>
  <c r="Y311" i="2"/>
  <c r="Z311" i="2"/>
  <c r="AA311" i="2"/>
  <c r="N312" i="2"/>
  <c r="O312" i="2"/>
  <c r="R312" i="2" s="1"/>
  <c r="P312" i="2"/>
  <c r="Q312" i="2"/>
  <c r="S312" i="2"/>
  <c r="T312" i="2"/>
  <c r="U312" i="2" s="1"/>
  <c r="X312" i="2"/>
  <c r="Y312" i="2"/>
  <c r="Z312" i="2"/>
  <c r="AA312" i="2"/>
  <c r="N313" i="2"/>
  <c r="O313" i="2"/>
  <c r="R313" i="2" s="1"/>
  <c r="P313" i="2"/>
  <c r="Q313" i="2"/>
  <c r="X313" i="2"/>
  <c r="Y313" i="2"/>
  <c r="Z313" i="2"/>
  <c r="AA313" i="2"/>
  <c r="N314" i="2"/>
  <c r="O314" i="2"/>
  <c r="R314" i="2" s="1"/>
  <c r="P314" i="2"/>
  <c r="Q314" i="2"/>
  <c r="S314" i="2"/>
  <c r="T314" i="2"/>
  <c r="U314" i="2" s="1"/>
  <c r="X314" i="2"/>
  <c r="Y314" i="2"/>
  <c r="Z314" i="2"/>
  <c r="AA314" i="2"/>
  <c r="N315" i="2"/>
  <c r="O315" i="2"/>
  <c r="R315" i="2" s="1"/>
  <c r="P315" i="2"/>
  <c r="Q315" i="2"/>
  <c r="S315" i="2"/>
  <c r="X315" i="2"/>
  <c r="Y315" i="2"/>
  <c r="Z315" i="2"/>
  <c r="AA315" i="2"/>
  <c r="N316" i="2"/>
  <c r="O316" i="2"/>
  <c r="R316" i="2" s="1"/>
  <c r="P316" i="2"/>
  <c r="Q316" i="2"/>
  <c r="X316" i="2"/>
  <c r="Y316" i="2"/>
  <c r="Z316" i="2"/>
  <c r="AA316" i="2"/>
  <c r="N317" i="2"/>
  <c r="O317" i="2"/>
  <c r="R317" i="2" s="1"/>
  <c r="P317" i="2"/>
  <c r="Q317" i="2"/>
  <c r="S317" i="2"/>
  <c r="T317" i="2"/>
  <c r="U317" i="2" s="1"/>
  <c r="X317" i="2"/>
  <c r="Y317" i="2"/>
  <c r="Z317" i="2"/>
  <c r="AA317" i="2"/>
  <c r="N318" i="2"/>
  <c r="O318" i="2"/>
  <c r="R318" i="2" s="1"/>
  <c r="P318" i="2"/>
  <c r="Q318" i="2"/>
  <c r="S318" i="2"/>
  <c r="X318" i="2"/>
  <c r="Y318" i="2"/>
  <c r="Z318" i="2"/>
  <c r="AA318" i="2"/>
  <c r="N319" i="2"/>
  <c r="O319" i="2"/>
  <c r="P319" i="2"/>
  <c r="Q319" i="2"/>
  <c r="R319" i="2"/>
  <c r="S319" i="2"/>
  <c r="X319" i="2"/>
  <c r="Y319" i="2"/>
  <c r="Z319" i="2"/>
  <c r="AA319" i="2"/>
  <c r="N320" i="2"/>
  <c r="O320" i="2"/>
  <c r="R320" i="2" s="1"/>
  <c r="P320" i="2"/>
  <c r="Q320" i="2"/>
  <c r="X320" i="2"/>
  <c r="Y320" i="2"/>
  <c r="Z320" i="2"/>
  <c r="AA320" i="2"/>
  <c r="N321" i="2"/>
  <c r="O321" i="2"/>
  <c r="R321" i="2" s="1"/>
  <c r="P321" i="2"/>
  <c r="Q321" i="2"/>
  <c r="S321" i="2"/>
  <c r="X321" i="2"/>
  <c r="Y321" i="2"/>
  <c r="Z321" i="2"/>
  <c r="AA321" i="2"/>
  <c r="N322" i="2"/>
  <c r="O322" i="2"/>
  <c r="R322" i="2" s="1"/>
  <c r="P322" i="2"/>
  <c r="Q322" i="2"/>
  <c r="X322" i="2"/>
  <c r="Y322" i="2"/>
  <c r="Z322" i="2"/>
  <c r="AA322" i="2"/>
  <c r="N323" i="2"/>
  <c r="O323" i="2"/>
  <c r="P323" i="2"/>
  <c r="Q323" i="2"/>
  <c r="R323" i="2"/>
  <c r="S323" i="2"/>
  <c r="T323" i="2"/>
  <c r="U323" i="2" s="1"/>
  <c r="X323" i="2"/>
  <c r="Y323" i="2"/>
  <c r="Z323" i="2"/>
  <c r="AA323" i="2"/>
  <c r="N324" i="2"/>
  <c r="O324" i="2"/>
  <c r="R324" i="2" s="1"/>
  <c r="P324" i="2"/>
  <c r="Q324" i="2"/>
  <c r="S324" i="2"/>
  <c r="T324" i="2"/>
  <c r="U324" i="2" s="1"/>
  <c r="X324" i="2"/>
  <c r="Y324" i="2"/>
  <c r="Z324" i="2"/>
  <c r="AA324" i="2"/>
  <c r="N325" i="2"/>
  <c r="O325" i="2"/>
  <c r="R325" i="2" s="1"/>
  <c r="P325" i="2"/>
  <c r="Q325" i="2"/>
  <c r="X325" i="2"/>
  <c r="Y325" i="2"/>
  <c r="Z325" i="2"/>
  <c r="AA325" i="2"/>
  <c r="N326" i="2"/>
  <c r="O326" i="2"/>
  <c r="R326" i="2" s="1"/>
  <c r="P326" i="2"/>
  <c r="Q326" i="2"/>
  <c r="S326" i="2"/>
  <c r="T326" i="2"/>
  <c r="U326" i="2" s="1"/>
  <c r="X326" i="2"/>
  <c r="Y326" i="2"/>
  <c r="Z326" i="2"/>
  <c r="AA326" i="2"/>
  <c r="N327" i="2"/>
  <c r="O327" i="2"/>
  <c r="R327" i="2" s="1"/>
  <c r="P327" i="2"/>
  <c r="Q327" i="2"/>
  <c r="S327" i="2"/>
  <c r="T327" i="2"/>
  <c r="U327" i="2" s="1"/>
  <c r="V327" i="2"/>
  <c r="X327" i="2"/>
  <c r="Y327" i="2"/>
  <c r="Z327" i="2"/>
  <c r="AA327" i="2"/>
  <c r="N328" i="2"/>
  <c r="O328" i="2"/>
  <c r="R328" i="2" s="1"/>
  <c r="P328" i="2"/>
  <c r="Q328" i="2"/>
  <c r="S328" i="2"/>
  <c r="T328" i="2"/>
  <c r="U328" i="2" s="1"/>
  <c r="X328" i="2"/>
  <c r="Y328" i="2"/>
  <c r="Z328" i="2"/>
  <c r="AA328" i="2"/>
  <c r="N329" i="2"/>
  <c r="O329" i="2"/>
  <c r="R329" i="2" s="1"/>
  <c r="P329" i="2"/>
  <c r="Q329" i="2"/>
  <c r="S329" i="2"/>
  <c r="T329" i="2"/>
  <c r="U329" i="2" s="1"/>
  <c r="X329" i="2"/>
  <c r="Y329" i="2"/>
  <c r="Z329" i="2"/>
  <c r="AA329" i="2"/>
  <c r="N330" i="2"/>
  <c r="O330" i="2"/>
  <c r="R330" i="2" s="1"/>
  <c r="P330" i="2"/>
  <c r="Q330" i="2"/>
  <c r="X330" i="2"/>
  <c r="Y330" i="2"/>
  <c r="Z330" i="2"/>
  <c r="AA330" i="2"/>
  <c r="N331" i="2"/>
  <c r="O331" i="2"/>
  <c r="R331" i="2" s="1"/>
  <c r="P331" i="2"/>
  <c r="Q331" i="2"/>
  <c r="X331" i="2"/>
  <c r="Y331" i="2"/>
  <c r="Z331" i="2"/>
  <c r="AA331" i="2"/>
  <c r="N332" i="2"/>
  <c r="O332" i="2"/>
  <c r="R332" i="2" s="1"/>
  <c r="P332" i="2"/>
  <c r="Q332" i="2"/>
  <c r="S332" i="2"/>
  <c r="X332" i="2"/>
  <c r="Y332" i="2"/>
  <c r="Z332" i="2"/>
  <c r="AA332" i="2"/>
  <c r="N333" i="2"/>
  <c r="O333" i="2"/>
  <c r="R333" i="2" s="1"/>
  <c r="P333" i="2"/>
  <c r="Q333" i="2"/>
  <c r="S333" i="2"/>
  <c r="X333" i="2"/>
  <c r="Y333" i="2"/>
  <c r="Z333" i="2"/>
  <c r="AA333" i="2"/>
  <c r="N334" i="2"/>
  <c r="O334" i="2"/>
  <c r="R334" i="2" s="1"/>
  <c r="P334" i="2"/>
  <c r="Q334" i="2"/>
  <c r="S334" i="2"/>
  <c r="T334" i="2"/>
  <c r="U334" i="2" s="1"/>
  <c r="W334" i="2"/>
  <c r="X334" i="2"/>
  <c r="Y334" i="2"/>
  <c r="Z334" i="2"/>
  <c r="AA334" i="2"/>
  <c r="N335" i="2"/>
  <c r="O335" i="2"/>
  <c r="R335" i="2" s="1"/>
  <c r="P335" i="2"/>
  <c r="Q335" i="2"/>
  <c r="X335" i="2"/>
  <c r="Y335" i="2"/>
  <c r="Z335" i="2"/>
  <c r="AA335" i="2"/>
  <c r="N336" i="2"/>
  <c r="O336" i="2"/>
  <c r="R336" i="2" s="1"/>
  <c r="P336" i="2"/>
  <c r="Q336" i="2"/>
  <c r="S336" i="2"/>
  <c r="X336" i="2"/>
  <c r="Y336" i="2"/>
  <c r="Z336" i="2"/>
  <c r="AA336" i="2"/>
  <c r="N337" i="2"/>
  <c r="O337" i="2"/>
  <c r="R337" i="2" s="1"/>
  <c r="P337" i="2"/>
  <c r="Q337" i="2"/>
  <c r="S337" i="2"/>
  <c r="X337" i="2"/>
  <c r="Y337" i="2"/>
  <c r="Z337" i="2"/>
  <c r="AA337" i="2"/>
  <c r="N338" i="2"/>
  <c r="O338" i="2"/>
  <c r="R338" i="2" s="1"/>
  <c r="P338" i="2"/>
  <c r="Q338" i="2"/>
  <c r="X338" i="2"/>
  <c r="Y338" i="2"/>
  <c r="Z338" i="2"/>
  <c r="AA338" i="2"/>
  <c r="N339" i="2"/>
  <c r="O339" i="2"/>
  <c r="R339" i="2" s="1"/>
  <c r="P339" i="2"/>
  <c r="Q339" i="2"/>
  <c r="S339" i="2"/>
  <c r="T339" i="2"/>
  <c r="U339" i="2" s="1"/>
  <c r="X339" i="2"/>
  <c r="Y339" i="2"/>
  <c r="Z339" i="2"/>
  <c r="AA339" i="2"/>
  <c r="N340" i="2"/>
  <c r="O340" i="2"/>
  <c r="R340" i="2" s="1"/>
  <c r="P340" i="2"/>
  <c r="Q340" i="2"/>
  <c r="S340" i="2"/>
  <c r="T340" i="2"/>
  <c r="U340" i="2" s="1"/>
  <c r="X340" i="2"/>
  <c r="Y340" i="2"/>
  <c r="Z340" i="2"/>
  <c r="AA340" i="2"/>
  <c r="N341" i="2"/>
  <c r="O341" i="2"/>
  <c r="R341" i="2" s="1"/>
  <c r="P341" i="2"/>
  <c r="Q341" i="2"/>
  <c r="S341" i="2"/>
  <c r="T341" i="2"/>
  <c r="U341" i="2" s="1"/>
  <c r="X341" i="2"/>
  <c r="Y341" i="2"/>
  <c r="Z341" i="2"/>
  <c r="AA341" i="2"/>
  <c r="N342" i="2"/>
  <c r="O342" i="2"/>
  <c r="R342" i="2" s="1"/>
  <c r="P342" i="2"/>
  <c r="Q342" i="2"/>
  <c r="S342" i="2"/>
  <c r="T342" i="2"/>
  <c r="U342" i="2" s="1"/>
  <c r="X342" i="2"/>
  <c r="Y342" i="2"/>
  <c r="Z342" i="2"/>
  <c r="AA342" i="2"/>
  <c r="N343" i="2"/>
  <c r="O343" i="2"/>
  <c r="P343" i="2"/>
  <c r="Q343" i="2"/>
  <c r="R343" i="2"/>
  <c r="X343" i="2"/>
  <c r="Y343" i="2"/>
  <c r="Z343" i="2"/>
  <c r="AA343" i="2"/>
  <c r="N344" i="2"/>
  <c r="O344" i="2"/>
  <c r="R344" i="2" s="1"/>
  <c r="P344" i="2"/>
  <c r="Q344" i="2"/>
  <c r="S344" i="2"/>
  <c r="T344" i="2"/>
  <c r="U344" i="2" s="1"/>
  <c r="X344" i="2"/>
  <c r="Y344" i="2"/>
  <c r="Z344" i="2"/>
  <c r="AA344" i="2"/>
  <c r="N345" i="2"/>
  <c r="O345" i="2"/>
  <c r="R345" i="2" s="1"/>
  <c r="P345" i="2"/>
  <c r="Q345" i="2"/>
  <c r="S345" i="2"/>
  <c r="T345" i="2"/>
  <c r="U345" i="2" s="1"/>
  <c r="X345" i="2"/>
  <c r="Y345" i="2"/>
  <c r="Z345" i="2"/>
  <c r="AA345" i="2"/>
  <c r="N346" i="2"/>
  <c r="O346" i="2"/>
  <c r="R346" i="2" s="1"/>
  <c r="P346" i="2"/>
  <c r="Q346" i="2"/>
  <c r="S346" i="2"/>
  <c r="T346" i="2"/>
  <c r="U346" i="2" s="1"/>
  <c r="V346" i="2"/>
  <c r="X346" i="2"/>
  <c r="Y346" i="2"/>
  <c r="Z346" i="2"/>
  <c r="AA346" i="2"/>
  <c r="N347" i="2"/>
  <c r="O347" i="2"/>
  <c r="R347" i="2" s="1"/>
  <c r="P347" i="2"/>
  <c r="Q347" i="2"/>
  <c r="S347" i="2"/>
  <c r="X347" i="2"/>
  <c r="Y347" i="2"/>
  <c r="Z347" i="2"/>
  <c r="AA347" i="2"/>
  <c r="N348" i="2"/>
  <c r="O348" i="2"/>
  <c r="R348" i="2" s="1"/>
  <c r="P348" i="2"/>
  <c r="Q348" i="2"/>
  <c r="S348" i="2"/>
  <c r="T348" i="2"/>
  <c r="U348" i="2" s="1"/>
  <c r="X348" i="2"/>
  <c r="Y348" i="2"/>
  <c r="Z348" i="2"/>
  <c r="AA348" i="2"/>
  <c r="N349" i="2"/>
  <c r="O349" i="2"/>
  <c r="R349" i="2" s="1"/>
  <c r="P349" i="2"/>
  <c r="Q349" i="2"/>
  <c r="S349" i="2"/>
  <c r="T349" i="2"/>
  <c r="U349" i="2" s="1"/>
  <c r="X349" i="2"/>
  <c r="Y349" i="2"/>
  <c r="Z349" i="2"/>
  <c r="AA349" i="2"/>
  <c r="N350" i="2"/>
  <c r="O350" i="2"/>
  <c r="R350" i="2" s="1"/>
  <c r="P350" i="2"/>
  <c r="Q350" i="2"/>
  <c r="S350" i="2"/>
  <c r="X350" i="2"/>
  <c r="Y350" i="2"/>
  <c r="Z350" i="2"/>
  <c r="AA350" i="2"/>
  <c r="N351" i="2"/>
  <c r="O351" i="2"/>
  <c r="R351" i="2" s="1"/>
  <c r="P351" i="2"/>
  <c r="Q351" i="2"/>
  <c r="S351" i="2"/>
  <c r="T351" i="2"/>
  <c r="U351" i="2" s="1"/>
  <c r="X351" i="2"/>
  <c r="Y351" i="2"/>
  <c r="Z351" i="2"/>
  <c r="AA351" i="2"/>
  <c r="N352" i="2"/>
  <c r="O352" i="2"/>
  <c r="R352" i="2" s="1"/>
  <c r="P352" i="2"/>
  <c r="Q352" i="2"/>
  <c r="X352" i="2"/>
  <c r="Y352" i="2"/>
  <c r="Z352" i="2"/>
  <c r="AA352" i="2"/>
  <c r="N353" i="2"/>
  <c r="O353" i="2"/>
  <c r="R353" i="2" s="1"/>
  <c r="P353" i="2"/>
  <c r="Q353" i="2"/>
  <c r="S353" i="2"/>
  <c r="T353" i="2"/>
  <c r="U353" i="2" s="1"/>
  <c r="X353" i="2"/>
  <c r="Y353" i="2"/>
  <c r="Z353" i="2"/>
  <c r="AA353" i="2"/>
  <c r="N354" i="2"/>
  <c r="O354" i="2"/>
  <c r="R354" i="2" s="1"/>
  <c r="P354" i="2"/>
  <c r="Q354" i="2"/>
  <c r="S354" i="2"/>
  <c r="T354" i="2"/>
  <c r="U354" i="2" s="1"/>
  <c r="V354" i="2"/>
  <c r="W354" i="2"/>
  <c r="X354" i="2"/>
  <c r="Y354" i="2"/>
  <c r="Z354" i="2"/>
  <c r="AA354" i="2"/>
  <c r="N355" i="2"/>
  <c r="O355" i="2"/>
  <c r="P355" i="2"/>
  <c r="Q355" i="2"/>
  <c r="R355" i="2"/>
  <c r="X355" i="2"/>
  <c r="Y355" i="2"/>
  <c r="Z355" i="2"/>
  <c r="AA355" i="2"/>
  <c r="N356" i="2"/>
  <c r="O356" i="2"/>
  <c r="R356" i="2" s="1"/>
  <c r="P356" i="2"/>
  <c r="Q356" i="2"/>
  <c r="S356" i="2"/>
  <c r="T356" i="2"/>
  <c r="U356" i="2" s="1"/>
  <c r="W356" i="2"/>
  <c r="X356" i="2"/>
  <c r="Y356" i="2"/>
  <c r="Z356" i="2"/>
  <c r="AA356" i="2"/>
  <c r="N357" i="2"/>
  <c r="O357" i="2"/>
  <c r="R357" i="2" s="1"/>
  <c r="P357" i="2"/>
  <c r="Q357" i="2"/>
  <c r="S357" i="2"/>
  <c r="T357" i="2"/>
  <c r="U357" i="2" s="1"/>
  <c r="X357" i="2"/>
  <c r="Y357" i="2"/>
  <c r="Z357" i="2"/>
  <c r="AA357" i="2"/>
  <c r="N358" i="2"/>
  <c r="O358" i="2"/>
  <c r="R358" i="2" s="1"/>
  <c r="P358" i="2"/>
  <c r="Q358" i="2"/>
  <c r="S358" i="2"/>
  <c r="X358" i="2"/>
  <c r="Y358" i="2"/>
  <c r="Z358" i="2"/>
  <c r="AA358" i="2"/>
  <c r="N359" i="2"/>
  <c r="O359" i="2"/>
  <c r="R359" i="2" s="1"/>
  <c r="P359" i="2"/>
  <c r="Q359" i="2"/>
  <c r="S359" i="2"/>
  <c r="T359" i="2"/>
  <c r="U359" i="2" s="1"/>
  <c r="X359" i="2"/>
  <c r="Y359" i="2"/>
  <c r="Z359" i="2"/>
  <c r="AA359" i="2"/>
  <c r="N360" i="2"/>
  <c r="O360" i="2"/>
  <c r="R360" i="2" s="1"/>
  <c r="P360" i="2"/>
  <c r="Q360" i="2"/>
  <c r="S360" i="2"/>
  <c r="T360" i="2"/>
  <c r="U360" i="2" s="1"/>
  <c r="X360" i="2"/>
  <c r="Y360" i="2"/>
  <c r="Z360" i="2"/>
  <c r="AA360" i="2"/>
  <c r="N361" i="2"/>
  <c r="O361" i="2"/>
  <c r="R361" i="2" s="1"/>
  <c r="P361" i="2"/>
  <c r="Q361" i="2"/>
  <c r="S361" i="2"/>
  <c r="X361" i="2"/>
  <c r="Y361" i="2"/>
  <c r="Z361" i="2"/>
  <c r="AA361" i="2"/>
  <c r="N362" i="2"/>
  <c r="O362" i="2"/>
  <c r="R362" i="2" s="1"/>
  <c r="P362" i="2"/>
  <c r="Q362" i="2"/>
  <c r="X362" i="2"/>
  <c r="Y362" i="2"/>
  <c r="Z362" i="2"/>
  <c r="AA362" i="2"/>
  <c r="N363" i="2"/>
  <c r="O363" i="2"/>
  <c r="R363" i="2" s="1"/>
  <c r="P363" i="2"/>
  <c r="Q363" i="2"/>
  <c r="X363" i="2"/>
  <c r="Y363" i="2"/>
  <c r="Z363" i="2"/>
  <c r="AA363" i="2"/>
  <c r="N364" i="2"/>
  <c r="O364" i="2"/>
  <c r="R364" i="2" s="1"/>
  <c r="P364" i="2"/>
  <c r="Q364" i="2"/>
  <c r="S364" i="2"/>
  <c r="T364" i="2"/>
  <c r="U364" i="2" s="1"/>
  <c r="V364" i="2"/>
  <c r="W364" i="2"/>
  <c r="X364" i="2"/>
  <c r="Y364" i="2"/>
  <c r="Z364" i="2"/>
  <c r="AA364" i="2"/>
  <c r="N365" i="2"/>
  <c r="O365" i="2"/>
  <c r="R365" i="2" s="1"/>
  <c r="P365" i="2"/>
  <c r="Q365" i="2"/>
  <c r="S365" i="2"/>
  <c r="X365" i="2"/>
  <c r="Y365" i="2"/>
  <c r="Z365" i="2"/>
  <c r="AA365" i="2"/>
  <c r="N366" i="2"/>
  <c r="O366" i="2"/>
  <c r="R366" i="2" s="1"/>
  <c r="P366" i="2"/>
  <c r="Q366" i="2"/>
  <c r="S366" i="2"/>
  <c r="X366" i="2"/>
  <c r="Y366" i="2"/>
  <c r="Z366" i="2"/>
  <c r="AA366" i="2"/>
  <c r="N367" i="2"/>
  <c r="O367" i="2"/>
  <c r="P367" i="2"/>
  <c r="Q367" i="2"/>
  <c r="R367" i="2"/>
  <c r="S367" i="2"/>
  <c r="T367" i="2"/>
  <c r="U367" i="2" s="1"/>
  <c r="W367" i="2"/>
  <c r="X367" i="2"/>
  <c r="Y367" i="2"/>
  <c r="Z367" i="2"/>
  <c r="AA367" i="2"/>
  <c r="N368" i="2"/>
  <c r="O368" i="2"/>
  <c r="R368" i="2" s="1"/>
  <c r="P368" i="2"/>
  <c r="Q368" i="2"/>
  <c r="S368" i="2"/>
  <c r="X368" i="2"/>
  <c r="Y368" i="2"/>
  <c r="Z368" i="2"/>
  <c r="AA368" i="2"/>
  <c r="N369" i="2"/>
  <c r="O369" i="2"/>
  <c r="R369" i="2" s="1"/>
  <c r="P369" i="2"/>
  <c r="Q369" i="2"/>
  <c r="S369" i="2"/>
  <c r="T369" i="2"/>
  <c r="U369" i="2" s="1"/>
  <c r="X369" i="2"/>
  <c r="Y369" i="2"/>
  <c r="Z369" i="2"/>
  <c r="AA369" i="2"/>
  <c r="N370" i="2"/>
  <c r="O370" i="2"/>
  <c r="R370" i="2" s="1"/>
  <c r="P370" i="2"/>
  <c r="Q370" i="2"/>
  <c r="S370" i="2"/>
  <c r="T370" i="2"/>
  <c r="U370" i="2" s="1"/>
  <c r="X370" i="2"/>
  <c r="Y370" i="2"/>
  <c r="Z370" i="2"/>
  <c r="AA370" i="2"/>
  <c r="N371" i="2"/>
  <c r="O371" i="2"/>
  <c r="P371" i="2"/>
  <c r="Q371" i="2"/>
  <c r="R371" i="2"/>
  <c r="X371" i="2"/>
  <c r="Y371" i="2"/>
  <c r="Z371" i="2"/>
  <c r="AA371" i="2"/>
  <c r="N372" i="2"/>
  <c r="O372" i="2"/>
  <c r="R372" i="2" s="1"/>
  <c r="P372" i="2"/>
  <c r="Q372" i="2"/>
  <c r="S372" i="2"/>
  <c r="T372" i="2"/>
  <c r="U372" i="2" s="1"/>
  <c r="X372" i="2"/>
  <c r="Y372" i="2"/>
  <c r="Z372" i="2"/>
  <c r="AA372" i="2"/>
  <c r="N373" i="2"/>
  <c r="O373" i="2"/>
  <c r="R373" i="2" s="1"/>
  <c r="P373" i="2"/>
  <c r="Q373" i="2"/>
  <c r="X373" i="2"/>
  <c r="Y373" i="2"/>
  <c r="Z373" i="2"/>
  <c r="AA373" i="2"/>
  <c r="N374" i="2"/>
  <c r="O374" i="2"/>
  <c r="R374" i="2" s="1"/>
  <c r="P374" i="2"/>
  <c r="Q374" i="2"/>
  <c r="S374" i="2"/>
  <c r="T374" i="2"/>
  <c r="U374" i="2" s="1"/>
  <c r="X374" i="2"/>
  <c r="Y374" i="2"/>
  <c r="Z374" i="2"/>
  <c r="AA374" i="2"/>
  <c r="N375" i="2"/>
  <c r="O375" i="2"/>
  <c r="R375" i="2" s="1"/>
  <c r="P375" i="2"/>
  <c r="Q375" i="2"/>
  <c r="X375" i="2"/>
  <c r="Y375" i="2"/>
  <c r="Z375" i="2"/>
  <c r="AA375" i="2"/>
  <c r="N376" i="2"/>
  <c r="O376" i="2"/>
  <c r="R376" i="2" s="1"/>
  <c r="P376" i="2"/>
  <c r="Q376" i="2"/>
  <c r="S376" i="2"/>
  <c r="X376" i="2"/>
  <c r="Y376" i="2"/>
  <c r="Z376" i="2"/>
  <c r="AA376" i="2"/>
  <c r="N377" i="2"/>
  <c r="O377" i="2"/>
  <c r="R377" i="2" s="1"/>
  <c r="P377" i="2"/>
  <c r="Q377" i="2"/>
  <c r="S377" i="2"/>
  <c r="T377" i="2"/>
  <c r="U377" i="2" s="1"/>
  <c r="X377" i="2"/>
  <c r="Y377" i="2"/>
  <c r="Z377" i="2"/>
  <c r="AA377" i="2"/>
  <c r="N378" i="2"/>
  <c r="O378" i="2"/>
  <c r="R378" i="2" s="1"/>
  <c r="P378" i="2"/>
  <c r="Q378" i="2"/>
  <c r="X378" i="2"/>
  <c r="Y378" i="2"/>
  <c r="Z378" i="2"/>
  <c r="AA378" i="2"/>
  <c r="N379" i="2"/>
  <c r="O379" i="2"/>
  <c r="R379" i="2" s="1"/>
  <c r="P379" i="2"/>
  <c r="Q379" i="2"/>
  <c r="S379" i="2"/>
  <c r="T379" i="2"/>
  <c r="U379" i="2" s="1"/>
  <c r="X379" i="2"/>
  <c r="Y379" i="2"/>
  <c r="Z379" i="2"/>
  <c r="AA379" i="2"/>
  <c r="N380" i="2"/>
  <c r="O380" i="2"/>
  <c r="R380" i="2" s="1"/>
  <c r="P380" i="2"/>
  <c r="Q380" i="2"/>
  <c r="S380" i="2"/>
  <c r="T380" i="2"/>
  <c r="U380" i="2" s="1"/>
  <c r="W380" i="2"/>
  <c r="X380" i="2"/>
  <c r="Y380" i="2"/>
  <c r="Z380" i="2"/>
  <c r="AA380" i="2"/>
  <c r="N381" i="2"/>
  <c r="O381" i="2"/>
  <c r="R381" i="2" s="1"/>
  <c r="P381" i="2"/>
  <c r="Q381" i="2"/>
  <c r="S381" i="2"/>
  <c r="X381" i="2"/>
  <c r="Y381" i="2"/>
  <c r="Z381" i="2"/>
  <c r="AA381" i="2"/>
  <c r="N382" i="2"/>
  <c r="O382" i="2"/>
  <c r="R382" i="2" s="1"/>
  <c r="P382" i="2"/>
  <c r="Q382" i="2"/>
  <c r="S382" i="2"/>
  <c r="T382" i="2"/>
  <c r="U382" i="2" s="1"/>
  <c r="W382" i="2"/>
  <c r="X382" i="2"/>
  <c r="Y382" i="2"/>
  <c r="Z382" i="2"/>
  <c r="AA382" i="2"/>
  <c r="N383" i="2"/>
  <c r="O383" i="2"/>
  <c r="R383" i="2" s="1"/>
  <c r="P383" i="2"/>
  <c r="Q383" i="2"/>
  <c r="X383" i="2"/>
  <c r="Y383" i="2"/>
  <c r="Z383" i="2"/>
  <c r="AA383" i="2"/>
  <c r="N384" i="2"/>
  <c r="O384" i="2"/>
  <c r="R384" i="2" s="1"/>
  <c r="P384" i="2"/>
  <c r="Q384" i="2"/>
  <c r="S384" i="2"/>
  <c r="T384" i="2"/>
  <c r="U384" i="2" s="1"/>
  <c r="X384" i="2"/>
  <c r="Y384" i="2"/>
  <c r="Z384" i="2"/>
  <c r="AA384" i="2"/>
  <c r="N385" i="2"/>
  <c r="O385" i="2"/>
  <c r="R385" i="2" s="1"/>
  <c r="P385" i="2"/>
  <c r="Q385" i="2"/>
  <c r="S385" i="2"/>
  <c r="T385" i="2"/>
  <c r="U385" i="2" s="1"/>
  <c r="X385" i="2"/>
  <c r="Y385" i="2"/>
  <c r="Z385" i="2"/>
  <c r="AA385" i="2"/>
  <c r="N386" i="2"/>
  <c r="O386" i="2"/>
  <c r="R386" i="2" s="1"/>
  <c r="P386" i="2"/>
  <c r="Q386" i="2"/>
  <c r="X386" i="2"/>
  <c r="Y386" i="2"/>
  <c r="Z386" i="2"/>
  <c r="AA386" i="2"/>
  <c r="N387" i="2"/>
  <c r="O387" i="2"/>
  <c r="P387" i="2"/>
  <c r="Q387" i="2"/>
  <c r="R387" i="2"/>
  <c r="X387" i="2"/>
  <c r="Y387" i="2"/>
  <c r="Z387" i="2"/>
  <c r="AA387" i="2"/>
  <c r="N388" i="2"/>
  <c r="O388" i="2"/>
  <c r="R388" i="2" s="1"/>
  <c r="P388" i="2"/>
  <c r="Q388" i="2"/>
  <c r="X388" i="2"/>
  <c r="Y388" i="2"/>
  <c r="Z388" i="2"/>
  <c r="AA388" i="2"/>
  <c r="N389" i="2"/>
  <c r="O389" i="2"/>
  <c r="R389" i="2" s="1"/>
  <c r="P389" i="2"/>
  <c r="Q389" i="2"/>
  <c r="S389" i="2"/>
  <c r="T389" i="2"/>
  <c r="U389" i="2" s="1"/>
  <c r="W389" i="2"/>
  <c r="X389" i="2"/>
  <c r="Y389" i="2"/>
  <c r="Z389" i="2"/>
  <c r="AA389" i="2"/>
  <c r="N390" i="2"/>
  <c r="O390" i="2"/>
  <c r="R390" i="2" s="1"/>
  <c r="P390" i="2"/>
  <c r="Q390" i="2"/>
  <c r="S390" i="2"/>
  <c r="T390" i="2"/>
  <c r="U390" i="2" s="1"/>
  <c r="V390" i="2"/>
  <c r="W390" i="2"/>
  <c r="X390" i="2"/>
  <c r="Y390" i="2"/>
  <c r="Z390" i="2"/>
  <c r="AA390" i="2"/>
  <c r="N391" i="2"/>
  <c r="O391" i="2"/>
  <c r="R391" i="2" s="1"/>
  <c r="P391" i="2"/>
  <c r="Q391" i="2"/>
  <c r="X391" i="2"/>
  <c r="Y391" i="2"/>
  <c r="Z391" i="2"/>
  <c r="AA391" i="2"/>
  <c r="N392" i="2"/>
  <c r="O392" i="2"/>
  <c r="R392" i="2" s="1"/>
  <c r="P392" i="2"/>
  <c r="Q392" i="2"/>
  <c r="X392" i="2"/>
  <c r="Y392" i="2"/>
  <c r="Z392" i="2"/>
  <c r="AA392" i="2"/>
  <c r="N393" i="2"/>
  <c r="O393" i="2"/>
  <c r="R393" i="2" s="1"/>
  <c r="P393" i="2"/>
  <c r="Q393" i="2"/>
  <c r="S393" i="2"/>
  <c r="T393" i="2"/>
  <c r="U393" i="2" s="1"/>
  <c r="X393" i="2"/>
  <c r="Y393" i="2"/>
  <c r="Z393" i="2"/>
  <c r="AA393" i="2"/>
  <c r="N394" i="2"/>
  <c r="O394" i="2"/>
  <c r="R394" i="2" s="1"/>
  <c r="P394" i="2"/>
  <c r="Q394" i="2"/>
  <c r="S394" i="2"/>
  <c r="X394" i="2"/>
  <c r="Y394" i="2"/>
  <c r="Z394" i="2"/>
  <c r="AA394" i="2"/>
  <c r="N395" i="2"/>
  <c r="O395" i="2"/>
  <c r="R395" i="2" s="1"/>
  <c r="P395" i="2"/>
  <c r="Q395" i="2"/>
  <c r="X395" i="2"/>
  <c r="Y395" i="2"/>
  <c r="Z395" i="2"/>
  <c r="AA395" i="2"/>
  <c r="N396" i="2"/>
  <c r="O396" i="2"/>
  <c r="R396" i="2" s="1"/>
  <c r="P396" i="2"/>
  <c r="Q396" i="2"/>
  <c r="X396" i="2"/>
  <c r="Y396" i="2"/>
  <c r="Z396" i="2"/>
  <c r="AA396" i="2"/>
  <c r="N397" i="2"/>
  <c r="O397" i="2"/>
  <c r="R397" i="2" s="1"/>
  <c r="P397" i="2"/>
  <c r="Q397" i="2"/>
  <c r="S397" i="2"/>
  <c r="T397" i="2"/>
  <c r="U397" i="2" s="1"/>
  <c r="V397" i="2"/>
  <c r="X397" i="2"/>
  <c r="Y397" i="2"/>
  <c r="Z397" i="2"/>
  <c r="AA397" i="2"/>
  <c r="N398" i="2"/>
  <c r="O398" i="2"/>
  <c r="R398" i="2" s="1"/>
  <c r="P398" i="2"/>
  <c r="Q398" i="2"/>
  <c r="S398" i="2"/>
  <c r="X398" i="2"/>
  <c r="Y398" i="2"/>
  <c r="Z398" i="2"/>
  <c r="AA398" i="2"/>
  <c r="N399" i="2"/>
  <c r="O399" i="2"/>
  <c r="R399" i="2" s="1"/>
  <c r="P399" i="2"/>
  <c r="Q399" i="2"/>
  <c r="S399" i="2"/>
  <c r="X399" i="2"/>
  <c r="Y399" i="2"/>
  <c r="Z399" i="2"/>
  <c r="AA399" i="2"/>
  <c r="N400" i="2"/>
  <c r="O400" i="2"/>
  <c r="R400" i="2" s="1"/>
  <c r="P400" i="2"/>
  <c r="Q400" i="2"/>
  <c r="S400" i="2"/>
  <c r="X400" i="2"/>
  <c r="Y400" i="2"/>
  <c r="Z400" i="2"/>
  <c r="AA400" i="2"/>
  <c r="N401" i="2"/>
  <c r="O401" i="2"/>
  <c r="R401" i="2" s="1"/>
  <c r="P401" i="2"/>
  <c r="Q401" i="2"/>
  <c r="X401" i="2"/>
  <c r="Y401" i="2"/>
  <c r="Z401" i="2"/>
  <c r="AA401" i="2"/>
  <c r="N402" i="2"/>
  <c r="O402" i="2"/>
  <c r="R402" i="2" s="1"/>
  <c r="P402" i="2"/>
  <c r="Q402" i="2"/>
  <c r="S402" i="2"/>
  <c r="T402" i="2"/>
  <c r="U402" i="2" s="1"/>
  <c r="V402" i="2"/>
  <c r="W402" i="2"/>
  <c r="X402" i="2"/>
  <c r="Y402" i="2"/>
  <c r="Z402" i="2"/>
  <c r="AA402" i="2"/>
  <c r="N403" i="2"/>
  <c r="O403" i="2"/>
  <c r="R403" i="2" s="1"/>
  <c r="P403" i="2"/>
  <c r="Q403" i="2"/>
  <c r="S403" i="2"/>
  <c r="T403" i="2"/>
  <c r="U403" i="2" s="1"/>
  <c r="X403" i="2"/>
  <c r="Y403" i="2"/>
  <c r="Z403" i="2"/>
  <c r="AA403" i="2"/>
  <c r="N404" i="2"/>
  <c r="O404" i="2"/>
  <c r="R404" i="2" s="1"/>
  <c r="P404" i="2"/>
  <c r="Q404" i="2"/>
  <c r="S404" i="2"/>
  <c r="T404" i="2"/>
  <c r="U404" i="2" s="1"/>
  <c r="X404" i="2"/>
  <c r="Y404" i="2"/>
  <c r="Z404" i="2"/>
  <c r="AA404" i="2"/>
  <c r="N405" i="2"/>
  <c r="O405" i="2"/>
  <c r="R405" i="2" s="1"/>
  <c r="P405" i="2"/>
  <c r="Q405" i="2"/>
  <c r="S405" i="2"/>
  <c r="X405" i="2"/>
  <c r="Y405" i="2"/>
  <c r="Z405" i="2"/>
  <c r="AA405" i="2"/>
  <c r="N406" i="2"/>
  <c r="O406" i="2"/>
  <c r="R406" i="2" s="1"/>
  <c r="P406" i="2"/>
  <c r="Q406" i="2"/>
  <c r="S406" i="2"/>
  <c r="T406" i="2"/>
  <c r="U406" i="2" s="1"/>
  <c r="W406" i="2"/>
  <c r="X406" i="2"/>
  <c r="Y406" i="2"/>
  <c r="Z406" i="2"/>
  <c r="AA406" i="2"/>
  <c r="N407" i="2"/>
  <c r="O407" i="2"/>
  <c r="R407" i="2" s="1"/>
  <c r="P407" i="2"/>
  <c r="Q407" i="2"/>
  <c r="X407" i="2"/>
  <c r="Y407" i="2"/>
  <c r="Z407" i="2"/>
  <c r="AA407" i="2"/>
  <c r="N408" i="2"/>
  <c r="O408" i="2"/>
  <c r="R408" i="2" s="1"/>
  <c r="P408" i="2"/>
  <c r="Q408" i="2"/>
  <c r="S408" i="2"/>
  <c r="T408" i="2"/>
  <c r="U408" i="2" s="1"/>
  <c r="X408" i="2"/>
  <c r="Y408" i="2"/>
  <c r="Z408" i="2"/>
  <c r="AA408" i="2"/>
  <c r="N409" i="2"/>
  <c r="O409" i="2"/>
  <c r="R409" i="2" s="1"/>
  <c r="P409" i="2"/>
  <c r="Q409" i="2"/>
  <c r="X409" i="2"/>
  <c r="Y409" i="2"/>
  <c r="Z409" i="2"/>
  <c r="AA409" i="2"/>
  <c r="N410" i="2"/>
  <c r="O410" i="2"/>
  <c r="R410" i="2" s="1"/>
  <c r="P410" i="2"/>
  <c r="Q410" i="2"/>
  <c r="T410" i="2"/>
  <c r="U410" i="2" s="1"/>
  <c r="X410" i="2"/>
  <c r="Y410" i="2"/>
  <c r="Z410" i="2"/>
  <c r="AA410" i="2"/>
  <c r="N411" i="2"/>
  <c r="O411" i="2"/>
  <c r="R411" i="2" s="1"/>
  <c r="P411" i="2"/>
  <c r="Q411" i="2"/>
  <c r="S411" i="2"/>
  <c r="T411" i="2"/>
  <c r="U411" i="2" s="1"/>
  <c r="X411" i="2"/>
  <c r="Y411" i="2"/>
  <c r="Z411" i="2"/>
  <c r="AA411" i="2"/>
  <c r="N412" i="2"/>
  <c r="O412" i="2"/>
  <c r="R412" i="2" s="1"/>
  <c r="P412" i="2"/>
  <c r="Q412" i="2"/>
  <c r="X412" i="2"/>
  <c r="Y412" i="2"/>
  <c r="Z412" i="2"/>
  <c r="AA412" i="2"/>
  <c r="N413" i="2"/>
  <c r="O413" i="2"/>
  <c r="R413" i="2" s="1"/>
  <c r="P413" i="2"/>
  <c r="Q413" i="2"/>
  <c r="X413" i="2"/>
  <c r="Y413" i="2"/>
  <c r="Z413" i="2"/>
  <c r="AA413" i="2"/>
  <c r="N414" i="2"/>
  <c r="O414" i="2"/>
  <c r="R414" i="2" s="1"/>
  <c r="P414" i="2"/>
  <c r="Q414" i="2"/>
  <c r="S414" i="2"/>
  <c r="T414" i="2"/>
  <c r="U414" i="2" s="1"/>
  <c r="W414" i="2"/>
  <c r="X414" i="2"/>
  <c r="Y414" i="2"/>
  <c r="Z414" i="2"/>
  <c r="AA414" i="2"/>
  <c r="N415" i="2"/>
  <c r="O415" i="2"/>
  <c r="P415" i="2"/>
  <c r="Q415" i="2"/>
  <c r="R415" i="2"/>
  <c r="S415" i="2"/>
  <c r="T415" i="2"/>
  <c r="U415" i="2" s="1"/>
  <c r="X415" i="2"/>
  <c r="Y415" i="2"/>
  <c r="Z415" i="2"/>
  <c r="AA415" i="2"/>
  <c r="N416" i="2"/>
  <c r="O416" i="2"/>
  <c r="R416" i="2" s="1"/>
  <c r="P416" i="2"/>
  <c r="Q416" i="2"/>
  <c r="X416" i="2"/>
  <c r="Y416" i="2"/>
  <c r="Z416" i="2"/>
  <c r="AA416" i="2"/>
  <c r="N417" i="2"/>
  <c r="O417" i="2"/>
  <c r="R417" i="2" s="1"/>
  <c r="P417" i="2"/>
  <c r="Q417" i="2"/>
  <c r="X417" i="2"/>
  <c r="Y417" i="2"/>
  <c r="Z417" i="2"/>
  <c r="AA417" i="2"/>
  <c r="N418" i="2"/>
  <c r="O418" i="2"/>
  <c r="R418" i="2" s="1"/>
  <c r="P418" i="2"/>
  <c r="Q418" i="2"/>
  <c r="S418" i="2"/>
  <c r="T418" i="2"/>
  <c r="U418" i="2" s="1"/>
  <c r="X418" i="2"/>
  <c r="Y418" i="2"/>
  <c r="Z418" i="2"/>
  <c r="AA418" i="2"/>
  <c r="N419" i="2"/>
  <c r="O419" i="2"/>
  <c r="R419" i="2" s="1"/>
  <c r="P419" i="2"/>
  <c r="Q419" i="2"/>
  <c r="S419" i="2"/>
  <c r="X419" i="2"/>
  <c r="Y419" i="2"/>
  <c r="Z419" i="2"/>
  <c r="AA419" i="2"/>
  <c r="N420" i="2"/>
  <c r="O420" i="2"/>
  <c r="R420" i="2" s="1"/>
  <c r="P420" i="2"/>
  <c r="Q420" i="2"/>
  <c r="S420" i="2"/>
  <c r="X420" i="2"/>
  <c r="Y420" i="2"/>
  <c r="Z420" i="2"/>
  <c r="AA420" i="2"/>
  <c r="N421" i="2"/>
  <c r="O421" i="2"/>
  <c r="R421" i="2" s="1"/>
  <c r="P421" i="2"/>
  <c r="Q421" i="2"/>
  <c r="X421" i="2"/>
  <c r="Y421" i="2"/>
  <c r="Z421" i="2"/>
  <c r="AA421" i="2"/>
  <c r="N422" i="2"/>
  <c r="O422" i="2"/>
  <c r="R422" i="2" s="1"/>
  <c r="P422" i="2"/>
  <c r="Q422" i="2"/>
  <c r="S422" i="2"/>
  <c r="T422" i="2"/>
  <c r="U422" i="2" s="1"/>
  <c r="X422" i="2"/>
  <c r="Y422" i="2"/>
  <c r="Z422" i="2"/>
  <c r="AA422" i="2"/>
  <c r="N423" i="2"/>
  <c r="O423" i="2"/>
  <c r="P423" i="2"/>
  <c r="Q423" i="2"/>
  <c r="R423" i="2"/>
  <c r="S423" i="2"/>
  <c r="T423" i="2"/>
  <c r="U423" i="2" s="1"/>
  <c r="X423" i="2"/>
  <c r="Y423" i="2"/>
  <c r="Z423" i="2"/>
  <c r="AA423" i="2"/>
  <c r="N424" i="2"/>
  <c r="O424" i="2"/>
  <c r="R424" i="2" s="1"/>
  <c r="P424" i="2"/>
  <c r="Q424" i="2"/>
  <c r="X424" i="2"/>
  <c r="Y424" i="2"/>
  <c r="Z424" i="2"/>
  <c r="AA424" i="2"/>
  <c r="N425" i="2"/>
  <c r="O425" i="2"/>
  <c r="R425" i="2" s="1"/>
  <c r="P425" i="2"/>
  <c r="Q425" i="2"/>
  <c r="X425" i="2"/>
  <c r="Y425" i="2"/>
  <c r="Z425" i="2"/>
  <c r="AA425" i="2"/>
  <c r="N426" i="2"/>
  <c r="O426" i="2"/>
  <c r="R426" i="2" s="1"/>
  <c r="P426" i="2"/>
  <c r="Q426" i="2"/>
  <c r="X426" i="2"/>
  <c r="Y426" i="2"/>
  <c r="Z426" i="2"/>
  <c r="AA426" i="2"/>
  <c r="N427" i="2"/>
  <c r="O427" i="2"/>
  <c r="R427" i="2" s="1"/>
  <c r="P427" i="2"/>
  <c r="Q427" i="2"/>
  <c r="X427" i="2"/>
  <c r="Y427" i="2"/>
  <c r="Z427" i="2"/>
  <c r="AA427" i="2"/>
  <c r="N428" i="2"/>
  <c r="O428" i="2"/>
  <c r="R428" i="2" s="1"/>
  <c r="P428" i="2"/>
  <c r="Q428" i="2"/>
  <c r="X428" i="2"/>
  <c r="Y428" i="2"/>
  <c r="Z428" i="2"/>
  <c r="AA428" i="2"/>
  <c r="N429" i="2"/>
  <c r="O429" i="2"/>
  <c r="R429" i="2" s="1"/>
  <c r="P429" i="2"/>
  <c r="Q429" i="2"/>
  <c r="T429" i="2"/>
  <c r="U429" i="2" s="1"/>
  <c r="X429" i="2"/>
  <c r="Y429" i="2"/>
  <c r="Z429" i="2"/>
  <c r="AA429" i="2"/>
  <c r="N430" i="2"/>
  <c r="O430" i="2"/>
  <c r="R430" i="2" s="1"/>
  <c r="P430" i="2"/>
  <c r="Q430" i="2"/>
  <c r="S430" i="2"/>
  <c r="X430" i="2"/>
  <c r="Y430" i="2"/>
  <c r="Z430" i="2"/>
  <c r="AA430" i="2"/>
  <c r="N431" i="2"/>
  <c r="O431" i="2"/>
  <c r="P431" i="2"/>
  <c r="Q431" i="2"/>
  <c r="R431" i="2"/>
  <c r="S431" i="2"/>
  <c r="T431" i="2"/>
  <c r="U431" i="2" s="1"/>
  <c r="X431" i="2"/>
  <c r="Y431" i="2"/>
  <c r="Z431" i="2"/>
  <c r="AA431" i="2"/>
  <c r="N432" i="2"/>
  <c r="O432" i="2"/>
  <c r="R432" i="2" s="1"/>
  <c r="P432" i="2"/>
  <c r="Q432" i="2"/>
  <c r="S432" i="2"/>
  <c r="T432" i="2"/>
  <c r="U432" i="2" s="1"/>
  <c r="X432" i="2"/>
  <c r="Y432" i="2"/>
  <c r="Z432" i="2"/>
  <c r="AA432" i="2"/>
  <c r="N433" i="2"/>
  <c r="O433" i="2"/>
  <c r="R433" i="2" s="1"/>
  <c r="P433" i="2"/>
  <c r="Q433" i="2"/>
  <c r="S433" i="2"/>
  <c r="X433" i="2"/>
  <c r="Y433" i="2"/>
  <c r="Z433" i="2"/>
  <c r="AA433" i="2"/>
  <c r="N434" i="2"/>
  <c r="O434" i="2"/>
  <c r="R434" i="2" s="1"/>
  <c r="P434" i="2"/>
  <c r="Q434" i="2"/>
  <c r="X434" i="2"/>
  <c r="Y434" i="2"/>
  <c r="Z434" i="2"/>
  <c r="AA434" i="2"/>
  <c r="N435" i="2"/>
  <c r="O435" i="2"/>
  <c r="R435" i="2" s="1"/>
  <c r="P435" i="2"/>
  <c r="Q435" i="2"/>
  <c r="S435" i="2"/>
  <c r="T435" i="2"/>
  <c r="U435" i="2" s="1"/>
  <c r="X435" i="2"/>
  <c r="Y435" i="2"/>
  <c r="Z435" i="2"/>
  <c r="AA435" i="2"/>
  <c r="N436" i="2"/>
  <c r="O436" i="2"/>
  <c r="R436" i="2" s="1"/>
  <c r="P436" i="2"/>
  <c r="Q436" i="2"/>
  <c r="S436" i="2"/>
  <c r="X436" i="2"/>
  <c r="Y436" i="2"/>
  <c r="Z436" i="2"/>
  <c r="AA436" i="2"/>
  <c r="N437" i="2"/>
  <c r="O437" i="2"/>
  <c r="R437" i="2" s="1"/>
  <c r="P437" i="2"/>
  <c r="Q437" i="2"/>
  <c r="X437" i="2"/>
  <c r="Y437" i="2"/>
  <c r="Z437" i="2"/>
  <c r="AA437" i="2"/>
  <c r="N438" i="2"/>
  <c r="O438" i="2"/>
  <c r="R438" i="2" s="1"/>
  <c r="P438" i="2"/>
  <c r="Q438" i="2"/>
  <c r="X438" i="2"/>
  <c r="Y438" i="2"/>
  <c r="Z438" i="2"/>
  <c r="AA438" i="2"/>
  <c r="N439" i="2"/>
  <c r="O439" i="2"/>
  <c r="R439" i="2" s="1"/>
  <c r="P439" i="2"/>
  <c r="Q439" i="2"/>
  <c r="S439" i="2"/>
  <c r="T439" i="2"/>
  <c r="U439" i="2" s="1"/>
  <c r="X439" i="2"/>
  <c r="Y439" i="2"/>
  <c r="Z439" i="2"/>
  <c r="AA439" i="2"/>
  <c r="N440" i="2"/>
  <c r="O440" i="2"/>
  <c r="R440" i="2" s="1"/>
  <c r="P440" i="2"/>
  <c r="Q440" i="2"/>
  <c r="X440" i="2"/>
  <c r="Y440" i="2"/>
  <c r="Z440" i="2"/>
  <c r="AA440" i="2"/>
  <c r="O5" i="3"/>
  <c r="P5" i="3" s="1"/>
  <c r="O6" i="3"/>
  <c r="P6" i="3" s="1"/>
  <c r="O7" i="3"/>
  <c r="P7" i="3" s="1"/>
  <c r="S7" i="3" s="1"/>
  <c r="O8" i="3"/>
  <c r="P8" i="3" s="1"/>
  <c r="O9" i="3"/>
  <c r="P9" i="3" s="1"/>
  <c r="S9" i="3" s="1"/>
  <c r="O10" i="3"/>
  <c r="P10" i="3" s="1"/>
  <c r="Q10" i="3" s="1"/>
  <c r="O11" i="3"/>
  <c r="O12" i="3"/>
  <c r="P12" i="3" s="1"/>
  <c r="R12" i="3" s="1"/>
  <c r="V9" i="2" s="1"/>
  <c r="O13" i="3"/>
  <c r="P13" i="3" s="1"/>
  <c r="O14" i="3"/>
  <c r="P14" i="3"/>
  <c r="O15" i="3"/>
  <c r="P15" i="3" s="1"/>
  <c r="S15" i="3" s="1"/>
  <c r="O16" i="3"/>
  <c r="P16" i="3" s="1"/>
  <c r="S16" i="3" s="1"/>
  <c r="O17" i="3"/>
  <c r="P17" i="3" s="1"/>
  <c r="O18" i="3"/>
  <c r="P18" i="3" s="1"/>
  <c r="O19" i="3"/>
  <c r="P19" i="3" s="1"/>
  <c r="O20" i="3"/>
  <c r="O21" i="3"/>
  <c r="O22" i="3"/>
  <c r="O23" i="3"/>
  <c r="P23" i="3" s="1"/>
  <c r="S23" i="3" s="1"/>
  <c r="O24" i="3"/>
  <c r="P24" i="3" s="1"/>
  <c r="S24" i="3" s="1"/>
  <c r="O25" i="3"/>
  <c r="P25" i="3" s="1"/>
  <c r="O26" i="3"/>
  <c r="P26" i="3" s="1"/>
  <c r="O27" i="3"/>
  <c r="P27" i="3" s="1"/>
  <c r="O28" i="3"/>
  <c r="O29" i="3"/>
  <c r="O30" i="3"/>
  <c r="P30" i="3" s="1"/>
  <c r="T18" i="2" s="1"/>
  <c r="U18" i="2" s="1"/>
  <c r="O31" i="3"/>
  <c r="P31" i="3" s="1"/>
  <c r="S31" i="3" s="1"/>
  <c r="O32" i="3"/>
  <c r="P32" i="3" s="1"/>
  <c r="S32" i="3" s="1"/>
  <c r="O33" i="3"/>
  <c r="P33" i="3" s="1"/>
  <c r="O34" i="3"/>
  <c r="P34" i="3" s="1"/>
  <c r="Q34" i="3" s="1"/>
  <c r="O35" i="3"/>
  <c r="O36" i="3"/>
  <c r="P36" i="3" s="1"/>
  <c r="R36" i="3"/>
  <c r="O37" i="3"/>
  <c r="P37" i="3"/>
  <c r="O38" i="3"/>
  <c r="P38" i="3"/>
  <c r="O39" i="3"/>
  <c r="P39" i="3" s="1"/>
  <c r="S39" i="3" s="1"/>
  <c r="O40" i="3"/>
  <c r="P40" i="3" s="1"/>
  <c r="S40" i="3" s="1"/>
  <c r="O41" i="3"/>
  <c r="O42" i="3"/>
  <c r="P42" i="3" s="1"/>
  <c r="Q42" i="3" s="1"/>
  <c r="O43" i="3"/>
  <c r="P43" i="3" s="1"/>
  <c r="O44" i="3"/>
  <c r="P44" i="3" s="1"/>
  <c r="R44" i="3" s="1"/>
  <c r="O45" i="3"/>
  <c r="S25" i="2" s="1"/>
  <c r="P45" i="3"/>
  <c r="T25" i="2" s="1"/>
  <c r="U25" i="2" s="1"/>
  <c r="O46" i="3"/>
  <c r="O47" i="3"/>
  <c r="O48" i="3"/>
  <c r="P48" i="3" s="1"/>
  <c r="Q48" i="3" s="1"/>
  <c r="O49" i="3"/>
  <c r="P49" i="3" s="1"/>
  <c r="S49" i="3" s="1"/>
  <c r="O50" i="3"/>
  <c r="P50" i="3" s="1"/>
  <c r="Q50" i="3" s="1"/>
  <c r="O51" i="3"/>
  <c r="P51" i="3" s="1"/>
  <c r="O52" i="3"/>
  <c r="P52" i="3" s="1"/>
  <c r="O53" i="3"/>
  <c r="O54" i="3"/>
  <c r="P54" i="3" s="1"/>
  <c r="O55" i="3"/>
  <c r="P55" i="3" s="1"/>
  <c r="S55" i="3" s="1"/>
  <c r="O56" i="3"/>
  <c r="P56" i="3" s="1"/>
  <c r="O57" i="3"/>
  <c r="P57" i="3"/>
  <c r="O58" i="3"/>
  <c r="P58" i="3" s="1"/>
  <c r="S58" i="3" s="1"/>
  <c r="O59" i="3"/>
  <c r="P59" i="3" s="1"/>
  <c r="O60" i="3"/>
  <c r="P60" i="3" s="1"/>
  <c r="R60" i="3" s="1"/>
  <c r="V32" i="2" s="1"/>
  <c r="O61" i="3"/>
  <c r="P61" i="3" s="1"/>
  <c r="R61" i="3" s="1"/>
  <c r="O62" i="3"/>
  <c r="P62" i="3" s="1"/>
  <c r="T34" i="2" s="1"/>
  <c r="U34" i="2" s="1"/>
  <c r="O63" i="3"/>
  <c r="P63" i="3" s="1"/>
  <c r="O64" i="3"/>
  <c r="P64" i="3" s="1"/>
  <c r="O65" i="3"/>
  <c r="S36" i="2" s="1"/>
  <c r="P65" i="3"/>
  <c r="O66" i="3"/>
  <c r="P66" i="3" s="1"/>
  <c r="R66" i="3" s="1"/>
  <c r="O67" i="3"/>
  <c r="P67" i="3" s="1"/>
  <c r="O68" i="3"/>
  <c r="P68" i="3" s="1"/>
  <c r="T37" i="2" s="1"/>
  <c r="U37" i="2" s="1"/>
  <c r="O69" i="3"/>
  <c r="P69" i="3" s="1"/>
  <c r="T38" i="2" s="1"/>
  <c r="U38" i="2" s="1"/>
  <c r="O70" i="3"/>
  <c r="P70" i="3" s="1"/>
  <c r="O71" i="3"/>
  <c r="P71" i="3" s="1"/>
  <c r="Q71" i="3" s="1"/>
  <c r="O72" i="3"/>
  <c r="P72" i="3" s="1"/>
  <c r="O73" i="3"/>
  <c r="P73" i="3" s="1"/>
  <c r="Q73" i="3" s="1"/>
  <c r="O74" i="3"/>
  <c r="O75" i="3"/>
  <c r="P75" i="3" s="1"/>
  <c r="O76" i="3"/>
  <c r="P76" i="3" s="1"/>
  <c r="S76" i="3" s="1"/>
  <c r="O77" i="3"/>
  <c r="P77" i="3" s="1"/>
  <c r="R77" i="3" s="1"/>
  <c r="O78" i="3"/>
  <c r="P78" i="3" s="1"/>
  <c r="O79" i="3"/>
  <c r="P79" i="3" s="1"/>
  <c r="O80" i="3"/>
  <c r="P80" i="3" s="1"/>
  <c r="S80" i="3" s="1"/>
  <c r="W44" i="2" s="1"/>
  <c r="O81" i="3"/>
  <c r="P81" i="3" s="1"/>
  <c r="Q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S47" i="2" s="1"/>
  <c r="P88" i="3"/>
  <c r="O89" i="3"/>
  <c r="P89" i="3" s="1"/>
  <c r="Q89" i="3" s="1"/>
  <c r="O90" i="3"/>
  <c r="P90" i="3" s="1"/>
  <c r="S90" i="3" s="1"/>
  <c r="W48" i="2" s="1"/>
  <c r="O91" i="3"/>
  <c r="P91" i="3" s="1"/>
  <c r="O92" i="3"/>
  <c r="O93" i="3"/>
  <c r="P93" i="3" s="1"/>
  <c r="R93" i="3" s="1"/>
  <c r="O94" i="3"/>
  <c r="P94" i="3" s="1"/>
  <c r="O95" i="3"/>
  <c r="P95" i="3" s="1"/>
  <c r="Q95" i="3" s="1"/>
  <c r="O96" i="3"/>
  <c r="P96" i="3" s="1"/>
  <c r="O97" i="3"/>
  <c r="P97" i="3" s="1"/>
  <c r="T51" i="2" s="1"/>
  <c r="U51" i="2" s="1"/>
  <c r="O98" i="3"/>
  <c r="P98" i="3" s="1"/>
  <c r="T52" i="2" s="1"/>
  <c r="U52" i="2" s="1"/>
  <c r="O99" i="3"/>
  <c r="P99" i="3" s="1"/>
  <c r="O100" i="3"/>
  <c r="P100" i="3" s="1"/>
  <c r="S100" i="3" s="1"/>
  <c r="O101" i="3"/>
  <c r="P101" i="3" s="1"/>
  <c r="R101" i="3" s="1"/>
  <c r="O102" i="3"/>
  <c r="P102" i="3" s="1"/>
  <c r="T55" i="2" s="1"/>
  <c r="U55" i="2" s="1"/>
  <c r="O103" i="3"/>
  <c r="P103" i="3" s="1"/>
  <c r="Q103" i="3" s="1"/>
  <c r="O104" i="3"/>
  <c r="P104" i="3" s="1"/>
  <c r="O105" i="3"/>
  <c r="P105" i="3" s="1"/>
  <c r="O106" i="3"/>
  <c r="P106" i="3" s="1"/>
  <c r="T56" i="2" s="1"/>
  <c r="U56" i="2" s="1"/>
  <c r="O107" i="3"/>
  <c r="P107" i="3" s="1"/>
  <c r="O108" i="3"/>
  <c r="P108" i="3" s="1"/>
  <c r="O109" i="3"/>
  <c r="P109" i="3" s="1"/>
  <c r="O110" i="3"/>
  <c r="O111" i="3"/>
  <c r="P111" i="3" s="1"/>
  <c r="R111" i="3" s="1"/>
  <c r="O112" i="3"/>
  <c r="P112" i="3" s="1"/>
  <c r="O113" i="3"/>
  <c r="P113" i="3"/>
  <c r="Q113" i="3" s="1"/>
  <c r="O114" i="3"/>
  <c r="P114" i="3" s="1"/>
  <c r="Q114" i="3" s="1"/>
  <c r="O115" i="3"/>
  <c r="P115" i="3" s="1"/>
  <c r="O116" i="3"/>
  <c r="P116" i="3" s="1"/>
  <c r="S116" i="3" s="1"/>
  <c r="W60" i="2" s="1"/>
  <c r="Q116" i="3"/>
  <c r="O117" i="3"/>
  <c r="P117" i="3"/>
  <c r="Q117" i="3" s="1"/>
  <c r="O118" i="3"/>
  <c r="P118" i="3" s="1"/>
  <c r="T62" i="2" s="1"/>
  <c r="U62" i="2" s="1"/>
  <c r="O119" i="3"/>
  <c r="P119" i="3" s="1"/>
  <c r="T63" i="2" s="1"/>
  <c r="U63" i="2" s="1"/>
  <c r="O120" i="3"/>
  <c r="P120" i="3" s="1"/>
  <c r="S120" i="3" s="1"/>
  <c r="O121" i="3"/>
  <c r="P121" i="3"/>
  <c r="O122" i="3"/>
  <c r="P122" i="3" s="1"/>
  <c r="O123" i="3"/>
  <c r="O124" i="3"/>
  <c r="P124" i="3" s="1"/>
  <c r="R124" i="3" s="1"/>
  <c r="O125" i="3"/>
  <c r="P125" i="3" s="1"/>
  <c r="O126" i="3"/>
  <c r="P126" i="3" s="1"/>
  <c r="O127" i="3"/>
  <c r="P127" i="3"/>
  <c r="Q127" i="3" s="1"/>
  <c r="O128" i="3"/>
  <c r="P128" i="3" s="1"/>
  <c r="T66" i="2" s="1"/>
  <c r="U66" i="2" s="1"/>
  <c r="O129" i="3"/>
  <c r="O130" i="3"/>
  <c r="P130" i="3" s="1"/>
  <c r="R130" i="3" s="1"/>
  <c r="O131" i="3"/>
  <c r="P131" i="3" s="1"/>
  <c r="O132" i="3"/>
  <c r="P132" i="3" s="1"/>
  <c r="S132" i="3" s="1"/>
  <c r="O133" i="3"/>
  <c r="P133" i="3" s="1"/>
  <c r="O134" i="3"/>
  <c r="O135" i="3"/>
  <c r="O136" i="3"/>
  <c r="P136" i="3" s="1"/>
  <c r="O137" i="3"/>
  <c r="P137" i="3" s="1"/>
  <c r="Q137" i="3" s="1"/>
  <c r="O138" i="3"/>
  <c r="P138" i="3" s="1"/>
  <c r="O139" i="3"/>
  <c r="P139" i="3" s="1"/>
  <c r="O140" i="3"/>
  <c r="P140" i="3" s="1"/>
  <c r="O141" i="3"/>
  <c r="P141" i="3" s="1"/>
  <c r="O142" i="3"/>
  <c r="P142" i="3" s="1"/>
  <c r="O143" i="3"/>
  <c r="P143" i="3" s="1"/>
  <c r="O144" i="3"/>
  <c r="P144" i="3" s="1"/>
  <c r="S144" i="3" s="1"/>
  <c r="W74" i="2" s="1"/>
  <c r="O145" i="3"/>
  <c r="P145" i="3"/>
  <c r="O146" i="3"/>
  <c r="P146" i="3" s="1"/>
  <c r="O147" i="3"/>
  <c r="O148" i="3"/>
  <c r="P148" i="3" s="1"/>
  <c r="R148" i="3" s="1"/>
  <c r="V77" i="2" s="1"/>
  <c r="O149" i="3"/>
  <c r="O150" i="3"/>
  <c r="P150" i="3" s="1"/>
  <c r="O151" i="3"/>
  <c r="P151" i="3" s="1"/>
  <c r="O152" i="3"/>
  <c r="P152" i="3" s="1"/>
  <c r="O153" i="3"/>
  <c r="P153" i="3" s="1"/>
  <c r="O154" i="3"/>
  <c r="P154" i="3" s="1"/>
  <c r="O155" i="3"/>
  <c r="P155" i="3" s="1"/>
  <c r="O156" i="3"/>
  <c r="P156" i="3" s="1"/>
  <c r="O157" i="3"/>
  <c r="O158" i="3"/>
  <c r="P158" i="3" s="1"/>
  <c r="O159" i="3"/>
  <c r="P159" i="3" s="1"/>
  <c r="R159" i="3" s="1"/>
  <c r="O160" i="3"/>
  <c r="P160" i="3" s="1"/>
  <c r="S160" i="3" s="1"/>
  <c r="O161" i="3"/>
  <c r="P161" i="3" s="1"/>
  <c r="Q161" i="3" s="1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P169" i="3" s="1"/>
  <c r="T86" i="2" s="1"/>
  <c r="U86" i="2" s="1"/>
  <c r="O170" i="3"/>
  <c r="P170" i="3" s="1"/>
  <c r="S170" i="3"/>
  <c r="W87" i="2" s="1"/>
  <c r="O171" i="3"/>
  <c r="P171" i="3" s="1"/>
  <c r="T88" i="2" s="1"/>
  <c r="U88" i="2" s="1"/>
  <c r="O172" i="3"/>
  <c r="P172" i="3" s="1"/>
  <c r="S172" i="3" s="1"/>
  <c r="O173" i="3"/>
  <c r="P173" i="3" s="1"/>
  <c r="R173" i="3" s="1"/>
  <c r="O174" i="3"/>
  <c r="P174" i="3" s="1"/>
  <c r="O175" i="3"/>
  <c r="P175" i="3" s="1"/>
  <c r="O176" i="3"/>
  <c r="P176" i="3" s="1"/>
  <c r="O177" i="3"/>
  <c r="P177" i="3" s="1"/>
  <c r="S177" i="3" s="1"/>
  <c r="W90" i="2" s="1"/>
  <c r="O178" i="3"/>
  <c r="O179" i="3"/>
  <c r="O180" i="3"/>
  <c r="P180" i="3" s="1"/>
  <c r="R180" i="3" s="1"/>
  <c r="O181" i="3"/>
  <c r="P181" i="3" s="1"/>
  <c r="R181" i="3" s="1"/>
  <c r="O182" i="3"/>
  <c r="P182" i="3" s="1"/>
  <c r="S182" i="3" s="1"/>
  <c r="R182" i="3"/>
  <c r="O183" i="3"/>
  <c r="P183" i="3" s="1"/>
  <c r="R183" i="3" s="1"/>
  <c r="O184" i="3"/>
  <c r="P184" i="3" s="1"/>
  <c r="O185" i="3"/>
  <c r="P185" i="3" s="1"/>
  <c r="O186" i="3"/>
  <c r="P186" i="3" s="1"/>
  <c r="R186" i="3" s="1"/>
  <c r="V95" i="2" s="1"/>
  <c r="O187" i="3"/>
  <c r="P187" i="3" s="1"/>
  <c r="O188" i="3"/>
  <c r="P188" i="3"/>
  <c r="O189" i="3"/>
  <c r="P189" i="3" s="1"/>
  <c r="O190" i="3"/>
  <c r="P190" i="3" s="1"/>
  <c r="O191" i="3"/>
  <c r="P191" i="3" s="1"/>
  <c r="R191" i="3" s="1"/>
  <c r="O192" i="3"/>
  <c r="P192" i="3" s="1"/>
  <c r="O193" i="3"/>
  <c r="P193" i="3"/>
  <c r="S193" i="3" s="1"/>
  <c r="O194" i="3"/>
  <c r="P194" i="3" s="1"/>
  <c r="T99" i="2" s="1"/>
  <c r="U99" i="2" s="1"/>
  <c r="O195" i="3"/>
  <c r="O196" i="3"/>
  <c r="P196" i="3" s="1"/>
  <c r="O197" i="3"/>
  <c r="P197" i="3" s="1"/>
  <c r="O198" i="3"/>
  <c r="P198" i="3" s="1"/>
  <c r="O199" i="3"/>
  <c r="P199" i="3" s="1"/>
  <c r="Q199" i="3" s="1"/>
  <c r="O200" i="3"/>
  <c r="O201" i="3"/>
  <c r="P201" i="3" s="1"/>
  <c r="O202" i="3"/>
  <c r="P202" i="3" s="1"/>
  <c r="O203" i="3"/>
  <c r="P203" i="3" s="1"/>
  <c r="Q203" i="3" s="1"/>
  <c r="O204" i="3"/>
  <c r="P204" i="3" s="1"/>
  <c r="O205" i="3"/>
  <c r="P205" i="3" s="1"/>
  <c r="O206" i="3"/>
  <c r="P206" i="3" s="1"/>
  <c r="S206" i="3" s="1"/>
  <c r="Q206" i="3"/>
  <c r="O207" i="3"/>
  <c r="P207" i="3" s="1"/>
  <c r="O208" i="3"/>
  <c r="P208" i="3" s="1"/>
  <c r="Q208" i="3" s="1"/>
  <c r="O209" i="3"/>
  <c r="P209" i="3" s="1"/>
  <c r="R209" i="3" s="1"/>
  <c r="O210" i="3"/>
  <c r="P210" i="3" s="1"/>
  <c r="R210" i="3" s="1"/>
  <c r="O211" i="3"/>
  <c r="P211" i="3" s="1"/>
  <c r="O212" i="3"/>
  <c r="P212" i="3" s="1"/>
  <c r="T108" i="2" s="1"/>
  <c r="U108" i="2" s="1"/>
  <c r="O213" i="3"/>
  <c r="O214" i="3"/>
  <c r="P214" i="3" s="1"/>
  <c r="S214" i="3" s="1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P219" i="3" s="1"/>
  <c r="Q219" i="3" s="1"/>
  <c r="O220" i="3"/>
  <c r="P220" i="3" s="1"/>
  <c r="T112" i="2" s="1"/>
  <c r="U112" i="2" s="1"/>
  <c r="O221" i="3"/>
  <c r="P221" i="3" s="1"/>
  <c r="O222" i="3"/>
  <c r="P222" i="3" s="1"/>
  <c r="S222" i="3" s="1"/>
  <c r="O223" i="3"/>
  <c r="P223" i="3" s="1"/>
  <c r="S223" i="3" s="1"/>
  <c r="Q223" i="3"/>
  <c r="R223" i="3"/>
  <c r="O224" i="3"/>
  <c r="P224" i="3" s="1"/>
  <c r="O225" i="3"/>
  <c r="P225" i="3"/>
  <c r="S225" i="3" s="1"/>
  <c r="O226" i="3"/>
  <c r="O227" i="3"/>
  <c r="O228" i="3"/>
  <c r="P228" i="3" s="1"/>
  <c r="T116" i="2" s="1"/>
  <c r="U116" i="2" s="1"/>
  <c r="O229" i="3"/>
  <c r="P229" i="3" s="1"/>
  <c r="O230" i="3"/>
  <c r="P230" i="3" s="1"/>
  <c r="S230" i="3" s="1"/>
  <c r="R230" i="3"/>
  <c r="O231" i="3"/>
  <c r="P231" i="3" s="1"/>
  <c r="S231" i="3" s="1"/>
  <c r="O232" i="3"/>
  <c r="P232" i="3" s="1"/>
  <c r="R232" i="3" s="1"/>
  <c r="O233" i="3"/>
  <c r="P233" i="3" s="1"/>
  <c r="O234" i="3"/>
  <c r="O235" i="3"/>
  <c r="P235" i="3" s="1"/>
  <c r="Q235" i="3" s="1"/>
  <c r="O236" i="3"/>
  <c r="P236" i="3" s="1"/>
  <c r="T120" i="2" s="1"/>
  <c r="U120" i="2" s="1"/>
  <c r="O237" i="3"/>
  <c r="P237" i="3" s="1"/>
  <c r="Q237" i="3"/>
  <c r="O238" i="3"/>
  <c r="P238" i="3" s="1"/>
  <c r="Q238" i="3"/>
  <c r="O239" i="3"/>
  <c r="P239" i="3" s="1"/>
  <c r="Q239" i="3"/>
  <c r="O240" i="3"/>
  <c r="P240" i="3" s="1"/>
  <c r="O241" i="3"/>
  <c r="P241" i="3"/>
  <c r="S241" i="3" s="1"/>
  <c r="O242" i="3"/>
  <c r="P242" i="3" s="1"/>
  <c r="R242" i="3" s="1"/>
  <c r="V122" i="2" s="1"/>
  <c r="O243" i="3"/>
  <c r="S123" i="2" s="1"/>
  <c r="P243" i="3"/>
  <c r="O244" i="3"/>
  <c r="O245" i="3"/>
  <c r="P245" i="3" s="1"/>
  <c r="O246" i="3"/>
  <c r="P246" i="3" s="1"/>
  <c r="S246" i="3" s="1"/>
  <c r="O247" i="3"/>
  <c r="P247" i="3" s="1"/>
  <c r="O248" i="3"/>
  <c r="P248" i="3" s="1"/>
  <c r="O249" i="3"/>
  <c r="P249" i="3" s="1"/>
  <c r="O250" i="3"/>
  <c r="O251" i="3"/>
  <c r="P251" i="3" s="1"/>
  <c r="Q251" i="3" s="1"/>
  <c r="O252" i="3"/>
  <c r="P252" i="3" s="1"/>
  <c r="Q252" i="3" s="1"/>
  <c r="O253" i="3"/>
  <c r="P253" i="3" s="1"/>
  <c r="Q253" i="3" s="1"/>
  <c r="O254" i="3"/>
  <c r="P254" i="3" s="1"/>
  <c r="Q254" i="3" s="1"/>
  <c r="O255" i="3"/>
  <c r="P255" i="3" s="1"/>
  <c r="S255" i="3" s="1"/>
  <c r="O256" i="3"/>
  <c r="P256" i="3" s="1"/>
  <c r="O257" i="3"/>
  <c r="P257" i="3"/>
  <c r="O258" i="3"/>
  <c r="O259" i="3"/>
  <c r="P259" i="3" s="1"/>
  <c r="O260" i="3"/>
  <c r="P260" i="3" s="1"/>
  <c r="O261" i="3"/>
  <c r="P261" i="3" s="1"/>
  <c r="O262" i="3"/>
  <c r="P262" i="3" s="1"/>
  <c r="S262" i="3" s="1"/>
  <c r="R262" i="3"/>
  <c r="O263" i="3"/>
  <c r="P263" i="3" s="1"/>
  <c r="S263" i="3" s="1"/>
  <c r="O264" i="3"/>
  <c r="P264" i="3" s="1"/>
  <c r="O265" i="3"/>
  <c r="P265" i="3" s="1"/>
  <c r="O266" i="3"/>
  <c r="P266" i="3" s="1"/>
  <c r="T134" i="2" s="1"/>
  <c r="U134" i="2" s="1"/>
  <c r="O267" i="3"/>
  <c r="P267" i="3" s="1"/>
  <c r="O268" i="3"/>
  <c r="P268" i="3" s="1"/>
  <c r="Q268" i="3" s="1"/>
  <c r="O269" i="3"/>
  <c r="P269" i="3" s="1"/>
  <c r="Q269" i="3" s="1"/>
  <c r="O270" i="3"/>
  <c r="P270" i="3" s="1"/>
  <c r="S270" i="3" s="1"/>
  <c r="Q270" i="3"/>
  <c r="R270" i="3"/>
  <c r="V136" i="2" s="1"/>
  <c r="O271" i="3"/>
  <c r="P271" i="3" s="1"/>
  <c r="O272" i="3"/>
  <c r="P272" i="3" s="1"/>
  <c r="O273" i="3"/>
  <c r="P273" i="3" s="1"/>
  <c r="R273" i="3" s="1"/>
  <c r="V138" i="2" s="1"/>
  <c r="O274" i="3"/>
  <c r="P274" i="3" s="1"/>
  <c r="R274" i="3" s="1"/>
  <c r="V139" i="2" s="1"/>
  <c r="O275" i="3"/>
  <c r="P275" i="3" s="1"/>
  <c r="R275" i="3"/>
  <c r="V140" i="2" s="1"/>
  <c r="O276" i="3"/>
  <c r="P276" i="3" s="1"/>
  <c r="T141" i="2" s="1"/>
  <c r="U141" i="2" s="1"/>
  <c r="O277" i="3"/>
  <c r="P277" i="3" s="1"/>
  <c r="O278" i="3"/>
  <c r="P278" i="3" s="1"/>
  <c r="O279" i="3"/>
  <c r="P279" i="3" s="1"/>
  <c r="O280" i="3"/>
  <c r="P280" i="3" s="1"/>
  <c r="O281" i="3"/>
  <c r="P281" i="3" s="1"/>
  <c r="O282" i="3"/>
  <c r="P282" i="3" s="1"/>
  <c r="R282" i="3"/>
  <c r="V142" i="2" s="1"/>
  <c r="O283" i="3"/>
  <c r="P283" i="3" s="1"/>
  <c r="O284" i="3"/>
  <c r="S143" i="2" s="1"/>
  <c r="O285" i="3"/>
  <c r="P285" i="3" s="1"/>
  <c r="Q285" i="3" s="1"/>
  <c r="O286" i="3"/>
  <c r="O287" i="3"/>
  <c r="P287" i="3" s="1"/>
  <c r="Q287" i="3"/>
  <c r="O288" i="3"/>
  <c r="O289" i="3"/>
  <c r="P289" i="3" s="1"/>
  <c r="O290" i="3"/>
  <c r="P290" i="3" s="1"/>
  <c r="O291" i="3"/>
  <c r="P291" i="3" s="1"/>
  <c r="Q291" i="3" s="1"/>
  <c r="S291" i="3"/>
  <c r="O292" i="3"/>
  <c r="P292" i="3" s="1"/>
  <c r="O293" i="3"/>
  <c r="P293" i="3" s="1"/>
  <c r="O294" i="3"/>
  <c r="P294" i="3" s="1"/>
  <c r="R294" i="3" s="1"/>
  <c r="V149" i="2" s="1"/>
  <c r="O295" i="3"/>
  <c r="P295" i="3" s="1"/>
  <c r="S295" i="3" s="1"/>
  <c r="O296" i="3"/>
  <c r="P296" i="3" s="1"/>
  <c r="O297" i="3"/>
  <c r="P297" i="3" s="1"/>
  <c r="O298" i="3"/>
  <c r="P298" i="3" s="1"/>
  <c r="Q298" i="3" s="1"/>
  <c r="R298" i="3"/>
  <c r="V152" i="2" s="1"/>
  <c r="O299" i="3"/>
  <c r="P299" i="3" s="1"/>
  <c r="O300" i="3"/>
  <c r="P300" i="3"/>
  <c r="O301" i="3"/>
  <c r="P301" i="3" s="1"/>
  <c r="O302" i="3"/>
  <c r="P302" i="3" s="1"/>
  <c r="O303" i="3"/>
  <c r="P303" i="3" s="1"/>
  <c r="O304" i="3"/>
  <c r="P304" i="3" s="1"/>
  <c r="O305" i="3"/>
  <c r="P305" i="3" s="1"/>
  <c r="O306" i="3"/>
  <c r="P306" i="3" s="1"/>
  <c r="S306" i="3" s="1"/>
  <c r="O307" i="3"/>
  <c r="P307" i="3" s="1"/>
  <c r="O308" i="3"/>
  <c r="P308" i="3" s="1"/>
  <c r="S308" i="3" s="1"/>
  <c r="O309" i="3"/>
  <c r="P309" i="3" s="1"/>
  <c r="O310" i="3"/>
  <c r="P310" i="3" s="1"/>
  <c r="S310" i="3"/>
  <c r="O311" i="3"/>
  <c r="P311" i="3" s="1"/>
  <c r="O312" i="3"/>
  <c r="P312" i="3" s="1"/>
  <c r="S312" i="3" s="1"/>
  <c r="W158" i="2" s="1"/>
  <c r="O313" i="3"/>
  <c r="P313" i="3" s="1"/>
  <c r="O314" i="3"/>
  <c r="P314" i="3" s="1"/>
  <c r="Q314" i="3" s="1"/>
  <c r="O315" i="3"/>
  <c r="P315" i="3" s="1"/>
  <c r="S315" i="3" s="1"/>
  <c r="O316" i="3"/>
  <c r="P316" i="3" s="1"/>
  <c r="O317" i="3"/>
  <c r="P317" i="3" s="1"/>
  <c r="R317" i="3" s="1"/>
  <c r="V160" i="2" s="1"/>
  <c r="O318" i="3"/>
  <c r="P318" i="3" s="1"/>
  <c r="T161" i="2" s="1"/>
  <c r="U161" i="2" s="1"/>
  <c r="R318" i="3"/>
  <c r="V161" i="2" s="1"/>
  <c r="O319" i="3"/>
  <c r="P319" i="3" s="1"/>
  <c r="O320" i="3"/>
  <c r="P320" i="3" s="1"/>
  <c r="Q320" i="3" s="1"/>
  <c r="O321" i="3"/>
  <c r="P321" i="3" s="1"/>
  <c r="Q321" i="3" s="1"/>
  <c r="O322" i="3"/>
  <c r="P322" i="3" s="1"/>
  <c r="Q322" i="3" s="1"/>
  <c r="O323" i="3"/>
  <c r="P323" i="3" s="1"/>
  <c r="Q323" i="3" s="1"/>
  <c r="O324" i="3"/>
  <c r="P324" i="3" s="1"/>
  <c r="S324" i="3" s="1"/>
  <c r="O325" i="3"/>
  <c r="P325" i="3" s="1"/>
  <c r="T164" i="2" s="1"/>
  <c r="U164" i="2" s="1"/>
  <c r="O326" i="3"/>
  <c r="P326" i="3" s="1"/>
  <c r="Q326" i="3" s="1"/>
  <c r="O327" i="3"/>
  <c r="P327" i="3"/>
  <c r="O328" i="3"/>
  <c r="P328" i="3"/>
  <c r="S328" i="3" s="1"/>
  <c r="O329" i="3"/>
  <c r="O330" i="3"/>
  <c r="P330" i="3" s="1"/>
  <c r="R330" i="3" s="1"/>
  <c r="O331" i="3"/>
  <c r="P331" i="3" s="1"/>
  <c r="O332" i="3"/>
  <c r="P332" i="3" s="1"/>
  <c r="O333" i="3"/>
  <c r="P333" i="3" s="1"/>
  <c r="O334" i="3"/>
  <c r="P334" i="3" s="1"/>
  <c r="Q334" i="3" s="1"/>
  <c r="O335" i="3"/>
  <c r="P335" i="3" s="1"/>
  <c r="Q335" i="3" s="1"/>
  <c r="R335" i="3"/>
  <c r="O336" i="3"/>
  <c r="P336" i="3" s="1"/>
  <c r="O337" i="3"/>
  <c r="P337" i="3" s="1"/>
  <c r="O338" i="3"/>
  <c r="P338" i="3" s="1"/>
  <c r="Q338" i="3" s="1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P343" i="3" s="1"/>
  <c r="R343" i="3" s="1"/>
  <c r="V173" i="2" s="1"/>
  <c r="O344" i="3"/>
  <c r="P344" i="3" s="1"/>
  <c r="S344" i="3" s="1"/>
  <c r="O345" i="3"/>
  <c r="P345" i="3" s="1"/>
  <c r="T175" i="2" s="1"/>
  <c r="U175" i="2" s="1"/>
  <c r="O346" i="3"/>
  <c r="P346" i="3"/>
  <c r="R346" i="3" s="1"/>
  <c r="O347" i="3"/>
  <c r="P347" i="3" s="1"/>
  <c r="S347" i="3" s="1"/>
  <c r="R347" i="3"/>
  <c r="O348" i="3"/>
  <c r="P348" i="3" s="1"/>
  <c r="Q348" i="3" s="1"/>
  <c r="O349" i="3"/>
  <c r="P349" i="3" s="1"/>
  <c r="O350" i="3"/>
  <c r="P350" i="3"/>
  <c r="O351" i="3"/>
  <c r="P351" i="3" s="1"/>
  <c r="T177" i="2" s="1"/>
  <c r="U177" i="2" s="1"/>
  <c r="O352" i="3"/>
  <c r="P352" i="3" s="1"/>
  <c r="Q352" i="3" s="1"/>
  <c r="S352" i="3"/>
  <c r="W178" i="2" s="1"/>
  <c r="O353" i="3"/>
  <c r="O354" i="3"/>
  <c r="P354" i="3" s="1"/>
  <c r="O355" i="3"/>
  <c r="P355" i="3" s="1"/>
  <c r="O356" i="3"/>
  <c r="P356" i="3" s="1"/>
  <c r="O357" i="3"/>
  <c r="P357" i="3" s="1"/>
  <c r="R357" i="3" s="1"/>
  <c r="O358" i="3"/>
  <c r="P358" i="3" s="1"/>
  <c r="Q358" i="3" s="1"/>
  <c r="R358" i="3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P363" i="3" s="1"/>
  <c r="S363" i="3" s="1"/>
  <c r="O364" i="3"/>
  <c r="P364" i="3" s="1"/>
  <c r="O365" i="3"/>
  <c r="O366" i="3"/>
  <c r="P366" i="3" s="1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P371" i="3" s="1"/>
  <c r="O372" i="3"/>
  <c r="P372" i="3" s="1"/>
  <c r="O373" i="3"/>
  <c r="S189" i="2" s="1"/>
  <c r="O374" i="3"/>
  <c r="P374" i="3" s="1"/>
  <c r="Q374" i="3" s="1"/>
  <c r="O375" i="3"/>
  <c r="P375" i="3" s="1"/>
  <c r="R375" i="3" s="1"/>
  <c r="V190" i="2" s="1"/>
  <c r="O376" i="3"/>
  <c r="P376" i="3" s="1"/>
  <c r="O377" i="3"/>
  <c r="P377" i="3" s="1"/>
  <c r="O378" i="3"/>
  <c r="P378" i="3" s="1"/>
  <c r="R378" i="3" s="1"/>
  <c r="O379" i="3"/>
  <c r="P379" i="3" s="1"/>
  <c r="S379" i="3" s="1"/>
  <c r="W191" i="2" s="1"/>
  <c r="Q379" i="3"/>
  <c r="O380" i="3"/>
  <c r="P380" i="3" s="1"/>
  <c r="O381" i="3"/>
  <c r="P381" i="3" s="1"/>
  <c r="T193" i="2" s="1"/>
  <c r="U193" i="2" s="1"/>
  <c r="O382" i="3"/>
  <c r="P382" i="3" s="1"/>
  <c r="O383" i="3"/>
  <c r="P383" i="3" s="1"/>
  <c r="O384" i="3"/>
  <c r="P384" i="3" s="1"/>
  <c r="O385" i="3"/>
  <c r="P385" i="3" s="1"/>
  <c r="Q385" i="3" s="1"/>
  <c r="O386" i="3"/>
  <c r="O387" i="3"/>
  <c r="O388" i="3"/>
  <c r="P388" i="3" s="1"/>
  <c r="S388" i="3" s="1"/>
  <c r="O389" i="3"/>
  <c r="P389" i="3" s="1"/>
  <c r="T197" i="2" s="1"/>
  <c r="U197" i="2" s="1"/>
  <c r="O390" i="3"/>
  <c r="P390" i="3" s="1"/>
  <c r="O391" i="3"/>
  <c r="P391" i="3" s="1"/>
  <c r="T199" i="2" s="1"/>
  <c r="U199" i="2" s="1"/>
  <c r="O392" i="3"/>
  <c r="P392" i="3" s="1"/>
  <c r="S392" i="3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S201" i="2" s="1"/>
  <c r="P399" i="3"/>
  <c r="O400" i="3"/>
  <c r="P400" i="3" s="1"/>
  <c r="T202" i="2" s="1"/>
  <c r="U202" i="2" s="1"/>
  <c r="O401" i="3"/>
  <c r="P401" i="3" s="1"/>
  <c r="S401" i="3" s="1"/>
  <c r="W203" i="2" s="1"/>
  <c r="O402" i="3"/>
  <c r="P402" i="3" s="1"/>
  <c r="O403" i="3"/>
  <c r="P403" i="3" s="1"/>
  <c r="Q403" i="3" s="1"/>
  <c r="S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P409" i="3" s="1"/>
  <c r="Q409" i="3" s="1"/>
  <c r="O410" i="3"/>
  <c r="P410" i="3" s="1"/>
  <c r="R410" i="3" s="1"/>
  <c r="O411" i="3"/>
  <c r="P411" i="3" s="1"/>
  <c r="O412" i="3"/>
  <c r="P412" i="3" s="1"/>
  <c r="O413" i="3"/>
  <c r="P413" i="3" s="1"/>
  <c r="R413" i="3"/>
  <c r="O414" i="3"/>
  <c r="P414" i="3" s="1"/>
  <c r="Q414" i="3" s="1"/>
  <c r="O415" i="3"/>
  <c r="P415" i="3" s="1"/>
  <c r="O416" i="3"/>
  <c r="P416" i="3" s="1"/>
  <c r="O417" i="3"/>
  <c r="P417" i="3" s="1"/>
  <c r="S417" i="3" s="1"/>
  <c r="W210" i="2" s="1"/>
  <c r="O418" i="3"/>
  <c r="P418" i="3" s="1"/>
  <c r="O419" i="3"/>
  <c r="P419" i="3" s="1"/>
  <c r="Q419" i="3" s="1"/>
  <c r="O420" i="3"/>
  <c r="P420" i="3" s="1"/>
  <c r="O421" i="3"/>
  <c r="P421" i="3" s="1"/>
  <c r="R421" i="3" s="1"/>
  <c r="O422" i="3"/>
  <c r="P422" i="3" s="1"/>
  <c r="Q422" i="3" s="1"/>
  <c r="O423" i="3"/>
  <c r="P423" i="3" s="1"/>
  <c r="O424" i="3"/>
  <c r="P424" i="3" s="1"/>
  <c r="O425" i="3"/>
  <c r="P425" i="3" s="1"/>
  <c r="O426" i="3"/>
  <c r="P426" i="3" s="1"/>
  <c r="R426" i="3" s="1"/>
  <c r="O427" i="3"/>
  <c r="P427" i="3"/>
  <c r="S427" i="3" s="1"/>
  <c r="O428" i="3"/>
  <c r="P428" i="3" s="1"/>
  <c r="Q428" i="3" s="1"/>
  <c r="R428" i="3"/>
  <c r="O429" i="3"/>
  <c r="P429" i="3" s="1"/>
  <c r="R429" i="3" s="1"/>
  <c r="O430" i="3"/>
  <c r="P430" i="3" s="1"/>
  <c r="S430" i="3" s="1"/>
  <c r="O431" i="3"/>
  <c r="P431" i="3"/>
  <c r="T217" i="2" s="1"/>
  <c r="U217" i="2" s="1"/>
  <c r="O432" i="3"/>
  <c r="P432" i="3"/>
  <c r="T218" i="2" s="1"/>
  <c r="U218" i="2" s="1"/>
  <c r="O433" i="3"/>
  <c r="P433" i="3" s="1"/>
  <c r="S433" i="3" s="1"/>
  <c r="W219" i="2" s="1"/>
  <c r="O434" i="3"/>
  <c r="P434" i="3" s="1"/>
  <c r="O435" i="3"/>
  <c r="P435" i="3" s="1"/>
  <c r="Q435" i="3" s="1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P441" i="3" s="1"/>
  <c r="Q441" i="3" s="1"/>
  <c r="O442" i="3"/>
  <c r="P442" i="3" s="1"/>
  <c r="S442" i="3" s="1"/>
  <c r="W224" i="2" s="1"/>
  <c r="O443" i="3"/>
  <c r="P443" i="3" s="1"/>
  <c r="R443" i="3" s="1"/>
  <c r="O444" i="3"/>
  <c r="P444" i="3" s="1"/>
  <c r="S444" i="3" s="1"/>
  <c r="O445" i="3"/>
  <c r="P445" i="3" s="1"/>
  <c r="O446" i="3"/>
  <c r="P446" i="3" s="1"/>
  <c r="O447" i="3"/>
  <c r="O448" i="3"/>
  <c r="P448" i="3" s="1"/>
  <c r="Q448" i="3" s="1"/>
  <c r="O449" i="3"/>
  <c r="P449" i="3" s="1"/>
  <c r="O450" i="3"/>
  <c r="P450" i="3" s="1"/>
  <c r="O451" i="3"/>
  <c r="P451" i="3" s="1"/>
  <c r="O452" i="3"/>
  <c r="P452" i="3" s="1"/>
  <c r="O453" i="3"/>
  <c r="P453" i="3"/>
  <c r="S453" i="3" s="1"/>
  <c r="O454" i="3"/>
  <c r="O455" i="3"/>
  <c r="P455" i="3" s="1"/>
  <c r="R455" i="3" s="1"/>
  <c r="O456" i="3"/>
  <c r="P456" i="3" s="1"/>
  <c r="O457" i="3"/>
  <c r="P457" i="3"/>
  <c r="O458" i="3"/>
  <c r="P458" i="3" s="1"/>
  <c r="Q458" i="3" s="1"/>
  <c r="O459" i="3"/>
  <c r="P459" i="3" s="1"/>
  <c r="R459" i="3" s="1"/>
  <c r="O460" i="3"/>
  <c r="P460" i="3" s="1"/>
  <c r="R460" i="3" s="1"/>
  <c r="V231" i="2" s="1"/>
  <c r="O461" i="3"/>
  <c r="P461" i="3" s="1"/>
  <c r="O462" i="3"/>
  <c r="P462" i="3" s="1"/>
  <c r="O463" i="3"/>
  <c r="P463" i="3" s="1"/>
  <c r="S463" i="3" s="1"/>
  <c r="W234" i="2" s="1"/>
  <c r="O464" i="3"/>
  <c r="P464" i="3"/>
  <c r="Q464" i="3" s="1"/>
  <c r="O465" i="3"/>
  <c r="P465" i="3" s="1"/>
  <c r="Q465" i="3" s="1"/>
  <c r="O466" i="3"/>
  <c r="P466" i="3" s="1"/>
  <c r="Q466" i="3" s="1"/>
  <c r="R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P473" i="3" s="1"/>
  <c r="O474" i="3"/>
  <c r="P474" i="3" s="1"/>
  <c r="Q474" i="3" s="1"/>
  <c r="O475" i="3"/>
  <c r="P475" i="3" s="1"/>
  <c r="R475" i="3" s="1"/>
  <c r="O476" i="3"/>
  <c r="P476" i="3" s="1"/>
  <c r="O477" i="3"/>
  <c r="P477" i="3" s="1"/>
  <c r="T241" i="2" s="1"/>
  <c r="U241" i="2" s="1"/>
  <c r="O478" i="3"/>
  <c r="P478" i="3" s="1"/>
  <c r="O479" i="3"/>
  <c r="P479" i="3" s="1"/>
  <c r="O480" i="3"/>
  <c r="P480" i="3" s="1"/>
  <c r="R480" i="3"/>
  <c r="O481" i="3"/>
  <c r="P481" i="3" s="1"/>
  <c r="T242" i="2" s="1"/>
  <c r="U242" i="2" s="1"/>
  <c r="O482" i="3"/>
  <c r="P482" i="3" s="1"/>
  <c r="S482" i="3" s="1"/>
  <c r="W243" i="2" s="1"/>
  <c r="O483" i="3"/>
  <c r="P483" i="3" s="1"/>
  <c r="O484" i="3"/>
  <c r="P484" i="3" s="1"/>
  <c r="R484" i="3" s="1"/>
  <c r="V245" i="2" s="1"/>
  <c r="O485" i="3"/>
  <c r="P485" i="3" s="1"/>
  <c r="T246" i="2" s="1"/>
  <c r="U246" i="2" s="1"/>
  <c r="O486" i="3"/>
  <c r="P486" i="3" s="1"/>
  <c r="S486" i="3" s="1"/>
  <c r="O487" i="3"/>
  <c r="P487" i="3" s="1"/>
  <c r="R487" i="3" s="1"/>
  <c r="O488" i="3"/>
  <c r="P488" i="3" s="1"/>
  <c r="Q488" i="3" s="1"/>
  <c r="O489" i="3"/>
  <c r="P489" i="3" s="1"/>
  <c r="O490" i="3"/>
  <c r="S247" i="2" s="1"/>
  <c r="P490" i="3"/>
  <c r="T247" i="2" s="1"/>
  <c r="U247" i="2" s="1"/>
  <c r="O491" i="3"/>
  <c r="P491" i="3" s="1"/>
  <c r="Q491" i="3" s="1"/>
  <c r="S491" i="3"/>
  <c r="O492" i="3"/>
  <c r="P492" i="3"/>
  <c r="Q492" i="3" s="1"/>
  <c r="O493" i="3"/>
  <c r="P493" i="3"/>
  <c r="R493" i="3" s="1"/>
  <c r="V250" i="2" s="1"/>
  <c r="O494" i="3"/>
  <c r="P494" i="3" s="1"/>
  <c r="S494" i="3"/>
  <c r="O495" i="3"/>
  <c r="P495" i="3" s="1"/>
  <c r="R495" i="3" s="1"/>
  <c r="S495" i="3"/>
  <c r="O496" i="3"/>
  <c r="P496" i="3"/>
  <c r="O497" i="3"/>
  <c r="P497" i="3" s="1"/>
  <c r="Q497" i="3" s="1"/>
  <c r="O498" i="3"/>
  <c r="P498" i="3" s="1"/>
  <c r="S498" i="3" s="1"/>
  <c r="O499" i="3"/>
  <c r="P499" i="3" s="1"/>
  <c r="T252" i="2" s="1"/>
  <c r="U252" i="2" s="1"/>
  <c r="O500" i="3"/>
  <c r="P500" i="3" s="1"/>
  <c r="O501" i="3"/>
  <c r="P501" i="3" s="1"/>
  <c r="O502" i="3"/>
  <c r="P502" i="3" s="1"/>
  <c r="S502" i="3" s="1"/>
  <c r="O503" i="3"/>
  <c r="P503" i="3" s="1"/>
  <c r="R503" i="3" s="1"/>
  <c r="O504" i="3"/>
  <c r="P504" i="3" s="1"/>
  <c r="S504" i="3" s="1"/>
  <c r="W255" i="2" s="1"/>
  <c r="O505" i="3"/>
  <c r="P505" i="3" s="1"/>
  <c r="Q505" i="3" s="1"/>
  <c r="O506" i="3"/>
  <c r="P506" i="3" s="1"/>
  <c r="Q506" i="3" s="1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P513" i="3" s="1"/>
  <c r="O514" i="3"/>
  <c r="S259" i="2" s="1"/>
  <c r="P514" i="3"/>
  <c r="O515" i="3"/>
  <c r="O516" i="3"/>
  <c r="S261" i="2" s="1"/>
  <c r="P516" i="3"/>
  <c r="Q516" i="3" s="1"/>
  <c r="O517" i="3"/>
  <c r="O518" i="3"/>
  <c r="P518" i="3" s="1"/>
  <c r="S518" i="3" s="1"/>
  <c r="O519" i="3"/>
  <c r="P519" i="3" s="1"/>
  <c r="O520" i="3"/>
  <c r="P520" i="3" s="1"/>
  <c r="O521" i="3"/>
  <c r="P521" i="3" s="1"/>
  <c r="O522" i="3"/>
  <c r="O523" i="3"/>
  <c r="O524" i="3"/>
  <c r="S265" i="2" s="1"/>
  <c r="O525" i="3"/>
  <c r="S266" i="2" s="1"/>
  <c r="P525" i="3"/>
  <c r="T266" i="2" s="1"/>
  <c r="U266" i="2" s="1"/>
  <c r="N5" i="2"/>
  <c r="O5" i="2"/>
  <c r="R5" i="2" s="1"/>
  <c r="P5" i="2"/>
  <c r="Q5" i="2"/>
  <c r="X5" i="2"/>
  <c r="Y5" i="2"/>
  <c r="Z5" i="2"/>
  <c r="AA5" i="2"/>
  <c r="N6" i="2"/>
  <c r="O6" i="2"/>
  <c r="R6" i="2" s="1"/>
  <c r="P6" i="2"/>
  <c r="Q6" i="2"/>
  <c r="S6" i="2"/>
  <c r="T6" i="2"/>
  <c r="U6" i="2" s="1"/>
  <c r="W6" i="2"/>
  <c r="X6" i="2"/>
  <c r="Y6" i="2"/>
  <c r="Z6" i="2"/>
  <c r="AA6" i="2"/>
  <c r="N7" i="2"/>
  <c r="O7" i="2"/>
  <c r="R7" i="2" s="1"/>
  <c r="P7" i="2"/>
  <c r="Q7" i="2"/>
  <c r="S7" i="2"/>
  <c r="T7" i="2"/>
  <c r="U7" i="2" s="1"/>
  <c r="X7" i="2"/>
  <c r="Y7" i="2"/>
  <c r="Z7" i="2"/>
  <c r="AA7" i="2"/>
  <c r="N8" i="2"/>
  <c r="O8" i="2"/>
  <c r="R8" i="2" s="1"/>
  <c r="P8" i="2"/>
  <c r="Q8" i="2"/>
  <c r="X8" i="2"/>
  <c r="Y8" i="2"/>
  <c r="Z8" i="2"/>
  <c r="AA8" i="2"/>
  <c r="N9" i="2"/>
  <c r="O9" i="2"/>
  <c r="R9" i="2" s="1"/>
  <c r="P9" i="2"/>
  <c r="Q9" i="2"/>
  <c r="S9" i="2"/>
  <c r="T9" i="2"/>
  <c r="U9" i="2" s="1"/>
  <c r="X9" i="2"/>
  <c r="Y9" i="2"/>
  <c r="Z9" i="2"/>
  <c r="AA9" i="2"/>
  <c r="N10" i="2"/>
  <c r="O10" i="2"/>
  <c r="R10" i="2" s="1"/>
  <c r="P10" i="2"/>
  <c r="Q10" i="2"/>
  <c r="X10" i="2"/>
  <c r="Y10" i="2"/>
  <c r="Z10" i="2"/>
  <c r="AA10" i="2"/>
  <c r="N11" i="2"/>
  <c r="O11" i="2"/>
  <c r="R11" i="2" s="1"/>
  <c r="P11" i="2"/>
  <c r="Q11" i="2"/>
  <c r="S11" i="2"/>
  <c r="T11" i="2"/>
  <c r="U11" i="2" s="1"/>
  <c r="W11" i="2"/>
  <c r="X11" i="2"/>
  <c r="Y11" i="2"/>
  <c r="Z11" i="2"/>
  <c r="AA11" i="2"/>
  <c r="N12" i="2"/>
  <c r="O12" i="2"/>
  <c r="R12" i="2" s="1"/>
  <c r="P12" i="2"/>
  <c r="Q12" i="2"/>
  <c r="X12" i="2"/>
  <c r="Y12" i="2"/>
  <c r="Z12" i="2"/>
  <c r="AA12" i="2"/>
  <c r="N13" i="2"/>
  <c r="O13" i="2"/>
  <c r="R13" i="2" s="1"/>
  <c r="P13" i="2"/>
  <c r="Q13" i="2"/>
  <c r="X13" i="2"/>
  <c r="Y13" i="2"/>
  <c r="Z13" i="2"/>
  <c r="AA13" i="2"/>
  <c r="N14" i="2"/>
  <c r="O14" i="2"/>
  <c r="R14" i="2" s="1"/>
  <c r="P14" i="2"/>
  <c r="Q14" i="2"/>
  <c r="X14" i="2"/>
  <c r="Y14" i="2"/>
  <c r="Z14" i="2"/>
  <c r="AA14" i="2"/>
  <c r="N15" i="2"/>
  <c r="O15" i="2"/>
  <c r="R15" i="2" s="1"/>
  <c r="P15" i="2"/>
  <c r="Q15" i="2"/>
  <c r="S15" i="2"/>
  <c r="T15" i="2"/>
  <c r="U15" i="2" s="1"/>
  <c r="X15" i="2"/>
  <c r="Y15" i="2"/>
  <c r="Z15" i="2"/>
  <c r="AA15" i="2"/>
  <c r="N16" i="2"/>
  <c r="O16" i="2"/>
  <c r="R16" i="2" s="1"/>
  <c r="P16" i="2"/>
  <c r="Q16" i="2"/>
  <c r="X16" i="2"/>
  <c r="Y16" i="2"/>
  <c r="Z16" i="2"/>
  <c r="AA16" i="2"/>
  <c r="N17" i="2"/>
  <c r="O17" i="2"/>
  <c r="R17" i="2" s="1"/>
  <c r="P17" i="2"/>
  <c r="Q17" i="2"/>
  <c r="X17" i="2"/>
  <c r="Y17" i="2"/>
  <c r="Z17" i="2"/>
  <c r="AA17" i="2"/>
  <c r="N18" i="2"/>
  <c r="O18" i="2"/>
  <c r="R18" i="2" s="1"/>
  <c r="P18" i="2"/>
  <c r="Q18" i="2"/>
  <c r="S18" i="2"/>
  <c r="X18" i="2"/>
  <c r="Y18" i="2"/>
  <c r="Z18" i="2"/>
  <c r="AA18" i="2"/>
  <c r="N19" i="2"/>
  <c r="O19" i="2"/>
  <c r="R19" i="2" s="1"/>
  <c r="P19" i="2"/>
  <c r="Q19" i="2"/>
  <c r="X19" i="2"/>
  <c r="Y19" i="2"/>
  <c r="Z19" i="2"/>
  <c r="AA19" i="2"/>
  <c r="N20" i="2"/>
  <c r="O20" i="2"/>
  <c r="R20" i="2" s="1"/>
  <c r="P20" i="2"/>
  <c r="Q20" i="2"/>
  <c r="X20" i="2"/>
  <c r="Y20" i="2"/>
  <c r="Z20" i="2"/>
  <c r="AA20" i="2"/>
  <c r="N21" i="2"/>
  <c r="O21" i="2"/>
  <c r="R21" i="2" s="1"/>
  <c r="P21" i="2"/>
  <c r="Q21" i="2"/>
  <c r="S21" i="2"/>
  <c r="T21" i="2"/>
  <c r="U21" i="2" s="1"/>
  <c r="V21" i="2"/>
  <c r="X21" i="2"/>
  <c r="Y21" i="2"/>
  <c r="Z21" i="2"/>
  <c r="AA21" i="2"/>
  <c r="N22" i="2"/>
  <c r="O22" i="2"/>
  <c r="R22" i="2" s="1"/>
  <c r="P22" i="2"/>
  <c r="Q22" i="2"/>
  <c r="X22" i="2"/>
  <c r="Y22" i="2"/>
  <c r="Z22" i="2"/>
  <c r="AA22" i="2"/>
  <c r="N23" i="2"/>
  <c r="O23" i="2"/>
  <c r="R23" i="2" s="1"/>
  <c r="P23" i="2"/>
  <c r="Q23" i="2"/>
  <c r="S23" i="2"/>
  <c r="T23" i="2"/>
  <c r="U23" i="2" s="1"/>
  <c r="X23" i="2"/>
  <c r="Y23" i="2"/>
  <c r="Z23" i="2"/>
  <c r="AA23" i="2"/>
  <c r="N24" i="2"/>
  <c r="O24" i="2"/>
  <c r="R24" i="2" s="1"/>
  <c r="P24" i="2"/>
  <c r="Q24" i="2"/>
  <c r="S24" i="2"/>
  <c r="T24" i="2"/>
  <c r="U24" i="2" s="1"/>
  <c r="X24" i="2"/>
  <c r="Y24" i="2"/>
  <c r="Z24" i="2"/>
  <c r="AA24" i="2"/>
  <c r="N25" i="2"/>
  <c r="O25" i="2"/>
  <c r="R25" i="2" s="1"/>
  <c r="P25" i="2"/>
  <c r="Q25" i="2"/>
  <c r="X25" i="2"/>
  <c r="Y25" i="2"/>
  <c r="Z25" i="2"/>
  <c r="AA25" i="2"/>
  <c r="N26" i="2"/>
  <c r="O26" i="2"/>
  <c r="R26" i="2" s="1"/>
  <c r="P26" i="2"/>
  <c r="Q26" i="2"/>
  <c r="X26" i="2"/>
  <c r="Y26" i="2"/>
  <c r="Z26" i="2"/>
  <c r="AA26" i="2"/>
  <c r="N27" i="2"/>
  <c r="O27" i="2"/>
  <c r="R27" i="2" s="1"/>
  <c r="P27" i="2"/>
  <c r="Q27" i="2"/>
  <c r="X27" i="2"/>
  <c r="Y27" i="2"/>
  <c r="Z27" i="2"/>
  <c r="AA27" i="2"/>
  <c r="N28" i="2"/>
  <c r="O28" i="2"/>
  <c r="R28" i="2" s="1"/>
  <c r="P28" i="2"/>
  <c r="Q28" i="2"/>
  <c r="S28" i="2"/>
  <c r="T28" i="2"/>
  <c r="U28" i="2" s="1"/>
  <c r="X28" i="2"/>
  <c r="Y28" i="2"/>
  <c r="Z28" i="2"/>
  <c r="AA28" i="2"/>
  <c r="N29" i="2"/>
  <c r="O29" i="2"/>
  <c r="R29" i="2" s="1"/>
  <c r="P29" i="2"/>
  <c r="Q29" i="2"/>
  <c r="S29" i="2"/>
  <c r="X29" i="2"/>
  <c r="Y29" i="2"/>
  <c r="Z29" i="2"/>
  <c r="AA29" i="2"/>
  <c r="N30" i="2"/>
  <c r="O30" i="2"/>
  <c r="R30" i="2" s="1"/>
  <c r="P30" i="2"/>
  <c r="Q30" i="2"/>
  <c r="X30" i="2"/>
  <c r="Y30" i="2"/>
  <c r="Z30" i="2"/>
  <c r="AA30" i="2"/>
  <c r="N31" i="2"/>
  <c r="O31" i="2"/>
  <c r="R31" i="2" s="1"/>
  <c r="P31" i="2"/>
  <c r="Q31" i="2"/>
  <c r="S31" i="2"/>
  <c r="T31" i="2"/>
  <c r="U31" i="2" s="1"/>
  <c r="X31" i="2"/>
  <c r="Y31" i="2"/>
  <c r="Z31" i="2"/>
  <c r="AA31" i="2"/>
  <c r="N32" i="2"/>
  <c r="O32" i="2"/>
  <c r="R32" i="2" s="1"/>
  <c r="P32" i="2"/>
  <c r="Q32" i="2"/>
  <c r="S32" i="2"/>
  <c r="T32" i="2"/>
  <c r="U32" i="2" s="1"/>
  <c r="X32" i="2"/>
  <c r="Y32" i="2"/>
  <c r="Z32" i="2"/>
  <c r="AA32" i="2"/>
  <c r="N33" i="2"/>
  <c r="O33" i="2"/>
  <c r="R33" i="2" s="1"/>
  <c r="P33" i="2"/>
  <c r="Q33" i="2"/>
  <c r="S33" i="2"/>
  <c r="T33" i="2"/>
  <c r="U33" i="2" s="1"/>
  <c r="V33" i="2"/>
  <c r="X33" i="2"/>
  <c r="Y33" i="2"/>
  <c r="Z33" i="2"/>
  <c r="AA33" i="2"/>
  <c r="N34" i="2"/>
  <c r="O34" i="2"/>
  <c r="R34" i="2" s="1"/>
  <c r="P34" i="2"/>
  <c r="Q34" i="2"/>
  <c r="S34" i="2"/>
  <c r="X34" i="2"/>
  <c r="Y34" i="2"/>
  <c r="Z34" i="2"/>
  <c r="AA34" i="2"/>
  <c r="N35" i="2"/>
  <c r="O35" i="2"/>
  <c r="R35" i="2" s="1"/>
  <c r="P35" i="2"/>
  <c r="Q35" i="2"/>
  <c r="X35" i="2"/>
  <c r="Y35" i="2"/>
  <c r="Z35" i="2"/>
  <c r="AA35" i="2"/>
  <c r="N36" i="2"/>
  <c r="O36" i="2"/>
  <c r="R36" i="2" s="1"/>
  <c r="P36" i="2"/>
  <c r="Q36" i="2"/>
  <c r="X36" i="2"/>
  <c r="Y36" i="2"/>
  <c r="Z36" i="2"/>
  <c r="AA36" i="2"/>
  <c r="N37" i="2"/>
  <c r="O37" i="2"/>
  <c r="R37" i="2" s="1"/>
  <c r="P37" i="2"/>
  <c r="Q37" i="2"/>
  <c r="X37" i="2"/>
  <c r="Y37" i="2"/>
  <c r="Z37" i="2"/>
  <c r="AA37" i="2"/>
  <c r="N38" i="2"/>
  <c r="O38" i="2"/>
  <c r="R38" i="2" s="1"/>
  <c r="P38" i="2"/>
  <c r="Q38" i="2"/>
  <c r="X38" i="2"/>
  <c r="Y38" i="2"/>
  <c r="Z38" i="2"/>
  <c r="AA38" i="2"/>
  <c r="N39" i="2"/>
  <c r="O39" i="2"/>
  <c r="R39" i="2" s="1"/>
  <c r="P39" i="2"/>
  <c r="Q39" i="2"/>
  <c r="S39" i="2"/>
  <c r="T39" i="2"/>
  <c r="U39" i="2" s="1"/>
  <c r="X39" i="2"/>
  <c r="Y39" i="2"/>
  <c r="Z39" i="2"/>
  <c r="AA39" i="2"/>
  <c r="N40" i="2"/>
  <c r="O40" i="2"/>
  <c r="R40" i="2" s="1"/>
  <c r="P40" i="2"/>
  <c r="Q40" i="2"/>
  <c r="X40" i="2"/>
  <c r="Y40" i="2"/>
  <c r="Z40" i="2"/>
  <c r="AA40" i="2"/>
  <c r="N41" i="2"/>
  <c r="O41" i="2"/>
  <c r="R41" i="2" s="1"/>
  <c r="P41" i="2"/>
  <c r="Q41" i="2"/>
  <c r="S41" i="2"/>
  <c r="T41" i="2"/>
  <c r="U41" i="2" s="1"/>
  <c r="X41" i="2"/>
  <c r="Y41" i="2"/>
  <c r="Z41" i="2"/>
  <c r="AA41" i="2"/>
  <c r="N42" i="2"/>
  <c r="O42" i="2"/>
  <c r="R42" i="2" s="1"/>
  <c r="P42" i="2"/>
  <c r="Q42" i="2"/>
  <c r="S42" i="2"/>
  <c r="T42" i="2"/>
  <c r="U42" i="2" s="1"/>
  <c r="V42" i="2"/>
  <c r="X42" i="2"/>
  <c r="Y42" i="2"/>
  <c r="Z42" i="2"/>
  <c r="AA42" i="2"/>
  <c r="N43" i="2"/>
  <c r="O43" i="2"/>
  <c r="R43" i="2" s="1"/>
  <c r="P43" i="2"/>
  <c r="Q43" i="2"/>
  <c r="S43" i="2"/>
  <c r="X43" i="2"/>
  <c r="Y43" i="2"/>
  <c r="Z43" i="2"/>
  <c r="AA43" i="2"/>
  <c r="N44" i="2"/>
  <c r="O44" i="2"/>
  <c r="R44" i="2" s="1"/>
  <c r="P44" i="2"/>
  <c r="Q44" i="2"/>
  <c r="X44" i="2"/>
  <c r="Y44" i="2"/>
  <c r="Z44" i="2"/>
  <c r="AA44" i="2"/>
  <c r="N45" i="2"/>
  <c r="O45" i="2"/>
  <c r="R45" i="2" s="1"/>
  <c r="P45" i="2"/>
  <c r="Q45" i="2"/>
  <c r="S45" i="2"/>
  <c r="T45" i="2"/>
  <c r="U45" i="2" s="1"/>
  <c r="X45" i="2"/>
  <c r="Y45" i="2"/>
  <c r="Z45" i="2"/>
  <c r="AA45" i="2"/>
  <c r="N46" i="2"/>
  <c r="O46" i="2"/>
  <c r="R46" i="2" s="1"/>
  <c r="P46" i="2"/>
  <c r="Q46" i="2"/>
  <c r="X46" i="2"/>
  <c r="Y46" i="2"/>
  <c r="Z46" i="2"/>
  <c r="AA46" i="2"/>
  <c r="N47" i="2"/>
  <c r="O47" i="2"/>
  <c r="R47" i="2" s="1"/>
  <c r="P47" i="2"/>
  <c r="Q47" i="2"/>
  <c r="X47" i="2"/>
  <c r="Y47" i="2"/>
  <c r="Z47" i="2"/>
  <c r="AA47" i="2"/>
  <c r="N48" i="2"/>
  <c r="O48" i="2"/>
  <c r="R48" i="2" s="1"/>
  <c r="P48" i="2"/>
  <c r="Q48" i="2"/>
  <c r="S48" i="2"/>
  <c r="T48" i="2"/>
  <c r="U48" i="2" s="1"/>
  <c r="X48" i="2"/>
  <c r="Y48" i="2"/>
  <c r="Z48" i="2"/>
  <c r="AA48" i="2"/>
  <c r="N49" i="2"/>
  <c r="O49" i="2"/>
  <c r="R49" i="2" s="1"/>
  <c r="P49" i="2"/>
  <c r="Q49" i="2"/>
  <c r="S49" i="2"/>
  <c r="T49" i="2"/>
  <c r="U49" i="2" s="1"/>
  <c r="X49" i="2"/>
  <c r="Y49" i="2"/>
  <c r="Z49" i="2"/>
  <c r="AA49" i="2"/>
  <c r="N50" i="2"/>
  <c r="O50" i="2"/>
  <c r="R50" i="2" s="1"/>
  <c r="P50" i="2"/>
  <c r="Q50" i="2"/>
  <c r="X50" i="2"/>
  <c r="Y50" i="2"/>
  <c r="Z50" i="2"/>
  <c r="AA50" i="2"/>
  <c r="N51" i="2"/>
  <c r="O51" i="2"/>
  <c r="R51" i="2" s="1"/>
  <c r="P51" i="2"/>
  <c r="Q51" i="2"/>
  <c r="S51" i="2"/>
  <c r="X51" i="2"/>
  <c r="Y51" i="2"/>
  <c r="Z51" i="2"/>
  <c r="AA51" i="2"/>
  <c r="N52" i="2"/>
  <c r="O52" i="2"/>
  <c r="R52" i="2" s="1"/>
  <c r="P52" i="2"/>
  <c r="Q52" i="2"/>
  <c r="S52" i="2"/>
  <c r="X52" i="2"/>
  <c r="Y52" i="2"/>
  <c r="Z52" i="2"/>
  <c r="AA52" i="2"/>
  <c r="N53" i="2"/>
  <c r="O53" i="2"/>
  <c r="R53" i="2" s="1"/>
  <c r="P53" i="2"/>
  <c r="Q53" i="2"/>
  <c r="S53" i="2"/>
  <c r="T53" i="2"/>
  <c r="U53" i="2" s="1"/>
  <c r="X53" i="2"/>
  <c r="Y53" i="2"/>
  <c r="Z53" i="2"/>
  <c r="AA53" i="2"/>
  <c r="N54" i="2"/>
  <c r="O54" i="2"/>
  <c r="R54" i="2" s="1"/>
  <c r="P54" i="2"/>
  <c r="Q54" i="2"/>
  <c r="W54" i="2"/>
  <c r="X54" i="2"/>
  <c r="Y54" i="2"/>
  <c r="Z54" i="2"/>
  <c r="AA54" i="2"/>
  <c r="N55" i="2"/>
  <c r="O55" i="2"/>
  <c r="R55" i="2" s="1"/>
  <c r="P55" i="2"/>
  <c r="Q55" i="2"/>
  <c r="S55" i="2"/>
  <c r="X55" i="2"/>
  <c r="Y55" i="2"/>
  <c r="Z55" i="2"/>
  <c r="AA55" i="2"/>
  <c r="N56" i="2"/>
  <c r="O56" i="2"/>
  <c r="R56" i="2" s="1"/>
  <c r="P56" i="2"/>
  <c r="Q56" i="2"/>
  <c r="S56" i="2"/>
  <c r="X56" i="2"/>
  <c r="Y56" i="2"/>
  <c r="Z56" i="2"/>
  <c r="AA56" i="2"/>
  <c r="N57" i="2"/>
  <c r="O57" i="2"/>
  <c r="R57" i="2" s="1"/>
  <c r="P57" i="2"/>
  <c r="Q57" i="2"/>
  <c r="S57" i="2"/>
  <c r="T57" i="2"/>
  <c r="U57" i="2" s="1"/>
  <c r="X57" i="2"/>
  <c r="Y57" i="2"/>
  <c r="Z57" i="2"/>
  <c r="AA57" i="2"/>
  <c r="N58" i="2"/>
  <c r="O58" i="2"/>
  <c r="R58" i="2" s="1"/>
  <c r="P58" i="2"/>
  <c r="Q58" i="2"/>
  <c r="X58" i="2"/>
  <c r="Y58" i="2"/>
  <c r="Z58" i="2"/>
  <c r="AA58" i="2"/>
  <c r="N59" i="2"/>
  <c r="O59" i="2"/>
  <c r="R59" i="2" s="1"/>
  <c r="P59" i="2"/>
  <c r="Q59" i="2"/>
  <c r="X59" i="2"/>
  <c r="Y59" i="2"/>
  <c r="Z59" i="2"/>
  <c r="AA59" i="2"/>
  <c r="N60" i="2"/>
  <c r="O60" i="2"/>
  <c r="R60" i="2" s="1"/>
  <c r="P60" i="2"/>
  <c r="Q60" i="2"/>
  <c r="S60" i="2"/>
  <c r="T60" i="2"/>
  <c r="U60" i="2" s="1"/>
  <c r="X60" i="2"/>
  <c r="Y60" i="2"/>
  <c r="Z60" i="2"/>
  <c r="AA60" i="2"/>
  <c r="N61" i="2"/>
  <c r="O61" i="2"/>
  <c r="R61" i="2" s="1"/>
  <c r="P61" i="2"/>
  <c r="Q61" i="2"/>
  <c r="S61" i="2"/>
  <c r="T61" i="2"/>
  <c r="U61" i="2" s="1"/>
  <c r="X61" i="2"/>
  <c r="Y61" i="2"/>
  <c r="Z61" i="2"/>
  <c r="AA61" i="2"/>
  <c r="N62" i="2"/>
  <c r="O62" i="2"/>
  <c r="R62" i="2" s="1"/>
  <c r="P62" i="2"/>
  <c r="Q62" i="2"/>
  <c r="S62" i="2"/>
  <c r="X62" i="2"/>
  <c r="Y62" i="2"/>
  <c r="Z62" i="2"/>
  <c r="AA62" i="2"/>
  <c r="N63" i="2"/>
  <c r="O63" i="2"/>
  <c r="R63" i="2" s="1"/>
  <c r="P63" i="2"/>
  <c r="Q63" i="2"/>
  <c r="S63" i="2"/>
  <c r="X63" i="2"/>
  <c r="Y63" i="2"/>
  <c r="Z63" i="2"/>
  <c r="AA63" i="2"/>
  <c r="N64" i="2"/>
  <c r="O64" i="2"/>
  <c r="R64" i="2" s="1"/>
  <c r="P64" i="2"/>
  <c r="Q64" i="2"/>
  <c r="X64" i="2"/>
  <c r="Y64" i="2"/>
  <c r="Z64" i="2"/>
  <c r="AA64" i="2"/>
  <c r="N65" i="2"/>
  <c r="O65" i="2"/>
  <c r="R65" i="2" s="1"/>
  <c r="P65" i="2"/>
  <c r="Q65" i="2"/>
  <c r="S65" i="2"/>
  <c r="T65" i="2"/>
  <c r="U65" i="2" s="1"/>
  <c r="X65" i="2"/>
  <c r="Y65" i="2"/>
  <c r="Z65" i="2"/>
  <c r="AA65" i="2"/>
  <c r="N66" i="2"/>
  <c r="O66" i="2"/>
  <c r="R66" i="2" s="1"/>
  <c r="P66" i="2"/>
  <c r="Q66" i="2"/>
  <c r="S66" i="2"/>
  <c r="X66" i="2"/>
  <c r="Y66" i="2"/>
  <c r="Z66" i="2"/>
  <c r="AA66" i="2"/>
  <c r="N67" i="2"/>
  <c r="O67" i="2"/>
  <c r="P67" i="2"/>
  <c r="Q67" i="2"/>
  <c r="R67" i="2"/>
  <c r="X67" i="2"/>
  <c r="Y67" i="2"/>
  <c r="Z67" i="2"/>
  <c r="AA67" i="2"/>
  <c r="N68" i="2"/>
  <c r="O68" i="2"/>
  <c r="R68" i="2" s="1"/>
  <c r="P68" i="2"/>
  <c r="Q68" i="2"/>
  <c r="X68" i="2"/>
  <c r="Y68" i="2"/>
  <c r="Z68" i="2"/>
  <c r="AA68" i="2"/>
  <c r="N69" i="2"/>
  <c r="O69" i="2"/>
  <c r="R69" i="2" s="1"/>
  <c r="P69" i="2"/>
  <c r="Q69" i="2"/>
  <c r="X69" i="2"/>
  <c r="Y69" i="2"/>
  <c r="Z69" i="2"/>
  <c r="AA69" i="2"/>
  <c r="N70" i="2"/>
  <c r="O70" i="2"/>
  <c r="R70" i="2" s="1"/>
  <c r="P70" i="2"/>
  <c r="Q70" i="2"/>
  <c r="S70" i="2"/>
  <c r="T70" i="2"/>
  <c r="U70" i="2" s="1"/>
  <c r="X70" i="2"/>
  <c r="Y70" i="2"/>
  <c r="Z70" i="2"/>
  <c r="AA70" i="2"/>
  <c r="N71" i="2"/>
  <c r="O71" i="2"/>
  <c r="R71" i="2" s="1"/>
  <c r="P71" i="2"/>
  <c r="Q71" i="2"/>
  <c r="S71" i="2"/>
  <c r="T71" i="2"/>
  <c r="U71" i="2" s="1"/>
  <c r="X71" i="2"/>
  <c r="Y71" i="2"/>
  <c r="Z71" i="2"/>
  <c r="AA71" i="2"/>
  <c r="N72" i="2"/>
  <c r="O72" i="2"/>
  <c r="R72" i="2" s="1"/>
  <c r="P72" i="2"/>
  <c r="Q72" i="2"/>
  <c r="X72" i="2"/>
  <c r="Y72" i="2"/>
  <c r="Z72" i="2"/>
  <c r="AA72" i="2"/>
  <c r="N73" i="2"/>
  <c r="O73" i="2"/>
  <c r="R73" i="2" s="1"/>
  <c r="P73" i="2"/>
  <c r="Q73" i="2"/>
  <c r="S73" i="2"/>
  <c r="T73" i="2"/>
  <c r="U73" i="2" s="1"/>
  <c r="X73" i="2"/>
  <c r="Y73" i="2"/>
  <c r="Z73" i="2"/>
  <c r="AA73" i="2"/>
  <c r="N74" i="2"/>
  <c r="O74" i="2"/>
  <c r="R74" i="2" s="1"/>
  <c r="P74" i="2"/>
  <c r="Q74" i="2"/>
  <c r="S74" i="2"/>
  <c r="T74" i="2"/>
  <c r="U74" i="2" s="1"/>
  <c r="X74" i="2"/>
  <c r="Y74" i="2"/>
  <c r="Z74" i="2"/>
  <c r="AA74" i="2"/>
  <c r="N75" i="2"/>
  <c r="O75" i="2"/>
  <c r="R75" i="2" s="1"/>
  <c r="P75" i="2"/>
  <c r="Q75" i="2"/>
  <c r="S75" i="2"/>
  <c r="T75" i="2"/>
  <c r="U75" i="2" s="1"/>
  <c r="X75" i="2"/>
  <c r="Y75" i="2"/>
  <c r="Z75" i="2"/>
  <c r="AA75" i="2"/>
  <c r="N76" i="2"/>
  <c r="O76" i="2"/>
  <c r="R76" i="2" s="1"/>
  <c r="P76" i="2"/>
  <c r="Q76" i="2"/>
  <c r="X76" i="2"/>
  <c r="Y76" i="2"/>
  <c r="Z76" i="2"/>
  <c r="AA76" i="2"/>
  <c r="N77" i="2"/>
  <c r="O77" i="2"/>
  <c r="R77" i="2" s="1"/>
  <c r="P77" i="2"/>
  <c r="Q77" i="2"/>
  <c r="X77" i="2"/>
  <c r="Y77" i="2"/>
  <c r="Z77" i="2"/>
  <c r="AA77" i="2"/>
  <c r="N78" i="2"/>
  <c r="O78" i="2"/>
  <c r="R78" i="2" s="1"/>
  <c r="P78" i="2"/>
  <c r="Q78" i="2"/>
  <c r="X78" i="2"/>
  <c r="Y78" i="2"/>
  <c r="Z78" i="2"/>
  <c r="AA78" i="2"/>
  <c r="N79" i="2"/>
  <c r="O79" i="2"/>
  <c r="R79" i="2" s="1"/>
  <c r="P79" i="2"/>
  <c r="Q79" i="2"/>
  <c r="S79" i="2"/>
  <c r="T79" i="2"/>
  <c r="U79" i="2" s="1"/>
  <c r="X79" i="2"/>
  <c r="Y79" i="2"/>
  <c r="Z79" i="2"/>
  <c r="AA79" i="2"/>
  <c r="N80" i="2"/>
  <c r="O80" i="2"/>
  <c r="R80" i="2" s="1"/>
  <c r="P80" i="2"/>
  <c r="Q80" i="2"/>
  <c r="S80" i="2"/>
  <c r="T80" i="2"/>
  <c r="U80" i="2" s="1"/>
  <c r="X80" i="2"/>
  <c r="Y80" i="2"/>
  <c r="Z80" i="2"/>
  <c r="AA80" i="2"/>
  <c r="N81" i="2"/>
  <c r="O81" i="2"/>
  <c r="R81" i="2" s="1"/>
  <c r="P81" i="2"/>
  <c r="Q81" i="2"/>
  <c r="S81" i="2"/>
  <c r="X81" i="2"/>
  <c r="Y81" i="2"/>
  <c r="Z81" i="2"/>
  <c r="AA81" i="2"/>
  <c r="N82" i="2"/>
  <c r="O82" i="2"/>
  <c r="R82" i="2" s="1"/>
  <c r="P82" i="2"/>
  <c r="Q82" i="2"/>
  <c r="X82" i="2"/>
  <c r="Y82" i="2"/>
  <c r="Z82" i="2"/>
  <c r="AA82" i="2"/>
  <c r="N83" i="2"/>
  <c r="O83" i="2"/>
  <c r="R83" i="2" s="1"/>
  <c r="P83" i="2"/>
  <c r="Q83" i="2"/>
  <c r="S83" i="2"/>
  <c r="T83" i="2"/>
  <c r="U83" i="2" s="1"/>
  <c r="X83" i="2"/>
  <c r="Y83" i="2"/>
  <c r="Z83" i="2"/>
  <c r="AA83" i="2"/>
  <c r="N84" i="2"/>
  <c r="O84" i="2"/>
  <c r="R84" i="2" s="1"/>
  <c r="P84" i="2"/>
  <c r="Q84" i="2"/>
  <c r="S84" i="2"/>
  <c r="T84" i="2"/>
  <c r="U84" i="2" s="1"/>
  <c r="W84" i="2"/>
  <c r="X84" i="2"/>
  <c r="Y84" i="2"/>
  <c r="Z84" i="2"/>
  <c r="AA84" i="2"/>
  <c r="N85" i="2"/>
  <c r="O85" i="2"/>
  <c r="R85" i="2" s="1"/>
  <c r="P85" i="2"/>
  <c r="Q85" i="2"/>
  <c r="S85" i="2"/>
  <c r="T85" i="2"/>
  <c r="U85" i="2" s="1"/>
  <c r="X85" i="2"/>
  <c r="Y85" i="2"/>
  <c r="Z85" i="2"/>
  <c r="AA85" i="2"/>
  <c r="N86" i="2"/>
  <c r="O86" i="2"/>
  <c r="R86" i="2" s="1"/>
  <c r="P86" i="2"/>
  <c r="Q86" i="2"/>
  <c r="S86" i="2"/>
  <c r="X86" i="2"/>
  <c r="Y86" i="2"/>
  <c r="Z86" i="2"/>
  <c r="AA86" i="2"/>
  <c r="N87" i="2"/>
  <c r="O87" i="2"/>
  <c r="R87" i="2" s="1"/>
  <c r="P87" i="2"/>
  <c r="Q87" i="2"/>
  <c r="T87" i="2"/>
  <c r="U87" i="2" s="1"/>
  <c r="X87" i="2"/>
  <c r="Y87" i="2"/>
  <c r="Z87" i="2"/>
  <c r="AA87" i="2"/>
  <c r="N88" i="2"/>
  <c r="O88" i="2"/>
  <c r="R88" i="2" s="1"/>
  <c r="P88" i="2"/>
  <c r="Q88" i="2"/>
  <c r="X88" i="2"/>
  <c r="Y88" i="2"/>
  <c r="Z88" i="2"/>
  <c r="AA88" i="2"/>
  <c r="N89" i="2"/>
  <c r="O89" i="2"/>
  <c r="R89" i="2" s="1"/>
  <c r="P89" i="2"/>
  <c r="Q89" i="2"/>
  <c r="S89" i="2"/>
  <c r="T89" i="2"/>
  <c r="U89" i="2" s="1"/>
  <c r="X89" i="2"/>
  <c r="Y89" i="2"/>
  <c r="Z89" i="2"/>
  <c r="AA89" i="2"/>
  <c r="N90" i="2"/>
  <c r="O90" i="2"/>
  <c r="R90" i="2" s="1"/>
  <c r="P90" i="2"/>
  <c r="Q90" i="2"/>
  <c r="X90" i="2"/>
  <c r="Y90" i="2"/>
  <c r="Z90" i="2"/>
  <c r="AA90" i="2"/>
  <c r="N91" i="2"/>
  <c r="O91" i="2"/>
  <c r="R91" i="2" s="1"/>
  <c r="P91" i="2"/>
  <c r="Q91" i="2"/>
  <c r="X91" i="2"/>
  <c r="Y91" i="2"/>
  <c r="Z91" i="2"/>
  <c r="AA91" i="2"/>
  <c r="N92" i="2"/>
  <c r="O92" i="2"/>
  <c r="R92" i="2" s="1"/>
  <c r="P92" i="2"/>
  <c r="Q92" i="2"/>
  <c r="X92" i="2"/>
  <c r="Y92" i="2"/>
  <c r="Z92" i="2"/>
  <c r="AA92" i="2"/>
  <c r="N93" i="2"/>
  <c r="O93" i="2"/>
  <c r="R93" i="2" s="1"/>
  <c r="P93" i="2"/>
  <c r="Q93" i="2"/>
  <c r="S93" i="2"/>
  <c r="X93" i="2"/>
  <c r="Y93" i="2"/>
  <c r="Z93" i="2"/>
  <c r="AA93" i="2"/>
  <c r="N94" i="2"/>
  <c r="O94" i="2"/>
  <c r="R94" i="2" s="1"/>
  <c r="P94" i="2"/>
  <c r="Q94" i="2"/>
  <c r="S94" i="2"/>
  <c r="X94" i="2"/>
  <c r="Y94" i="2"/>
  <c r="Z94" i="2"/>
  <c r="AA94" i="2"/>
  <c r="N95" i="2"/>
  <c r="O95" i="2"/>
  <c r="R95" i="2" s="1"/>
  <c r="P95" i="2"/>
  <c r="Q95" i="2"/>
  <c r="X95" i="2"/>
  <c r="Y95" i="2"/>
  <c r="Z95" i="2"/>
  <c r="AA95" i="2"/>
  <c r="N96" i="2"/>
  <c r="O96" i="2"/>
  <c r="R96" i="2" s="1"/>
  <c r="P96" i="2"/>
  <c r="Q96" i="2"/>
  <c r="S96" i="2"/>
  <c r="X96" i="2"/>
  <c r="Y96" i="2"/>
  <c r="Z96" i="2"/>
  <c r="AA96" i="2"/>
  <c r="N97" i="2"/>
  <c r="O97" i="2"/>
  <c r="R97" i="2" s="1"/>
  <c r="P97" i="2"/>
  <c r="Q97" i="2"/>
  <c r="X97" i="2"/>
  <c r="Y97" i="2"/>
  <c r="Z97" i="2"/>
  <c r="AA97" i="2"/>
  <c r="N98" i="2"/>
  <c r="O98" i="2"/>
  <c r="R98" i="2" s="1"/>
  <c r="P98" i="2"/>
  <c r="Q98" i="2"/>
  <c r="S98" i="2"/>
  <c r="T98" i="2"/>
  <c r="U98" i="2" s="1"/>
  <c r="W98" i="2"/>
  <c r="X98" i="2"/>
  <c r="Y98" i="2"/>
  <c r="Z98" i="2"/>
  <c r="AA98" i="2"/>
  <c r="N99" i="2"/>
  <c r="O99" i="2"/>
  <c r="R99" i="2" s="1"/>
  <c r="P99" i="2"/>
  <c r="Q99" i="2"/>
  <c r="S99" i="2"/>
  <c r="X99" i="2"/>
  <c r="Y99" i="2"/>
  <c r="Z99" i="2"/>
  <c r="AA99" i="2"/>
  <c r="N100" i="2"/>
  <c r="O100" i="2"/>
  <c r="R100" i="2" s="1"/>
  <c r="P100" i="2"/>
  <c r="Q100" i="2"/>
  <c r="X100" i="2"/>
  <c r="Y100" i="2"/>
  <c r="Z100" i="2"/>
  <c r="AA100" i="2"/>
  <c r="N101" i="2"/>
  <c r="O101" i="2"/>
  <c r="R101" i="2" s="1"/>
  <c r="P101" i="2"/>
  <c r="Q101" i="2"/>
  <c r="X101" i="2"/>
  <c r="Y101" i="2"/>
  <c r="Z101" i="2"/>
  <c r="AA101" i="2"/>
  <c r="N102" i="2"/>
  <c r="O102" i="2"/>
  <c r="R102" i="2" s="1"/>
  <c r="P102" i="2"/>
  <c r="Q102" i="2"/>
  <c r="S102" i="2"/>
  <c r="T102" i="2"/>
  <c r="U102" i="2" s="1"/>
  <c r="X102" i="2"/>
  <c r="Y102" i="2"/>
  <c r="Z102" i="2"/>
  <c r="AA102" i="2"/>
  <c r="N103" i="2"/>
  <c r="O103" i="2"/>
  <c r="R103" i="2" s="1"/>
  <c r="P103" i="2"/>
  <c r="Q103" i="2"/>
  <c r="X103" i="2"/>
  <c r="Y103" i="2"/>
  <c r="Z103" i="2"/>
  <c r="AA103" i="2"/>
  <c r="N104" i="2"/>
  <c r="O104" i="2"/>
  <c r="P104" i="2"/>
  <c r="Q104" i="2"/>
  <c r="R104" i="2"/>
  <c r="S104" i="2"/>
  <c r="X104" i="2"/>
  <c r="Y104" i="2"/>
  <c r="Z104" i="2"/>
  <c r="AA104" i="2"/>
  <c r="N105" i="2"/>
  <c r="O105" i="2"/>
  <c r="R105" i="2" s="1"/>
  <c r="P105" i="2"/>
  <c r="Q105" i="2"/>
  <c r="S105" i="2"/>
  <c r="T105" i="2"/>
  <c r="U105" i="2" s="1"/>
  <c r="X105" i="2"/>
  <c r="Y105" i="2"/>
  <c r="Z105" i="2"/>
  <c r="AA105" i="2"/>
  <c r="N106" i="2"/>
  <c r="O106" i="2"/>
  <c r="R106" i="2" s="1"/>
  <c r="P106" i="2"/>
  <c r="Q106" i="2"/>
  <c r="S106" i="2"/>
  <c r="T106" i="2"/>
  <c r="U106" i="2" s="1"/>
  <c r="V106" i="2"/>
  <c r="X106" i="2"/>
  <c r="Y106" i="2"/>
  <c r="Z106" i="2"/>
  <c r="AA106" i="2"/>
  <c r="N107" i="2"/>
  <c r="O107" i="2"/>
  <c r="R107" i="2" s="1"/>
  <c r="P107" i="2"/>
  <c r="Q107" i="2"/>
  <c r="S107" i="2"/>
  <c r="X107" i="2"/>
  <c r="Y107" i="2"/>
  <c r="Z107" i="2"/>
  <c r="AA107" i="2"/>
  <c r="N108" i="2"/>
  <c r="O108" i="2"/>
  <c r="R108" i="2" s="1"/>
  <c r="P108" i="2"/>
  <c r="Q108" i="2"/>
  <c r="X108" i="2"/>
  <c r="Y108" i="2"/>
  <c r="Z108" i="2"/>
  <c r="AA108" i="2"/>
  <c r="N109" i="2"/>
  <c r="O109" i="2"/>
  <c r="R109" i="2" s="1"/>
  <c r="P109" i="2"/>
  <c r="Q109" i="2"/>
  <c r="X109" i="2"/>
  <c r="Y109" i="2"/>
  <c r="Z109" i="2"/>
  <c r="AA109" i="2"/>
  <c r="N110" i="2"/>
  <c r="O110" i="2"/>
  <c r="R110" i="2" s="1"/>
  <c r="P110" i="2"/>
  <c r="Q110" i="2"/>
  <c r="S110" i="2"/>
  <c r="T110" i="2"/>
  <c r="U110" i="2" s="1"/>
  <c r="X110" i="2"/>
  <c r="Y110" i="2"/>
  <c r="Z110" i="2"/>
  <c r="AA110" i="2"/>
  <c r="N111" i="2"/>
  <c r="O111" i="2"/>
  <c r="R111" i="2" s="1"/>
  <c r="P111" i="2"/>
  <c r="Q111" i="2"/>
  <c r="S111" i="2"/>
  <c r="T111" i="2"/>
  <c r="U111" i="2" s="1"/>
  <c r="X111" i="2"/>
  <c r="Y111" i="2"/>
  <c r="Z111" i="2"/>
  <c r="AA111" i="2"/>
  <c r="N112" i="2"/>
  <c r="O112" i="2"/>
  <c r="R112" i="2" s="1"/>
  <c r="P112" i="2"/>
  <c r="Q112" i="2"/>
  <c r="X112" i="2"/>
  <c r="Y112" i="2"/>
  <c r="Z112" i="2"/>
  <c r="AA112" i="2"/>
  <c r="N113" i="2"/>
  <c r="O113" i="2"/>
  <c r="R113" i="2" s="1"/>
  <c r="P113" i="2"/>
  <c r="Q113" i="2"/>
  <c r="S113" i="2"/>
  <c r="X113" i="2"/>
  <c r="Y113" i="2"/>
  <c r="Z113" i="2"/>
  <c r="AA113" i="2"/>
  <c r="N114" i="2"/>
  <c r="O114" i="2"/>
  <c r="R114" i="2" s="1"/>
  <c r="P114" i="2"/>
  <c r="Q114" i="2"/>
  <c r="X114" i="2"/>
  <c r="Y114" i="2"/>
  <c r="Z114" i="2"/>
  <c r="AA114" i="2"/>
  <c r="N115" i="2"/>
  <c r="O115" i="2"/>
  <c r="R115" i="2" s="1"/>
  <c r="P115" i="2"/>
  <c r="Q115" i="2"/>
  <c r="X115" i="2"/>
  <c r="Y115" i="2"/>
  <c r="Z115" i="2"/>
  <c r="AA115" i="2"/>
  <c r="N116" i="2"/>
  <c r="O116" i="2"/>
  <c r="R116" i="2" s="1"/>
  <c r="P116" i="2"/>
  <c r="Q116" i="2"/>
  <c r="S116" i="2"/>
  <c r="X116" i="2"/>
  <c r="Y116" i="2"/>
  <c r="Z116" i="2"/>
  <c r="AA116" i="2"/>
  <c r="N117" i="2"/>
  <c r="O117" i="2"/>
  <c r="R117" i="2" s="1"/>
  <c r="P117" i="2"/>
  <c r="Q117" i="2"/>
  <c r="X117" i="2"/>
  <c r="Y117" i="2"/>
  <c r="Z117" i="2"/>
  <c r="AA117" i="2"/>
  <c r="N118" i="2"/>
  <c r="O118" i="2"/>
  <c r="R118" i="2" s="1"/>
  <c r="P118" i="2"/>
  <c r="Q118" i="2"/>
  <c r="X118" i="2"/>
  <c r="Y118" i="2"/>
  <c r="Z118" i="2"/>
  <c r="AA118" i="2"/>
  <c r="N119" i="2"/>
  <c r="O119" i="2"/>
  <c r="R119" i="2" s="1"/>
  <c r="P119" i="2"/>
  <c r="Q119" i="2"/>
  <c r="S119" i="2"/>
  <c r="T119" i="2"/>
  <c r="U119" i="2" s="1"/>
  <c r="X119" i="2"/>
  <c r="Y119" i="2"/>
  <c r="Z119" i="2"/>
  <c r="AA119" i="2"/>
  <c r="N120" i="2"/>
  <c r="O120" i="2"/>
  <c r="R120" i="2" s="1"/>
  <c r="P120" i="2"/>
  <c r="Q120" i="2"/>
  <c r="S120" i="2"/>
  <c r="X120" i="2"/>
  <c r="Y120" i="2"/>
  <c r="Z120" i="2"/>
  <c r="AA120" i="2"/>
  <c r="N121" i="2"/>
  <c r="O121" i="2"/>
  <c r="R121" i="2" s="1"/>
  <c r="P121" i="2"/>
  <c r="Q121" i="2"/>
  <c r="S121" i="2"/>
  <c r="T121" i="2"/>
  <c r="U121" i="2" s="1"/>
  <c r="X121" i="2"/>
  <c r="Y121" i="2"/>
  <c r="Z121" i="2"/>
  <c r="AA121" i="2"/>
  <c r="N122" i="2"/>
  <c r="O122" i="2"/>
  <c r="R122" i="2" s="1"/>
  <c r="P122" i="2"/>
  <c r="Q122" i="2"/>
  <c r="T122" i="2"/>
  <c r="U122" i="2" s="1"/>
  <c r="X122" i="2"/>
  <c r="Y122" i="2"/>
  <c r="Z122" i="2"/>
  <c r="AA122" i="2"/>
  <c r="N123" i="2"/>
  <c r="O123" i="2"/>
  <c r="R123" i="2" s="1"/>
  <c r="P123" i="2"/>
  <c r="Q123" i="2"/>
  <c r="X123" i="2"/>
  <c r="Y123" i="2"/>
  <c r="Z123" i="2"/>
  <c r="AA123" i="2"/>
  <c r="N124" i="2"/>
  <c r="O124" i="2"/>
  <c r="R124" i="2" s="1"/>
  <c r="P124" i="2"/>
  <c r="Q124" i="2"/>
  <c r="X124" i="2"/>
  <c r="Y124" i="2"/>
  <c r="Z124" i="2"/>
  <c r="AA124" i="2"/>
  <c r="N125" i="2"/>
  <c r="O125" i="2"/>
  <c r="R125" i="2" s="1"/>
  <c r="P125" i="2"/>
  <c r="Q125" i="2"/>
  <c r="S125" i="2"/>
  <c r="T125" i="2"/>
  <c r="U125" i="2" s="1"/>
  <c r="X125" i="2"/>
  <c r="Y125" i="2"/>
  <c r="Z125" i="2"/>
  <c r="AA125" i="2"/>
  <c r="N126" i="2"/>
  <c r="O126" i="2"/>
  <c r="P126" i="2"/>
  <c r="Q126" i="2"/>
  <c r="R126" i="2"/>
  <c r="X126" i="2"/>
  <c r="Y126" i="2"/>
  <c r="Z126" i="2"/>
  <c r="AA126" i="2"/>
  <c r="N127" i="2"/>
  <c r="O127" i="2"/>
  <c r="R127" i="2" s="1"/>
  <c r="P127" i="2"/>
  <c r="Q127" i="2"/>
  <c r="X127" i="2"/>
  <c r="Y127" i="2"/>
  <c r="Z127" i="2"/>
  <c r="AA127" i="2"/>
  <c r="N128" i="2"/>
  <c r="O128" i="2"/>
  <c r="R128" i="2" s="1"/>
  <c r="P128" i="2"/>
  <c r="Q128" i="2"/>
  <c r="X128" i="2"/>
  <c r="Y128" i="2"/>
  <c r="Z128" i="2"/>
  <c r="AA128" i="2"/>
  <c r="N129" i="2"/>
  <c r="O129" i="2"/>
  <c r="R129" i="2" s="1"/>
  <c r="P129" i="2"/>
  <c r="Q129" i="2"/>
  <c r="S129" i="2"/>
  <c r="T129" i="2"/>
  <c r="U129" i="2" s="1"/>
  <c r="X129" i="2"/>
  <c r="Y129" i="2"/>
  <c r="Z129" i="2"/>
  <c r="AA129" i="2"/>
  <c r="N130" i="2"/>
  <c r="O130" i="2"/>
  <c r="R130" i="2" s="1"/>
  <c r="P130" i="2"/>
  <c r="Q130" i="2"/>
  <c r="X130" i="2"/>
  <c r="Y130" i="2"/>
  <c r="Z130" i="2"/>
  <c r="AA130" i="2"/>
  <c r="N131" i="2"/>
  <c r="O131" i="2"/>
  <c r="R131" i="2" s="1"/>
  <c r="P131" i="2"/>
  <c r="Q131" i="2"/>
  <c r="X131" i="2"/>
  <c r="Y131" i="2"/>
  <c r="Z131" i="2"/>
  <c r="AA131" i="2"/>
  <c r="N132" i="2"/>
  <c r="O132" i="2"/>
  <c r="R132" i="2" s="1"/>
  <c r="P132" i="2"/>
  <c r="Q132" i="2"/>
  <c r="S132" i="2"/>
  <c r="T132" i="2"/>
  <c r="U132" i="2" s="1"/>
  <c r="X132" i="2"/>
  <c r="Y132" i="2"/>
  <c r="Z132" i="2"/>
  <c r="AA132" i="2"/>
  <c r="N133" i="2"/>
  <c r="O133" i="2"/>
  <c r="R133" i="2" s="1"/>
  <c r="P133" i="2"/>
  <c r="Q133" i="2"/>
  <c r="T133" i="2"/>
  <c r="U133" i="2" s="1"/>
  <c r="X133" i="2"/>
  <c r="Y133" i="2"/>
  <c r="Z133" i="2"/>
  <c r="AA133" i="2"/>
  <c r="N134" i="2"/>
  <c r="O134" i="2"/>
  <c r="R134" i="2" s="1"/>
  <c r="P134" i="2"/>
  <c r="Q134" i="2"/>
  <c r="X134" i="2"/>
  <c r="Y134" i="2"/>
  <c r="Z134" i="2"/>
  <c r="AA134" i="2"/>
  <c r="N135" i="2"/>
  <c r="O135" i="2"/>
  <c r="R135" i="2" s="1"/>
  <c r="P135" i="2"/>
  <c r="Q135" i="2"/>
  <c r="S135" i="2"/>
  <c r="T135" i="2"/>
  <c r="U135" i="2" s="1"/>
  <c r="X135" i="2"/>
  <c r="Y135" i="2"/>
  <c r="Z135" i="2"/>
  <c r="AA135" i="2"/>
  <c r="N136" i="2"/>
  <c r="O136" i="2"/>
  <c r="R136" i="2" s="1"/>
  <c r="P136" i="2"/>
  <c r="Q136" i="2"/>
  <c r="W136" i="2"/>
  <c r="X136" i="2"/>
  <c r="Y136" i="2"/>
  <c r="Z136" i="2"/>
  <c r="AA136" i="2"/>
  <c r="N137" i="2"/>
  <c r="O137" i="2"/>
  <c r="R137" i="2" s="1"/>
  <c r="P137" i="2"/>
  <c r="Q137" i="2"/>
  <c r="S137" i="2"/>
  <c r="T137" i="2"/>
  <c r="U137" i="2" s="1"/>
  <c r="X137" i="2"/>
  <c r="Y137" i="2"/>
  <c r="Z137" i="2"/>
  <c r="AA137" i="2"/>
  <c r="N138" i="2"/>
  <c r="O138" i="2"/>
  <c r="R138" i="2" s="1"/>
  <c r="P138" i="2"/>
  <c r="Q138" i="2"/>
  <c r="S138" i="2"/>
  <c r="T138" i="2"/>
  <c r="U138" i="2" s="1"/>
  <c r="X138" i="2"/>
  <c r="Y138" i="2"/>
  <c r="Z138" i="2"/>
  <c r="AA138" i="2"/>
  <c r="N139" i="2"/>
  <c r="O139" i="2"/>
  <c r="R139" i="2" s="1"/>
  <c r="P139" i="2"/>
  <c r="Q139" i="2"/>
  <c r="S139" i="2"/>
  <c r="T139" i="2"/>
  <c r="U139" i="2" s="1"/>
  <c r="X139" i="2"/>
  <c r="Y139" i="2"/>
  <c r="Z139" i="2"/>
  <c r="AA139" i="2"/>
  <c r="N140" i="2"/>
  <c r="O140" i="2"/>
  <c r="R140" i="2" s="1"/>
  <c r="P140" i="2"/>
  <c r="Q140" i="2"/>
  <c r="T140" i="2"/>
  <c r="U140" i="2" s="1"/>
  <c r="X140" i="2"/>
  <c r="Y140" i="2"/>
  <c r="Z140" i="2"/>
  <c r="AA140" i="2"/>
  <c r="N141" i="2"/>
  <c r="O141" i="2"/>
  <c r="R141" i="2" s="1"/>
  <c r="P141" i="2"/>
  <c r="Q141" i="2"/>
  <c r="X141" i="2"/>
  <c r="Y141" i="2"/>
  <c r="Z141" i="2"/>
  <c r="AA141" i="2"/>
  <c r="N142" i="2"/>
  <c r="O142" i="2"/>
  <c r="R142" i="2" s="1"/>
  <c r="P142" i="2"/>
  <c r="Q142" i="2"/>
  <c r="S142" i="2"/>
  <c r="X142" i="2"/>
  <c r="Y142" i="2"/>
  <c r="Z142" i="2"/>
  <c r="AA142" i="2"/>
  <c r="N143" i="2"/>
  <c r="O143" i="2"/>
  <c r="R143" i="2" s="1"/>
  <c r="P143" i="2"/>
  <c r="Q143" i="2"/>
  <c r="X143" i="2"/>
  <c r="Y143" i="2"/>
  <c r="Z143" i="2"/>
  <c r="AA143" i="2"/>
  <c r="N144" i="2"/>
  <c r="O144" i="2"/>
  <c r="R144" i="2" s="1"/>
  <c r="P144" i="2"/>
  <c r="Q144" i="2"/>
  <c r="S144" i="2"/>
  <c r="T144" i="2"/>
  <c r="U144" i="2" s="1"/>
  <c r="X144" i="2"/>
  <c r="Y144" i="2"/>
  <c r="Z144" i="2"/>
  <c r="AA144" i="2"/>
  <c r="N145" i="2"/>
  <c r="O145" i="2"/>
  <c r="R145" i="2" s="1"/>
  <c r="P145" i="2"/>
  <c r="Q145" i="2"/>
  <c r="X145" i="2"/>
  <c r="Y145" i="2"/>
  <c r="Z145" i="2"/>
  <c r="AA145" i="2"/>
  <c r="N146" i="2"/>
  <c r="O146" i="2"/>
  <c r="R146" i="2" s="1"/>
  <c r="P146" i="2"/>
  <c r="Q146" i="2"/>
  <c r="S146" i="2"/>
  <c r="T146" i="2"/>
  <c r="U146" i="2" s="1"/>
  <c r="X146" i="2"/>
  <c r="Y146" i="2"/>
  <c r="Z146" i="2"/>
  <c r="AA146" i="2"/>
  <c r="N147" i="2"/>
  <c r="O147" i="2"/>
  <c r="R147" i="2" s="1"/>
  <c r="P147" i="2"/>
  <c r="Q147" i="2"/>
  <c r="X147" i="2"/>
  <c r="Y147" i="2"/>
  <c r="Z147" i="2"/>
  <c r="AA147" i="2"/>
  <c r="N148" i="2"/>
  <c r="O148" i="2"/>
  <c r="R148" i="2" s="1"/>
  <c r="P148" i="2"/>
  <c r="Q148" i="2"/>
  <c r="T148" i="2"/>
  <c r="U148" i="2" s="1"/>
  <c r="X148" i="2"/>
  <c r="Y148" i="2"/>
  <c r="Z148" i="2"/>
  <c r="AA148" i="2"/>
  <c r="N149" i="2"/>
  <c r="O149" i="2"/>
  <c r="R149" i="2" s="1"/>
  <c r="P149" i="2"/>
  <c r="Q149" i="2"/>
  <c r="S149" i="2"/>
  <c r="X149" i="2"/>
  <c r="Y149" i="2"/>
  <c r="Z149" i="2"/>
  <c r="AA149" i="2"/>
  <c r="N150" i="2"/>
  <c r="O150" i="2"/>
  <c r="R150" i="2" s="1"/>
  <c r="P150" i="2"/>
  <c r="Q150" i="2"/>
  <c r="S150" i="2"/>
  <c r="T150" i="2"/>
  <c r="U150" i="2" s="1"/>
  <c r="W150" i="2"/>
  <c r="X150" i="2"/>
  <c r="Y150" i="2"/>
  <c r="Z150" i="2"/>
  <c r="AA150" i="2"/>
  <c r="N151" i="2"/>
  <c r="O151" i="2"/>
  <c r="R151" i="2" s="1"/>
  <c r="P151" i="2"/>
  <c r="Q151" i="2"/>
  <c r="S151" i="2"/>
  <c r="T151" i="2"/>
  <c r="U151" i="2" s="1"/>
  <c r="X151" i="2"/>
  <c r="Y151" i="2"/>
  <c r="Z151" i="2"/>
  <c r="AA151" i="2"/>
  <c r="N152" i="2"/>
  <c r="O152" i="2"/>
  <c r="R152" i="2" s="1"/>
  <c r="P152" i="2"/>
  <c r="Q152" i="2"/>
  <c r="S152" i="2"/>
  <c r="T152" i="2"/>
  <c r="U152" i="2" s="1"/>
  <c r="X152" i="2"/>
  <c r="Y152" i="2"/>
  <c r="Z152" i="2"/>
  <c r="AA152" i="2"/>
  <c r="N153" i="2"/>
  <c r="O153" i="2"/>
  <c r="R153" i="2" s="1"/>
  <c r="P153" i="2"/>
  <c r="Q153" i="2"/>
  <c r="S153" i="2"/>
  <c r="T153" i="2"/>
  <c r="U153" i="2" s="1"/>
  <c r="X153" i="2"/>
  <c r="Y153" i="2"/>
  <c r="Z153" i="2"/>
  <c r="AA153" i="2"/>
  <c r="N154" i="2"/>
  <c r="O154" i="2"/>
  <c r="R154" i="2" s="1"/>
  <c r="P154" i="2"/>
  <c r="Q154" i="2"/>
  <c r="S154" i="2"/>
  <c r="T154" i="2"/>
  <c r="U154" i="2" s="1"/>
  <c r="X154" i="2"/>
  <c r="Y154" i="2"/>
  <c r="Z154" i="2"/>
  <c r="AA154" i="2"/>
  <c r="N155" i="2"/>
  <c r="O155" i="2"/>
  <c r="R155" i="2" s="1"/>
  <c r="P155" i="2"/>
  <c r="Q155" i="2"/>
  <c r="S155" i="2"/>
  <c r="T155" i="2"/>
  <c r="U155" i="2" s="1"/>
  <c r="X155" i="2"/>
  <c r="Y155" i="2"/>
  <c r="Z155" i="2"/>
  <c r="AA155" i="2"/>
  <c r="N156" i="2"/>
  <c r="O156" i="2"/>
  <c r="R156" i="2" s="1"/>
  <c r="P156" i="2"/>
  <c r="Q156" i="2"/>
  <c r="S156" i="2"/>
  <c r="T156" i="2"/>
  <c r="U156" i="2" s="1"/>
  <c r="W156" i="2"/>
  <c r="X156" i="2"/>
  <c r="Y156" i="2"/>
  <c r="Z156" i="2"/>
  <c r="AA156" i="2"/>
  <c r="N157" i="2"/>
  <c r="O157" i="2"/>
  <c r="R157" i="2" s="1"/>
  <c r="P157" i="2"/>
  <c r="Q157" i="2"/>
  <c r="S157" i="2"/>
  <c r="X157" i="2"/>
  <c r="Y157" i="2"/>
  <c r="Z157" i="2"/>
  <c r="AA157" i="2"/>
  <c r="N158" i="2"/>
  <c r="O158" i="2"/>
  <c r="R158" i="2" s="1"/>
  <c r="P158" i="2"/>
  <c r="Q158" i="2"/>
  <c r="X158" i="2"/>
  <c r="Y158" i="2"/>
  <c r="Z158" i="2"/>
  <c r="AA158" i="2"/>
  <c r="N159" i="2"/>
  <c r="O159" i="2"/>
  <c r="R159" i="2" s="1"/>
  <c r="P159" i="2"/>
  <c r="Q159" i="2"/>
  <c r="X159" i="2"/>
  <c r="Y159" i="2"/>
  <c r="Z159" i="2"/>
  <c r="AA159" i="2"/>
  <c r="N160" i="2"/>
  <c r="O160" i="2"/>
  <c r="R160" i="2" s="1"/>
  <c r="P160" i="2"/>
  <c r="Q160" i="2"/>
  <c r="X160" i="2"/>
  <c r="Y160" i="2"/>
  <c r="Z160" i="2"/>
  <c r="AA160" i="2"/>
  <c r="N161" i="2"/>
  <c r="O161" i="2"/>
  <c r="R161" i="2" s="1"/>
  <c r="P161" i="2"/>
  <c r="Q161" i="2"/>
  <c r="X161" i="2"/>
  <c r="Y161" i="2"/>
  <c r="Z161" i="2"/>
  <c r="AA161" i="2"/>
  <c r="N162" i="2"/>
  <c r="O162" i="2"/>
  <c r="R162" i="2" s="1"/>
  <c r="P162" i="2"/>
  <c r="Q162" i="2"/>
  <c r="T162" i="2"/>
  <c r="U162" i="2" s="1"/>
  <c r="X162" i="2"/>
  <c r="Y162" i="2"/>
  <c r="Z162" i="2"/>
  <c r="AA162" i="2"/>
  <c r="N163" i="2"/>
  <c r="O163" i="2"/>
  <c r="R163" i="2" s="1"/>
  <c r="P163" i="2"/>
  <c r="Q163" i="2"/>
  <c r="S163" i="2"/>
  <c r="X163" i="2"/>
  <c r="Y163" i="2"/>
  <c r="Z163" i="2"/>
  <c r="AA163" i="2"/>
  <c r="N164" i="2"/>
  <c r="O164" i="2"/>
  <c r="R164" i="2" s="1"/>
  <c r="P164" i="2"/>
  <c r="Q164" i="2"/>
  <c r="X164" i="2"/>
  <c r="Y164" i="2"/>
  <c r="Z164" i="2"/>
  <c r="AA164" i="2"/>
  <c r="N165" i="2"/>
  <c r="O165" i="2"/>
  <c r="R165" i="2" s="1"/>
  <c r="P165" i="2"/>
  <c r="Q165" i="2"/>
  <c r="S165" i="2"/>
  <c r="T165" i="2"/>
  <c r="U165" i="2" s="1"/>
  <c r="X165" i="2"/>
  <c r="Y165" i="2"/>
  <c r="Z165" i="2"/>
  <c r="AA165" i="2"/>
  <c r="N166" i="2"/>
  <c r="O166" i="2"/>
  <c r="R166" i="2" s="1"/>
  <c r="P166" i="2"/>
  <c r="Q166" i="2"/>
  <c r="S166" i="2"/>
  <c r="T166" i="2"/>
  <c r="U166" i="2" s="1"/>
  <c r="X166" i="2"/>
  <c r="Y166" i="2"/>
  <c r="Z166" i="2"/>
  <c r="AA166" i="2"/>
  <c r="N167" i="2"/>
  <c r="O167" i="2"/>
  <c r="R167" i="2" s="1"/>
  <c r="P167" i="2"/>
  <c r="Q167" i="2"/>
  <c r="S167" i="2"/>
  <c r="T167" i="2"/>
  <c r="U167" i="2" s="1"/>
  <c r="W167" i="2"/>
  <c r="X167" i="2"/>
  <c r="Y167" i="2"/>
  <c r="Z167" i="2"/>
  <c r="AA167" i="2"/>
  <c r="N168" i="2"/>
  <c r="O168" i="2"/>
  <c r="R168" i="2" s="1"/>
  <c r="P168" i="2"/>
  <c r="Q168" i="2"/>
  <c r="X168" i="2"/>
  <c r="Y168" i="2"/>
  <c r="Z168" i="2"/>
  <c r="AA168" i="2"/>
  <c r="N169" i="2"/>
  <c r="O169" i="2"/>
  <c r="R169" i="2" s="1"/>
  <c r="P169" i="2"/>
  <c r="Q169" i="2"/>
  <c r="S169" i="2"/>
  <c r="T169" i="2"/>
  <c r="U169" i="2" s="1"/>
  <c r="V169" i="2"/>
  <c r="X169" i="2"/>
  <c r="Y169" i="2"/>
  <c r="Z169" i="2"/>
  <c r="AA169" i="2"/>
  <c r="N170" i="2"/>
  <c r="O170" i="2"/>
  <c r="R170" i="2" s="1"/>
  <c r="P170" i="2"/>
  <c r="Q170" i="2"/>
  <c r="S170" i="2"/>
  <c r="T170" i="2"/>
  <c r="U170" i="2" s="1"/>
  <c r="X170" i="2"/>
  <c r="Y170" i="2"/>
  <c r="Z170" i="2"/>
  <c r="AA170" i="2"/>
  <c r="N171" i="2"/>
  <c r="O171" i="2"/>
  <c r="R171" i="2" s="1"/>
  <c r="P171" i="2"/>
  <c r="Q171" i="2"/>
  <c r="S171" i="2"/>
  <c r="X171" i="2"/>
  <c r="Y171" i="2"/>
  <c r="Z171" i="2"/>
  <c r="AA171" i="2"/>
  <c r="N172" i="2"/>
  <c r="O172" i="2"/>
  <c r="R172" i="2" s="1"/>
  <c r="P172" i="2"/>
  <c r="Q172" i="2"/>
  <c r="X172" i="2"/>
  <c r="Y172" i="2"/>
  <c r="Z172" i="2"/>
  <c r="AA172" i="2"/>
  <c r="N173" i="2"/>
  <c r="O173" i="2"/>
  <c r="R173" i="2" s="1"/>
  <c r="P173" i="2"/>
  <c r="Q173" i="2"/>
  <c r="S173" i="2"/>
  <c r="T173" i="2"/>
  <c r="U173" i="2" s="1"/>
  <c r="X173" i="2"/>
  <c r="Y173" i="2"/>
  <c r="Z173" i="2"/>
  <c r="AA173" i="2"/>
  <c r="N174" i="2"/>
  <c r="O174" i="2"/>
  <c r="R174" i="2" s="1"/>
  <c r="P174" i="2"/>
  <c r="Q174" i="2"/>
  <c r="S174" i="2"/>
  <c r="T174" i="2"/>
  <c r="U174" i="2" s="1"/>
  <c r="W174" i="2"/>
  <c r="X174" i="2"/>
  <c r="Y174" i="2"/>
  <c r="Z174" i="2"/>
  <c r="AA174" i="2"/>
  <c r="N175" i="2"/>
  <c r="O175" i="2"/>
  <c r="R175" i="2" s="1"/>
  <c r="P175" i="2"/>
  <c r="Q175" i="2"/>
  <c r="S175" i="2"/>
  <c r="X175" i="2"/>
  <c r="Y175" i="2"/>
  <c r="Z175" i="2"/>
  <c r="AA175" i="2"/>
  <c r="N176" i="2"/>
  <c r="O176" i="2"/>
  <c r="R176" i="2" s="1"/>
  <c r="P176" i="2"/>
  <c r="Q176" i="2"/>
  <c r="S176" i="2"/>
  <c r="X176" i="2"/>
  <c r="Y176" i="2"/>
  <c r="Z176" i="2"/>
  <c r="AA176" i="2"/>
  <c r="N177" i="2"/>
  <c r="O177" i="2"/>
  <c r="R177" i="2" s="1"/>
  <c r="P177" i="2"/>
  <c r="Q177" i="2"/>
  <c r="X177" i="2"/>
  <c r="Y177" i="2"/>
  <c r="Z177" i="2"/>
  <c r="AA177" i="2"/>
  <c r="N178" i="2"/>
  <c r="O178" i="2"/>
  <c r="R178" i="2" s="1"/>
  <c r="P178" i="2"/>
  <c r="Q178" i="2"/>
  <c r="X178" i="2"/>
  <c r="Y178" i="2"/>
  <c r="Z178" i="2"/>
  <c r="AA178" i="2"/>
  <c r="N179" i="2"/>
  <c r="O179" i="2"/>
  <c r="R179" i="2" s="1"/>
  <c r="P179" i="2"/>
  <c r="Q179" i="2"/>
  <c r="X179" i="2"/>
  <c r="Y179" i="2"/>
  <c r="Z179" i="2"/>
  <c r="AA179" i="2"/>
  <c r="N180" i="2"/>
  <c r="O180" i="2"/>
  <c r="R180" i="2" s="1"/>
  <c r="P180" i="2"/>
  <c r="Q180" i="2"/>
  <c r="S180" i="2"/>
  <c r="T180" i="2"/>
  <c r="U180" i="2" s="1"/>
  <c r="X180" i="2"/>
  <c r="Y180" i="2"/>
  <c r="Z180" i="2"/>
  <c r="AA180" i="2"/>
  <c r="N181" i="2"/>
  <c r="O181" i="2"/>
  <c r="R181" i="2" s="1"/>
  <c r="P181" i="2"/>
  <c r="Q181" i="2"/>
  <c r="S181" i="2"/>
  <c r="X181" i="2"/>
  <c r="Y181" i="2"/>
  <c r="Z181" i="2"/>
  <c r="AA181" i="2"/>
  <c r="N182" i="2"/>
  <c r="O182" i="2"/>
  <c r="R182" i="2" s="1"/>
  <c r="P182" i="2"/>
  <c r="Q182" i="2"/>
  <c r="S182" i="2"/>
  <c r="T182" i="2"/>
  <c r="U182" i="2" s="1"/>
  <c r="X182" i="2"/>
  <c r="Y182" i="2"/>
  <c r="Z182" i="2"/>
  <c r="AA182" i="2"/>
  <c r="N183" i="2"/>
  <c r="O183" i="2"/>
  <c r="R183" i="2" s="1"/>
  <c r="P183" i="2"/>
  <c r="Q183" i="2"/>
  <c r="S183" i="2"/>
  <c r="T183" i="2"/>
  <c r="U183" i="2" s="1"/>
  <c r="W183" i="2"/>
  <c r="X183" i="2"/>
  <c r="Y183" i="2"/>
  <c r="Z183" i="2"/>
  <c r="AA183" i="2"/>
  <c r="N184" i="2"/>
  <c r="O184" i="2"/>
  <c r="R184" i="2" s="1"/>
  <c r="P184" i="2"/>
  <c r="Q184" i="2"/>
  <c r="S184" i="2"/>
  <c r="T184" i="2"/>
  <c r="U184" i="2" s="1"/>
  <c r="X184" i="2"/>
  <c r="Y184" i="2"/>
  <c r="Z184" i="2"/>
  <c r="AA184" i="2"/>
  <c r="N185" i="2"/>
  <c r="O185" i="2"/>
  <c r="R185" i="2" s="1"/>
  <c r="P185" i="2"/>
  <c r="Q185" i="2"/>
  <c r="X185" i="2"/>
  <c r="Y185" i="2"/>
  <c r="Z185" i="2"/>
  <c r="AA185" i="2"/>
  <c r="N186" i="2"/>
  <c r="O186" i="2"/>
  <c r="R186" i="2" s="1"/>
  <c r="P186" i="2"/>
  <c r="Q186" i="2"/>
  <c r="S186" i="2"/>
  <c r="T186" i="2"/>
  <c r="U186" i="2" s="1"/>
  <c r="X186" i="2"/>
  <c r="Y186" i="2"/>
  <c r="Z186" i="2"/>
  <c r="AA186" i="2"/>
  <c r="N187" i="2"/>
  <c r="O187" i="2"/>
  <c r="R187" i="2" s="1"/>
  <c r="P187" i="2"/>
  <c r="Q187" i="2"/>
  <c r="T187" i="2"/>
  <c r="U187" i="2" s="1"/>
  <c r="X187" i="2"/>
  <c r="Y187" i="2"/>
  <c r="Z187" i="2"/>
  <c r="AA187" i="2"/>
  <c r="N188" i="2"/>
  <c r="O188" i="2"/>
  <c r="R188" i="2" s="1"/>
  <c r="P188" i="2"/>
  <c r="Q188" i="2"/>
  <c r="T188" i="2"/>
  <c r="U188" i="2" s="1"/>
  <c r="X188" i="2"/>
  <c r="Y188" i="2"/>
  <c r="Z188" i="2"/>
  <c r="AA188" i="2"/>
  <c r="N189" i="2"/>
  <c r="O189" i="2"/>
  <c r="R189" i="2" s="1"/>
  <c r="P189" i="2"/>
  <c r="Q189" i="2"/>
  <c r="X189" i="2"/>
  <c r="Y189" i="2"/>
  <c r="Z189" i="2"/>
  <c r="AA189" i="2"/>
  <c r="N190" i="2"/>
  <c r="O190" i="2"/>
  <c r="R190" i="2" s="1"/>
  <c r="P190" i="2"/>
  <c r="Q190" i="2"/>
  <c r="S190" i="2"/>
  <c r="T190" i="2"/>
  <c r="U190" i="2" s="1"/>
  <c r="X190" i="2"/>
  <c r="Y190" i="2"/>
  <c r="Z190" i="2"/>
  <c r="AA190" i="2"/>
  <c r="N191" i="2"/>
  <c r="O191" i="2"/>
  <c r="R191" i="2" s="1"/>
  <c r="P191" i="2"/>
  <c r="Q191" i="2"/>
  <c r="X191" i="2"/>
  <c r="Y191" i="2"/>
  <c r="Z191" i="2"/>
  <c r="AA191" i="2"/>
  <c r="N192" i="2"/>
  <c r="O192" i="2"/>
  <c r="R192" i="2" s="1"/>
  <c r="P192" i="2"/>
  <c r="Q192" i="2"/>
  <c r="X192" i="2"/>
  <c r="Y192" i="2"/>
  <c r="Z192" i="2"/>
  <c r="AA192" i="2"/>
  <c r="N193" i="2"/>
  <c r="O193" i="2"/>
  <c r="R193" i="2" s="1"/>
  <c r="P193" i="2"/>
  <c r="Q193" i="2"/>
  <c r="X193" i="2"/>
  <c r="Y193" i="2"/>
  <c r="Z193" i="2"/>
  <c r="AA193" i="2"/>
  <c r="N194" i="2"/>
  <c r="O194" i="2"/>
  <c r="R194" i="2" s="1"/>
  <c r="P194" i="2"/>
  <c r="Q194" i="2"/>
  <c r="X194" i="2"/>
  <c r="Y194" i="2"/>
  <c r="Z194" i="2"/>
  <c r="AA194" i="2"/>
  <c r="N195" i="2"/>
  <c r="O195" i="2"/>
  <c r="R195" i="2" s="1"/>
  <c r="P195" i="2"/>
  <c r="Q195" i="2"/>
  <c r="X195" i="2"/>
  <c r="Y195" i="2"/>
  <c r="Z195" i="2"/>
  <c r="AA195" i="2"/>
  <c r="N196" i="2"/>
  <c r="O196" i="2"/>
  <c r="R196" i="2" s="1"/>
  <c r="P196" i="2"/>
  <c r="Q196" i="2"/>
  <c r="S196" i="2"/>
  <c r="T196" i="2"/>
  <c r="U196" i="2" s="1"/>
  <c r="W196" i="2"/>
  <c r="X196" i="2"/>
  <c r="Y196" i="2"/>
  <c r="Z196" i="2"/>
  <c r="AA196" i="2"/>
  <c r="N197" i="2"/>
  <c r="O197" i="2"/>
  <c r="R197" i="2" s="1"/>
  <c r="P197" i="2"/>
  <c r="Q197" i="2"/>
  <c r="X197" i="2"/>
  <c r="Y197" i="2"/>
  <c r="Z197" i="2"/>
  <c r="AA197" i="2"/>
  <c r="N198" i="2"/>
  <c r="O198" i="2"/>
  <c r="R198" i="2" s="1"/>
  <c r="P198" i="2"/>
  <c r="Q198" i="2"/>
  <c r="X198" i="2"/>
  <c r="Y198" i="2"/>
  <c r="Z198" i="2"/>
  <c r="AA198" i="2"/>
  <c r="N199" i="2"/>
  <c r="O199" i="2"/>
  <c r="R199" i="2" s="1"/>
  <c r="P199" i="2"/>
  <c r="Q199" i="2"/>
  <c r="S199" i="2"/>
  <c r="X199" i="2"/>
  <c r="Y199" i="2"/>
  <c r="Z199" i="2"/>
  <c r="AA199" i="2"/>
  <c r="N200" i="2"/>
  <c r="O200" i="2"/>
  <c r="R200" i="2" s="1"/>
  <c r="P200" i="2"/>
  <c r="Q200" i="2"/>
  <c r="S200" i="2"/>
  <c r="X200" i="2"/>
  <c r="Y200" i="2"/>
  <c r="Z200" i="2"/>
  <c r="AA200" i="2"/>
  <c r="N201" i="2"/>
  <c r="O201" i="2"/>
  <c r="R201" i="2" s="1"/>
  <c r="P201" i="2"/>
  <c r="Q201" i="2"/>
  <c r="T201" i="2"/>
  <c r="U201" i="2" s="1"/>
  <c r="X201" i="2"/>
  <c r="Y201" i="2"/>
  <c r="Z201" i="2"/>
  <c r="AA201" i="2"/>
  <c r="N202" i="2"/>
  <c r="O202" i="2"/>
  <c r="R202" i="2" s="1"/>
  <c r="P202" i="2"/>
  <c r="Q202" i="2"/>
  <c r="S202" i="2"/>
  <c r="X202" i="2"/>
  <c r="Y202" i="2"/>
  <c r="Z202" i="2"/>
  <c r="AA202" i="2"/>
  <c r="N203" i="2"/>
  <c r="O203" i="2"/>
  <c r="R203" i="2" s="1"/>
  <c r="P203" i="2"/>
  <c r="Q203" i="2"/>
  <c r="S203" i="2"/>
  <c r="T203" i="2"/>
  <c r="U203" i="2" s="1"/>
  <c r="X203" i="2"/>
  <c r="Y203" i="2"/>
  <c r="Z203" i="2"/>
  <c r="AA203" i="2"/>
  <c r="N204" i="2"/>
  <c r="O204" i="2"/>
  <c r="R204" i="2" s="1"/>
  <c r="P204" i="2"/>
  <c r="Q204" i="2"/>
  <c r="S204" i="2"/>
  <c r="T204" i="2"/>
  <c r="U204" i="2" s="1"/>
  <c r="X204" i="2"/>
  <c r="Y204" i="2"/>
  <c r="Z204" i="2"/>
  <c r="AA204" i="2"/>
  <c r="N205" i="2"/>
  <c r="O205" i="2"/>
  <c r="R205" i="2" s="1"/>
  <c r="P205" i="2"/>
  <c r="Q205" i="2"/>
  <c r="S205" i="2"/>
  <c r="T205" i="2"/>
  <c r="U205" i="2" s="1"/>
  <c r="W205" i="2"/>
  <c r="X205" i="2"/>
  <c r="Y205" i="2"/>
  <c r="Z205" i="2"/>
  <c r="AA205" i="2"/>
  <c r="N206" i="2"/>
  <c r="O206" i="2"/>
  <c r="R206" i="2" s="1"/>
  <c r="P206" i="2"/>
  <c r="Q206" i="2"/>
  <c r="X206" i="2"/>
  <c r="Y206" i="2"/>
  <c r="Z206" i="2"/>
  <c r="AA206" i="2"/>
  <c r="N207" i="2"/>
  <c r="O207" i="2"/>
  <c r="R207" i="2" s="1"/>
  <c r="P207" i="2"/>
  <c r="Q207" i="2"/>
  <c r="S207" i="2"/>
  <c r="T207" i="2"/>
  <c r="U207" i="2" s="1"/>
  <c r="V207" i="2"/>
  <c r="X207" i="2"/>
  <c r="Y207" i="2"/>
  <c r="Z207" i="2"/>
  <c r="AA207" i="2"/>
  <c r="N208" i="2"/>
  <c r="O208" i="2"/>
  <c r="R208" i="2" s="1"/>
  <c r="P208" i="2"/>
  <c r="Q208" i="2"/>
  <c r="S208" i="2"/>
  <c r="T208" i="2"/>
  <c r="U208" i="2" s="1"/>
  <c r="X208" i="2"/>
  <c r="Y208" i="2"/>
  <c r="Z208" i="2"/>
  <c r="AA208" i="2"/>
  <c r="N209" i="2"/>
  <c r="O209" i="2"/>
  <c r="R209" i="2" s="1"/>
  <c r="P209" i="2"/>
  <c r="Q209" i="2"/>
  <c r="S209" i="2"/>
  <c r="X209" i="2"/>
  <c r="Y209" i="2"/>
  <c r="Z209" i="2"/>
  <c r="AA209" i="2"/>
  <c r="N210" i="2"/>
  <c r="O210" i="2"/>
  <c r="R210" i="2" s="1"/>
  <c r="P210" i="2"/>
  <c r="Q210" i="2"/>
  <c r="S210" i="2"/>
  <c r="T210" i="2"/>
  <c r="U210" i="2" s="1"/>
  <c r="X210" i="2"/>
  <c r="Y210" i="2"/>
  <c r="Z210" i="2"/>
  <c r="AA210" i="2"/>
  <c r="N211" i="2"/>
  <c r="O211" i="2"/>
  <c r="R211" i="2" s="1"/>
  <c r="P211" i="2"/>
  <c r="Q211" i="2"/>
  <c r="S211" i="2"/>
  <c r="T211" i="2"/>
  <c r="U211" i="2" s="1"/>
  <c r="X211" i="2"/>
  <c r="Y211" i="2"/>
  <c r="Z211" i="2"/>
  <c r="AA211" i="2"/>
  <c r="N212" i="2"/>
  <c r="O212" i="2"/>
  <c r="R212" i="2" s="1"/>
  <c r="P212" i="2"/>
  <c r="Q212" i="2"/>
  <c r="S212" i="2"/>
  <c r="T212" i="2"/>
  <c r="U212" i="2" s="1"/>
  <c r="V212" i="2"/>
  <c r="X212" i="2"/>
  <c r="Y212" i="2"/>
  <c r="Z212" i="2"/>
  <c r="AA212" i="2"/>
  <c r="N213" i="2"/>
  <c r="O213" i="2"/>
  <c r="R213" i="2" s="1"/>
  <c r="P213" i="2"/>
  <c r="Q213" i="2"/>
  <c r="S213" i="2"/>
  <c r="T213" i="2"/>
  <c r="U213" i="2" s="1"/>
  <c r="X213" i="2"/>
  <c r="Y213" i="2"/>
  <c r="Z213" i="2"/>
  <c r="AA213" i="2"/>
  <c r="N214" i="2"/>
  <c r="O214" i="2"/>
  <c r="R214" i="2" s="1"/>
  <c r="P214" i="2"/>
  <c r="Q214" i="2"/>
  <c r="S214" i="2"/>
  <c r="T214" i="2"/>
  <c r="U214" i="2" s="1"/>
  <c r="X214" i="2"/>
  <c r="Y214" i="2"/>
  <c r="Z214" i="2"/>
  <c r="AA214" i="2"/>
  <c r="N215" i="2"/>
  <c r="O215" i="2"/>
  <c r="R215" i="2" s="1"/>
  <c r="P215" i="2"/>
  <c r="Q215" i="2"/>
  <c r="S215" i="2"/>
  <c r="X215" i="2"/>
  <c r="Y215" i="2"/>
  <c r="Z215" i="2"/>
  <c r="AA215" i="2"/>
  <c r="N216" i="2"/>
  <c r="O216" i="2"/>
  <c r="R216" i="2" s="1"/>
  <c r="P216" i="2"/>
  <c r="Q216" i="2"/>
  <c r="S216" i="2"/>
  <c r="T216" i="2"/>
  <c r="U216" i="2" s="1"/>
  <c r="W216" i="2"/>
  <c r="X216" i="2"/>
  <c r="Y216" i="2"/>
  <c r="Z216" i="2"/>
  <c r="AA216" i="2"/>
  <c r="N217" i="2"/>
  <c r="O217" i="2"/>
  <c r="R217" i="2" s="1"/>
  <c r="P217" i="2"/>
  <c r="Q217" i="2"/>
  <c r="S217" i="2"/>
  <c r="X217" i="2"/>
  <c r="Y217" i="2"/>
  <c r="Z217" i="2"/>
  <c r="AA217" i="2"/>
  <c r="N218" i="2"/>
  <c r="O218" i="2"/>
  <c r="R218" i="2" s="1"/>
  <c r="P218" i="2"/>
  <c r="Q218" i="2"/>
  <c r="S218" i="2"/>
  <c r="X218" i="2"/>
  <c r="Y218" i="2"/>
  <c r="Z218" i="2"/>
  <c r="AA218" i="2"/>
  <c r="N219" i="2"/>
  <c r="O219" i="2"/>
  <c r="R219" i="2" s="1"/>
  <c r="P219" i="2"/>
  <c r="Q219" i="2"/>
  <c r="X219" i="2"/>
  <c r="Y219" i="2"/>
  <c r="Z219" i="2"/>
  <c r="AA219" i="2"/>
  <c r="N220" i="2"/>
  <c r="O220" i="2"/>
  <c r="R220" i="2" s="1"/>
  <c r="P220" i="2"/>
  <c r="Q220" i="2"/>
  <c r="S220" i="2"/>
  <c r="X220" i="2"/>
  <c r="Y220" i="2"/>
  <c r="Z220" i="2"/>
  <c r="AA220" i="2"/>
  <c r="N221" i="2"/>
  <c r="O221" i="2"/>
  <c r="R221" i="2" s="1"/>
  <c r="P221" i="2"/>
  <c r="Q221" i="2"/>
  <c r="S221" i="2"/>
  <c r="X221" i="2"/>
  <c r="Y221" i="2"/>
  <c r="Z221" i="2"/>
  <c r="AA221" i="2"/>
  <c r="N222" i="2"/>
  <c r="O222" i="2"/>
  <c r="R222" i="2" s="1"/>
  <c r="P222" i="2"/>
  <c r="Q222" i="2"/>
  <c r="X222" i="2"/>
  <c r="Y222" i="2"/>
  <c r="Z222" i="2"/>
  <c r="AA222" i="2"/>
  <c r="N223" i="2"/>
  <c r="O223" i="2"/>
  <c r="R223" i="2" s="1"/>
  <c r="P223" i="2"/>
  <c r="Q223" i="2"/>
  <c r="X223" i="2"/>
  <c r="Y223" i="2"/>
  <c r="Z223" i="2"/>
  <c r="AA223" i="2"/>
  <c r="N224" i="2"/>
  <c r="O224" i="2"/>
  <c r="R224" i="2" s="1"/>
  <c r="P224" i="2"/>
  <c r="Q224" i="2"/>
  <c r="S224" i="2"/>
  <c r="T224" i="2"/>
  <c r="U224" i="2" s="1"/>
  <c r="X224" i="2"/>
  <c r="Y224" i="2"/>
  <c r="Z224" i="2"/>
  <c r="AA224" i="2"/>
  <c r="N225" i="2"/>
  <c r="O225" i="2"/>
  <c r="R225" i="2" s="1"/>
  <c r="P225" i="2"/>
  <c r="Q225" i="2"/>
  <c r="X225" i="2"/>
  <c r="Y225" i="2"/>
  <c r="Z225" i="2"/>
  <c r="AA225" i="2"/>
  <c r="N226" i="2"/>
  <c r="O226" i="2"/>
  <c r="R226" i="2" s="1"/>
  <c r="P226" i="2"/>
  <c r="Q226" i="2"/>
  <c r="S226" i="2"/>
  <c r="T226" i="2"/>
  <c r="U226" i="2" s="1"/>
  <c r="X226" i="2"/>
  <c r="Y226" i="2"/>
  <c r="Z226" i="2"/>
  <c r="AA226" i="2"/>
  <c r="N227" i="2"/>
  <c r="O227" i="2"/>
  <c r="R227" i="2" s="1"/>
  <c r="P227" i="2"/>
  <c r="Q227" i="2"/>
  <c r="S227" i="2"/>
  <c r="X227" i="2"/>
  <c r="Y227" i="2"/>
  <c r="Z227" i="2"/>
  <c r="AA227" i="2"/>
  <c r="N228" i="2"/>
  <c r="O228" i="2"/>
  <c r="R228" i="2" s="1"/>
  <c r="P228" i="2"/>
  <c r="Q228" i="2"/>
  <c r="S228" i="2"/>
  <c r="T228" i="2"/>
  <c r="U228" i="2" s="1"/>
  <c r="X228" i="2"/>
  <c r="Y228" i="2"/>
  <c r="Z228" i="2"/>
  <c r="AA228" i="2"/>
  <c r="N229" i="2"/>
  <c r="O229" i="2"/>
  <c r="R229" i="2" s="1"/>
  <c r="P229" i="2"/>
  <c r="Q229" i="2"/>
  <c r="S229" i="2"/>
  <c r="X229" i="2"/>
  <c r="Y229" i="2"/>
  <c r="Z229" i="2"/>
  <c r="AA229" i="2"/>
  <c r="N230" i="2"/>
  <c r="O230" i="2"/>
  <c r="R230" i="2" s="1"/>
  <c r="P230" i="2"/>
  <c r="Q230" i="2"/>
  <c r="X230" i="2"/>
  <c r="Y230" i="2"/>
  <c r="Z230" i="2"/>
  <c r="AA230" i="2"/>
  <c r="N231" i="2"/>
  <c r="O231" i="2"/>
  <c r="R231" i="2" s="1"/>
  <c r="P231" i="2"/>
  <c r="Q231" i="2"/>
  <c r="S231" i="2"/>
  <c r="T231" i="2"/>
  <c r="U231" i="2" s="1"/>
  <c r="X231" i="2"/>
  <c r="Y231" i="2"/>
  <c r="Z231" i="2"/>
  <c r="AA231" i="2"/>
  <c r="N232" i="2"/>
  <c r="O232" i="2"/>
  <c r="R232" i="2" s="1"/>
  <c r="P232" i="2"/>
  <c r="Q232" i="2"/>
  <c r="S232" i="2"/>
  <c r="X232" i="2"/>
  <c r="Y232" i="2"/>
  <c r="Z232" i="2"/>
  <c r="AA232" i="2"/>
  <c r="N233" i="2"/>
  <c r="O233" i="2"/>
  <c r="R233" i="2" s="1"/>
  <c r="P233" i="2"/>
  <c r="Q233" i="2"/>
  <c r="X233" i="2"/>
  <c r="Y233" i="2"/>
  <c r="Z233" i="2"/>
  <c r="AA233" i="2"/>
  <c r="N234" i="2"/>
  <c r="O234" i="2"/>
  <c r="R234" i="2" s="1"/>
  <c r="P234" i="2"/>
  <c r="Q234" i="2"/>
  <c r="S234" i="2"/>
  <c r="T234" i="2"/>
  <c r="U234" i="2" s="1"/>
  <c r="X234" i="2"/>
  <c r="Y234" i="2"/>
  <c r="Z234" i="2"/>
  <c r="AA234" i="2"/>
  <c r="N235" i="2"/>
  <c r="O235" i="2"/>
  <c r="P235" i="2"/>
  <c r="Q235" i="2"/>
  <c r="R235" i="2"/>
  <c r="S235" i="2"/>
  <c r="X235" i="2"/>
  <c r="Y235" i="2"/>
  <c r="Z235" i="2"/>
  <c r="AA235" i="2"/>
  <c r="N236" i="2"/>
  <c r="O236" i="2"/>
  <c r="R236" i="2" s="1"/>
  <c r="P236" i="2"/>
  <c r="Q236" i="2"/>
  <c r="X236" i="2"/>
  <c r="Y236" i="2"/>
  <c r="Z236" i="2"/>
  <c r="AA236" i="2"/>
  <c r="N237" i="2"/>
  <c r="O237" i="2"/>
  <c r="R237" i="2" s="1"/>
  <c r="P237" i="2"/>
  <c r="Q237" i="2"/>
  <c r="X237" i="2"/>
  <c r="Y237" i="2"/>
  <c r="Z237" i="2"/>
  <c r="AA237" i="2"/>
  <c r="N238" i="2"/>
  <c r="O238" i="2"/>
  <c r="R238" i="2" s="1"/>
  <c r="P238" i="2"/>
  <c r="Q238" i="2"/>
  <c r="S238" i="2"/>
  <c r="T238" i="2"/>
  <c r="U238" i="2" s="1"/>
  <c r="X238" i="2"/>
  <c r="Y238" i="2"/>
  <c r="Z238" i="2"/>
  <c r="AA238" i="2"/>
  <c r="N239" i="2"/>
  <c r="O239" i="2"/>
  <c r="R239" i="2" s="1"/>
  <c r="P239" i="2"/>
  <c r="Q239" i="2"/>
  <c r="S239" i="2"/>
  <c r="T239" i="2"/>
  <c r="U239" i="2" s="1"/>
  <c r="X239" i="2"/>
  <c r="Y239" i="2"/>
  <c r="Z239" i="2"/>
  <c r="AA239" i="2"/>
  <c r="N240" i="2"/>
  <c r="O240" i="2"/>
  <c r="R240" i="2" s="1"/>
  <c r="P240" i="2"/>
  <c r="Q240" i="2"/>
  <c r="V240" i="2"/>
  <c r="X240" i="2"/>
  <c r="Y240" i="2"/>
  <c r="Z240" i="2"/>
  <c r="AA240" i="2"/>
  <c r="N241" i="2"/>
  <c r="O241" i="2"/>
  <c r="R241" i="2" s="1"/>
  <c r="P241" i="2"/>
  <c r="Q241" i="2"/>
  <c r="S241" i="2"/>
  <c r="X241" i="2"/>
  <c r="Y241" i="2"/>
  <c r="Z241" i="2"/>
  <c r="AA241" i="2"/>
  <c r="N242" i="2"/>
  <c r="O242" i="2"/>
  <c r="R242" i="2" s="1"/>
  <c r="P242" i="2"/>
  <c r="Q242" i="2"/>
  <c r="X242" i="2"/>
  <c r="Y242" i="2"/>
  <c r="Z242" i="2"/>
  <c r="AA242" i="2"/>
  <c r="N243" i="2"/>
  <c r="O243" i="2"/>
  <c r="R243" i="2" s="1"/>
  <c r="P243" i="2"/>
  <c r="Q243" i="2"/>
  <c r="X243" i="2"/>
  <c r="Y243" i="2"/>
  <c r="Z243" i="2"/>
  <c r="AA243" i="2"/>
  <c r="N244" i="2"/>
  <c r="O244" i="2"/>
  <c r="R244" i="2" s="1"/>
  <c r="P244" i="2"/>
  <c r="Q244" i="2"/>
  <c r="S244" i="2"/>
  <c r="T244" i="2"/>
  <c r="U244" i="2" s="1"/>
  <c r="X244" i="2"/>
  <c r="Y244" i="2"/>
  <c r="Z244" i="2"/>
  <c r="AA244" i="2"/>
  <c r="N245" i="2"/>
  <c r="O245" i="2"/>
  <c r="R245" i="2" s="1"/>
  <c r="P245" i="2"/>
  <c r="Q245" i="2"/>
  <c r="X245" i="2"/>
  <c r="Y245" i="2"/>
  <c r="Z245" i="2"/>
  <c r="AA245" i="2"/>
  <c r="N246" i="2"/>
  <c r="O246" i="2"/>
  <c r="R246" i="2" s="1"/>
  <c r="P246" i="2"/>
  <c r="Q246" i="2"/>
  <c r="S246" i="2"/>
  <c r="X246" i="2"/>
  <c r="Y246" i="2"/>
  <c r="Z246" i="2"/>
  <c r="AA246" i="2"/>
  <c r="N247" i="2"/>
  <c r="O247" i="2"/>
  <c r="R247" i="2" s="1"/>
  <c r="P247" i="2"/>
  <c r="Q247" i="2"/>
  <c r="X247" i="2"/>
  <c r="Y247" i="2"/>
  <c r="Z247" i="2"/>
  <c r="AA247" i="2"/>
  <c r="N248" i="2"/>
  <c r="O248" i="2"/>
  <c r="R248" i="2" s="1"/>
  <c r="P248" i="2"/>
  <c r="Q248" i="2"/>
  <c r="S248" i="2"/>
  <c r="T248" i="2"/>
  <c r="U248" i="2" s="1"/>
  <c r="W248" i="2"/>
  <c r="X248" i="2"/>
  <c r="Y248" i="2"/>
  <c r="Z248" i="2"/>
  <c r="AA248" i="2"/>
  <c r="N249" i="2"/>
  <c r="O249" i="2"/>
  <c r="R249" i="2" s="1"/>
  <c r="P249" i="2"/>
  <c r="Q249" i="2"/>
  <c r="S249" i="2"/>
  <c r="T249" i="2"/>
  <c r="U249" i="2" s="1"/>
  <c r="X249" i="2"/>
  <c r="Y249" i="2"/>
  <c r="Z249" i="2"/>
  <c r="AA249" i="2"/>
  <c r="N250" i="2"/>
  <c r="O250" i="2"/>
  <c r="R250" i="2" s="1"/>
  <c r="P250" i="2"/>
  <c r="Q250" i="2"/>
  <c r="S250" i="2"/>
  <c r="X250" i="2"/>
  <c r="Y250" i="2"/>
  <c r="Z250" i="2"/>
  <c r="AA250" i="2"/>
  <c r="N251" i="2"/>
  <c r="O251" i="2"/>
  <c r="R251" i="2" s="1"/>
  <c r="P251" i="2"/>
  <c r="Q251" i="2"/>
  <c r="S251" i="2"/>
  <c r="T251" i="2"/>
  <c r="U251" i="2" s="1"/>
  <c r="V251" i="2"/>
  <c r="W251" i="2"/>
  <c r="X251" i="2"/>
  <c r="Y251" i="2"/>
  <c r="Z251" i="2"/>
  <c r="AA251" i="2"/>
  <c r="N252" i="2"/>
  <c r="O252" i="2"/>
  <c r="R252" i="2" s="1"/>
  <c r="P252" i="2"/>
  <c r="Q252" i="2"/>
  <c r="X252" i="2"/>
  <c r="Y252" i="2"/>
  <c r="Z252" i="2"/>
  <c r="AA252" i="2"/>
  <c r="N253" i="2"/>
  <c r="O253" i="2"/>
  <c r="R253" i="2" s="1"/>
  <c r="P253" i="2"/>
  <c r="Q253" i="2"/>
  <c r="X253" i="2"/>
  <c r="Y253" i="2"/>
  <c r="Z253" i="2"/>
  <c r="AA253" i="2"/>
  <c r="N254" i="2"/>
  <c r="O254" i="2"/>
  <c r="R254" i="2" s="1"/>
  <c r="P254" i="2"/>
  <c r="Q254" i="2"/>
  <c r="S254" i="2"/>
  <c r="T254" i="2"/>
  <c r="U254" i="2" s="1"/>
  <c r="X254" i="2"/>
  <c r="Y254" i="2"/>
  <c r="Z254" i="2"/>
  <c r="AA254" i="2"/>
  <c r="N255" i="2"/>
  <c r="O255" i="2"/>
  <c r="R255" i="2" s="1"/>
  <c r="P255" i="2"/>
  <c r="Q255" i="2"/>
  <c r="S255" i="2"/>
  <c r="X255" i="2"/>
  <c r="Y255" i="2"/>
  <c r="Z255" i="2"/>
  <c r="AA255" i="2"/>
  <c r="N256" i="2"/>
  <c r="O256" i="2"/>
  <c r="R256" i="2" s="1"/>
  <c r="P256" i="2"/>
  <c r="Q256" i="2"/>
  <c r="S256" i="2"/>
  <c r="T256" i="2"/>
  <c r="U256" i="2" s="1"/>
  <c r="X256" i="2"/>
  <c r="Y256" i="2"/>
  <c r="Z256" i="2"/>
  <c r="AA256" i="2"/>
  <c r="N257" i="2"/>
  <c r="O257" i="2"/>
  <c r="R257" i="2" s="1"/>
  <c r="P257" i="2"/>
  <c r="Q257" i="2"/>
  <c r="X257" i="2"/>
  <c r="Y257" i="2"/>
  <c r="Z257" i="2"/>
  <c r="AA257" i="2"/>
  <c r="N258" i="2"/>
  <c r="O258" i="2"/>
  <c r="R258" i="2" s="1"/>
  <c r="P258" i="2"/>
  <c r="Q258" i="2"/>
  <c r="S258" i="2"/>
  <c r="X258" i="2"/>
  <c r="Y258" i="2"/>
  <c r="Z258" i="2"/>
  <c r="AA258" i="2"/>
  <c r="N259" i="2"/>
  <c r="O259" i="2"/>
  <c r="R259" i="2" s="1"/>
  <c r="P259" i="2"/>
  <c r="Q259" i="2"/>
  <c r="X259" i="2"/>
  <c r="Y259" i="2"/>
  <c r="Z259" i="2"/>
  <c r="AA259" i="2"/>
  <c r="N260" i="2"/>
  <c r="O260" i="2"/>
  <c r="R260" i="2" s="1"/>
  <c r="P260" i="2"/>
  <c r="Q260" i="2"/>
  <c r="X260" i="2"/>
  <c r="Y260" i="2"/>
  <c r="Z260" i="2"/>
  <c r="AA260" i="2"/>
  <c r="E64" i="9"/>
  <c r="F64" i="9" s="1"/>
  <c r="D64" i="9"/>
  <c r="E63" i="9"/>
  <c r="F63" i="9" s="1"/>
  <c r="D63" i="9"/>
  <c r="L62" i="9"/>
  <c r="M62" i="9" s="1"/>
  <c r="K62" i="9"/>
  <c r="E62" i="9"/>
  <c r="F62" i="9" s="1"/>
  <c r="D62" i="9"/>
  <c r="L61" i="9"/>
  <c r="M61" i="9" s="1"/>
  <c r="K61" i="9"/>
  <c r="E61" i="9"/>
  <c r="F61" i="9" s="1"/>
  <c r="D61" i="9"/>
  <c r="L60" i="9"/>
  <c r="M60" i="9" s="1"/>
  <c r="K60" i="9"/>
  <c r="E60" i="9"/>
  <c r="F60" i="9" s="1"/>
  <c r="D60" i="9"/>
  <c r="L59" i="9"/>
  <c r="M59" i="9" s="1"/>
  <c r="K59" i="9"/>
  <c r="E59" i="9"/>
  <c r="F59" i="9" s="1"/>
  <c r="D59" i="9"/>
  <c r="L58" i="9"/>
  <c r="M58" i="9" s="1"/>
  <c r="K58" i="9"/>
  <c r="E58" i="9"/>
  <c r="F58" i="9" s="1"/>
  <c r="D58" i="9"/>
  <c r="L57" i="9"/>
  <c r="M57" i="9" s="1"/>
  <c r="K57" i="9"/>
  <c r="E57" i="9"/>
  <c r="F57" i="9" s="1"/>
  <c r="D57" i="9"/>
  <c r="L56" i="9"/>
  <c r="M56" i="9" s="1"/>
  <c r="K56" i="9"/>
  <c r="E56" i="9"/>
  <c r="F56" i="9" s="1"/>
  <c r="D56" i="9"/>
  <c r="L55" i="9"/>
  <c r="M55" i="9" s="1"/>
  <c r="K55" i="9"/>
  <c r="E55" i="9"/>
  <c r="F55" i="9" s="1"/>
  <c r="D55" i="9"/>
  <c r="L54" i="9"/>
  <c r="M54" i="9" s="1"/>
  <c r="K54" i="9"/>
  <c r="E54" i="9"/>
  <c r="F54" i="9" s="1"/>
  <c r="D54" i="9"/>
  <c r="L53" i="9"/>
  <c r="M53" i="9" s="1"/>
  <c r="K53" i="9"/>
  <c r="F53" i="9"/>
  <c r="E53" i="9"/>
  <c r="D53" i="9"/>
  <c r="L52" i="9"/>
  <c r="M52" i="9" s="1"/>
  <c r="K52" i="9"/>
  <c r="E52" i="9"/>
  <c r="F52" i="9" s="1"/>
  <c r="D52" i="9"/>
  <c r="L51" i="9"/>
  <c r="M51" i="9" s="1"/>
  <c r="K51" i="9"/>
  <c r="E51" i="9"/>
  <c r="F51" i="9" s="1"/>
  <c r="D51" i="9"/>
  <c r="L50" i="9"/>
  <c r="M50" i="9" s="1"/>
  <c r="K50" i="9"/>
  <c r="E50" i="9"/>
  <c r="F50" i="9" s="1"/>
  <c r="D50" i="9"/>
  <c r="L49" i="9"/>
  <c r="M49" i="9" s="1"/>
  <c r="K49" i="9"/>
  <c r="F49" i="9"/>
  <c r="E49" i="9"/>
  <c r="L48" i="9"/>
  <c r="M48" i="9" s="1"/>
  <c r="K48" i="9"/>
  <c r="E48" i="9"/>
  <c r="F48" i="9" s="1"/>
  <c r="L47" i="9"/>
  <c r="M47" i="9" s="1"/>
  <c r="K47" i="9"/>
  <c r="F47" i="9"/>
  <c r="E47" i="9"/>
  <c r="L46" i="9"/>
  <c r="M46" i="9" s="1"/>
  <c r="K46" i="9"/>
  <c r="E46" i="9"/>
  <c r="F46" i="9" s="1"/>
  <c r="L45" i="9"/>
  <c r="M45" i="9" s="1"/>
  <c r="K45" i="9"/>
  <c r="E45" i="9"/>
  <c r="F45" i="9" s="1"/>
  <c r="L44" i="9"/>
  <c r="M44" i="9" s="1"/>
  <c r="K44" i="9"/>
  <c r="E44" i="9"/>
  <c r="F44" i="9" s="1"/>
  <c r="L43" i="9"/>
  <c r="M43" i="9" s="1"/>
  <c r="K43" i="9"/>
  <c r="E43" i="9"/>
  <c r="L42" i="9"/>
  <c r="M42" i="9" s="1"/>
  <c r="K42" i="9"/>
  <c r="E42" i="9"/>
  <c r="F42" i="9" s="1"/>
  <c r="L41" i="9"/>
  <c r="M41" i="9" s="1"/>
  <c r="K41" i="9"/>
  <c r="E41" i="9"/>
  <c r="F41" i="9" s="1"/>
  <c r="L40" i="9"/>
  <c r="M40" i="9" s="1"/>
  <c r="K40" i="9"/>
  <c r="E40" i="9"/>
  <c r="F40" i="9" s="1"/>
  <c r="M39" i="9"/>
  <c r="L39" i="9"/>
  <c r="K39" i="9"/>
  <c r="E39" i="9"/>
  <c r="F39" i="9" s="1"/>
  <c r="L38" i="9"/>
  <c r="M38" i="9" s="1"/>
  <c r="K38" i="9"/>
  <c r="E38" i="9"/>
  <c r="F38" i="9" s="1"/>
  <c r="L37" i="9"/>
  <c r="M37" i="9" s="1"/>
  <c r="K37" i="9"/>
  <c r="E37" i="9"/>
  <c r="L36" i="9"/>
  <c r="M36" i="9" s="1"/>
  <c r="K36" i="9"/>
  <c r="E36" i="9"/>
  <c r="F36" i="9" s="1"/>
  <c r="M35" i="9"/>
  <c r="L35" i="9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L30" i="9"/>
  <c r="E30" i="9"/>
  <c r="L29" i="9"/>
  <c r="E29" i="9"/>
  <c r="L28" i="9"/>
  <c r="E28" i="9"/>
  <c r="L27" i="9"/>
  <c r="M27" i="9" s="1"/>
  <c r="E27" i="9"/>
  <c r="L26" i="9"/>
  <c r="M26" i="9" s="1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C8" i="9"/>
  <c r="C7" i="9"/>
  <c r="C6" i="9"/>
  <c r="C5" i="9"/>
  <c r="AA3" i="2"/>
  <c r="AA4" i="2"/>
  <c r="AA2" i="2"/>
  <c r="X3" i="2"/>
  <c r="Y3" i="2"/>
  <c r="Z3" i="2"/>
  <c r="X4" i="2"/>
  <c r="Y4" i="2"/>
  <c r="Z4" i="2"/>
  <c r="Z2" i="2"/>
  <c r="Y2" i="2"/>
  <c r="X2" i="2"/>
  <c r="Q4" i="2"/>
  <c r="Q3" i="2"/>
  <c r="Q2" i="2"/>
  <c r="O4" i="3"/>
  <c r="P4" i="3" s="1"/>
  <c r="O3" i="3"/>
  <c r="P3" i="3" s="1"/>
  <c r="O2" i="3"/>
  <c r="P4" i="2"/>
  <c r="O4" i="2"/>
  <c r="R4" i="2" s="1"/>
  <c r="N4" i="2"/>
  <c r="P3" i="2"/>
  <c r="O3" i="2"/>
  <c r="R3" i="2" s="1"/>
  <c r="N3" i="2"/>
  <c r="P2" i="2"/>
  <c r="O2" i="2"/>
  <c r="R2" i="2" s="1"/>
  <c r="N2" i="2"/>
  <c r="Q1165" i="3" l="1"/>
  <c r="R1165" i="3"/>
  <c r="S1165" i="3"/>
  <c r="T578" i="2"/>
  <c r="U578" i="2" s="1"/>
  <c r="Q1146" i="3"/>
  <c r="R1146" i="3"/>
  <c r="V578" i="2" s="1"/>
  <c r="S1146" i="3"/>
  <c r="W578" i="2" s="1"/>
  <c r="Q1172" i="3"/>
  <c r="R1172" i="3"/>
  <c r="V591" i="2" s="1"/>
  <c r="S1172" i="3"/>
  <c r="W591" i="2" s="1"/>
  <c r="T591" i="2"/>
  <c r="U591" i="2" s="1"/>
  <c r="Q1140" i="3"/>
  <c r="T572" i="2"/>
  <c r="U572" i="2" s="1"/>
  <c r="R1140" i="3"/>
  <c r="V572" i="2" s="1"/>
  <c r="S1140" i="3"/>
  <c r="W572" i="2" s="1"/>
  <c r="T559" i="2"/>
  <c r="U559" i="2" s="1"/>
  <c r="Q1108" i="3"/>
  <c r="R1108" i="3"/>
  <c r="V559" i="2" s="1"/>
  <c r="S1108" i="3"/>
  <c r="W559" i="2" s="1"/>
  <c r="Q1178" i="3"/>
  <c r="R1178" i="3"/>
  <c r="S1178" i="3"/>
  <c r="Q1136" i="3"/>
  <c r="R1136" i="3"/>
  <c r="S1136" i="3"/>
  <c r="Q1133" i="3"/>
  <c r="R1133" i="3"/>
  <c r="V568" i="2" s="1"/>
  <c r="T568" i="2"/>
  <c r="U568" i="2" s="1"/>
  <c r="S1133" i="3"/>
  <c r="W568" i="2" s="1"/>
  <c r="Q1114" i="3"/>
  <c r="R1114" i="3"/>
  <c r="S1114" i="3"/>
  <c r="Q1101" i="3"/>
  <c r="R1101" i="3"/>
  <c r="V552" i="2" s="1"/>
  <c r="S1101" i="3"/>
  <c r="W552" i="2" s="1"/>
  <c r="T552" i="2"/>
  <c r="U552" i="2" s="1"/>
  <c r="Q1164" i="3"/>
  <c r="R1164" i="3"/>
  <c r="S1164" i="3"/>
  <c r="Q1132" i="3"/>
  <c r="R1132" i="3"/>
  <c r="V567" i="2" s="1"/>
  <c r="T567" i="2"/>
  <c r="U567" i="2" s="1"/>
  <c r="S1132" i="3"/>
  <c r="W567" i="2" s="1"/>
  <c r="T551" i="2"/>
  <c r="U551" i="2" s="1"/>
  <c r="Q1100" i="3"/>
  <c r="R1100" i="3"/>
  <c r="V551" i="2" s="1"/>
  <c r="S1100" i="3"/>
  <c r="W551" i="2" s="1"/>
  <c r="Q1092" i="3"/>
  <c r="R1092" i="3"/>
  <c r="V547" i="2" s="1"/>
  <c r="S1092" i="3"/>
  <c r="W547" i="2" s="1"/>
  <c r="T547" i="2"/>
  <c r="U547" i="2" s="1"/>
  <c r="Q1189" i="3"/>
  <c r="R1189" i="3"/>
  <c r="S1189" i="3"/>
  <c r="Q1157" i="3"/>
  <c r="R1157" i="3"/>
  <c r="S1157" i="3"/>
  <c r="Q1128" i="3"/>
  <c r="R1128" i="3"/>
  <c r="S1128" i="3"/>
  <c r="Q1125" i="3"/>
  <c r="R1125" i="3"/>
  <c r="S1125" i="3"/>
  <c r="Q1096" i="3"/>
  <c r="T549" i="2"/>
  <c r="U549" i="2" s="1"/>
  <c r="R1096" i="3"/>
  <c r="V549" i="2" s="1"/>
  <c r="S1096" i="3"/>
  <c r="W549" i="2" s="1"/>
  <c r="T583" i="2"/>
  <c r="U583" i="2" s="1"/>
  <c r="Q1156" i="3"/>
  <c r="R1156" i="3"/>
  <c r="V583" i="2" s="1"/>
  <c r="S1156" i="3"/>
  <c r="W583" i="2" s="1"/>
  <c r="Q1184" i="3"/>
  <c r="R1184" i="3"/>
  <c r="S1184" i="3"/>
  <c r="Q1181" i="3"/>
  <c r="R1181" i="3"/>
  <c r="S1181" i="3"/>
  <c r="T585" i="2"/>
  <c r="U585" i="2" s="1"/>
  <c r="Q1162" i="3"/>
  <c r="R1162" i="3"/>
  <c r="V585" i="2" s="1"/>
  <c r="S1162" i="3"/>
  <c r="W585" i="2" s="1"/>
  <c r="Q1149" i="3"/>
  <c r="R1149" i="3"/>
  <c r="S1149" i="3"/>
  <c r="Q1130" i="3"/>
  <c r="R1130" i="3"/>
  <c r="S1130" i="3"/>
  <c r="T561" i="2"/>
  <c r="U561" i="2" s="1"/>
  <c r="Q1117" i="3"/>
  <c r="R1117" i="3"/>
  <c r="V561" i="2" s="1"/>
  <c r="S1117" i="3"/>
  <c r="W561" i="2" s="1"/>
  <c r="Q1098" i="3"/>
  <c r="R1098" i="3"/>
  <c r="S1098" i="3"/>
  <c r="T589" i="2"/>
  <c r="U589" i="2" s="1"/>
  <c r="Q1170" i="3"/>
  <c r="R1170" i="3"/>
  <c r="V589" i="2" s="1"/>
  <c r="S1170" i="3"/>
  <c r="W589" i="2" s="1"/>
  <c r="Q1138" i="3"/>
  <c r="R1138" i="3"/>
  <c r="V570" i="2" s="1"/>
  <c r="T570" i="2"/>
  <c r="U570" i="2" s="1"/>
  <c r="S1138" i="3"/>
  <c r="W570" i="2" s="1"/>
  <c r="T566" i="2"/>
  <c r="U566" i="2" s="1"/>
  <c r="Q1124" i="3"/>
  <c r="R1124" i="3"/>
  <c r="V566" i="2" s="1"/>
  <c r="S1124" i="3"/>
  <c r="W566" i="2" s="1"/>
  <c r="Q1180" i="3"/>
  <c r="R1180" i="3"/>
  <c r="S1180" i="3"/>
  <c r="Q1148" i="3"/>
  <c r="R1148" i="3"/>
  <c r="S1148" i="3"/>
  <c r="Q1116" i="3"/>
  <c r="T560" i="2"/>
  <c r="U560" i="2" s="1"/>
  <c r="R1116" i="3"/>
  <c r="V560" i="2" s="1"/>
  <c r="S1116" i="3"/>
  <c r="W560" i="2" s="1"/>
  <c r="Q1160" i="3"/>
  <c r="R1160" i="3"/>
  <c r="S1160" i="3"/>
  <c r="Q1106" i="3"/>
  <c r="R1106" i="3"/>
  <c r="V557" i="2" s="1"/>
  <c r="S1106" i="3"/>
  <c r="W557" i="2" s="1"/>
  <c r="T557" i="2"/>
  <c r="U557" i="2" s="1"/>
  <c r="Q1093" i="3"/>
  <c r="R1093" i="3"/>
  <c r="V548" i="2" s="1"/>
  <c r="S1093" i="3"/>
  <c r="W548" i="2" s="1"/>
  <c r="T548" i="2"/>
  <c r="U548" i="2" s="1"/>
  <c r="Q1188" i="3"/>
  <c r="R1188" i="3"/>
  <c r="S1188" i="3"/>
  <c r="Q1186" i="3"/>
  <c r="R1186" i="3"/>
  <c r="S1186" i="3"/>
  <c r="Q1176" i="3"/>
  <c r="R1176" i="3"/>
  <c r="S1176" i="3"/>
  <c r="Q1173" i="3"/>
  <c r="R1173" i="3"/>
  <c r="S1173" i="3"/>
  <c r="Q1154" i="3"/>
  <c r="R1154" i="3"/>
  <c r="V581" i="2" s="1"/>
  <c r="S1154" i="3"/>
  <c r="W581" i="2" s="1"/>
  <c r="T581" i="2"/>
  <c r="U581" i="2" s="1"/>
  <c r="Q1144" i="3"/>
  <c r="R1144" i="3"/>
  <c r="V576" i="2" s="1"/>
  <c r="S1144" i="3"/>
  <c r="W576" i="2" s="1"/>
  <c r="T576" i="2"/>
  <c r="U576" i="2" s="1"/>
  <c r="Q1141" i="3"/>
  <c r="T573" i="2"/>
  <c r="U573" i="2" s="1"/>
  <c r="R1141" i="3"/>
  <c r="V573" i="2" s="1"/>
  <c r="S1141" i="3"/>
  <c r="W573" i="2" s="1"/>
  <c r="Q1122" i="3"/>
  <c r="R1122" i="3"/>
  <c r="V564" i="2" s="1"/>
  <c r="S1122" i="3"/>
  <c r="W564" i="2" s="1"/>
  <c r="T564" i="2"/>
  <c r="U564" i="2" s="1"/>
  <c r="Q1112" i="3"/>
  <c r="R1112" i="3"/>
  <c r="S1112" i="3"/>
  <c r="Q1109" i="3"/>
  <c r="R1109" i="3"/>
  <c r="S1109" i="3"/>
  <c r="Q1090" i="3"/>
  <c r="R1090" i="3"/>
  <c r="S1090" i="3"/>
  <c r="S549" i="2"/>
  <c r="Q1187" i="3"/>
  <c r="Q1179" i="3"/>
  <c r="Q1171" i="3"/>
  <c r="P1168" i="3"/>
  <c r="Q1163" i="3"/>
  <c r="Q1155" i="3"/>
  <c r="P1152" i="3"/>
  <c r="Q1147" i="3"/>
  <c r="Q1139" i="3"/>
  <c r="Q1131" i="3"/>
  <c r="Q1123" i="3"/>
  <c r="P1120" i="3"/>
  <c r="Q1115" i="3"/>
  <c r="Q1107" i="3"/>
  <c r="P1104" i="3"/>
  <c r="Q1099" i="3"/>
  <c r="Q1091" i="3"/>
  <c r="T586" i="2"/>
  <c r="U586" i="2" s="1"/>
  <c r="S552" i="2"/>
  <c r="T565" i="2"/>
  <c r="U565" i="2" s="1"/>
  <c r="R1183" i="3"/>
  <c r="R1175" i="3"/>
  <c r="R1167" i="3"/>
  <c r="R1159" i="3"/>
  <c r="R1151" i="3"/>
  <c r="R1143" i="3"/>
  <c r="V575" i="2" s="1"/>
  <c r="R1135" i="3"/>
  <c r="R1127" i="3"/>
  <c r="R1119" i="3"/>
  <c r="R1111" i="3"/>
  <c r="R1103" i="3"/>
  <c r="V554" i="2" s="1"/>
  <c r="R1095" i="3"/>
  <c r="T558" i="2"/>
  <c r="U558" i="2" s="1"/>
  <c r="S548" i="2"/>
  <c r="T582" i="2"/>
  <c r="U582" i="2" s="1"/>
  <c r="T590" i="2"/>
  <c r="U590" i="2" s="1"/>
  <c r="S568" i="2"/>
  <c r="S1187" i="3"/>
  <c r="S1179" i="3"/>
  <c r="S1171" i="3"/>
  <c r="W590" i="2" s="1"/>
  <c r="S1163" i="3"/>
  <c r="W586" i="2" s="1"/>
  <c r="S1155" i="3"/>
  <c r="W582" i="2" s="1"/>
  <c r="S1147" i="3"/>
  <c r="S1139" i="3"/>
  <c r="W571" i="2" s="1"/>
  <c r="S1131" i="3"/>
  <c r="S1123" i="3"/>
  <c r="W565" i="2" s="1"/>
  <c r="S1115" i="3"/>
  <c r="S1107" i="3"/>
  <c r="W558" i="2" s="1"/>
  <c r="S1099" i="3"/>
  <c r="S1091" i="3"/>
  <c r="S573" i="2"/>
  <c r="T571" i="2"/>
  <c r="U571" i="2" s="1"/>
  <c r="P258" i="3"/>
  <c r="S130" i="2"/>
  <c r="S659" i="3"/>
  <c r="W332" i="2" s="1"/>
  <c r="T332" i="2"/>
  <c r="U332" i="2" s="1"/>
  <c r="S1068" i="3"/>
  <c r="W535" i="2" s="1"/>
  <c r="Q1068" i="3"/>
  <c r="T535" i="2"/>
  <c r="U535" i="2" s="1"/>
  <c r="Q1049" i="3"/>
  <c r="R1049" i="3"/>
  <c r="V528" i="2" s="1"/>
  <c r="S1049" i="3"/>
  <c r="W528" i="2" s="1"/>
  <c r="T528" i="2"/>
  <c r="U528" i="2" s="1"/>
  <c r="P950" i="3"/>
  <c r="S479" i="2"/>
  <c r="R933" i="3"/>
  <c r="V469" i="2" s="1"/>
  <c r="T469" i="2"/>
  <c r="U469" i="2" s="1"/>
  <c r="R189" i="3"/>
  <c r="Q189" i="3"/>
  <c r="R1044" i="3"/>
  <c r="V523" i="2" s="1"/>
  <c r="Q1044" i="3"/>
  <c r="T523" i="2"/>
  <c r="U523" i="2" s="1"/>
  <c r="S1044" i="3"/>
  <c r="W523" i="2" s="1"/>
  <c r="P110" i="3"/>
  <c r="T59" i="2" s="1"/>
  <c r="U59" i="2" s="1"/>
  <c r="S59" i="2"/>
  <c r="S1084" i="3"/>
  <c r="Q1084" i="3"/>
  <c r="P931" i="3"/>
  <c r="S467" i="2"/>
  <c r="T235" i="2"/>
  <c r="U235" i="2" s="1"/>
  <c r="S188" i="2"/>
  <c r="S141" i="2"/>
  <c r="P386" i="3"/>
  <c r="T194" i="2" s="1"/>
  <c r="U194" i="2" s="1"/>
  <c r="S194" i="2"/>
  <c r="Q336" i="3"/>
  <c r="R336" i="3"/>
  <c r="V170" i="2" s="1"/>
  <c r="S336" i="3"/>
  <c r="W170" i="2" s="1"/>
  <c r="P28" i="3"/>
  <c r="S16" i="2"/>
  <c r="S352" i="2"/>
  <c r="P564" i="3"/>
  <c r="R564" i="3" s="1"/>
  <c r="V287" i="2" s="1"/>
  <c r="S287" i="2"/>
  <c r="P548" i="3"/>
  <c r="T278" i="2" s="1"/>
  <c r="U278" i="2" s="1"/>
  <c r="S278" i="2"/>
  <c r="P1088" i="3"/>
  <c r="S545" i="2"/>
  <c r="S1076" i="3"/>
  <c r="W543" i="2" s="1"/>
  <c r="T543" i="2"/>
  <c r="U543" i="2" s="1"/>
  <c r="Q1019" i="3"/>
  <c r="R1019" i="3"/>
  <c r="P1014" i="3"/>
  <c r="S509" i="2"/>
  <c r="R1010" i="3"/>
  <c r="V507" i="2" s="1"/>
  <c r="T507" i="2"/>
  <c r="U507" i="2" s="1"/>
  <c r="P1000" i="3"/>
  <c r="S501" i="2"/>
  <c r="S459" i="2"/>
  <c r="P915" i="3"/>
  <c r="P906" i="3"/>
  <c r="S454" i="2"/>
  <c r="S162" i="2"/>
  <c r="P250" i="3"/>
  <c r="S126" i="2"/>
  <c r="P847" i="3"/>
  <c r="T426" i="2" s="1"/>
  <c r="U426" i="2" s="1"/>
  <c r="S426" i="2"/>
  <c r="P808" i="3"/>
  <c r="S409" i="2"/>
  <c r="S1063" i="3"/>
  <c r="R1063" i="3"/>
  <c r="S237" i="2"/>
  <c r="P387" i="3"/>
  <c r="S195" i="2"/>
  <c r="P195" i="3"/>
  <c r="S100" i="2"/>
  <c r="P29" i="3"/>
  <c r="T17" i="2" s="1"/>
  <c r="U17" i="2" s="1"/>
  <c r="S17" i="2"/>
  <c r="P21" i="3"/>
  <c r="T13" i="2" s="1"/>
  <c r="U13" i="2" s="1"/>
  <c r="S13" i="2"/>
  <c r="S699" i="3"/>
  <c r="W352" i="2" s="1"/>
  <c r="Q699" i="3"/>
  <c r="T352" i="2"/>
  <c r="U352" i="2" s="1"/>
  <c r="R699" i="3"/>
  <c r="V352" i="2" s="1"/>
  <c r="Q987" i="3"/>
  <c r="R987" i="3"/>
  <c r="P329" i="3"/>
  <c r="S168" i="2"/>
  <c r="S147" i="2"/>
  <c r="P288" i="3"/>
  <c r="Q288" i="3" s="1"/>
  <c r="Q282" i="3"/>
  <c r="S282" i="3"/>
  <c r="W142" i="2" s="1"/>
  <c r="T142" i="2"/>
  <c r="U142" i="2" s="1"/>
  <c r="Q201" i="3"/>
  <c r="S201" i="3"/>
  <c r="W102" i="2" s="1"/>
  <c r="P157" i="3"/>
  <c r="T82" i="2" s="1"/>
  <c r="U82" i="2" s="1"/>
  <c r="S82" i="2"/>
  <c r="P149" i="3"/>
  <c r="T78" i="2" s="1"/>
  <c r="U78" i="2" s="1"/>
  <c r="S78" i="2"/>
  <c r="P35" i="3"/>
  <c r="T20" i="2" s="1"/>
  <c r="U20" i="2" s="1"/>
  <c r="S20" i="2"/>
  <c r="P871" i="3"/>
  <c r="S438" i="2"/>
  <c r="P822" i="3"/>
  <c r="S413" i="2"/>
  <c r="P779" i="3"/>
  <c r="T392" i="2" s="1"/>
  <c r="U392" i="2" s="1"/>
  <c r="S392" i="2"/>
  <c r="P770" i="3"/>
  <c r="R770" i="3" s="1"/>
  <c r="V388" i="2" s="1"/>
  <c r="S388" i="2"/>
  <c r="P574" i="3"/>
  <c r="S291" i="2"/>
  <c r="R962" i="3"/>
  <c r="V484" i="2" s="1"/>
  <c r="S962" i="3"/>
  <c r="W484" i="2" s="1"/>
  <c r="T484" i="2"/>
  <c r="U484" i="2" s="1"/>
  <c r="R914" i="3"/>
  <c r="V458" i="2" s="1"/>
  <c r="T458" i="2"/>
  <c r="U458" i="2" s="1"/>
  <c r="Q88" i="3"/>
  <c r="T47" i="2"/>
  <c r="U47" i="2" s="1"/>
  <c r="T5" i="2"/>
  <c r="U5" i="2" s="1"/>
  <c r="S8" i="3"/>
  <c r="W5" i="2" s="1"/>
  <c r="Q472" i="3"/>
  <c r="T237" i="2"/>
  <c r="U237" i="2" s="1"/>
  <c r="Q637" i="3"/>
  <c r="T321" i="2"/>
  <c r="U321" i="2" s="1"/>
  <c r="S156" i="3"/>
  <c r="W81" i="2" s="1"/>
  <c r="T81" i="2"/>
  <c r="U81" i="2" s="1"/>
  <c r="P784" i="3"/>
  <c r="S396" i="2"/>
  <c r="P778" i="3"/>
  <c r="R778" i="3" s="1"/>
  <c r="V391" i="2" s="1"/>
  <c r="S391" i="2"/>
  <c r="S1055" i="3"/>
  <c r="Q1055" i="3"/>
  <c r="R1055" i="3"/>
  <c r="P1027" i="3"/>
  <c r="R1027" i="3" s="1"/>
  <c r="V517" i="2" s="1"/>
  <c r="S517" i="2"/>
  <c r="R1023" i="3"/>
  <c r="V513" i="2" s="1"/>
  <c r="T513" i="2"/>
  <c r="U513" i="2" s="1"/>
  <c r="S496" i="2"/>
  <c r="P985" i="3"/>
  <c r="Q985" i="3" s="1"/>
  <c r="R936" i="3"/>
  <c r="V472" i="2" s="1"/>
  <c r="S936" i="3"/>
  <c r="W472" i="2" s="1"/>
  <c r="Q923" i="3"/>
  <c r="R923" i="3"/>
  <c r="P365" i="3"/>
  <c r="T185" i="2" s="1"/>
  <c r="U185" i="2" s="1"/>
  <c r="S185" i="2"/>
  <c r="Q781" i="3"/>
  <c r="T394" i="2"/>
  <c r="U394" i="2" s="1"/>
  <c r="Q682" i="3"/>
  <c r="R682" i="3"/>
  <c r="V343" i="2" s="1"/>
  <c r="S682" i="3"/>
  <c r="W343" i="2" s="1"/>
  <c r="P671" i="3"/>
  <c r="T338" i="2" s="1"/>
  <c r="U338" i="2" s="1"/>
  <c r="S338" i="2"/>
  <c r="P200" i="3"/>
  <c r="S101" i="2"/>
  <c r="P179" i="3"/>
  <c r="S92" i="2"/>
  <c r="P134" i="3"/>
  <c r="T68" i="2" s="1"/>
  <c r="U68" i="2" s="1"/>
  <c r="S68" i="2"/>
  <c r="P46" i="3"/>
  <c r="T26" i="2" s="1"/>
  <c r="U26" i="2" s="1"/>
  <c r="S26" i="2"/>
  <c r="S88" i="2"/>
  <c r="T19" i="2"/>
  <c r="U19" i="2" s="1"/>
  <c r="P454" i="3"/>
  <c r="Q454" i="3" s="1"/>
  <c r="S230" i="2"/>
  <c r="P447" i="3"/>
  <c r="S225" i="2"/>
  <c r="Q439" i="3"/>
  <c r="T221" i="2"/>
  <c r="U221" i="2" s="1"/>
  <c r="P353" i="3"/>
  <c r="S179" i="2"/>
  <c r="P234" i="3"/>
  <c r="R234" i="3" s="1"/>
  <c r="V118" i="2" s="1"/>
  <c r="S118" i="2"/>
  <c r="P53" i="3"/>
  <c r="S30" i="2"/>
  <c r="S325" i="2"/>
  <c r="Q757" i="3"/>
  <c r="T381" i="2"/>
  <c r="U381" i="2" s="1"/>
  <c r="P740" i="3"/>
  <c r="S740" i="3" s="1"/>
  <c r="W373" i="2" s="1"/>
  <c r="S373" i="2"/>
  <c r="P720" i="3"/>
  <c r="S363" i="2"/>
  <c r="P619" i="3"/>
  <c r="S311" i="2"/>
  <c r="P605" i="3"/>
  <c r="S305" i="2"/>
  <c r="S1060" i="3"/>
  <c r="Q1060" i="3"/>
  <c r="Q1003" i="3"/>
  <c r="R1003" i="3"/>
  <c r="V503" i="2" s="1"/>
  <c r="T503" i="2"/>
  <c r="U503" i="2" s="1"/>
  <c r="P945" i="3"/>
  <c r="T474" i="2" s="1"/>
  <c r="U474" i="2" s="1"/>
  <c r="S474" i="2"/>
  <c r="P918" i="3"/>
  <c r="S462" i="2"/>
  <c r="Q836" i="3"/>
  <c r="T421" i="2"/>
  <c r="U421" i="2" s="1"/>
  <c r="S380" i="3"/>
  <c r="W192" i="2" s="1"/>
  <c r="R380" i="3"/>
  <c r="V192" i="2" s="1"/>
  <c r="P22" i="3"/>
  <c r="T14" i="2" s="1"/>
  <c r="U14" i="2" s="1"/>
  <c r="S14" i="2"/>
  <c r="R1072" i="3"/>
  <c r="V539" i="2" s="1"/>
  <c r="Q1072" i="3"/>
  <c r="T539" i="2"/>
  <c r="U539" i="2" s="1"/>
  <c r="P515" i="3"/>
  <c r="S260" i="2"/>
  <c r="P440" i="3"/>
  <c r="T222" i="2" s="1"/>
  <c r="U222" i="2" s="1"/>
  <c r="S222" i="2"/>
  <c r="T192" i="2"/>
  <c r="U192" i="2" s="1"/>
  <c r="T77" i="2"/>
  <c r="U77" i="2" s="1"/>
  <c r="R514" i="3"/>
  <c r="V259" i="2" s="1"/>
  <c r="T259" i="2"/>
  <c r="U259" i="2" s="1"/>
  <c r="S398" i="3"/>
  <c r="W200" i="2" s="1"/>
  <c r="T200" i="2"/>
  <c r="U200" i="2" s="1"/>
  <c r="S185" i="3"/>
  <c r="W94" i="2" s="1"/>
  <c r="T94" i="2"/>
  <c r="U94" i="2" s="1"/>
  <c r="S192" i="2"/>
  <c r="S77" i="2"/>
  <c r="S19" i="2"/>
  <c r="P244" i="3"/>
  <c r="T124" i="2" s="1"/>
  <c r="U124" i="2" s="1"/>
  <c r="S124" i="2"/>
  <c r="S239" i="3"/>
  <c r="R239" i="3"/>
  <c r="P226" i="3"/>
  <c r="T114" i="2" s="1"/>
  <c r="U114" i="2" s="1"/>
  <c r="S114" i="2"/>
  <c r="P213" i="3"/>
  <c r="S109" i="2"/>
  <c r="Q184" i="3"/>
  <c r="T93" i="2"/>
  <c r="U93" i="2" s="1"/>
  <c r="R52" i="3"/>
  <c r="V29" i="2" s="1"/>
  <c r="T29" i="2"/>
  <c r="U29" i="2" s="1"/>
  <c r="P745" i="3"/>
  <c r="S375" i="2"/>
  <c r="P618" i="3"/>
  <c r="S310" i="2"/>
  <c r="S539" i="2"/>
  <c r="S523" i="2"/>
  <c r="P1040" i="3"/>
  <c r="S521" i="2"/>
  <c r="R983" i="3"/>
  <c r="V494" i="2" s="1"/>
  <c r="T494" i="2"/>
  <c r="U494" i="2" s="1"/>
  <c r="P974" i="3"/>
  <c r="S490" i="2"/>
  <c r="Q955" i="3"/>
  <c r="R955" i="3"/>
  <c r="Q893" i="3"/>
  <c r="T450" i="2"/>
  <c r="U450" i="2" s="1"/>
  <c r="R893" i="3"/>
  <c r="V450" i="2" s="1"/>
  <c r="P883" i="3"/>
  <c r="T444" i="2" s="1"/>
  <c r="U444" i="2" s="1"/>
  <c r="S444" i="2"/>
  <c r="R930" i="3"/>
  <c r="V466" i="2" s="1"/>
  <c r="Q930" i="3"/>
  <c r="S187" i="2"/>
  <c r="S140" i="2"/>
  <c r="T136" i="2"/>
  <c r="U136" i="2" s="1"/>
  <c r="T90" i="2"/>
  <c r="U90" i="2" s="1"/>
  <c r="S87" i="2"/>
  <c r="T54" i="2"/>
  <c r="U54" i="2" s="1"/>
  <c r="Q363" i="3"/>
  <c r="R291" i="3"/>
  <c r="Q262" i="3"/>
  <c r="Q182" i="3"/>
  <c r="S429" i="2"/>
  <c r="T290" i="2"/>
  <c r="U290" i="2" s="1"/>
  <c r="R815" i="3"/>
  <c r="S807" i="3"/>
  <c r="W408" i="2" s="1"/>
  <c r="Q807" i="3"/>
  <c r="S761" i="3"/>
  <c r="R753" i="3"/>
  <c r="V380" i="2" s="1"/>
  <c r="T306" i="2"/>
  <c r="U306" i="2" s="1"/>
  <c r="Q610" i="3"/>
  <c r="T466" i="2"/>
  <c r="U466" i="2" s="1"/>
  <c r="S1071" i="3"/>
  <c r="W538" i="2" s="1"/>
  <c r="T538" i="2"/>
  <c r="U538" i="2" s="1"/>
  <c r="P972" i="3"/>
  <c r="S488" i="2"/>
  <c r="P882" i="3"/>
  <c r="S443" i="2"/>
  <c r="S769" i="3"/>
  <c r="Q769" i="3"/>
  <c r="R954" i="3"/>
  <c r="S954" i="3"/>
  <c r="R909" i="3"/>
  <c r="V456" i="2" s="1"/>
  <c r="T456" i="2"/>
  <c r="U456" i="2" s="1"/>
  <c r="S136" i="2"/>
  <c r="S90" i="2"/>
  <c r="S58" i="2"/>
  <c r="S54" i="2"/>
  <c r="S401" i="2"/>
  <c r="S307" i="2"/>
  <c r="S290" i="2"/>
  <c r="R859" i="3"/>
  <c r="V432" i="2" s="1"/>
  <c r="Q815" i="3"/>
  <c r="R811" i="3"/>
  <c r="Q761" i="3"/>
  <c r="Q753" i="3"/>
  <c r="S528" i="2"/>
  <c r="S466" i="2"/>
  <c r="S1061" i="3"/>
  <c r="R1045" i="3"/>
  <c r="V524" i="2" s="1"/>
  <c r="R1041" i="3"/>
  <c r="V522" i="2" s="1"/>
  <c r="S994" i="3"/>
  <c r="R979" i="3"/>
  <c r="R963" i="3"/>
  <c r="V485" i="2" s="1"/>
  <c r="P952" i="3"/>
  <c r="R952" i="3" s="1"/>
  <c r="V480" i="2" s="1"/>
  <c r="S480" i="2"/>
  <c r="Q938" i="3"/>
  <c r="D23" i="8"/>
  <c r="S1087" i="3"/>
  <c r="Q1087" i="3"/>
  <c r="R1018" i="3"/>
  <c r="Q1018" i="3"/>
  <c r="P949" i="3"/>
  <c r="T478" i="2" s="1"/>
  <c r="U478" i="2" s="1"/>
  <c r="S478" i="2"/>
  <c r="T245" i="2"/>
  <c r="U245" i="2" s="1"/>
  <c r="T191" i="2"/>
  <c r="U191" i="2" s="1"/>
  <c r="S161" i="2"/>
  <c r="S245" i="2"/>
  <c r="S191" i="2"/>
  <c r="T178" i="2"/>
  <c r="U178" i="2" s="1"/>
  <c r="S487" i="3"/>
  <c r="R474" i="3"/>
  <c r="V239" i="2" s="1"/>
  <c r="S455" i="3"/>
  <c r="Q246" i="3"/>
  <c r="Q130" i="3"/>
  <c r="S412" i="2"/>
  <c r="T473" i="2"/>
  <c r="U473" i="2" s="1"/>
  <c r="R1089" i="3"/>
  <c r="V546" i="2" s="1"/>
  <c r="T546" i="2"/>
  <c r="U546" i="2" s="1"/>
  <c r="Q1069" i="3"/>
  <c r="S1069" i="3"/>
  <c r="W536" i="2" s="1"/>
  <c r="T536" i="2"/>
  <c r="U536" i="2" s="1"/>
  <c r="P1002" i="3"/>
  <c r="S502" i="2"/>
  <c r="Q971" i="3"/>
  <c r="T487" i="2"/>
  <c r="U487" i="2" s="1"/>
  <c r="R920" i="3"/>
  <c r="V464" i="2" s="1"/>
  <c r="T464" i="2"/>
  <c r="U464" i="2" s="1"/>
  <c r="S178" i="2"/>
  <c r="S424" i="2"/>
  <c r="Q705" i="3"/>
  <c r="S512" i="2"/>
  <c r="S473" i="2"/>
  <c r="R1028" i="3"/>
  <c r="S1028" i="3"/>
  <c r="Q885" i="3"/>
  <c r="R885" i="3"/>
  <c r="V446" i="2" s="1"/>
  <c r="P880" i="3"/>
  <c r="T441" i="2" s="1"/>
  <c r="U441" i="2" s="1"/>
  <c r="S441" i="2"/>
  <c r="P935" i="3"/>
  <c r="S471" i="2"/>
  <c r="R922" i="3"/>
  <c r="V465" i="2" s="1"/>
  <c r="T465" i="2"/>
  <c r="U465" i="2" s="1"/>
  <c r="S108" i="2"/>
  <c r="T336" i="2"/>
  <c r="U336" i="2" s="1"/>
  <c r="Q780" i="3"/>
  <c r="S780" i="3"/>
  <c r="W393" i="2" s="1"/>
  <c r="S465" i="2"/>
  <c r="P1051" i="3"/>
  <c r="S530" i="2"/>
  <c r="R1032" i="3"/>
  <c r="Q1032" i="3"/>
  <c r="P1006" i="3"/>
  <c r="S504" i="2"/>
  <c r="R898" i="3"/>
  <c r="Q898" i="3"/>
  <c r="C23" i="8"/>
  <c r="D22" i="8"/>
  <c r="C22" i="8"/>
  <c r="D21" i="8"/>
  <c r="C21" i="8"/>
  <c r="E21" i="8" s="1"/>
  <c r="F35" i="9"/>
  <c r="N39" i="8"/>
  <c r="Z39" i="8"/>
  <c r="R39" i="8"/>
  <c r="U39" i="8"/>
  <c r="T39" i="8"/>
  <c r="S39" i="8"/>
  <c r="Q1075" i="3"/>
  <c r="R1075" i="3"/>
  <c r="V542" i="2" s="1"/>
  <c r="S1075" i="3"/>
  <c r="W542" i="2" s="1"/>
  <c r="T542" i="2"/>
  <c r="U542" i="2" s="1"/>
  <c r="Q1070" i="3"/>
  <c r="R1070" i="3"/>
  <c r="V537" i="2" s="1"/>
  <c r="S1070" i="3"/>
  <c r="W537" i="2" s="1"/>
  <c r="T537" i="2"/>
  <c r="U537" i="2" s="1"/>
  <c r="Q1066" i="3"/>
  <c r="R1066" i="3"/>
  <c r="S1066" i="3"/>
  <c r="Q1059" i="3"/>
  <c r="R1059" i="3"/>
  <c r="S1059" i="3"/>
  <c r="Q1083" i="3"/>
  <c r="R1083" i="3"/>
  <c r="S1083" i="3"/>
  <c r="Q1051" i="3"/>
  <c r="R1051" i="3"/>
  <c r="V530" i="2" s="1"/>
  <c r="S1051" i="3"/>
  <c r="W530" i="2" s="1"/>
  <c r="T530" i="2"/>
  <c r="U530" i="2" s="1"/>
  <c r="Q1062" i="3"/>
  <c r="R1062" i="3"/>
  <c r="S1062" i="3"/>
  <c r="T534" i="2"/>
  <c r="U534" i="2" s="1"/>
  <c r="Q1058" i="3"/>
  <c r="R1058" i="3"/>
  <c r="V534" i="2" s="1"/>
  <c r="S1058" i="3"/>
  <c r="W534" i="2" s="1"/>
  <c r="Q1086" i="3"/>
  <c r="R1086" i="3"/>
  <c r="S1086" i="3"/>
  <c r="S1082" i="3"/>
  <c r="Q1082" i="3"/>
  <c r="R1082" i="3"/>
  <c r="Q1054" i="3"/>
  <c r="R1054" i="3"/>
  <c r="S1054" i="3"/>
  <c r="Q1078" i="3"/>
  <c r="R1078" i="3"/>
  <c r="S1078" i="3"/>
  <c r="S1074" i="3"/>
  <c r="W541" i="2" s="1"/>
  <c r="T541" i="2"/>
  <c r="U541" i="2" s="1"/>
  <c r="Q1074" i="3"/>
  <c r="R1074" i="3"/>
  <c r="V541" i="2" s="1"/>
  <c r="Q1067" i="3"/>
  <c r="R1067" i="3"/>
  <c r="S1067" i="3"/>
  <c r="Q973" i="3"/>
  <c r="S973" i="3"/>
  <c r="W489" i="2" s="1"/>
  <c r="Q958" i="3"/>
  <c r="R958" i="3"/>
  <c r="R921" i="3"/>
  <c r="S921" i="3"/>
  <c r="Q921" i="3"/>
  <c r="Q895" i="3"/>
  <c r="S895" i="3"/>
  <c r="W452" i="2" s="1"/>
  <c r="T517" i="2"/>
  <c r="U517" i="2" s="1"/>
  <c r="T512" i="2"/>
  <c r="U512" i="2" s="1"/>
  <c r="Q1089" i="3"/>
  <c r="R1084" i="3"/>
  <c r="Q1081" i="3"/>
  <c r="R1076" i="3"/>
  <c r="V543" i="2" s="1"/>
  <c r="Q1073" i="3"/>
  <c r="R1068" i="3"/>
  <c r="V535" i="2" s="1"/>
  <c r="Q1065" i="3"/>
  <c r="R1060" i="3"/>
  <c r="Q1057" i="3"/>
  <c r="R1052" i="3"/>
  <c r="V531" i="2" s="1"/>
  <c r="Q1046" i="3"/>
  <c r="Q1038" i="3"/>
  <c r="Q1030" i="3"/>
  <c r="Q1022" i="3"/>
  <c r="Q1016" i="3"/>
  <c r="Q1013" i="3"/>
  <c r="S1013" i="3"/>
  <c r="Q1010" i="3"/>
  <c r="Q1007" i="3"/>
  <c r="S1007" i="3"/>
  <c r="S1004" i="3"/>
  <c r="R1004" i="3"/>
  <c r="Q998" i="3"/>
  <c r="R998" i="3"/>
  <c r="S976" i="3"/>
  <c r="W492" i="2" s="1"/>
  <c r="R973" i="3"/>
  <c r="V489" i="2" s="1"/>
  <c r="S970" i="3"/>
  <c r="W486" i="2" s="1"/>
  <c r="R961" i="3"/>
  <c r="V483" i="2" s="1"/>
  <c r="S961" i="3"/>
  <c r="W483" i="2" s="1"/>
  <c r="Q961" i="3"/>
  <c r="S958" i="3"/>
  <c r="Q952" i="3"/>
  <c r="Q949" i="3"/>
  <c r="S949" i="3"/>
  <c r="W478" i="2" s="1"/>
  <c r="Q946" i="3"/>
  <c r="Q943" i="3"/>
  <c r="S943" i="3"/>
  <c r="S940" i="3"/>
  <c r="R940" i="3"/>
  <c r="Q934" i="3"/>
  <c r="R934" i="3"/>
  <c r="V470" i="2" s="1"/>
  <c r="S912" i="3"/>
  <c r="S906" i="3"/>
  <c r="W454" i="2" s="1"/>
  <c r="Q903" i="3"/>
  <c r="S903" i="3"/>
  <c r="Q899" i="3"/>
  <c r="R899" i="3"/>
  <c r="S899" i="3"/>
  <c r="R895" i="3"/>
  <c r="V452" i="2" s="1"/>
  <c r="S892" i="3"/>
  <c r="W449" i="2" s="1"/>
  <c r="R892" i="3"/>
  <c r="V449" i="2" s="1"/>
  <c r="Q888" i="3"/>
  <c r="R888" i="3"/>
  <c r="Q1043" i="3"/>
  <c r="S1043" i="3"/>
  <c r="Q909" i="3"/>
  <c r="S909" i="3"/>
  <c r="W456" i="2" s="1"/>
  <c r="T540" i="2"/>
  <c r="U540" i="2" s="1"/>
  <c r="S525" i="2"/>
  <c r="S507" i="2"/>
  <c r="R1009" i="3"/>
  <c r="V506" i="2" s="1"/>
  <c r="S1009" i="3"/>
  <c r="W506" i="2" s="1"/>
  <c r="Q1009" i="3"/>
  <c r="Q997" i="3"/>
  <c r="S997" i="3"/>
  <c r="W500" i="2" s="1"/>
  <c r="Q991" i="3"/>
  <c r="S991" i="3"/>
  <c r="S988" i="3"/>
  <c r="W498" i="2" s="1"/>
  <c r="R988" i="3"/>
  <c r="V498" i="2" s="1"/>
  <c r="Q982" i="3"/>
  <c r="R982" i="3"/>
  <c r="V493" i="2" s="1"/>
  <c r="R945" i="3"/>
  <c r="V474" i="2" s="1"/>
  <c r="S945" i="3"/>
  <c r="W474" i="2" s="1"/>
  <c r="Q945" i="3"/>
  <c r="Q933" i="3"/>
  <c r="S933" i="3"/>
  <c r="W469" i="2" s="1"/>
  <c r="Q927" i="3"/>
  <c r="S927" i="3"/>
  <c r="S924" i="3"/>
  <c r="R924" i="3"/>
  <c r="Q918" i="3"/>
  <c r="R918" i="3"/>
  <c r="V462" i="2" s="1"/>
  <c r="Q902" i="3"/>
  <c r="R902" i="3"/>
  <c r="S902" i="3"/>
  <c r="Q887" i="3"/>
  <c r="S887" i="3"/>
  <c r="Q883" i="3"/>
  <c r="R883" i="3"/>
  <c r="V444" i="2" s="1"/>
  <c r="S883" i="3"/>
  <c r="W444" i="2" s="1"/>
  <c r="Q1027" i="3"/>
  <c r="S1027" i="3"/>
  <c r="W517" i="2" s="1"/>
  <c r="S964" i="3"/>
  <c r="R964" i="3"/>
  <c r="S884" i="3"/>
  <c r="W445" i="2" s="1"/>
  <c r="R884" i="3"/>
  <c r="V445" i="2" s="1"/>
  <c r="T533" i="2"/>
  <c r="U533" i="2" s="1"/>
  <c r="S1088" i="3"/>
  <c r="W545" i="2" s="1"/>
  <c r="R1085" i="3"/>
  <c r="S1080" i="3"/>
  <c r="R1077" i="3"/>
  <c r="V544" i="2" s="1"/>
  <c r="S1072" i="3"/>
  <c r="W539" i="2" s="1"/>
  <c r="R1069" i="3"/>
  <c r="V536" i="2" s="1"/>
  <c r="S1064" i="3"/>
  <c r="R1061" i="3"/>
  <c r="S1056" i="3"/>
  <c r="W532" i="2" s="1"/>
  <c r="R1053" i="3"/>
  <c r="Q1045" i="3"/>
  <c r="S1045" i="3"/>
  <c r="W524" i="2" s="1"/>
  <c r="S1042" i="3"/>
  <c r="Q1037" i="3"/>
  <c r="S1037" i="3"/>
  <c r="W520" i="2" s="1"/>
  <c r="S1034" i="3"/>
  <c r="Q1029" i="3"/>
  <c r="S1029" i="3"/>
  <c r="W518" i="2" s="1"/>
  <c r="S1026" i="3"/>
  <c r="W516" i="2" s="1"/>
  <c r="Q1021" i="3"/>
  <c r="S1021" i="3"/>
  <c r="Q1015" i="3"/>
  <c r="S1015" i="3"/>
  <c r="W510" i="2" s="1"/>
  <c r="S1012" i="3"/>
  <c r="R1012" i="3"/>
  <c r="S984" i="3"/>
  <c r="W495" i="2" s="1"/>
  <c r="S978" i="3"/>
  <c r="R969" i="3"/>
  <c r="S969" i="3"/>
  <c r="Q969" i="3"/>
  <c r="Q957" i="3"/>
  <c r="S957" i="3"/>
  <c r="Q951" i="3"/>
  <c r="S951" i="3"/>
  <c r="S948" i="3"/>
  <c r="W477" i="2" s="1"/>
  <c r="R948" i="3"/>
  <c r="V477" i="2" s="1"/>
  <c r="Q942" i="3"/>
  <c r="R942" i="3"/>
  <c r="S920" i="3"/>
  <c r="W464" i="2" s="1"/>
  <c r="S914" i="3"/>
  <c r="W458" i="2" s="1"/>
  <c r="R905" i="3"/>
  <c r="S905" i="3"/>
  <c r="Q905" i="3"/>
  <c r="Q894" i="3"/>
  <c r="R894" i="3"/>
  <c r="V451" i="2" s="1"/>
  <c r="S894" i="3"/>
  <c r="W451" i="2" s="1"/>
  <c r="T480" i="2"/>
  <c r="U480" i="2" s="1"/>
  <c r="T452" i="2"/>
  <c r="U452" i="2" s="1"/>
  <c r="Q1042" i="3"/>
  <c r="Q1034" i="3"/>
  <c r="Q1026" i="3"/>
  <c r="S1008" i="3"/>
  <c r="W505" i="2" s="1"/>
  <c r="S1002" i="3"/>
  <c r="W502" i="2" s="1"/>
  <c r="R993" i="3"/>
  <c r="S993" i="3"/>
  <c r="Q993" i="3"/>
  <c r="Q984" i="3"/>
  <c r="Q981" i="3"/>
  <c r="S981" i="3"/>
  <c r="Q978" i="3"/>
  <c r="Q975" i="3"/>
  <c r="S975" i="3"/>
  <c r="W491" i="2" s="1"/>
  <c r="Q966" i="3"/>
  <c r="R966" i="3"/>
  <c r="S944" i="3"/>
  <c r="W473" i="2" s="1"/>
  <c r="S938" i="3"/>
  <c r="R929" i="3"/>
  <c r="S929" i="3"/>
  <c r="Q929" i="3"/>
  <c r="Q920" i="3"/>
  <c r="Q917" i="3"/>
  <c r="S917" i="3"/>
  <c r="W461" i="2" s="1"/>
  <c r="Q914" i="3"/>
  <c r="Q911" i="3"/>
  <c r="S911" i="3"/>
  <c r="S908" i="3"/>
  <c r="W455" i="2" s="1"/>
  <c r="R908" i="3"/>
  <c r="V455" i="2" s="1"/>
  <c r="R897" i="3"/>
  <c r="S897" i="3"/>
  <c r="Q897" i="3"/>
  <c r="Q886" i="3"/>
  <c r="R886" i="3"/>
  <c r="V447" i="2" s="1"/>
  <c r="S886" i="3"/>
  <c r="W447" i="2" s="1"/>
  <c r="Q882" i="3"/>
  <c r="Q967" i="3"/>
  <c r="S967" i="3"/>
  <c r="Q891" i="3"/>
  <c r="R891" i="3"/>
  <c r="V448" i="2" s="1"/>
  <c r="S891" i="3"/>
  <c r="W448" i="2" s="1"/>
  <c r="T475" i="2"/>
  <c r="U475" i="2" s="1"/>
  <c r="T445" i="2"/>
  <c r="U445" i="2" s="1"/>
  <c r="Q1047" i="3"/>
  <c r="S1047" i="3"/>
  <c r="W526" i="2" s="1"/>
  <c r="Q1039" i="3"/>
  <c r="S1039" i="3"/>
  <c r="Q1031" i="3"/>
  <c r="S1031" i="3"/>
  <c r="Q1023" i="3"/>
  <c r="S1023" i="3"/>
  <c r="W513" i="2" s="1"/>
  <c r="R1017" i="3"/>
  <c r="S1017" i="3"/>
  <c r="Q1017" i="3"/>
  <c r="Q1005" i="3"/>
  <c r="S1005" i="3"/>
  <c r="Q999" i="3"/>
  <c r="S999" i="3"/>
  <c r="S996" i="3"/>
  <c r="W499" i="2" s="1"/>
  <c r="R996" i="3"/>
  <c r="V499" i="2" s="1"/>
  <c r="Q990" i="3"/>
  <c r="R990" i="3"/>
  <c r="R953" i="3"/>
  <c r="V481" i="2" s="1"/>
  <c r="S953" i="3"/>
  <c r="W481" i="2" s="1"/>
  <c r="Q953" i="3"/>
  <c r="Q941" i="3"/>
  <c r="S941" i="3"/>
  <c r="Q935" i="3"/>
  <c r="S935" i="3"/>
  <c r="W471" i="2" s="1"/>
  <c r="S932" i="3"/>
  <c r="W468" i="2" s="1"/>
  <c r="R932" i="3"/>
  <c r="V468" i="2" s="1"/>
  <c r="Q926" i="3"/>
  <c r="R926" i="3"/>
  <c r="R889" i="3"/>
  <c r="S889" i="3"/>
  <c r="Q889" i="3"/>
  <c r="R881" i="3"/>
  <c r="V442" i="2" s="1"/>
  <c r="S881" i="3"/>
  <c r="W442" i="2" s="1"/>
  <c r="Q881" i="3"/>
  <c r="Q1035" i="3"/>
  <c r="S1035" i="3"/>
  <c r="R985" i="3"/>
  <c r="V496" i="2" s="1"/>
  <c r="S475" i="2"/>
  <c r="S1089" i="3"/>
  <c r="W546" i="2" s="1"/>
  <c r="S1081" i="3"/>
  <c r="S1073" i="3"/>
  <c r="W540" i="2" s="1"/>
  <c r="S1065" i="3"/>
  <c r="S1057" i="3"/>
  <c r="W533" i="2" s="1"/>
  <c r="S1020" i="3"/>
  <c r="W511" i="2" s="1"/>
  <c r="R1020" i="3"/>
  <c r="V511" i="2" s="1"/>
  <c r="Q1014" i="3"/>
  <c r="R1014" i="3"/>
  <c r="V509" i="2" s="1"/>
  <c r="R977" i="3"/>
  <c r="S977" i="3"/>
  <c r="Q977" i="3"/>
  <c r="Q965" i="3"/>
  <c r="S965" i="3"/>
  <c r="Q959" i="3"/>
  <c r="S959" i="3"/>
  <c r="S956" i="3"/>
  <c r="R956" i="3"/>
  <c r="Q950" i="3"/>
  <c r="R950" i="3"/>
  <c r="V479" i="2" s="1"/>
  <c r="R913" i="3"/>
  <c r="S913" i="3"/>
  <c r="Q913" i="3"/>
  <c r="Q904" i="3"/>
  <c r="R904" i="3"/>
  <c r="T448" i="2"/>
  <c r="U448" i="2" s="1"/>
  <c r="S1046" i="3"/>
  <c r="W525" i="2" s="1"/>
  <c r="S1041" i="3"/>
  <c r="W522" i="2" s="1"/>
  <c r="Q1041" i="3"/>
  <c r="S1038" i="3"/>
  <c r="S1033" i="3"/>
  <c r="Q1033" i="3"/>
  <c r="S1030" i="3"/>
  <c r="S1025" i="3"/>
  <c r="W515" i="2" s="1"/>
  <c r="Q1025" i="3"/>
  <c r="S1022" i="3"/>
  <c r="W512" i="2" s="1"/>
  <c r="S1016" i="3"/>
  <c r="R1013" i="3"/>
  <c r="S1010" i="3"/>
  <c r="W507" i="2" s="1"/>
  <c r="R1007" i="3"/>
  <c r="Q1004" i="3"/>
  <c r="R1001" i="3"/>
  <c r="S1001" i="3"/>
  <c r="Q1001" i="3"/>
  <c r="S998" i="3"/>
  <c r="Q992" i="3"/>
  <c r="Q989" i="3"/>
  <c r="S989" i="3"/>
  <c r="Q986" i="3"/>
  <c r="Q983" i="3"/>
  <c r="S983" i="3"/>
  <c r="W494" i="2" s="1"/>
  <c r="S980" i="3"/>
  <c r="R980" i="3"/>
  <c r="Q974" i="3"/>
  <c r="R974" i="3"/>
  <c r="V490" i="2" s="1"/>
  <c r="S952" i="3"/>
  <c r="W480" i="2" s="1"/>
  <c r="R949" i="3"/>
  <c r="V478" i="2" s="1"/>
  <c r="S946" i="3"/>
  <c r="W475" i="2" s="1"/>
  <c r="R943" i="3"/>
  <c r="Q940" i="3"/>
  <c r="R937" i="3"/>
  <c r="S937" i="3"/>
  <c r="Q937" i="3"/>
  <c r="S934" i="3"/>
  <c r="W470" i="2" s="1"/>
  <c r="Q928" i="3"/>
  <c r="Q925" i="3"/>
  <c r="S925" i="3"/>
  <c r="Q922" i="3"/>
  <c r="Q919" i="3"/>
  <c r="S919" i="3"/>
  <c r="W463" i="2" s="1"/>
  <c r="S916" i="3"/>
  <c r="W460" i="2" s="1"/>
  <c r="R916" i="3"/>
  <c r="V460" i="2" s="1"/>
  <c r="Q910" i="3"/>
  <c r="R910" i="3"/>
  <c r="V457" i="2" s="1"/>
  <c r="R903" i="3"/>
  <c r="S900" i="3"/>
  <c r="R900" i="3"/>
  <c r="Q896" i="3"/>
  <c r="R896" i="3"/>
  <c r="V453" i="2" s="1"/>
  <c r="Q892" i="3"/>
  <c r="S888" i="3"/>
  <c r="S880" i="3"/>
  <c r="W441" i="2" s="1"/>
  <c r="S901" i="3"/>
  <c r="S893" i="3"/>
  <c r="W450" i="2" s="1"/>
  <c r="S885" i="3"/>
  <c r="W446" i="2" s="1"/>
  <c r="S1019" i="3"/>
  <c r="S1011" i="3"/>
  <c r="W508" i="2" s="1"/>
  <c r="S1003" i="3"/>
  <c r="W503" i="2" s="1"/>
  <c r="S995" i="3"/>
  <c r="S987" i="3"/>
  <c r="S979" i="3"/>
  <c r="S971" i="3"/>
  <c r="W487" i="2" s="1"/>
  <c r="S963" i="3"/>
  <c r="W485" i="2" s="1"/>
  <c r="S955" i="3"/>
  <c r="S947" i="3"/>
  <c r="W476" i="2" s="1"/>
  <c r="S939" i="3"/>
  <c r="S931" i="3"/>
  <c r="W467" i="2" s="1"/>
  <c r="S923" i="3"/>
  <c r="S915" i="3"/>
  <c r="W459" i="2" s="1"/>
  <c r="S907" i="3"/>
  <c r="S485" i="3"/>
  <c r="W246" i="2" s="1"/>
  <c r="Q259" i="3"/>
  <c r="T131" i="2"/>
  <c r="U131" i="2" s="1"/>
  <c r="R245" i="3"/>
  <c r="V125" i="2" s="1"/>
  <c r="Q245" i="3"/>
  <c r="P129" i="3"/>
  <c r="S129" i="3" s="1"/>
  <c r="W67" i="2" s="1"/>
  <c r="S67" i="2"/>
  <c r="P123" i="3"/>
  <c r="T64" i="2" s="1"/>
  <c r="U64" i="2" s="1"/>
  <c r="S64" i="2"/>
  <c r="R103" i="3"/>
  <c r="S718" i="3"/>
  <c r="W361" i="2" s="1"/>
  <c r="Q718" i="3"/>
  <c r="T361" i="2"/>
  <c r="U361" i="2" s="1"/>
  <c r="R718" i="3"/>
  <c r="V361" i="2" s="1"/>
  <c r="R666" i="3"/>
  <c r="S666" i="3"/>
  <c r="Q666" i="3"/>
  <c r="T298" i="2"/>
  <c r="U298" i="2" s="1"/>
  <c r="Q594" i="3"/>
  <c r="Q539" i="3"/>
  <c r="S539" i="3"/>
  <c r="S520" i="3"/>
  <c r="R520" i="3"/>
  <c r="P227" i="3"/>
  <c r="S115" i="2"/>
  <c r="P74" i="3"/>
  <c r="T40" i="2" s="1"/>
  <c r="U40" i="2" s="1"/>
  <c r="S40" i="2"/>
  <c r="P41" i="3"/>
  <c r="S22" i="2"/>
  <c r="S372" i="3"/>
  <c r="W188" i="2" s="1"/>
  <c r="Q372" i="3"/>
  <c r="P178" i="3"/>
  <c r="T91" i="2" s="1"/>
  <c r="U91" i="2" s="1"/>
  <c r="S91" i="2"/>
  <c r="P848" i="3"/>
  <c r="S427" i="2"/>
  <c r="S710" i="3"/>
  <c r="W358" i="2" s="1"/>
  <c r="R710" i="3"/>
  <c r="V358" i="2" s="1"/>
  <c r="T358" i="2"/>
  <c r="U358" i="2" s="1"/>
  <c r="Q710" i="3"/>
  <c r="P706" i="3"/>
  <c r="T355" i="2" s="1"/>
  <c r="U355" i="2" s="1"/>
  <c r="S355" i="2"/>
  <c r="Q677" i="3"/>
  <c r="R677" i="3"/>
  <c r="S677" i="3"/>
  <c r="R660" i="3"/>
  <c r="V333" i="2" s="1"/>
  <c r="T333" i="2"/>
  <c r="U333" i="2" s="1"/>
  <c r="Q660" i="3"/>
  <c r="S660" i="3"/>
  <c r="W333" i="2" s="1"/>
  <c r="P639" i="3"/>
  <c r="S322" i="2"/>
  <c r="S295" i="2"/>
  <c r="P585" i="3"/>
  <c r="P558" i="3"/>
  <c r="S284" i="2"/>
  <c r="P873" i="3"/>
  <c r="T440" i="2" s="1"/>
  <c r="U440" i="2" s="1"/>
  <c r="S440" i="2"/>
  <c r="P832" i="3"/>
  <c r="S417" i="2"/>
  <c r="T149" i="2"/>
  <c r="U149" i="2" s="1"/>
  <c r="Q384" i="3"/>
  <c r="R384" i="3"/>
  <c r="S384" i="3"/>
  <c r="P147" i="3"/>
  <c r="T76" i="2" s="1"/>
  <c r="U76" i="2" s="1"/>
  <c r="S76" i="2"/>
  <c r="Q108" i="3"/>
  <c r="T58" i="2"/>
  <c r="U58" i="2" s="1"/>
  <c r="S57" i="3"/>
  <c r="Q57" i="3"/>
  <c r="Q740" i="3"/>
  <c r="R740" i="3"/>
  <c r="V373" i="2" s="1"/>
  <c r="T373" i="2"/>
  <c r="U373" i="2" s="1"/>
  <c r="Q732" i="3"/>
  <c r="R732" i="3"/>
  <c r="V368" i="2" s="1"/>
  <c r="S732" i="3"/>
  <c r="W368" i="2" s="1"/>
  <c r="T368" i="2"/>
  <c r="U368" i="2" s="1"/>
  <c r="P531" i="3"/>
  <c r="S268" i="2"/>
  <c r="S755" i="3"/>
  <c r="Q755" i="3"/>
  <c r="R755" i="3"/>
  <c r="S262" i="2"/>
  <c r="P517" i="3"/>
  <c r="S511" i="3"/>
  <c r="Q511" i="3"/>
  <c r="R511" i="3"/>
  <c r="R297" i="3"/>
  <c r="S297" i="3"/>
  <c r="Q297" i="3"/>
  <c r="Q211" i="3"/>
  <c r="T107" i="2"/>
  <c r="U107" i="2" s="1"/>
  <c r="Q187" i="3"/>
  <c r="T96" i="2"/>
  <c r="U96" i="2" s="1"/>
  <c r="P87" i="3"/>
  <c r="S46" i="2"/>
  <c r="P20" i="3"/>
  <c r="S12" i="2"/>
  <c r="P766" i="3"/>
  <c r="S386" i="2"/>
  <c r="T232" i="2"/>
  <c r="U232" i="2" s="1"/>
  <c r="S461" i="3"/>
  <c r="W232" i="2" s="1"/>
  <c r="T198" i="2"/>
  <c r="U198" i="2" s="1"/>
  <c r="R390" i="3"/>
  <c r="V198" i="2" s="1"/>
  <c r="S279" i="3"/>
  <c r="R279" i="3"/>
  <c r="Q192" i="3"/>
  <c r="T97" i="2"/>
  <c r="U97" i="2" s="1"/>
  <c r="Q175" i="3"/>
  <c r="R175" i="3"/>
  <c r="S175" i="3"/>
  <c r="R106" i="3"/>
  <c r="V56" i="2" s="1"/>
  <c r="Q106" i="3"/>
  <c r="P92" i="3"/>
  <c r="S50" i="2"/>
  <c r="S63" i="3"/>
  <c r="W35" i="2" s="1"/>
  <c r="T35" i="2"/>
  <c r="U35" i="2" s="1"/>
  <c r="Q56" i="3"/>
  <c r="S56" i="3"/>
  <c r="T433" i="2"/>
  <c r="U433" i="2" s="1"/>
  <c r="Q860" i="3"/>
  <c r="S845" i="3"/>
  <c r="W424" i="2" s="1"/>
  <c r="T424" i="2"/>
  <c r="U424" i="2" s="1"/>
  <c r="Q804" i="3"/>
  <c r="T405" i="2"/>
  <c r="U405" i="2" s="1"/>
  <c r="Q796" i="3"/>
  <c r="T399" i="2"/>
  <c r="U399" i="2" s="1"/>
  <c r="S715" i="3"/>
  <c r="Q715" i="3"/>
  <c r="R715" i="3"/>
  <c r="Q700" i="3"/>
  <c r="R700" i="3"/>
  <c r="S700" i="3"/>
  <c r="S331" i="2"/>
  <c r="P658" i="3"/>
  <c r="R658" i="3" s="1"/>
  <c r="V331" i="2" s="1"/>
  <c r="P135" i="3"/>
  <c r="R135" i="3" s="1"/>
  <c r="V69" i="2" s="1"/>
  <c r="S69" i="2"/>
  <c r="P47" i="3"/>
  <c r="S27" i="2"/>
  <c r="Q593" i="3"/>
  <c r="R593" i="3"/>
  <c r="S356" i="3"/>
  <c r="Q356" i="3"/>
  <c r="Q748" i="3"/>
  <c r="S748" i="3"/>
  <c r="R748" i="3"/>
  <c r="R737" i="3"/>
  <c r="S737" i="3"/>
  <c r="Q737" i="3"/>
  <c r="S571" i="3"/>
  <c r="W289" i="2" s="1"/>
  <c r="T289" i="2"/>
  <c r="U289" i="2" s="1"/>
  <c r="Q547" i="3"/>
  <c r="S547" i="3"/>
  <c r="W277" i="2" s="1"/>
  <c r="T277" i="2"/>
  <c r="U277" i="2" s="1"/>
  <c r="S702" i="3"/>
  <c r="R702" i="3"/>
  <c r="Q702" i="3"/>
  <c r="S131" i="2"/>
  <c r="T104" i="2"/>
  <c r="U104" i="2" s="1"/>
  <c r="S97" i="2"/>
  <c r="S35" i="2"/>
  <c r="S263" i="2"/>
  <c r="P522" i="3"/>
  <c r="R522" i="3" s="1"/>
  <c r="V263" i="2" s="1"/>
  <c r="S500" i="3"/>
  <c r="W253" i="2" s="1"/>
  <c r="Q500" i="3"/>
  <c r="S300" i="3"/>
  <c r="R300" i="3"/>
  <c r="Q159" i="3"/>
  <c r="S159" i="3"/>
  <c r="T436" i="2"/>
  <c r="U436" i="2" s="1"/>
  <c r="S869" i="3"/>
  <c r="W436" i="2" s="1"/>
  <c r="Q625" i="3"/>
  <c r="R625" i="3"/>
  <c r="P595" i="3"/>
  <c r="S299" i="2"/>
  <c r="Q553" i="3"/>
  <c r="R553" i="3"/>
  <c r="S474" i="3"/>
  <c r="W239" i="2" s="1"/>
  <c r="S785" i="3"/>
  <c r="W397" i="2" s="1"/>
  <c r="Q785" i="3"/>
  <c r="R648" i="3"/>
  <c r="V325" i="2" s="1"/>
  <c r="T325" i="2"/>
  <c r="U325" i="2" s="1"/>
  <c r="Q640" i="3"/>
  <c r="R640" i="3"/>
  <c r="V323" i="2" s="1"/>
  <c r="P543" i="3"/>
  <c r="T273" i="2" s="1"/>
  <c r="U273" i="2" s="1"/>
  <c r="S273" i="2"/>
  <c r="Q525" i="3"/>
  <c r="R516" i="3"/>
  <c r="V261" i="2" s="1"/>
  <c r="S506" i="3"/>
  <c r="S447" i="3"/>
  <c r="W225" i="2" s="1"/>
  <c r="R339" i="3"/>
  <c r="R325" i="3"/>
  <c r="V164" i="2" s="1"/>
  <c r="Q230" i="3"/>
  <c r="R215" i="3"/>
  <c r="R201" i="3"/>
  <c r="V102" i="2" s="1"/>
  <c r="R117" i="3"/>
  <c r="V61" i="2" s="1"/>
  <c r="Q97" i="3"/>
  <c r="Q851" i="3"/>
  <c r="R851" i="3"/>
  <c r="S847" i="3"/>
  <c r="W426" i="2" s="1"/>
  <c r="Q847" i="3"/>
  <c r="Q842" i="3"/>
  <c r="S842" i="3"/>
  <c r="R827" i="3"/>
  <c r="P657" i="3"/>
  <c r="S330" i="2"/>
  <c r="Q589" i="3"/>
  <c r="P575" i="3"/>
  <c r="T292" i="2" s="1"/>
  <c r="U292" i="2" s="1"/>
  <c r="Q536" i="3"/>
  <c r="R536" i="3"/>
  <c r="Q530" i="3"/>
  <c r="T267" i="2"/>
  <c r="U267" i="2" s="1"/>
  <c r="R388" i="3"/>
  <c r="V196" i="2" s="1"/>
  <c r="R328" i="3"/>
  <c r="V167" i="2" s="1"/>
  <c r="R315" i="3"/>
  <c r="S234" i="3"/>
  <c r="W118" i="2" s="1"/>
  <c r="S181" i="3"/>
  <c r="S863" i="3"/>
  <c r="Q863" i="3"/>
  <c r="Q795" i="3"/>
  <c r="R795" i="3"/>
  <c r="Q788" i="3"/>
  <c r="R788" i="3"/>
  <c r="S772" i="3"/>
  <c r="S750" i="3"/>
  <c r="Q750" i="3"/>
  <c r="S747" i="3"/>
  <c r="W377" i="2" s="1"/>
  <c r="Q747" i="3"/>
  <c r="S713" i="3"/>
  <c r="R684" i="3"/>
  <c r="Q684" i="3"/>
  <c r="Q624" i="3"/>
  <c r="S624" i="3"/>
  <c r="Q609" i="3"/>
  <c r="R609" i="3"/>
  <c r="P604" i="3"/>
  <c r="S304" i="2"/>
  <c r="P562" i="3"/>
  <c r="S286" i="2"/>
  <c r="S557" i="3"/>
  <c r="W283" i="2" s="1"/>
  <c r="Q557" i="3"/>
  <c r="T283" i="2"/>
  <c r="U283" i="2" s="1"/>
  <c r="Q546" i="3"/>
  <c r="S440" i="3"/>
  <c r="W222" i="2" s="1"/>
  <c r="Q388" i="3"/>
  <c r="R363" i="3"/>
  <c r="V183" i="2" s="1"/>
  <c r="S358" i="3"/>
  <c r="Q328" i="3"/>
  <c r="R324" i="3"/>
  <c r="Q315" i="3"/>
  <c r="S298" i="3"/>
  <c r="W152" i="2" s="1"/>
  <c r="R295" i="3"/>
  <c r="V150" i="2" s="1"/>
  <c r="R246" i="3"/>
  <c r="Q214" i="3"/>
  <c r="S189" i="3"/>
  <c r="Q181" i="3"/>
  <c r="S855" i="3"/>
  <c r="Q855" i="3"/>
  <c r="Q818" i="3"/>
  <c r="S818" i="3"/>
  <c r="R772" i="3"/>
  <c r="S742" i="3"/>
  <c r="R742" i="3"/>
  <c r="Q724" i="3"/>
  <c r="S724" i="3"/>
  <c r="R713" i="3"/>
  <c r="R645" i="3"/>
  <c r="S637" i="3"/>
  <c r="W321" i="2" s="1"/>
  <c r="P628" i="3"/>
  <c r="S316" i="2"/>
  <c r="P603" i="3"/>
  <c r="T303" i="2" s="1"/>
  <c r="U303" i="2" s="1"/>
  <c r="S303" i="2"/>
  <c r="P561" i="3"/>
  <c r="S556" i="3"/>
  <c r="W282" i="2" s="1"/>
  <c r="T282" i="2"/>
  <c r="U282" i="2" s="1"/>
  <c r="R172" i="3"/>
  <c r="R76" i="3"/>
  <c r="S871" i="3"/>
  <c r="W438" i="2" s="1"/>
  <c r="Q871" i="3"/>
  <c r="Q835" i="3"/>
  <c r="R835" i="3"/>
  <c r="V420" i="2" s="1"/>
  <c r="S790" i="3"/>
  <c r="R790" i="3"/>
  <c r="S787" i="3"/>
  <c r="Q787" i="3"/>
  <c r="S782" i="3"/>
  <c r="Q782" i="3"/>
  <c r="S779" i="3"/>
  <c r="W392" i="2" s="1"/>
  <c r="Q779" i="3"/>
  <c r="Q764" i="3"/>
  <c r="S764" i="3"/>
  <c r="W384" i="2" s="1"/>
  <c r="S745" i="3"/>
  <c r="W375" i="2" s="1"/>
  <c r="S739" i="3"/>
  <c r="W372" i="2" s="1"/>
  <c r="R739" i="3"/>
  <c r="V372" i="2" s="1"/>
  <c r="S734" i="3"/>
  <c r="W370" i="2" s="1"/>
  <c r="R734" i="3"/>
  <c r="V370" i="2" s="1"/>
  <c r="S716" i="3"/>
  <c r="W359" i="2" s="1"/>
  <c r="R674" i="3"/>
  <c r="S674" i="3"/>
  <c r="P668" i="3"/>
  <c r="S335" i="2"/>
  <c r="S650" i="3"/>
  <c r="W327" i="2" s="1"/>
  <c r="Q650" i="3"/>
  <c r="S627" i="3"/>
  <c r="W315" i="2" s="1"/>
  <c r="T315" i="2"/>
  <c r="U315" i="2" s="1"/>
  <c r="S613" i="3"/>
  <c r="W309" i="2" s="1"/>
  <c r="Q613" i="3"/>
  <c r="T309" i="2"/>
  <c r="U309" i="2" s="1"/>
  <c r="S597" i="3"/>
  <c r="W301" i="2" s="1"/>
  <c r="T301" i="2"/>
  <c r="U301" i="2" s="1"/>
  <c r="R597" i="3"/>
  <c r="V301" i="2" s="1"/>
  <c r="R573" i="3"/>
  <c r="Q444" i="3"/>
  <c r="S435" i="3"/>
  <c r="R403" i="3"/>
  <c r="P373" i="3"/>
  <c r="R373" i="3" s="1"/>
  <c r="V189" i="2" s="1"/>
  <c r="R352" i="3"/>
  <c r="V178" i="2" s="1"/>
  <c r="Q308" i="3"/>
  <c r="P284" i="3"/>
  <c r="S284" i="3" s="1"/>
  <c r="W143" i="2" s="1"/>
  <c r="R255" i="3"/>
  <c r="S250" i="3"/>
  <c r="W126" i="2" s="1"/>
  <c r="Q172" i="3"/>
  <c r="R156" i="3"/>
  <c r="V81" i="2" s="1"/>
  <c r="S88" i="3"/>
  <c r="W47" i="2" s="1"/>
  <c r="Q76" i="3"/>
  <c r="R875" i="3"/>
  <c r="Q756" i="3"/>
  <c r="S756" i="3"/>
  <c r="R745" i="3"/>
  <c r="V375" i="2" s="1"/>
  <c r="R726" i="3"/>
  <c r="R716" i="3"/>
  <c r="V359" i="2" s="1"/>
  <c r="Q708" i="3"/>
  <c r="S708" i="3"/>
  <c r="T350" i="2"/>
  <c r="U350" i="2" s="1"/>
  <c r="R697" i="3"/>
  <c r="V350" i="2" s="1"/>
  <c r="S653" i="3"/>
  <c r="Q653" i="3"/>
  <c r="R633" i="3"/>
  <c r="P602" i="3"/>
  <c r="S302" i="2"/>
  <c r="P586" i="3"/>
  <c r="Q573" i="3"/>
  <c r="R569" i="3"/>
  <c r="S565" i="3"/>
  <c r="Q565" i="3"/>
  <c r="P545" i="3"/>
  <c r="T275" i="2" s="1"/>
  <c r="U275" i="2" s="1"/>
  <c r="S275" i="2"/>
  <c r="Q528" i="3"/>
  <c r="S528" i="3"/>
  <c r="Q858" i="3"/>
  <c r="R858" i="3"/>
  <c r="V431" i="2" s="1"/>
  <c r="Q843" i="3"/>
  <c r="R843" i="3"/>
  <c r="Q834" i="3"/>
  <c r="R834" i="3"/>
  <c r="V419" i="2" s="1"/>
  <c r="S774" i="3"/>
  <c r="Q774" i="3"/>
  <c r="S723" i="3"/>
  <c r="Q723" i="3"/>
  <c r="P621" i="3"/>
  <c r="S313" i="2"/>
  <c r="Q601" i="3"/>
  <c r="R601" i="3"/>
  <c r="S581" i="3"/>
  <c r="R581" i="3"/>
  <c r="Q560" i="3"/>
  <c r="S560" i="3"/>
  <c r="S549" i="3"/>
  <c r="W279" i="2" s="1"/>
  <c r="Q549" i="3"/>
  <c r="R544" i="3"/>
  <c r="V274" i="2" s="1"/>
  <c r="T274" i="2"/>
  <c r="U274" i="2" s="1"/>
  <c r="S584" i="3"/>
  <c r="W294" i="2" s="1"/>
  <c r="D20" i="8"/>
  <c r="C20" i="8"/>
  <c r="D19" i="8"/>
  <c r="C19" i="8"/>
  <c r="D18" i="8"/>
  <c r="C18" i="8"/>
  <c r="D17" i="8"/>
  <c r="C17" i="8"/>
  <c r="Y39" i="8"/>
  <c r="Q39" i="8"/>
  <c r="X39" i="8"/>
  <c r="P39" i="8"/>
  <c r="W39" i="8"/>
  <c r="O39" i="8"/>
  <c r="V39" i="8"/>
  <c r="F23" i="9"/>
  <c r="F24" i="9" s="1"/>
  <c r="F25" i="9" s="1"/>
  <c r="R791" i="3"/>
  <c r="S791" i="3"/>
  <c r="Q791" i="3"/>
  <c r="R817" i="3"/>
  <c r="S817" i="3"/>
  <c r="Q817" i="3"/>
  <c r="T419" i="2"/>
  <c r="U419" i="2" s="1"/>
  <c r="T398" i="2"/>
  <c r="U398" i="2" s="1"/>
  <c r="T391" i="2"/>
  <c r="U391" i="2" s="1"/>
  <c r="T365" i="2"/>
  <c r="U365" i="2" s="1"/>
  <c r="T347" i="2"/>
  <c r="U347" i="2" s="1"/>
  <c r="R874" i="3"/>
  <c r="S861" i="3"/>
  <c r="W434" i="2" s="1"/>
  <c r="R855" i="3"/>
  <c r="Q837" i="3"/>
  <c r="R837" i="3"/>
  <c r="V422" i="2" s="1"/>
  <c r="S834" i="3"/>
  <c r="W419" i="2" s="1"/>
  <c r="Q831" i="3"/>
  <c r="S828" i="3"/>
  <c r="R828" i="3"/>
  <c r="P825" i="3"/>
  <c r="Q822" i="3"/>
  <c r="R822" i="3"/>
  <c r="V413" i="2" s="1"/>
  <c r="R816" i="3"/>
  <c r="S816" i="3"/>
  <c r="R810" i="3"/>
  <c r="V410" i="2" s="1"/>
  <c r="Q767" i="3"/>
  <c r="Q759" i="3"/>
  <c r="R746" i="3"/>
  <c r="V376" i="2" s="1"/>
  <c r="R730" i="3"/>
  <c r="V366" i="2" s="1"/>
  <c r="S714" i="3"/>
  <c r="Q714" i="3"/>
  <c r="R714" i="3"/>
  <c r="Q687" i="3"/>
  <c r="R676" i="3"/>
  <c r="S676" i="3"/>
  <c r="Q676" i="3"/>
  <c r="Q673" i="3"/>
  <c r="S673" i="3"/>
  <c r="W340" i="2" s="1"/>
  <c r="S852" i="3"/>
  <c r="R852" i="3"/>
  <c r="R690" i="3"/>
  <c r="V347" i="2" s="1"/>
  <c r="S690" i="3"/>
  <c r="W347" i="2" s="1"/>
  <c r="Q821" i="3"/>
  <c r="R821" i="3"/>
  <c r="V412" i="2" s="1"/>
  <c r="R809" i="3"/>
  <c r="S809" i="3"/>
  <c r="Q809" i="3"/>
  <c r="S679" i="3"/>
  <c r="R679" i="3"/>
  <c r="Q679" i="3"/>
  <c r="Q636" i="3"/>
  <c r="R636" i="3"/>
  <c r="V320" i="2" s="1"/>
  <c r="S636" i="3"/>
  <c r="W320" i="2" s="1"/>
  <c r="S533" i="3"/>
  <c r="W270" i="2" s="1"/>
  <c r="R533" i="3"/>
  <c r="V270" i="2" s="1"/>
  <c r="Q533" i="3"/>
  <c r="T270" i="2"/>
  <c r="U270" i="2" s="1"/>
  <c r="Q797" i="3"/>
  <c r="R797" i="3"/>
  <c r="V400" i="2" s="1"/>
  <c r="S770" i="3"/>
  <c r="W388" i="2" s="1"/>
  <c r="Q770" i="3"/>
  <c r="S762" i="3"/>
  <c r="Q762" i="3"/>
  <c r="S754" i="3"/>
  <c r="Q754" i="3"/>
  <c r="S738" i="3"/>
  <c r="Q738" i="3"/>
  <c r="R727" i="3"/>
  <c r="S727" i="3"/>
  <c r="R719" i="3"/>
  <c r="V362" i="2" s="1"/>
  <c r="S719" i="3"/>
  <c r="W362" i="2" s="1"/>
  <c r="R639" i="3"/>
  <c r="V322" i="2" s="1"/>
  <c r="S639" i="3"/>
  <c r="W322" i="2" s="1"/>
  <c r="Q639" i="3"/>
  <c r="S876" i="3"/>
  <c r="R876" i="3"/>
  <c r="Q870" i="3"/>
  <c r="R870" i="3"/>
  <c r="V437" i="2" s="1"/>
  <c r="Q845" i="3"/>
  <c r="R845" i="3"/>
  <c r="V424" i="2" s="1"/>
  <c r="S836" i="3"/>
  <c r="W421" i="2" s="1"/>
  <c r="R836" i="3"/>
  <c r="V421" i="2" s="1"/>
  <c r="R833" i="3"/>
  <c r="V418" i="2" s="1"/>
  <c r="S833" i="3"/>
  <c r="W418" i="2" s="1"/>
  <c r="Q833" i="3"/>
  <c r="Q830" i="3"/>
  <c r="R830" i="3"/>
  <c r="R824" i="3"/>
  <c r="V415" i="2" s="1"/>
  <c r="S824" i="3"/>
  <c r="W415" i="2" s="1"/>
  <c r="S704" i="3"/>
  <c r="Q704" i="3"/>
  <c r="R704" i="3"/>
  <c r="R701" i="3"/>
  <c r="V353" i="2" s="1"/>
  <c r="S701" i="3"/>
  <c r="W353" i="2" s="1"/>
  <c r="Q695" i="3"/>
  <c r="S695" i="3"/>
  <c r="R695" i="3"/>
  <c r="S671" i="3"/>
  <c r="W338" i="2" s="1"/>
  <c r="Q671" i="3"/>
  <c r="R671" i="3"/>
  <c r="V338" i="2" s="1"/>
  <c r="Q652" i="3"/>
  <c r="R652" i="3"/>
  <c r="S652" i="3"/>
  <c r="S642" i="3"/>
  <c r="Q642" i="3"/>
  <c r="R582" i="3"/>
  <c r="S582" i="3"/>
  <c r="Q582" i="3"/>
  <c r="S554" i="3"/>
  <c r="R554" i="3"/>
  <c r="S778" i="3"/>
  <c r="W391" i="2" s="1"/>
  <c r="Q778" i="3"/>
  <c r="R767" i="3"/>
  <c r="V387" i="2" s="1"/>
  <c r="S767" i="3"/>
  <c r="W387" i="2" s="1"/>
  <c r="R751" i="3"/>
  <c r="V378" i="2" s="1"/>
  <c r="S751" i="3"/>
  <c r="W378" i="2" s="1"/>
  <c r="R735" i="3"/>
  <c r="V371" i="2" s="1"/>
  <c r="S735" i="3"/>
  <c r="W371" i="2" s="1"/>
  <c r="S730" i="3"/>
  <c r="W366" i="2" s="1"/>
  <c r="Q730" i="3"/>
  <c r="Q664" i="3"/>
  <c r="R664" i="3"/>
  <c r="R864" i="3"/>
  <c r="S864" i="3"/>
  <c r="Q806" i="3"/>
  <c r="R806" i="3"/>
  <c r="V407" i="2" s="1"/>
  <c r="S387" i="2"/>
  <c r="T378" i="2"/>
  <c r="U378" i="2" s="1"/>
  <c r="T371" i="2"/>
  <c r="U371" i="2" s="1"/>
  <c r="Q869" i="3"/>
  <c r="R869" i="3"/>
  <c r="V436" i="2" s="1"/>
  <c r="S866" i="3"/>
  <c r="S860" i="3"/>
  <c r="W433" i="2" s="1"/>
  <c r="R860" i="3"/>
  <c r="V433" i="2" s="1"/>
  <c r="R857" i="3"/>
  <c r="V430" i="2" s="1"/>
  <c r="S857" i="3"/>
  <c r="W430" i="2" s="1"/>
  <c r="Q857" i="3"/>
  <c r="Q854" i="3"/>
  <c r="R854" i="3"/>
  <c r="R848" i="3"/>
  <c r="V427" i="2" s="1"/>
  <c r="S848" i="3"/>
  <c r="W427" i="2" s="1"/>
  <c r="R823" i="3"/>
  <c r="V414" i="2" s="1"/>
  <c r="Q805" i="3"/>
  <c r="R805" i="3"/>
  <c r="V406" i="2" s="1"/>
  <c r="S802" i="3"/>
  <c r="S796" i="3"/>
  <c r="W399" i="2" s="1"/>
  <c r="R796" i="3"/>
  <c r="V399" i="2" s="1"/>
  <c r="R793" i="3"/>
  <c r="S793" i="3"/>
  <c r="Q793" i="3"/>
  <c r="Q707" i="3"/>
  <c r="S698" i="3"/>
  <c r="W351" i="2" s="1"/>
  <c r="Q698" i="3"/>
  <c r="R698" i="3"/>
  <c r="V351" i="2" s="1"/>
  <c r="R692" i="3"/>
  <c r="S692" i="3"/>
  <c r="R670" i="3"/>
  <c r="V337" i="2" s="1"/>
  <c r="S670" i="3"/>
  <c r="W337" i="2" s="1"/>
  <c r="Q670" i="3"/>
  <c r="Q649" i="3"/>
  <c r="S649" i="3"/>
  <c r="W326" i="2" s="1"/>
  <c r="R649" i="3"/>
  <c r="V326" i="2" s="1"/>
  <c r="Q608" i="3"/>
  <c r="S608" i="3"/>
  <c r="R608" i="3"/>
  <c r="R603" i="3"/>
  <c r="V303" i="2" s="1"/>
  <c r="S578" i="3"/>
  <c r="R578" i="3"/>
  <c r="R849" i="3"/>
  <c r="V428" i="2" s="1"/>
  <c r="S849" i="3"/>
  <c r="W428" i="2" s="1"/>
  <c r="Q849" i="3"/>
  <c r="Q846" i="3"/>
  <c r="R846" i="3"/>
  <c r="V425" i="2" s="1"/>
  <c r="R840" i="3"/>
  <c r="S840" i="3"/>
  <c r="R783" i="3"/>
  <c r="V395" i="2" s="1"/>
  <c r="S783" i="3"/>
  <c r="W395" i="2" s="1"/>
  <c r="S746" i="3"/>
  <c r="W376" i="2" s="1"/>
  <c r="Q746" i="3"/>
  <c r="S812" i="3"/>
  <c r="R812" i="3"/>
  <c r="R800" i="3"/>
  <c r="V403" i="2" s="1"/>
  <c r="S800" i="3"/>
  <c r="W403" i="2" s="1"/>
  <c r="T437" i="2"/>
  <c r="U437" i="2" s="1"/>
  <c r="T425" i="2"/>
  <c r="U425" i="2" s="1"/>
  <c r="T395" i="2"/>
  <c r="U395" i="2" s="1"/>
  <c r="S383" i="2"/>
  <c r="S378" i="2"/>
  <c r="S371" i="2"/>
  <c r="T362" i="2"/>
  <c r="U362" i="2" s="1"/>
  <c r="Q878" i="3"/>
  <c r="R878" i="3"/>
  <c r="R872" i="3"/>
  <c r="V439" i="2" s="1"/>
  <c r="S872" i="3"/>
  <c r="W439" i="2" s="1"/>
  <c r="R866" i="3"/>
  <c r="R847" i="3"/>
  <c r="V426" i="2" s="1"/>
  <c r="Q829" i="3"/>
  <c r="R829" i="3"/>
  <c r="S826" i="3"/>
  <c r="Q823" i="3"/>
  <c r="S820" i="3"/>
  <c r="W411" i="2" s="1"/>
  <c r="R820" i="3"/>
  <c r="V411" i="2" s="1"/>
  <c r="Q814" i="3"/>
  <c r="R814" i="3"/>
  <c r="R808" i="3"/>
  <c r="V409" i="2" s="1"/>
  <c r="S808" i="3"/>
  <c r="W409" i="2" s="1"/>
  <c r="R802" i="3"/>
  <c r="R787" i="3"/>
  <c r="R779" i="3"/>
  <c r="V392" i="2" s="1"/>
  <c r="R771" i="3"/>
  <c r="V389" i="2" s="1"/>
  <c r="R763" i="3"/>
  <c r="S712" i="3"/>
  <c r="Q712" i="3"/>
  <c r="R712" i="3"/>
  <c r="R709" i="3"/>
  <c r="V357" i="2" s="1"/>
  <c r="S709" i="3"/>
  <c r="W357" i="2" s="1"/>
  <c r="R703" i="3"/>
  <c r="S703" i="3"/>
  <c r="R614" i="3"/>
  <c r="S614" i="3"/>
  <c r="Q614" i="3"/>
  <c r="S786" i="3"/>
  <c r="W398" i="2" s="1"/>
  <c r="Q786" i="3"/>
  <c r="R759" i="3"/>
  <c r="V383" i="2" s="1"/>
  <c r="S759" i="3"/>
  <c r="W383" i="2" s="1"/>
  <c r="Q529" i="3"/>
  <c r="R529" i="3"/>
  <c r="S529" i="3"/>
  <c r="S437" i="2"/>
  <c r="T428" i="2"/>
  <c r="U428" i="2" s="1"/>
  <c r="S425" i="2"/>
  <c r="T407" i="2"/>
  <c r="U407" i="2" s="1"/>
  <c r="T400" i="2"/>
  <c r="U400" i="2" s="1"/>
  <c r="S395" i="2"/>
  <c r="S362" i="2"/>
  <c r="T322" i="2"/>
  <c r="U322" i="2" s="1"/>
  <c r="T320" i="2"/>
  <c r="U320" i="2" s="1"/>
  <c r="Q853" i="3"/>
  <c r="R853" i="3"/>
  <c r="S844" i="3"/>
  <c r="W423" i="2" s="1"/>
  <c r="R844" i="3"/>
  <c r="V423" i="2" s="1"/>
  <c r="R841" i="3"/>
  <c r="S841" i="3"/>
  <c r="Q841" i="3"/>
  <c r="Q838" i="3"/>
  <c r="R838" i="3"/>
  <c r="R832" i="3"/>
  <c r="V417" i="2" s="1"/>
  <c r="S832" i="3"/>
  <c r="W417" i="2" s="1"/>
  <c r="Q792" i="3"/>
  <c r="R792" i="3"/>
  <c r="Q656" i="3"/>
  <c r="S656" i="3"/>
  <c r="W329" i="2" s="1"/>
  <c r="S629" i="3"/>
  <c r="W317" i="2" s="1"/>
  <c r="R629" i="3"/>
  <c r="V317" i="2" s="1"/>
  <c r="Q629" i="3"/>
  <c r="Q861" i="3"/>
  <c r="R861" i="3"/>
  <c r="V434" i="2" s="1"/>
  <c r="R775" i="3"/>
  <c r="S775" i="3"/>
  <c r="R743" i="3"/>
  <c r="S743" i="3"/>
  <c r="S722" i="3"/>
  <c r="W365" i="2" s="1"/>
  <c r="Q722" i="3"/>
  <c r="S410" i="2"/>
  <c r="Q873" i="3"/>
  <c r="S407" i="2"/>
  <c r="T388" i="2"/>
  <c r="U388" i="2" s="1"/>
  <c r="S320" i="2"/>
  <c r="Q877" i="3"/>
  <c r="R877" i="3"/>
  <c r="S874" i="3"/>
  <c r="S868" i="3"/>
  <c r="W435" i="2" s="1"/>
  <c r="R868" i="3"/>
  <c r="V435" i="2" s="1"/>
  <c r="R865" i="3"/>
  <c r="S865" i="3"/>
  <c r="Q865" i="3"/>
  <c r="Q862" i="3"/>
  <c r="R862" i="3"/>
  <c r="R856" i="3"/>
  <c r="V429" i="2" s="1"/>
  <c r="S856" i="3"/>
  <c r="W429" i="2" s="1"/>
  <c r="R831" i="3"/>
  <c r="Q813" i="3"/>
  <c r="R813" i="3"/>
  <c r="S810" i="3"/>
  <c r="W410" i="2" s="1"/>
  <c r="S804" i="3"/>
  <c r="W405" i="2" s="1"/>
  <c r="R804" i="3"/>
  <c r="V405" i="2" s="1"/>
  <c r="R801" i="3"/>
  <c r="V404" i="2" s="1"/>
  <c r="S801" i="3"/>
  <c r="W404" i="2" s="1"/>
  <c r="Q801" i="3"/>
  <c r="Q798" i="3"/>
  <c r="R798" i="3"/>
  <c r="V401" i="2" s="1"/>
  <c r="R789" i="3"/>
  <c r="S789" i="3"/>
  <c r="S784" i="3"/>
  <c r="W396" i="2" s="1"/>
  <c r="R784" i="3"/>
  <c r="V396" i="2" s="1"/>
  <c r="R781" i="3"/>
  <c r="V394" i="2" s="1"/>
  <c r="S781" i="3"/>
  <c r="W394" i="2" s="1"/>
  <c r="S776" i="3"/>
  <c r="R776" i="3"/>
  <c r="R773" i="3"/>
  <c r="S773" i="3"/>
  <c r="S768" i="3"/>
  <c r="R768" i="3"/>
  <c r="R765" i="3"/>
  <c r="V385" i="2" s="1"/>
  <c r="S765" i="3"/>
  <c r="W385" i="2" s="1"/>
  <c r="S760" i="3"/>
  <c r="R760" i="3"/>
  <c r="R757" i="3"/>
  <c r="V381" i="2" s="1"/>
  <c r="S757" i="3"/>
  <c r="W381" i="2" s="1"/>
  <c r="S752" i="3"/>
  <c r="W379" i="2" s="1"/>
  <c r="R752" i="3"/>
  <c r="V379" i="2" s="1"/>
  <c r="R749" i="3"/>
  <c r="S749" i="3"/>
  <c r="S744" i="3"/>
  <c r="R744" i="3"/>
  <c r="R741" i="3"/>
  <c r="V374" i="2" s="1"/>
  <c r="S741" i="3"/>
  <c r="W374" i="2" s="1"/>
  <c r="S736" i="3"/>
  <c r="R736" i="3"/>
  <c r="R733" i="3"/>
  <c r="V369" i="2" s="1"/>
  <c r="S733" i="3"/>
  <c r="W369" i="2" s="1"/>
  <c r="S728" i="3"/>
  <c r="R728" i="3"/>
  <c r="R725" i="3"/>
  <c r="S725" i="3"/>
  <c r="S720" i="3"/>
  <c r="W363" i="2" s="1"/>
  <c r="R720" i="3"/>
  <c r="V363" i="2" s="1"/>
  <c r="R717" i="3"/>
  <c r="V360" i="2" s="1"/>
  <c r="S717" i="3"/>
  <c r="W360" i="2" s="1"/>
  <c r="R711" i="3"/>
  <c r="S711" i="3"/>
  <c r="R687" i="3"/>
  <c r="Q681" i="3"/>
  <c r="S681" i="3"/>
  <c r="W342" i="2" s="1"/>
  <c r="R681" i="3"/>
  <c r="V342" i="2" s="1"/>
  <c r="R673" i="3"/>
  <c r="V340" i="2" s="1"/>
  <c r="Q688" i="3"/>
  <c r="R688" i="3"/>
  <c r="V345" i="2" s="1"/>
  <c r="Q667" i="3"/>
  <c r="R667" i="3"/>
  <c r="S667" i="3"/>
  <c r="Q657" i="3"/>
  <c r="S657" i="3"/>
  <c r="W330" i="2" s="1"/>
  <c r="R615" i="3"/>
  <c r="S615" i="3"/>
  <c r="Q615" i="3"/>
  <c r="R583" i="3"/>
  <c r="S583" i="3"/>
  <c r="Q583" i="3"/>
  <c r="Q576" i="3"/>
  <c r="R576" i="3"/>
  <c r="V293" i="2" s="1"/>
  <c r="R551" i="3"/>
  <c r="S551" i="3"/>
  <c r="Q551" i="3"/>
  <c r="R678" i="3"/>
  <c r="S678" i="3"/>
  <c r="Q675" i="3"/>
  <c r="R675" i="3"/>
  <c r="R669" i="3"/>
  <c r="V336" i="2" s="1"/>
  <c r="Q635" i="3"/>
  <c r="R635" i="3"/>
  <c r="V319" i="2" s="1"/>
  <c r="S635" i="3"/>
  <c r="W319" i="2" s="1"/>
  <c r="S632" i="3"/>
  <c r="Q600" i="3"/>
  <c r="R600" i="3"/>
  <c r="Q596" i="3"/>
  <c r="R596" i="3"/>
  <c r="V300" i="2" s="1"/>
  <c r="S596" i="3"/>
  <c r="W300" i="2" s="1"/>
  <c r="Q532" i="3"/>
  <c r="R532" i="3"/>
  <c r="V269" i="2" s="1"/>
  <c r="S532" i="3"/>
  <c r="W269" i="2" s="1"/>
  <c r="S875" i="3"/>
  <c r="S867" i="3"/>
  <c r="S859" i="3"/>
  <c r="W432" i="2" s="1"/>
  <c r="S851" i="3"/>
  <c r="S843" i="3"/>
  <c r="S835" i="3"/>
  <c r="W420" i="2" s="1"/>
  <c r="S827" i="3"/>
  <c r="S819" i="3"/>
  <c r="S811" i="3"/>
  <c r="S803" i="3"/>
  <c r="S795" i="3"/>
  <c r="R694" i="3"/>
  <c r="S694" i="3"/>
  <c r="Q683" i="3"/>
  <c r="R683" i="3"/>
  <c r="V344" i="2" s="1"/>
  <c r="S683" i="3"/>
  <c r="W344" i="2" s="1"/>
  <c r="Q669" i="3"/>
  <c r="S663" i="3"/>
  <c r="R663" i="3"/>
  <c r="R655" i="3"/>
  <c r="S655" i="3"/>
  <c r="Q648" i="3"/>
  <c r="S648" i="3"/>
  <c r="W325" i="2" s="1"/>
  <c r="R632" i="3"/>
  <c r="R599" i="3"/>
  <c r="S599" i="3"/>
  <c r="Q599" i="3"/>
  <c r="Q588" i="3"/>
  <c r="R588" i="3"/>
  <c r="S588" i="3"/>
  <c r="R567" i="3"/>
  <c r="S567" i="3"/>
  <c r="Q567" i="3"/>
  <c r="Q540" i="3"/>
  <c r="R540" i="3"/>
  <c r="S540" i="3"/>
  <c r="Q696" i="3"/>
  <c r="S696" i="3"/>
  <c r="W349" i="2" s="1"/>
  <c r="Q689" i="3"/>
  <c r="S689" i="3"/>
  <c r="W346" i="2" s="1"/>
  <c r="R686" i="3"/>
  <c r="S686" i="3"/>
  <c r="Q686" i="3"/>
  <c r="Q672" i="3"/>
  <c r="R672" i="3"/>
  <c r="V339" i="2" s="1"/>
  <c r="R654" i="3"/>
  <c r="S654" i="3"/>
  <c r="Q654" i="3"/>
  <c r="Q620" i="3"/>
  <c r="R620" i="3"/>
  <c r="V312" i="2" s="1"/>
  <c r="S620" i="3"/>
  <c r="W312" i="2" s="1"/>
  <c r="Q587" i="3"/>
  <c r="R587" i="3"/>
  <c r="V297" i="2" s="1"/>
  <c r="S587" i="3"/>
  <c r="W297" i="2" s="1"/>
  <c r="Q563" i="3"/>
  <c r="R563" i="3"/>
  <c r="Q691" i="3"/>
  <c r="R691" i="3"/>
  <c r="V348" i="2" s="1"/>
  <c r="R685" i="3"/>
  <c r="R680" i="3"/>
  <c r="V341" i="2" s="1"/>
  <c r="Q674" i="3"/>
  <c r="R662" i="3"/>
  <c r="S662" i="3"/>
  <c r="R653" i="3"/>
  <c r="R647" i="3"/>
  <c r="S647" i="3"/>
  <c r="Q644" i="3"/>
  <c r="R644" i="3"/>
  <c r="S640" i="3"/>
  <c r="W323" i="2" s="1"/>
  <c r="R631" i="3"/>
  <c r="S631" i="3"/>
  <c r="Q631" i="3"/>
  <c r="R591" i="3"/>
  <c r="S591" i="3"/>
  <c r="Q591" i="3"/>
  <c r="R668" i="3"/>
  <c r="V335" i="2" s="1"/>
  <c r="S668" i="3"/>
  <c r="W335" i="2" s="1"/>
  <c r="Q665" i="3"/>
  <c r="S665" i="3"/>
  <c r="R665" i="3"/>
  <c r="R646" i="3"/>
  <c r="S646" i="3"/>
  <c r="Q646" i="3"/>
  <c r="Q643" i="3"/>
  <c r="R643" i="3"/>
  <c r="S643" i="3"/>
  <c r="R630" i="3"/>
  <c r="S630" i="3"/>
  <c r="Q630" i="3"/>
  <c r="S626" i="3"/>
  <c r="W314" i="2" s="1"/>
  <c r="R626" i="3"/>
  <c r="V314" i="2" s="1"/>
  <c r="Q626" i="3"/>
  <c r="R623" i="3"/>
  <c r="S623" i="3"/>
  <c r="Q623" i="3"/>
  <c r="Q616" i="3"/>
  <c r="R616" i="3"/>
  <c r="S616" i="3"/>
  <c r="S605" i="3"/>
  <c r="W305" i="2" s="1"/>
  <c r="Q605" i="3"/>
  <c r="R590" i="3"/>
  <c r="S590" i="3"/>
  <c r="Q590" i="3"/>
  <c r="Q579" i="3"/>
  <c r="R579" i="3"/>
  <c r="S579" i="3"/>
  <c r="Q552" i="3"/>
  <c r="S552" i="3"/>
  <c r="W281" i="2" s="1"/>
  <c r="R552" i="3"/>
  <c r="V281" i="2" s="1"/>
  <c r="Q544" i="3"/>
  <c r="S544" i="3"/>
  <c r="W274" i="2" s="1"/>
  <c r="Q651" i="3"/>
  <c r="R651" i="3"/>
  <c r="V328" i="2" s="1"/>
  <c r="Q641" i="3"/>
  <c r="S641" i="3"/>
  <c r="W324" i="2" s="1"/>
  <c r="R638" i="3"/>
  <c r="S638" i="3"/>
  <c r="Q611" i="3"/>
  <c r="R611" i="3"/>
  <c r="V307" i="2" s="1"/>
  <c r="S602" i="3"/>
  <c r="W302" i="2" s="1"/>
  <c r="R602" i="3"/>
  <c r="V302" i="2" s="1"/>
  <c r="S570" i="3"/>
  <c r="W288" i="2" s="1"/>
  <c r="R570" i="3"/>
  <c r="V288" i="2" s="1"/>
  <c r="R558" i="3"/>
  <c r="V284" i="2" s="1"/>
  <c r="S558" i="3"/>
  <c r="W284" i="2" s="1"/>
  <c r="Q548" i="3"/>
  <c r="R548" i="3"/>
  <c r="V278" i="2" s="1"/>
  <c r="S548" i="3"/>
  <c r="W278" i="2" s="1"/>
  <c r="Q537" i="3"/>
  <c r="R537" i="3"/>
  <c r="V271" i="2" s="1"/>
  <c r="S537" i="3"/>
  <c r="W271" i="2" s="1"/>
  <c r="Q619" i="3"/>
  <c r="R619" i="3"/>
  <c r="V311" i="2" s="1"/>
  <c r="S610" i="3"/>
  <c r="W306" i="2" s="1"/>
  <c r="R610" i="3"/>
  <c r="V306" i="2" s="1"/>
  <c r="R607" i="3"/>
  <c r="S607" i="3"/>
  <c r="Q607" i="3"/>
  <c r="Q604" i="3"/>
  <c r="R604" i="3"/>
  <c r="V304" i="2" s="1"/>
  <c r="R598" i="3"/>
  <c r="S598" i="3"/>
  <c r="Q595" i="3"/>
  <c r="R595" i="3"/>
  <c r="V299" i="2" s="1"/>
  <c r="S592" i="3"/>
  <c r="Q572" i="3"/>
  <c r="R572" i="3"/>
  <c r="V290" i="2" s="1"/>
  <c r="R566" i="3"/>
  <c r="S566" i="3"/>
  <c r="Q543" i="3"/>
  <c r="S634" i="3"/>
  <c r="W318" i="2" s="1"/>
  <c r="R634" i="3"/>
  <c r="V318" i="2" s="1"/>
  <c r="Q628" i="3"/>
  <c r="R628" i="3"/>
  <c r="V316" i="2" s="1"/>
  <c r="R622" i="3"/>
  <c r="S622" i="3"/>
  <c r="R592" i="3"/>
  <c r="S586" i="3"/>
  <c r="W296" i="2" s="1"/>
  <c r="R586" i="3"/>
  <c r="V296" i="2" s="1"/>
  <c r="Q550" i="3"/>
  <c r="R550" i="3"/>
  <c r="V280" i="2" s="1"/>
  <c r="S550" i="3"/>
  <c r="W280" i="2" s="1"/>
  <c r="R535" i="3"/>
  <c r="S535" i="3"/>
  <c r="Q535" i="3"/>
  <c r="Q580" i="3"/>
  <c r="R580" i="3"/>
  <c r="R574" i="3"/>
  <c r="V291" i="2" s="1"/>
  <c r="S574" i="3"/>
  <c r="W291" i="2" s="1"/>
  <c r="Q571" i="3"/>
  <c r="R571" i="3"/>
  <c r="V289" i="2" s="1"/>
  <c r="S562" i="3"/>
  <c r="W286" i="2" s="1"/>
  <c r="R562" i="3"/>
  <c r="V286" i="2" s="1"/>
  <c r="R559" i="3"/>
  <c r="S559" i="3"/>
  <c r="Q559" i="3"/>
  <c r="Q556" i="3"/>
  <c r="R556" i="3"/>
  <c r="V282" i="2" s="1"/>
  <c r="S546" i="3"/>
  <c r="W276" i="2" s="1"/>
  <c r="R546" i="3"/>
  <c r="V276" i="2" s="1"/>
  <c r="Q542" i="3"/>
  <c r="R542" i="3"/>
  <c r="V272" i="2" s="1"/>
  <c r="S542" i="3"/>
  <c r="W272" i="2" s="1"/>
  <c r="R527" i="3"/>
  <c r="S527" i="3"/>
  <c r="Q527" i="3"/>
  <c r="Q659" i="3"/>
  <c r="R659" i="3"/>
  <c r="V332" i="2" s="1"/>
  <c r="Q627" i="3"/>
  <c r="R627" i="3"/>
  <c r="V315" i="2" s="1"/>
  <c r="S618" i="3"/>
  <c r="W310" i="2" s="1"/>
  <c r="R618" i="3"/>
  <c r="V310" i="2" s="1"/>
  <c r="Q612" i="3"/>
  <c r="R612" i="3"/>
  <c r="V308" i="2" s="1"/>
  <c r="R606" i="3"/>
  <c r="S606" i="3"/>
  <c r="S594" i="3"/>
  <c r="W298" i="2" s="1"/>
  <c r="R594" i="3"/>
  <c r="V298" i="2" s="1"/>
  <c r="R568" i="3"/>
  <c r="R541" i="3"/>
  <c r="S538" i="3"/>
  <c r="R538" i="3"/>
  <c r="Q534" i="3"/>
  <c r="R534" i="3"/>
  <c r="S534" i="3"/>
  <c r="Q555" i="3"/>
  <c r="R555" i="3"/>
  <c r="Q545" i="3"/>
  <c r="R545" i="3"/>
  <c r="V275" i="2" s="1"/>
  <c r="S545" i="3"/>
  <c r="W275" i="2" s="1"/>
  <c r="Q541" i="3"/>
  <c r="S530" i="3"/>
  <c r="W267" i="2" s="1"/>
  <c r="R530" i="3"/>
  <c r="V267" i="2" s="1"/>
  <c r="Q526" i="3"/>
  <c r="R526" i="3"/>
  <c r="S526" i="3"/>
  <c r="R547" i="3"/>
  <c r="V277" i="2" s="1"/>
  <c r="R539" i="3"/>
  <c r="R531" i="3"/>
  <c r="V268" i="2" s="1"/>
  <c r="S633" i="3"/>
  <c r="S625" i="3"/>
  <c r="S617" i="3"/>
  <c r="S609" i="3"/>
  <c r="S601" i="3"/>
  <c r="S593" i="3"/>
  <c r="S585" i="3"/>
  <c r="W295" i="2" s="1"/>
  <c r="S577" i="3"/>
  <c r="S569" i="3"/>
  <c r="S553" i="3"/>
  <c r="Q382" i="3"/>
  <c r="S382" i="3"/>
  <c r="S508" i="3"/>
  <c r="Q508" i="3"/>
  <c r="T258" i="2"/>
  <c r="U258" i="2" s="1"/>
  <c r="Q513" i="3"/>
  <c r="S406" i="3"/>
  <c r="R406" i="3"/>
  <c r="Q406" i="3"/>
  <c r="S512" i="3"/>
  <c r="W257" i="2" s="1"/>
  <c r="Q512" i="3"/>
  <c r="R512" i="3"/>
  <c r="V257" i="2" s="1"/>
  <c r="T257" i="2"/>
  <c r="U257" i="2" s="1"/>
  <c r="S462" i="3"/>
  <c r="W233" i="2" s="1"/>
  <c r="T233" i="2"/>
  <c r="U233" i="2" s="1"/>
  <c r="T209" i="2"/>
  <c r="U209" i="2" s="1"/>
  <c r="Q416" i="3"/>
  <c r="T215" i="2"/>
  <c r="U215" i="2" s="1"/>
  <c r="S424" i="3"/>
  <c r="W215" i="2" s="1"/>
  <c r="S452" i="3"/>
  <c r="W229" i="2" s="1"/>
  <c r="T229" i="2"/>
  <c r="U229" i="2" s="1"/>
  <c r="Q452" i="3"/>
  <c r="R452" i="3"/>
  <c r="V229" i="2" s="1"/>
  <c r="R277" i="3"/>
  <c r="S277" i="3"/>
  <c r="Q243" i="3"/>
  <c r="R243" i="3"/>
  <c r="V123" i="2" s="1"/>
  <c r="S243" i="3"/>
  <c r="W123" i="2" s="1"/>
  <c r="S271" i="3"/>
  <c r="Q271" i="3"/>
  <c r="R271" i="3"/>
  <c r="S133" i="2"/>
  <c r="R517" i="3"/>
  <c r="V262" i="2" s="1"/>
  <c r="T262" i="2"/>
  <c r="U262" i="2" s="1"/>
  <c r="S456" i="3"/>
  <c r="Q456" i="3"/>
  <c r="R456" i="3"/>
  <c r="Q437" i="3"/>
  <c r="S437" i="3"/>
  <c r="S414" i="3"/>
  <c r="R414" i="3"/>
  <c r="S376" i="3"/>
  <c r="Q376" i="3"/>
  <c r="R312" i="3"/>
  <c r="V158" i="2" s="1"/>
  <c r="Q312" i="3"/>
  <c r="R293" i="3"/>
  <c r="V148" i="2" s="1"/>
  <c r="Q293" i="3"/>
  <c r="Q151" i="3"/>
  <c r="R151" i="3"/>
  <c r="R138" i="3"/>
  <c r="V72" i="2" s="1"/>
  <c r="Q138" i="3"/>
  <c r="S138" i="3"/>
  <c r="W72" i="2" s="1"/>
  <c r="Q133" i="3"/>
  <c r="R133" i="3"/>
  <c r="S41" i="3"/>
  <c r="W22" i="2" s="1"/>
  <c r="Q41" i="3"/>
  <c r="Q13" i="3"/>
  <c r="R13" i="3"/>
  <c r="V10" i="2" s="1"/>
  <c r="R74" i="3"/>
  <c r="V40" i="2" s="1"/>
  <c r="Q74" i="3"/>
  <c r="S74" i="3"/>
  <c r="W40" i="2" s="1"/>
  <c r="Q522" i="3"/>
  <c r="T263" i="2"/>
  <c r="U263" i="2" s="1"/>
  <c r="R261" i="3"/>
  <c r="V133" i="2" s="1"/>
  <c r="S261" i="3"/>
  <c r="W133" i="2" s="1"/>
  <c r="Q261" i="3"/>
  <c r="S257" i="2"/>
  <c r="S5" i="2"/>
  <c r="Q503" i="3"/>
  <c r="S503" i="3"/>
  <c r="S488" i="3"/>
  <c r="R488" i="3"/>
  <c r="S480" i="3"/>
  <c r="Q480" i="3"/>
  <c r="S464" i="3"/>
  <c r="W235" i="2" s="1"/>
  <c r="R464" i="3"/>
  <c r="V235" i="2" s="1"/>
  <c r="S448" i="3"/>
  <c r="W226" i="2" s="1"/>
  <c r="R448" i="3"/>
  <c r="V226" i="2" s="1"/>
  <c r="R354" i="3"/>
  <c r="V180" i="2" s="1"/>
  <c r="S354" i="3"/>
  <c r="W180" i="2" s="1"/>
  <c r="S340" i="3"/>
  <c r="Q340" i="3"/>
  <c r="S332" i="3"/>
  <c r="R332" i="3"/>
  <c r="Q332" i="3"/>
  <c r="S320" i="3"/>
  <c r="R320" i="3"/>
  <c r="Q311" i="3"/>
  <c r="R311" i="3"/>
  <c r="S292" i="3"/>
  <c r="Q292" i="3"/>
  <c r="R292" i="3"/>
  <c r="Q275" i="3"/>
  <c r="S275" i="3"/>
  <c r="W140" i="2" s="1"/>
  <c r="S238" i="3"/>
  <c r="R238" i="3"/>
  <c r="Q157" i="3"/>
  <c r="R157" i="3"/>
  <c r="V82" i="2" s="1"/>
  <c r="Q96" i="3"/>
  <c r="S96" i="3"/>
  <c r="S496" i="3"/>
  <c r="R496" i="3"/>
  <c r="S476" i="3"/>
  <c r="Q476" i="3"/>
  <c r="S190" i="3"/>
  <c r="Q190" i="3"/>
  <c r="R190" i="3"/>
  <c r="Q405" i="3"/>
  <c r="R405" i="3"/>
  <c r="Q359" i="3"/>
  <c r="R359" i="3"/>
  <c r="S359" i="3"/>
  <c r="Q350" i="3"/>
  <c r="R350" i="3"/>
  <c r="V176" i="2" s="1"/>
  <c r="S350" i="3"/>
  <c r="W176" i="2" s="1"/>
  <c r="R229" i="3"/>
  <c r="V117" i="2" s="1"/>
  <c r="Q229" i="3"/>
  <c r="S229" i="3"/>
  <c r="W117" i="2" s="1"/>
  <c r="T117" i="2"/>
  <c r="U117" i="2" s="1"/>
  <c r="S198" i="2"/>
  <c r="T44" i="2"/>
  <c r="U44" i="2" s="1"/>
  <c r="S37" i="2"/>
  <c r="T243" i="2"/>
  <c r="U243" i="2" s="1"/>
  <c r="S148" i="2"/>
  <c r="S128" i="2"/>
  <c r="T95" i="2"/>
  <c r="U95" i="2" s="1"/>
  <c r="S44" i="2"/>
  <c r="Q479" i="3"/>
  <c r="S479" i="3"/>
  <c r="S422" i="3"/>
  <c r="W213" i="2" s="1"/>
  <c r="R422" i="3"/>
  <c r="V213" i="2" s="1"/>
  <c r="Q375" i="3"/>
  <c r="S375" i="3"/>
  <c r="W190" i="2" s="1"/>
  <c r="R362" i="3"/>
  <c r="V182" i="2" s="1"/>
  <c r="S362" i="3"/>
  <c r="W182" i="2" s="1"/>
  <c r="Q344" i="3"/>
  <c r="R344" i="3"/>
  <c r="V174" i="2" s="1"/>
  <c r="S264" i="3"/>
  <c r="R264" i="3"/>
  <c r="Q264" i="3"/>
  <c r="R213" i="3"/>
  <c r="V109" i="2" s="1"/>
  <c r="S213" i="3"/>
  <c r="W109" i="2" s="1"/>
  <c r="S198" i="3"/>
  <c r="R198" i="3"/>
  <c r="Q198" i="3"/>
  <c r="Q136" i="3"/>
  <c r="S136" i="3"/>
  <c r="W70" i="2" s="1"/>
  <c r="Q45" i="3"/>
  <c r="R45" i="3"/>
  <c r="V25" i="2" s="1"/>
  <c r="Q29" i="3"/>
  <c r="R29" i="3"/>
  <c r="V17" i="2" s="1"/>
  <c r="Q79" i="3"/>
  <c r="R79" i="3"/>
  <c r="V43" i="2" s="1"/>
  <c r="S79" i="3"/>
  <c r="W43" i="2" s="1"/>
  <c r="S68" i="3"/>
  <c r="W37" i="2" s="1"/>
  <c r="R68" i="3"/>
  <c r="V37" i="2" s="1"/>
  <c r="S233" i="2"/>
  <c r="T176" i="2"/>
  <c r="U176" i="2" s="1"/>
  <c r="S240" i="2"/>
  <c r="T128" i="2"/>
  <c r="U128" i="2" s="1"/>
  <c r="T123" i="2"/>
  <c r="U123" i="2" s="1"/>
  <c r="T253" i="2"/>
  <c r="U253" i="2" s="1"/>
  <c r="S253" i="2"/>
  <c r="S243" i="2"/>
  <c r="S223" i="2"/>
  <c r="T219" i="2"/>
  <c r="U219" i="2" s="1"/>
  <c r="S197" i="2"/>
  <c r="S164" i="2"/>
  <c r="T147" i="2"/>
  <c r="U147" i="2" s="1"/>
  <c r="T127" i="2"/>
  <c r="U127" i="2" s="1"/>
  <c r="S95" i="2"/>
  <c r="T72" i="2"/>
  <c r="U72" i="2" s="1"/>
  <c r="P524" i="3"/>
  <c r="Q520" i="3"/>
  <c r="R491" i="3"/>
  <c r="V248" i="2" s="1"/>
  <c r="S484" i="3"/>
  <c r="W245" i="2" s="1"/>
  <c r="Q484" i="3"/>
  <c r="Q455" i="3"/>
  <c r="R438" i="3"/>
  <c r="Q421" i="3"/>
  <c r="S330" i="3"/>
  <c r="W169" i="2" s="1"/>
  <c r="Q310" i="3"/>
  <c r="R310" i="3"/>
  <c r="Q149" i="3"/>
  <c r="R149" i="3"/>
  <c r="V78" i="2" s="1"/>
  <c r="Q125" i="3"/>
  <c r="R125" i="3"/>
  <c r="S17" i="3"/>
  <c r="Q17" i="3"/>
  <c r="Q5" i="3"/>
  <c r="R5" i="3"/>
  <c r="S360" i="3"/>
  <c r="Q360" i="3"/>
  <c r="Q37" i="3"/>
  <c r="R37" i="3"/>
  <c r="S390" i="3"/>
  <c r="W198" i="2" s="1"/>
  <c r="Q390" i="3"/>
  <c r="S373" i="3"/>
  <c r="W189" i="2" s="1"/>
  <c r="Q373" i="3"/>
  <c r="S333" i="3"/>
  <c r="Q333" i="3"/>
  <c r="R333" i="3"/>
  <c r="S316" i="3"/>
  <c r="W159" i="2" s="1"/>
  <c r="Q316" i="3"/>
  <c r="R316" i="3"/>
  <c r="V159" i="2" s="1"/>
  <c r="S25" i="3"/>
  <c r="Q25" i="3"/>
  <c r="T240" i="2"/>
  <c r="U240" i="2" s="1"/>
  <c r="T159" i="2"/>
  <c r="U159" i="2" s="1"/>
  <c r="S159" i="2"/>
  <c r="S117" i="2"/>
  <c r="T223" i="2"/>
  <c r="U223" i="2" s="1"/>
  <c r="T250" i="2"/>
  <c r="U250" i="2" s="1"/>
  <c r="S242" i="2"/>
  <c r="T236" i="2"/>
  <c r="U236" i="2" s="1"/>
  <c r="S219" i="2"/>
  <c r="T206" i="2"/>
  <c r="U206" i="2" s="1"/>
  <c r="T189" i="2"/>
  <c r="U189" i="2" s="1"/>
  <c r="T172" i="2"/>
  <c r="U172" i="2" s="1"/>
  <c r="T163" i="2"/>
  <c r="U163" i="2" s="1"/>
  <c r="T160" i="2"/>
  <c r="U160" i="2" s="1"/>
  <c r="T158" i="2"/>
  <c r="U158" i="2" s="1"/>
  <c r="S134" i="2"/>
  <c r="S127" i="2"/>
  <c r="S112" i="2"/>
  <c r="S72" i="2"/>
  <c r="T10" i="2"/>
  <c r="U10" i="2" s="1"/>
  <c r="S516" i="3"/>
  <c r="W261" i="2" s="1"/>
  <c r="T261" i="2"/>
  <c r="U261" i="2" s="1"/>
  <c r="R504" i="3"/>
  <c r="V255" i="2" s="1"/>
  <c r="S493" i="3"/>
  <c r="W250" i="2" s="1"/>
  <c r="Q463" i="3"/>
  <c r="R463" i="3"/>
  <c r="V234" i="2" s="1"/>
  <c r="R458" i="3"/>
  <c r="Q442" i="3"/>
  <c r="R442" i="3"/>
  <c r="V224" i="2" s="1"/>
  <c r="Q438" i="3"/>
  <c r="Q396" i="3"/>
  <c r="R396" i="3"/>
  <c r="R374" i="3"/>
  <c r="S357" i="3"/>
  <c r="Q357" i="3"/>
  <c r="S334" i="3"/>
  <c r="R314" i="3"/>
  <c r="S314" i="3"/>
  <c r="R303" i="3"/>
  <c r="V154" i="2" s="1"/>
  <c r="S303" i="3"/>
  <c r="W154" i="2" s="1"/>
  <c r="Q104" i="3"/>
  <c r="S104" i="3"/>
  <c r="Q64" i="3"/>
  <c r="S64" i="3"/>
  <c r="S33" i="3"/>
  <c r="Q33" i="3"/>
  <c r="T255" i="2"/>
  <c r="U255" i="2" s="1"/>
  <c r="S252" i="2"/>
  <c r="S236" i="2"/>
  <c r="S206" i="2"/>
  <c r="S193" i="2"/>
  <c r="S177" i="2"/>
  <c r="S172" i="2"/>
  <c r="S160" i="2"/>
  <c r="S158" i="2"/>
  <c r="T43" i="2"/>
  <c r="U43" i="2" s="1"/>
  <c r="S38" i="2"/>
  <c r="T22" i="2"/>
  <c r="U22" i="2" s="1"/>
  <c r="S10" i="2"/>
  <c r="Q504" i="3"/>
  <c r="Q496" i="3"/>
  <c r="Q493" i="3"/>
  <c r="S472" i="3"/>
  <c r="W237" i="2" s="1"/>
  <c r="R472" i="3"/>
  <c r="V237" i="2" s="1"/>
  <c r="R360" i="3"/>
  <c r="R356" i="3"/>
  <c r="Q346" i="3"/>
  <c r="Q343" i="3"/>
  <c r="S343" i="3"/>
  <c r="W173" i="2" s="1"/>
  <c r="R338" i="3"/>
  <c r="S338" i="3"/>
  <c r="R334" i="3"/>
  <c r="S294" i="3"/>
  <c r="W149" i="2" s="1"/>
  <c r="Q257" i="3"/>
  <c r="S257" i="3"/>
  <c r="S247" i="3"/>
  <c r="R247" i="3"/>
  <c r="R58" i="3"/>
  <c r="Q58" i="3"/>
  <c r="S48" i="3"/>
  <c r="Q21" i="3"/>
  <c r="R21" i="3"/>
  <c r="V13" i="2" s="1"/>
  <c r="S203" i="3"/>
  <c r="W104" i="2" s="1"/>
  <c r="S162" i="3"/>
  <c r="Q72" i="3"/>
  <c r="S72" i="3"/>
  <c r="P523" i="3"/>
  <c r="T264" i="2" s="1"/>
  <c r="U264" i="2" s="1"/>
  <c r="S264" i="2"/>
  <c r="Q495" i="3"/>
  <c r="Q487" i="3"/>
  <c r="R435" i="3"/>
  <c r="Q324" i="3"/>
  <c r="Q279" i="3"/>
  <c r="S254" i="3"/>
  <c r="R254" i="3"/>
  <c r="R250" i="3"/>
  <c r="V126" i="2" s="1"/>
  <c r="R222" i="3"/>
  <c r="S218" i="3"/>
  <c r="W110" i="2" s="1"/>
  <c r="R203" i="3"/>
  <c r="V104" i="2" s="1"/>
  <c r="Q162" i="3"/>
  <c r="R154" i="3"/>
  <c r="Q154" i="3"/>
  <c r="R100" i="3"/>
  <c r="V54" i="2" s="1"/>
  <c r="Q66" i="3"/>
  <c r="R379" i="3"/>
  <c r="V191" i="2" s="1"/>
  <c r="S348" i="3"/>
  <c r="R348" i="3"/>
  <c r="R308" i="3"/>
  <c r="V156" i="2" s="1"/>
  <c r="S245" i="3"/>
  <c r="W125" i="2" s="1"/>
  <c r="Q222" i="3"/>
  <c r="R218" i="3"/>
  <c r="V110" i="2" s="1"/>
  <c r="R214" i="3"/>
  <c r="S211" i="3"/>
  <c r="W107" i="2" s="1"/>
  <c r="R206" i="3"/>
  <c r="R116" i="3"/>
  <c r="V60" i="2" s="1"/>
  <c r="S106" i="3"/>
  <c r="W56" i="2" s="1"/>
  <c r="Q100" i="3"/>
  <c r="R82" i="3"/>
  <c r="Q82" i="3"/>
  <c r="S71" i="3"/>
  <c r="W39" i="2" s="1"/>
  <c r="Q347" i="3"/>
  <c r="S326" i="3"/>
  <c r="W165" i="2" s="1"/>
  <c r="S323" i="3"/>
  <c r="R323" i="3"/>
  <c r="R263" i="3"/>
  <c r="R231" i="3"/>
  <c r="R132" i="3"/>
  <c r="R127" i="3"/>
  <c r="V65" i="2" s="1"/>
  <c r="Q49" i="3"/>
  <c r="Q9" i="3"/>
  <c r="R98" i="3"/>
  <c r="V52" i="2" s="1"/>
  <c r="S98" i="3"/>
  <c r="W52" i="2" s="1"/>
  <c r="M29" i="9"/>
  <c r="M30" i="9"/>
  <c r="M28" i="9"/>
  <c r="C16" i="8"/>
  <c r="F31" i="9"/>
  <c r="F32" i="9" s="1"/>
  <c r="F33" i="9" s="1"/>
  <c r="F34" i="9" s="1"/>
  <c r="Q478" i="3"/>
  <c r="R478" i="3"/>
  <c r="S478" i="3"/>
  <c r="R18" i="3"/>
  <c r="S18" i="3"/>
  <c r="Q18" i="3"/>
  <c r="R525" i="3"/>
  <c r="V266" i="2" s="1"/>
  <c r="S525" i="3"/>
  <c r="W266" i="2" s="1"/>
  <c r="Q519" i="3"/>
  <c r="R519" i="3"/>
  <c r="S519" i="3"/>
  <c r="Q498" i="3"/>
  <c r="R498" i="3"/>
  <c r="Q490" i="3"/>
  <c r="R490" i="3"/>
  <c r="V247" i="2" s="1"/>
  <c r="S490" i="3"/>
  <c r="W247" i="2" s="1"/>
  <c r="Q477" i="3"/>
  <c r="R477" i="3"/>
  <c r="V241" i="2" s="1"/>
  <c r="S477" i="3"/>
  <c r="W241" i="2" s="1"/>
  <c r="Q445" i="3"/>
  <c r="R445" i="3"/>
  <c r="S445" i="3"/>
  <c r="R425" i="3"/>
  <c r="S425" i="3"/>
  <c r="Q425" i="3"/>
  <c r="R400" i="3"/>
  <c r="V202" i="2" s="1"/>
  <c r="S400" i="3"/>
  <c r="W202" i="2" s="1"/>
  <c r="Q400" i="3"/>
  <c r="S389" i="3"/>
  <c r="W197" i="2" s="1"/>
  <c r="Q389" i="3"/>
  <c r="R389" i="3"/>
  <c r="V197" i="2" s="1"/>
  <c r="Q366" i="3"/>
  <c r="R366" i="3"/>
  <c r="S366" i="3"/>
  <c r="R313" i="3"/>
  <c r="S313" i="3"/>
  <c r="Q313" i="3"/>
  <c r="S434" i="3"/>
  <c r="W220" i="2" s="1"/>
  <c r="Q434" i="3"/>
  <c r="R434" i="3"/>
  <c r="V220" i="2" s="1"/>
  <c r="R509" i="3"/>
  <c r="Q509" i="3"/>
  <c r="R501" i="3"/>
  <c r="V254" i="2" s="1"/>
  <c r="Q501" i="3"/>
  <c r="S501" i="3"/>
  <c r="W254" i="2" s="1"/>
  <c r="Q470" i="3"/>
  <c r="R470" i="3"/>
  <c r="S355" i="3"/>
  <c r="W181" i="2" s="1"/>
  <c r="R355" i="3"/>
  <c r="V181" i="2" s="1"/>
  <c r="Q355" i="3"/>
  <c r="T181" i="2"/>
  <c r="U181" i="2" s="1"/>
  <c r="S145" i="2"/>
  <c r="P286" i="3"/>
  <c r="P11" i="3"/>
  <c r="S8" i="2"/>
  <c r="Q518" i="3"/>
  <c r="R518" i="3"/>
  <c r="R489" i="3"/>
  <c r="S489" i="3"/>
  <c r="Q489" i="3"/>
  <c r="R473" i="3"/>
  <c r="V238" i="2" s="1"/>
  <c r="S473" i="3"/>
  <c r="W238" i="2" s="1"/>
  <c r="Q473" i="3"/>
  <c r="R432" i="3"/>
  <c r="V218" i="2" s="1"/>
  <c r="S432" i="3"/>
  <c r="W218" i="2" s="1"/>
  <c r="Q432" i="3"/>
  <c r="R391" i="3"/>
  <c r="V199" i="2" s="1"/>
  <c r="S391" i="3"/>
  <c r="W199" i="2" s="1"/>
  <c r="Q391" i="3"/>
  <c r="S365" i="3"/>
  <c r="W185" i="2" s="1"/>
  <c r="Q365" i="3"/>
  <c r="R365" i="3"/>
  <c r="V185" i="2" s="1"/>
  <c r="S349" i="3"/>
  <c r="Q349" i="3"/>
  <c r="R349" i="3"/>
  <c r="Q510" i="3"/>
  <c r="R510" i="3"/>
  <c r="S510" i="3"/>
  <c r="Q471" i="3"/>
  <c r="R471" i="3"/>
  <c r="S471" i="3"/>
  <c r="R521" i="3"/>
  <c r="S521" i="3"/>
  <c r="Q521" i="3"/>
  <c r="Q514" i="3"/>
  <c r="S514" i="3"/>
  <c r="W259" i="2" s="1"/>
  <c r="S492" i="3"/>
  <c r="W249" i="2" s="1"/>
  <c r="R492" i="3"/>
  <c r="V249" i="2" s="1"/>
  <c r="R457" i="3"/>
  <c r="S457" i="3"/>
  <c r="Q457" i="3"/>
  <c r="S381" i="3"/>
  <c r="W193" i="2" s="1"/>
  <c r="Q381" i="3"/>
  <c r="R381" i="3"/>
  <c r="V193" i="2" s="1"/>
  <c r="R377" i="3"/>
  <c r="S377" i="3"/>
  <c r="Q377" i="3"/>
  <c r="R337" i="3"/>
  <c r="V171" i="2" s="1"/>
  <c r="S337" i="3"/>
  <c r="W171" i="2" s="1"/>
  <c r="T171" i="2"/>
  <c r="U171" i="2" s="1"/>
  <c r="Q337" i="3"/>
  <c r="Q289" i="3"/>
  <c r="R289" i="3"/>
  <c r="S289" i="3"/>
  <c r="R505" i="3"/>
  <c r="V256" i="2" s="1"/>
  <c r="S505" i="3"/>
  <c r="W256" i="2" s="1"/>
  <c r="Q494" i="3"/>
  <c r="R494" i="3"/>
  <c r="Q483" i="3"/>
  <c r="S483" i="3"/>
  <c r="W244" i="2" s="1"/>
  <c r="R483" i="3"/>
  <c r="V244" i="2" s="1"/>
  <c r="R423" i="3"/>
  <c r="V214" i="2" s="1"/>
  <c r="S423" i="3"/>
  <c r="W214" i="2" s="1"/>
  <c r="Q423" i="3"/>
  <c r="Q420" i="3"/>
  <c r="R420" i="3"/>
  <c r="S420" i="3"/>
  <c r="Q412" i="3"/>
  <c r="R412" i="3"/>
  <c r="S412" i="3"/>
  <c r="S523" i="3"/>
  <c r="W264" i="2" s="1"/>
  <c r="R449" i="3"/>
  <c r="V227" i="2" s="1"/>
  <c r="S449" i="3"/>
  <c r="W227" i="2" s="1"/>
  <c r="Q449" i="3"/>
  <c r="R62" i="3"/>
  <c r="V34" i="2" s="1"/>
  <c r="S62" i="3"/>
  <c r="W34" i="2" s="1"/>
  <c r="Q62" i="3"/>
  <c r="T220" i="2"/>
  <c r="U220" i="2" s="1"/>
  <c r="R465" i="3"/>
  <c r="V236" i="2" s="1"/>
  <c r="S465" i="3"/>
  <c r="W236" i="2" s="1"/>
  <c r="Q451" i="3"/>
  <c r="S451" i="3"/>
  <c r="R451" i="3"/>
  <c r="Q411" i="3"/>
  <c r="R411" i="3"/>
  <c r="V208" i="2" s="1"/>
  <c r="S411" i="3"/>
  <c r="W208" i="2" s="1"/>
  <c r="S402" i="3"/>
  <c r="W204" i="2" s="1"/>
  <c r="Q402" i="3"/>
  <c r="R402" i="3"/>
  <c r="V204" i="2" s="1"/>
  <c r="Q351" i="3"/>
  <c r="R351" i="3"/>
  <c r="V177" i="2" s="1"/>
  <c r="S351" i="3"/>
  <c r="W177" i="2" s="1"/>
  <c r="S309" i="3"/>
  <c r="W157" i="2" s="1"/>
  <c r="R309" i="3"/>
  <c r="V157" i="2" s="1"/>
  <c r="T157" i="2"/>
  <c r="U157" i="2" s="1"/>
  <c r="Q309" i="3"/>
  <c r="Q305" i="3"/>
  <c r="R305" i="3"/>
  <c r="S305" i="3"/>
  <c r="S280" i="3"/>
  <c r="Q280" i="3"/>
  <c r="R280" i="3"/>
  <c r="Q507" i="3"/>
  <c r="R507" i="3"/>
  <c r="R481" i="3"/>
  <c r="V242" i="2" s="1"/>
  <c r="S481" i="3"/>
  <c r="W242" i="2" s="1"/>
  <c r="Q481" i="3"/>
  <c r="R221" i="3"/>
  <c r="V113" i="2" s="1"/>
  <c r="S221" i="3"/>
  <c r="W113" i="2" s="1"/>
  <c r="Q221" i="3"/>
  <c r="T113" i="2"/>
  <c r="U113" i="2" s="1"/>
  <c r="T227" i="2"/>
  <c r="U227" i="2" s="1"/>
  <c r="S507" i="3"/>
  <c r="Q499" i="3"/>
  <c r="R499" i="3"/>
  <c r="V252" i="2" s="1"/>
  <c r="S499" i="3"/>
  <c r="W252" i="2" s="1"/>
  <c r="Q485" i="3"/>
  <c r="R485" i="3"/>
  <c r="V246" i="2" s="1"/>
  <c r="Q482" i="3"/>
  <c r="R482" i="3"/>
  <c r="V243" i="2" s="1"/>
  <c r="S468" i="3"/>
  <c r="R468" i="3"/>
  <c r="S460" i="3"/>
  <c r="W231" i="2" s="1"/>
  <c r="Q460" i="3"/>
  <c r="Q450" i="3"/>
  <c r="R450" i="3"/>
  <c r="V228" i="2" s="1"/>
  <c r="S450" i="3"/>
  <c r="W228" i="2" s="1"/>
  <c r="Q446" i="3"/>
  <c r="R446" i="3"/>
  <c r="S446" i="3"/>
  <c r="S418" i="3"/>
  <c r="W211" i="2" s="1"/>
  <c r="Q418" i="3"/>
  <c r="R418" i="3"/>
  <c r="V211" i="2" s="1"/>
  <c r="R393" i="3"/>
  <c r="S393" i="3"/>
  <c r="Q393" i="3"/>
  <c r="Q383" i="3"/>
  <c r="R383" i="3"/>
  <c r="S383" i="3"/>
  <c r="S331" i="3"/>
  <c r="R331" i="3"/>
  <c r="Q331" i="3"/>
  <c r="R267" i="3"/>
  <c r="S267" i="3"/>
  <c r="Q267" i="3"/>
  <c r="Q453" i="3"/>
  <c r="R453" i="3"/>
  <c r="Q440" i="3"/>
  <c r="R440" i="3"/>
  <c r="V222" i="2" s="1"/>
  <c r="Q429" i="3"/>
  <c r="S429" i="3"/>
  <c r="S426" i="3"/>
  <c r="Q426" i="3"/>
  <c r="Q408" i="3"/>
  <c r="R408" i="3"/>
  <c r="V205" i="2" s="1"/>
  <c r="Q397" i="3"/>
  <c r="S397" i="3"/>
  <c r="S394" i="3"/>
  <c r="Q394" i="3"/>
  <c r="R345" i="3"/>
  <c r="V175" i="2" s="1"/>
  <c r="S345" i="3"/>
  <c r="W175" i="2" s="1"/>
  <c r="Q345" i="3"/>
  <c r="S325" i="3"/>
  <c r="W164" i="2" s="1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S283" i="3"/>
  <c r="Q242" i="3"/>
  <c r="S242" i="3"/>
  <c r="W122" i="2" s="1"/>
  <c r="R178" i="3"/>
  <c r="V91" i="2" s="1"/>
  <c r="S178" i="3"/>
  <c r="W91" i="2" s="1"/>
  <c r="Q167" i="3"/>
  <c r="R167" i="3"/>
  <c r="S65" i="3"/>
  <c r="W36" i="2" s="1"/>
  <c r="R65" i="3"/>
  <c r="V36" i="2" s="1"/>
  <c r="Q65" i="3"/>
  <c r="T36" i="2"/>
  <c r="U36" i="2" s="1"/>
  <c r="S522" i="3"/>
  <c r="W263" i="2" s="1"/>
  <c r="R500" i="3"/>
  <c r="V253" i="2" s="1"/>
  <c r="Q475" i="3"/>
  <c r="S475" i="3"/>
  <c r="W240" i="2" s="1"/>
  <c r="Q443" i="3"/>
  <c r="S443" i="3"/>
  <c r="R431" i="3"/>
  <c r="V217" i="2" s="1"/>
  <c r="Q431" i="3"/>
  <c r="S431" i="3"/>
  <c r="W217" i="2" s="1"/>
  <c r="S428" i="3"/>
  <c r="Q417" i="3"/>
  <c r="R417" i="3"/>
  <c r="V210" i="2" s="1"/>
  <c r="R399" i="3"/>
  <c r="V201" i="2" s="1"/>
  <c r="Q399" i="3"/>
  <c r="S399" i="3"/>
  <c r="W201" i="2" s="1"/>
  <c r="S396" i="3"/>
  <c r="R376" i="3"/>
  <c r="S374" i="3"/>
  <c r="R372" i="3"/>
  <c r="V188" i="2" s="1"/>
  <c r="S335" i="3"/>
  <c r="Q319" i="3"/>
  <c r="R319" i="3"/>
  <c r="V162" i="2" s="1"/>
  <c r="S319" i="3"/>
  <c r="W162" i="2" s="1"/>
  <c r="S311" i="3"/>
  <c r="Q226" i="3"/>
  <c r="S226" i="3"/>
  <c r="W114" i="2" s="1"/>
  <c r="R226" i="3"/>
  <c r="V114" i="2" s="1"/>
  <c r="R70" i="3"/>
  <c r="S70" i="3"/>
  <c r="Q70" i="3"/>
  <c r="R228" i="3"/>
  <c r="V116" i="2" s="1"/>
  <c r="S228" i="3"/>
  <c r="W116" i="2" s="1"/>
  <c r="Q228" i="3"/>
  <c r="Q209" i="3"/>
  <c r="S209" i="3"/>
  <c r="R205" i="3"/>
  <c r="Q205" i="3"/>
  <c r="S205" i="3"/>
  <c r="Q202" i="3"/>
  <c r="S202" i="3"/>
  <c r="W103" i="2" s="1"/>
  <c r="R202" i="3"/>
  <c r="V103" i="2" s="1"/>
  <c r="S199" i="3"/>
  <c r="R199" i="3"/>
  <c r="S517" i="3"/>
  <c r="W262" i="2" s="1"/>
  <c r="S515" i="3"/>
  <c r="W260" i="2" s="1"/>
  <c r="R513" i="3"/>
  <c r="V258" i="2" s="1"/>
  <c r="S513" i="3"/>
  <c r="W258" i="2" s="1"/>
  <c r="Q502" i="3"/>
  <c r="R502" i="3"/>
  <c r="R479" i="3"/>
  <c r="Q467" i="3"/>
  <c r="S467" i="3"/>
  <c r="Q462" i="3"/>
  <c r="R462" i="3"/>
  <c r="V233" i="2" s="1"/>
  <c r="R447" i="3"/>
  <c r="V225" i="2" s="1"/>
  <c r="R439" i="3"/>
  <c r="V221" i="2" s="1"/>
  <c r="S439" i="3"/>
  <c r="W221" i="2" s="1"/>
  <c r="R430" i="3"/>
  <c r="V216" i="2" s="1"/>
  <c r="S419" i="3"/>
  <c r="R416" i="3"/>
  <c r="V209" i="2" s="1"/>
  <c r="S416" i="3"/>
  <c r="W209" i="2" s="1"/>
  <c r="R407" i="3"/>
  <c r="S407" i="3"/>
  <c r="R398" i="3"/>
  <c r="V200" i="2" s="1"/>
  <c r="S378" i="3"/>
  <c r="Q368" i="3"/>
  <c r="R368" i="3"/>
  <c r="S364" i="3"/>
  <c r="W184" i="2" s="1"/>
  <c r="Q364" i="3"/>
  <c r="R364" i="3"/>
  <c r="V184" i="2" s="1"/>
  <c r="S342" i="3"/>
  <c r="W172" i="2" s="1"/>
  <c r="Q327" i="3"/>
  <c r="R327" i="3"/>
  <c r="V166" i="2" s="1"/>
  <c r="S327" i="3"/>
  <c r="W166" i="2" s="1"/>
  <c r="S304" i="3"/>
  <c r="W155" i="2" s="1"/>
  <c r="R304" i="3"/>
  <c r="V155" i="2" s="1"/>
  <c r="Q304" i="3"/>
  <c r="Q273" i="3"/>
  <c r="S273" i="3"/>
  <c r="W138" i="2" s="1"/>
  <c r="R253" i="3"/>
  <c r="V129" i="2" s="1"/>
  <c r="S253" i="3"/>
  <c r="W129" i="2" s="1"/>
  <c r="R204" i="3"/>
  <c r="Q204" i="3"/>
  <c r="S204" i="3"/>
  <c r="T103" i="2"/>
  <c r="U103" i="2" s="1"/>
  <c r="Q517" i="3"/>
  <c r="R515" i="3"/>
  <c r="V260" i="2" s="1"/>
  <c r="R508" i="3"/>
  <c r="R506" i="3"/>
  <c r="R476" i="3"/>
  <c r="Q469" i="3"/>
  <c r="R469" i="3"/>
  <c r="S466" i="3"/>
  <c r="R444" i="3"/>
  <c r="Q430" i="3"/>
  <c r="Q424" i="3"/>
  <c r="R424" i="3"/>
  <c r="V215" i="2" s="1"/>
  <c r="R419" i="3"/>
  <c r="Q413" i="3"/>
  <c r="S413" i="3"/>
  <c r="S410" i="3"/>
  <c r="W207" i="2" s="1"/>
  <c r="Q410" i="3"/>
  <c r="Q398" i="3"/>
  <c r="Q392" i="3"/>
  <c r="R392" i="3"/>
  <c r="Q378" i="3"/>
  <c r="S371" i="3"/>
  <c r="W187" i="2" s="1"/>
  <c r="Q371" i="3"/>
  <c r="R371" i="3"/>
  <c r="V187" i="2" s="1"/>
  <c r="R361" i="3"/>
  <c r="S361" i="3"/>
  <c r="S346" i="3"/>
  <c r="R342" i="3"/>
  <c r="V172" i="2" s="1"/>
  <c r="Q318" i="3"/>
  <c r="S318" i="3"/>
  <c r="W161" i="2" s="1"/>
  <c r="S293" i="3"/>
  <c r="W148" i="2" s="1"/>
  <c r="R278" i="3"/>
  <c r="S278" i="3"/>
  <c r="Q278" i="3"/>
  <c r="Q266" i="3"/>
  <c r="R266" i="3"/>
  <c r="V134" i="2" s="1"/>
  <c r="S266" i="3"/>
  <c r="W134" i="2" s="1"/>
  <c r="S256" i="3"/>
  <c r="Q256" i="3"/>
  <c r="R256" i="3"/>
  <c r="R237" i="3"/>
  <c r="V121" i="2" s="1"/>
  <c r="S237" i="3"/>
  <c r="W121" i="2" s="1"/>
  <c r="S224" i="3"/>
  <c r="Q224" i="3"/>
  <c r="R224" i="3"/>
  <c r="S103" i="2"/>
  <c r="R497" i="3"/>
  <c r="S497" i="3"/>
  <c r="Q486" i="3"/>
  <c r="R486" i="3"/>
  <c r="Q459" i="3"/>
  <c r="S459" i="3"/>
  <c r="R454" i="3"/>
  <c r="V230" i="2" s="1"/>
  <c r="Q433" i="3"/>
  <c r="R433" i="3"/>
  <c r="V219" i="2" s="1"/>
  <c r="Q427" i="3"/>
  <c r="R427" i="3"/>
  <c r="S421" i="3"/>
  <c r="W212" i="2" s="1"/>
  <c r="R415" i="3"/>
  <c r="Q415" i="3"/>
  <c r="S415" i="3"/>
  <c r="Q401" i="3"/>
  <c r="R401" i="3"/>
  <c r="V203" i="2" s="1"/>
  <c r="Q395" i="3"/>
  <c r="R395" i="3"/>
  <c r="S387" i="3"/>
  <c r="W195" i="2" s="1"/>
  <c r="R387" i="3"/>
  <c r="V195" i="2" s="1"/>
  <c r="R370" i="3"/>
  <c r="V186" i="2" s="1"/>
  <c r="Q370" i="3"/>
  <c r="S370" i="3"/>
  <c r="W186" i="2" s="1"/>
  <c r="Q299" i="3"/>
  <c r="R299" i="3"/>
  <c r="S299" i="3"/>
  <c r="S296" i="3"/>
  <c r="W151" i="2" s="1"/>
  <c r="Q296" i="3"/>
  <c r="R296" i="3"/>
  <c r="V151" i="2" s="1"/>
  <c r="R281" i="3"/>
  <c r="Q281" i="3"/>
  <c r="S281" i="3"/>
  <c r="R269" i="3"/>
  <c r="S269" i="3"/>
  <c r="R236" i="3"/>
  <c r="V120" i="2" s="1"/>
  <c r="S236" i="3"/>
  <c r="W120" i="2" s="1"/>
  <c r="Q236" i="3"/>
  <c r="Q233" i="3"/>
  <c r="R233" i="3"/>
  <c r="S233" i="3"/>
  <c r="S122" i="2"/>
  <c r="Q461" i="3"/>
  <c r="R461" i="3"/>
  <c r="V232" i="2" s="1"/>
  <c r="S458" i="3"/>
  <c r="R441" i="3"/>
  <c r="V223" i="2" s="1"/>
  <c r="S441" i="3"/>
  <c r="W223" i="2" s="1"/>
  <c r="Q436" i="3"/>
  <c r="R436" i="3"/>
  <c r="R409" i="3"/>
  <c r="V206" i="2" s="1"/>
  <c r="S409" i="3"/>
  <c r="W206" i="2" s="1"/>
  <c r="Q404" i="3"/>
  <c r="R404" i="3"/>
  <c r="Q367" i="3"/>
  <c r="R367" i="3"/>
  <c r="S341" i="3"/>
  <c r="Q341" i="3"/>
  <c r="R341" i="3"/>
  <c r="S317" i="3"/>
  <c r="W160" i="2" s="1"/>
  <c r="Q317" i="3"/>
  <c r="S307" i="3"/>
  <c r="Q307" i="3"/>
  <c r="R307" i="3"/>
  <c r="S302" i="3"/>
  <c r="W153" i="2" s="1"/>
  <c r="Q302" i="3"/>
  <c r="R302" i="3"/>
  <c r="V153" i="2" s="1"/>
  <c r="R259" i="3"/>
  <c r="V131" i="2" s="1"/>
  <c r="S259" i="3"/>
  <c r="W131" i="2" s="1"/>
  <c r="S248" i="3"/>
  <c r="Q248" i="3"/>
  <c r="R248" i="3"/>
  <c r="R382" i="3"/>
  <c r="Q380" i="3"/>
  <c r="R369" i="3"/>
  <c r="S369" i="3"/>
  <c r="Q354" i="3"/>
  <c r="Q339" i="3"/>
  <c r="Q330" i="3"/>
  <c r="R326" i="3"/>
  <c r="V165" i="2" s="1"/>
  <c r="Q300" i="3"/>
  <c r="Q295" i="3"/>
  <c r="S288" i="3"/>
  <c r="W147" i="2" s="1"/>
  <c r="R288" i="3"/>
  <c r="V147" i="2" s="1"/>
  <c r="Q277" i="3"/>
  <c r="S272" i="3"/>
  <c r="W137" i="2" s="1"/>
  <c r="Q272" i="3"/>
  <c r="R272" i="3"/>
  <c r="V137" i="2" s="1"/>
  <c r="Q255" i="3"/>
  <c r="R235" i="3"/>
  <c r="V119" i="2" s="1"/>
  <c r="S235" i="3"/>
  <c r="W119" i="2" s="1"/>
  <c r="S232" i="3"/>
  <c r="Q232" i="3"/>
  <c r="R220" i="3"/>
  <c r="V112" i="2" s="1"/>
  <c r="S220" i="3"/>
  <c r="W112" i="2" s="1"/>
  <c r="Q220" i="3"/>
  <c r="Q217" i="3"/>
  <c r="R217" i="3"/>
  <c r="S217" i="3"/>
  <c r="R211" i="3"/>
  <c r="V107" i="2" s="1"/>
  <c r="S187" i="3"/>
  <c r="W96" i="2" s="1"/>
  <c r="R321" i="3"/>
  <c r="V163" i="2" s="1"/>
  <c r="S321" i="3"/>
  <c r="W163" i="2" s="1"/>
  <c r="R260" i="3"/>
  <c r="V132" i="2" s="1"/>
  <c r="S260" i="3"/>
  <c r="W132" i="2" s="1"/>
  <c r="Q260" i="3"/>
  <c r="Q258" i="3"/>
  <c r="S258" i="3"/>
  <c r="W130" i="2" s="1"/>
  <c r="R252" i="3"/>
  <c r="V128" i="2" s="1"/>
  <c r="S252" i="3"/>
  <c r="W128" i="2" s="1"/>
  <c r="Q249" i="3"/>
  <c r="R249" i="3"/>
  <c r="S249" i="3"/>
  <c r="Q241" i="3"/>
  <c r="R241" i="3"/>
  <c r="Q194" i="3"/>
  <c r="S194" i="3"/>
  <c r="W99" i="2" s="1"/>
  <c r="R194" i="3"/>
  <c r="V99" i="2" s="1"/>
  <c r="R187" i="3"/>
  <c r="V96" i="2" s="1"/>
  <c r="S184" i="3"/>
  <c r="W93" i="2" s="1"/>
  <c r="R184" i="3"/>
  <c r="V93" i="2" s="1"/>
  <c r="S207" i="3"/>
  <c r="Q207" i="3"/>
  <c r="R207" i="3"/>
  <c r="R197" i="3"/>
  <c r="Q197" i="3"/>
  <c r="S197" i="3"/>
  <c r="R287" i="3"/>
  <c r="V146" i="2" s="1"/>
  <c r="S287" i="3"/>
  <c r="W146" i="2" s="1"/>
  <c r="R276" i="3"/>
  <c r="V141" i="2" s="1"/>
  <c r="S276" i="3"/>
  <c r="W141" i="2" s="1"/>
  <c r="Q276" i="3"/>
  <c r="Q274" i="3"/>
  <c r="S274" i="3"/>
  <c r="W139" i="2" s="1"/>
  <c r="R268" i="3"/>
  <c r="V135" i="2" s="1"/>
  <c r="S268" i="3"/>
  <c r="W135" i="2" s="1"/>
  <c r="Q265" i="3"/>
  <c r="R265" i="3"/>
  <c r="S265" i="3"/>
  <c r="R257" i="3"/>
  <c r="S240" i="3"/>
  <c r="Q240" i="3"/>
  <c r="R240" i="3"/>
  <c r="R219" i="3"/>
  <c r="V111" i="2" s="1"/>
  <c r="S219" i="3"/>
  <c r="W111" i="2" s="1"/>
  <c r="S216" i="3"/>
  <c r="Q216" i="3"/>
  <c r="R196" i="3"/>
  <c r="Q196" i="3"/>
  <c r="S196" i="3"/>
  <c r="Q193" i="3"/>
  <c r="R193" i="3"/>
  <c r="V98" i="2" s="1"/>
  <c r="R385" i="3"/>
  <c r="S385" i="3"/>
  <c r="R353" i="3"/>
  <c r="V179" i="2" s="1"/>
  <c r="S353" i="3"/>
  <c r="W179" i="2" s="1"/>
  <c r="R329" i="3"/>
  <c r="V168" i="2" s="1"/>
  <c r="S329" i="3"/>
  <c r="W168" i="2" s="1"/>
  <c r="R251" i="3"/>
  <c r="V127" i="2" s="1"/>
  <c r="S251" i="3"/>
  <c r="W127" i="2" s="1"/>
  <c r="Q225" i="3"/>
  <c r="R225" i="3"/>
  <c r="Q177" i="3"/>
  <c r="R177" i="3"/>
  <c r="V90" i="2" s="1"/>
  <c r="R174" i="3"/>
  <c r="S174" i="3"/>
  <c r="Q174" i="3"/>
  <c r="R166" i="3"/>
  <c r="S166" i="3"/>
  <c r="Q166" i="3"/>
  <c r="R118" i="3"/>
  <c r="V62" i="2" s="1"/>
  <c r="S118" i="3"/>
  <c r="W62" i="2" s="1"/>
  <c r="Q118" i="3"/>
  <c r="Q115" i="3"/>
  <c r="R115" i="3"/>
  <c r="S115" i="3"/>
  <c r="Q99" i="3"/>
  <c r="R99" i="3"/>
  <c r="V53" i="2" s="1"/>
  <c r="S99" i="3"/>
  <c r="W53" i="2" s="1"/>
  <c r="Q69" i="3"/>
  <c r="S69" i="3"/>
  <c r="W38" i="2" s="1"/>
  <c r="R69" i="3"/>
  <c r="V38" i="2" s="1"/>
  <c r="S183" i="3"/>
  <c r="Q183" i="3"/>
  <c r="S123" i="3"/>
  <c r="W64" i="2" s="1"/>
  <c r="R110" i="3"/>
  <c r="V59" i="2" s="1"/>
  <c r="S110" i="3"/>
  <c r="W59" i="2" s="1"/>
  <c r="Q110" i="3"/>
  <c r="S208" i="3"/>
  <c r="W105" i="2" s="1"/>
  <c r="R208" i="3"/>
  <c r="V105" i="2" s="1"/>
  <c r="S192" i="3"/>
  <c r="W97" i="2" s="1"/>
  <c r="R192" i="3"/>
  <c r="V97" i="2" s="1"/>
  <c r="Q186" i="3"/>
  <c r="S186" i="3"/>
  <c r="W95" i="2" s="1"/>
  <c r="Q141" i="3"/>
  <c r="S141" i="3"/>
  <c r="R141" i="3"/>
  <c r="R134" i="3"/>
  <c r="V68" i="2" s="1"/>
  <c r="S134" i="3"/>
  <c r="W68" i="2" s="1"/>
  <c r="Q134" i="3"/>
  <c r="R126" i="3"/>
  <c r="S126" i="3"/>
  <c r="Q126" i="3"/>
  <c r="R122" i="3"/>
  <c r="Q122" i="3"/>
  <c r="S122" i="3"/>
  <c r="Q303" i="3"/>
  <c r="Q294" i="3"/>
  <c r="Q263" i="3"/>
  <c r="Q247" i="3"/>
  <c r="Q231" i="3"/>
  <c r="Q215" i="3"/>
  <c r="S200" i="3"/>
  <c r="W101" i="2" s="1"/>
  <c r="R200" i="3"/>
  <c r="V101" i="2" s="1"/>
  <c r="R188" i="3"/>
  <c r="Q188" i="3"/>
  <c r="S188" i="3"/>
  <c r="S153" i="3"/>
  <c r="R153" i="3"/>
  <c r="Q153" i="3"/>
  <c r="S140" i="3"/>
  <c r="Q140" i="3"/>
  <c r="R140" i="3"/>
  <c r="R285" i="3"/>
  <c r="V144" i="2" s="1"/>
  <c r="S285" i="3"/>
  <c r="W144" i="2" s="1"/>
  <c r="R212" i="3"/>
  <c r="V108" i="2" s="1"/>
  <c r="Q212" i="3"/>
  <c r="S212" i="3"/>
  <c r="W108" i="2" s="1"/>
  <c r="Q210" i="3"/>
  <c r="S210" i="3"/>
  <c r="W106" i="2" s="1"/>
  <c r="S191" i="3"/>
  <c r="Q191" i="3"/>
  <c r="Q185" i="3"/>
  <c r="R185" i="3"/>
  <c r="V94" i="2" s="1"/>
  <c r="Q171" i="3"/>
  <c r="R171" i="3"/>
  <c r="V88" i="2" s="1"/>
  <c r="S171" i="3"/>
  <c r="W88" i="2" s="1"/>
  <c r="Q152" i="3"/>
  <c r="R152" i="3"/>
  <c r="V80" i="2" s="1"/>
  <c r="S152" i="3"/>
  <c r="W80" i="2" s="1"/>
  <c r="Q144" i="3"/>
  <c r="R144" i="3"/>
  <c r="V74" i="2" s="1"/>
  <c r="S121" i="3"/>
  <c r="R121" i="3"/>
  <c r="Q121" i="3"/>
  <c r="R114" i="3"/>
  <c r="S114" i="3"/>
  <c r="Q109" i="3"/>
  <c r="S109" i="3"/>
  <c r="R109" i="3"/>
  <c r="S105" i="3"/>
  <c r="R105" i="3"/>
  <c r="Q105" i="3"/>
  <c r="R102" i="3"/>
  <c r="V55" i="2" s="1"/>
  <c r="S102" i="3"/>
  <c r="W55" i="2" s="1"/>
  <c r="Q102" i="3"/>
  <c r="R90" i="3"/>
  <c r="V48" i="2" s="1"/>
  <c r="Q90" i="3"/>
  <c r="Q87" i="3"/>
  <c r="S87" i="3"/>
  <c r="W46" i="2" s="1"/>
  <c r="Q143" i="3"/>
  <c r="R143" i="3"/>
  <c r="V73" i="2" s="1"/>
  <c r="S143" i="3"/>
  <c r="W73" i="2" s="1"/>
  <c r="R94" i="3"/>
  <c r="S94" i="3"/>
  <c r="Q94" i="3"/>
  <c r="Q75" i="3"/>
  <c r="R75" i="3"/>
  <c r="V41" i="2" s="1"/>
  <c r="S75" i="3"/>
  <c r="W41" i="2" s="1"/>
  <c r="Q43" i="3"/>
  <c r="R43" i="3"/>
  <c r="V24" i="2" s="1"/>
  <c r="S43" i="3"/>
  <c r="W24" i="2" s="1"/>
  <c r="S180" i="3"/>
  <c r="R170" i="3"/>
  <c r="V87" i="2" s="1"/>
  <c r="Q170" i="3"/>
  <c r="Q155" i="3"/>
  <c r="R155" i="3"/>
  <c r="S155" i="3"/>
  <c r="S148" i="3"/>
  <c r="W77" i="2" s="1"/>
  <c r="Q148" i="3"/>
  <c r="S108" i="3"/>
  <c r="W58" i="2" s="1"/>
  <c r="R108" i="3"/>
  <c r="V58" i="2" s="1"/>
  <c r="R86" i="3"/>
  <c r="V45" i="2" s="1"/>
  <c r="S86" i="3"/>
  <c r="W45" i="2" s="1"/>
  <c r="Q86" i="3"/>
  <c r="S60" i="3"/>
  <c r="W32" i="2" s="1"/>
  <c r="Q60" i="3"/>
  <c r="Q180" i="3"/>
  <c r="Q176" i="3"/>
  <c r="R176" i="3"/>
  <c r="V89" i="2" s="1"/>
  <c r="S176" i="3"/>
  <c r="W89" i="2" s="1"/>
  <c r="S169" i="3"/>
  <c r="W86" i="2" s="1"/>
  <c r="R169" i="3"/>
  <c r="V86" i="2" s="1"/>
  <c r="Q169" i="3"/>
  <c r="Q165" i="3"/>
  <c r="S165" i="3"/>
  <c r="R165" i="3"/>
  <c r="S161" i="3"/>
  <c r="R161" i="3"/>
  <c r="R158" i="3"/>
  <c r="V83" i="2" s="1"/>
  <c r="S158" i="3"/>
  <c r="W83" i="2" s="1"/>
  <c r="Q158" i="3"/>
  <c r="Q147" i="3"/>
  <c r="R147" i="3"/>
  <c r="V76" i="2" s="1"/>
  <c r="S147" i="3"/>
  <c r="W76" i="2" s="1"/>
  <c r="R142" i="3"/>
  <c r="S142" i="3"/>
  <c r="Q142" i="3"/>
  <c r="Q128" i="3"/>
  <c r="R128" i="3"/>
  <c r="V66" i="2" s="1"/>
  <c r="S128" i="3"/>
  <c r="W66" i="2" s="1"/>
  <c r="Q120" i="3"/>
  <c r="R120" i="3"/>
  <c r="Q112" i="3"/>
  <c r="R112" i="3"/>
  <c r="S112" i="3"/>
  <c r="Q85" i="3"/>
  <c r="S85" i="3"/>
  <c r="R85" i="3"/>
  <c r="R78" i="3"/>
  <c r="S78" i="3"/>
  <c r="Q78" i="3"/>
  <c r="Q59" i="3"/>
  <c r="R59" i="3"/>
  <c r="V31" i="2" s="1"/>
  <c r="S59" i="3"/>
  <c r="W31" i="2" s="1"/>
  <c r="R150" i="3"/>
  <c r="V79" i="2" s="1"/>
  <c r="S150" i="3"/>
  <c r="W79" i="2" s="1"/>
  <c r="Q150" i="3"/>
  <c r="R146" i="3"/>
  <c r="V75" i="2" s="1"/>
  <c r="Q146" i="3"/>
  <c r="S146" i="3"/>
  <c r="W75" i="2" s="1"/>
  <c r="Q119" i="3"/>
  <c r="R119" i="3"/>
  <c r="V63" i="2" s="1"/>
  <c r="S119" i="3"/>
  <c r="W63" i="2" s="1"/>
  <c r="Q93" i="3"/>
  <c r="S93" i="3"/>
  <c r="Q63" i="3"/>
  <c r="R63" i="3"/>
  <c r="V35" i="2" s="1"/>
  <c r="Q168" i="3"/>
  <c r="R168" i="3"/>
  <c r="V85" i="2" s="1"/>
  <c r="S168" i="3"/>
  <c r="W85" i="2" s="1"/>
  <c r="S164" i="3"/>
  <c r="Q164" i="3"/>
  <c r="S145" i="3"/>
  <c r="R145" i="3"/>
  <c r="Q145" i="3"/>
  <c r="Q131" i="3"/>
  <c r="R131" i="3"/>
  <c r="S131" i="3"/>
  <c r="S124" i="3"/>
  <c r="Q124" i="3"/>
  <c r="Q111" i="3"/>
  <c r="S111" i="3"/>
  <c r="S84" i="3"/>
  <c r="R84" i="3"/>
  <c r="R26" i="3"/>
  <c r="V15" i="2" s="1"/>
  <c r="S26" i="3"/>
  <c r="W15" i="2" s="1"/>
  <c r="Q26" i="3"/>
  <c r="Q19" i="3"/>
  <c r="R19" i="3"/>
  <c r="S19" i="3"/>
  <c r="R46" i="3"/>
  <c r="V26" i="2" s="1"/>
  <c r="S46" i="3"/>
  <c r="W26" i="2" s="1"/>
  <c r="Q46" i="3"/>
  <c r="Q39" i="3"/>
  <c r="R39" i="3"/>
  <c r="Q36" i="3"/>
  <c r="S36" i="3"/>
  <c r="W21" i="2" s="1"/>
  <c r="Q32" i="3"/>
  <c r="R32" i="3"/>
  <c r="R14" i="3"/>
  <c r="S14" i="3"/>
  <c r="Q14" i="3"/>
  <c r="Q7" i="3"/>
  <c r="R7" i="3"/>
  <c r="Q156" i="3"/>
  <c r="Q132" i="3"/>
  <c r="Q107" i="3"/>
  <c r="R107" i="3"/>
  <c r="V57" i="2" s="1"/>
  <c r="S107" i="3"/>
  <c r="W57" i="2" s="1"/>
  <c r="Q98" i="3"/>
  <c r="S95" i="3"/>
  <c r="S89" i="3"/>
  <c r="R89" i="3"/>
  <c r="Q83" i="3"/>
  <c r="R83" i="3"/>
  <c r="S83" i="3"/>
  <c r="Q80" i="3"/>
  <c r="R80" i="3"/>
  <c r="V44" i="2" s="1"/>
  <c r="Q77" i="3"/>
  <c r="S77" i="3"/>
  <c r="W42" i="2" s="1"/>
  <c r="R71" i="3"/>
  <c r="V39" i="2" s="1"/>
  <c r="Q68" i="3"/>
  <c r="Q53" i="3"/>
  <c r="S53" i="3"/>
  <c r="W30" i="2" s="1"/>
  <c r="R42" i="3"/>
  <c r="V23" i="2" s="1"/>
  <c r="S42" i="3"/>
  <c r="W23" i="2" s="1"/>
  <c r="Q35" i="3"/>
  <c r="R35" i="3"/>
  <c r="V20" i="2" s="1"/>
  <c r="S35" i="3"/>
  <c r="W20" i="2" s="1"/>
  <c r="R10" i="3"/>
  <c r="V7" i="2" s="1"/>
  <c r="S10" i="3"/>
  <c r="W7" i="2" s="1"/>
  <c r="S137" i="3"/>
  <c r="W71" i="2" s="1"/>
  <c r="R137" i="3"/>
  <c r="V71" i="2" s="1"/>
  <c r="S113" i="3"/>
  <c r="R113" i="3"/>
  <c r="R95" i="3"/>
  <c r="R38" i="3"/>
  <c r="S38" i="3"/>
  <c r="Q38" i="3"/>
  <c r="Q31" i="3"/>
  <c r="R31" i="3"/>
  <c r="Q28" i="3"/>
  <c r="S28" i="3"/>
  <c r="W16" i="2" s="1"/>
  <c r="Q24" i="3"/>
  <c r="R24" i="3"/>
  <c r="R6" i="3"/>
  <c r="S6" i="3"/>
  <c r="Q6" i="3"/>
  <c r="Q101" i="3"/>
  <c r="S101" i="3"/>
  <c r="S73" i="3"/>
  <c r="R73" i="3"/>
  <c r="Q67" i="3"/>
  <c r="R67" i="3"/>
  <c r="S67" i="3"/>
  <c r="Q52" i="3"/>
  <c r="S52" i="3"/>
  <c r="W29" i="2" s="1"/>
  <c r="R34" i="3"/>
  <c r="V19" i="2" s="1"/>
  <c r="S34" i="3"/>
  <c r="W19" i="2" s="1"/>
  <c r="Q27" i="3"/>
  <c r="R27" i="3"/>
  <c r="S27" i="3"/>
  <c r="S154" i="3"/>
  <c r="S151" i="3"/>
  <c r="Q139" i="3"/>
  <c r="R139" i="3"/>
  <c r="S139" i="3"/>
  <c r="S130" i="3"/>
  <c r="S127" i="3"/>
  <c r="W65" i="2" s="1"/>
  <c r="S103" i="3"/>
  <c r="S97" i="3"/>
  <c r="W51" i="2" s="1"/>
  <c r="R97" i="3"/>
  <c r="V51" i="2" s="1"/>
  <c r="Q91" i="3"/>
  <c r="R91" i="3"/>
  <c r="V49" i="2" s="1"/>
  <c r="S91" i="3"/>
  <c r="W49" i="2" s="1"/>
  <c r="S66" i="3"/>
  <c r="Q61" i="3"/>
  <c r="S61" i="3"/>
  <c r="W33" i="2" s="1"/>
  <c r="Q55" i="3"/>
  <c r="R55" i="3"/>
  <c r="Q51" i="3"/>
  <c r="R51" i="3"/>
  <c r="V28" i="2" s="1"/>
  <c r="S51" i="3"/>
  <c r="W28" i="2" s="1"/>
  <c r="R30" i="3"/>
  <c r="V18" i="2" s="1"/>
  <c r="S30" i="3"/>
  <c r="W18" i="2" s="1"/>
  <c r="Q30" i="3"/>
  <c r="Q23" i="3"/>
  <c r="R23" i="3"/>
  <c r="Q20" i="3"/>
  <c r="S20" i="3"/>
  <c r="W12" i="2" s="1"/>
  <c r="Q16" i="3"/>
  <c r="R16" i="3"/>
  <c r="Q173" i="3"/>
  <c r="S173" i="3"/>
  <c r="Q163" i="3"/>
  <c r="R163" i="3"/>
  <c r="S163" i="3"/>
  <c r="Q160" i="3"/>
  <c r="R160" i="3"/>
  <c r="V84" i="2" s="1"/>
  <c r="S81" i="3"/>
  <c r="R81" i="3"/>
  <c r="R54" i="3"/>
  <c r="S54" i="3"/>
  <c r="Q54" i="3"/>
  <c r="R50" i="3"/>
  <c r="S50" i="3"/>
  <c r="Q47" i="3"/>
  <c r="Q44" i="3"/>
  <c r="S44" i="3"/>
  <c r="Q40" i="3"/>
  <c r="R40" i="3"/>
  <c r="R22" i="3"/>
  <c r="V14" i="2" s="1"/>
  <c r="S22" i="3"/>
  <c r="W14" i="2" s="1"/>
  <c r="Q22" i="3"/>
  <c r="Q15" i="3"/>
  <c r="R15" i="3"/>
  <c r="V11" i="2" s="1"/>
  <c r="Q12" i="3"/>
  <c r="S12" i="3"/>
  <c r="W9" i="2" s="1"/>
  <c r="Q8" i="3"/>
  <c r="R8" i="3"/>
  <c r="V5" i="2" s="1"/>
  <c r="R57" i="3"/>
  <c r="R49" i="3"/>
  <c r="R41" i="3"/>
  <c r="V22" i="2" s="1"/>
  <c r="R33" i="3"/>
  <c r="R25" i="3"/>
  <c r="R17" i="3"/>
  <c r="R9" i="3"/>
  <c r="V6" i="2" s="1"/>
  <c r="S157" i="3"/>
  <c r="W82" i="2" s="1"/>
  <c r="S149" i="3"/>
  <c r="W78" i="2" s="1"/>
  <c r="S133" i="3"/>
  <c r="S125" i="3"/>
  <c r="S117" i="3"/>
  <c r="W61" i="2" s="1"/>
  <c r="S45" i="3"/>
  <c r="W25" i="2" s="1"/>
  <c r="S37" i="3"/>
  <c r="S29" i="3"/>
  <c r="W17" i="2" s="1"/>
  <c r="S21" i="3"/>
  <c r="W13" i="2" s="1"/>
  <c r="S13" i="3"/>
  <c r="W10" i="2" s="1"/>
  <c r="S5" i="3"/>
  <c r="R136" i="3"/>
  <c r="V70" i="2" s="1"/>
  <c r="R104" i="3"/>
  <c r="R96" i="3"/>
  <c r="R88" i="3"/>
  <c r="V47" i="2" s="1"/>
  <c r="R72" i="3"/>
  <c r="R64" i="3"/>
  <c r="R56" i="3"/>
  <c r="R48" i="3"/>
  <c r="D16" i="8"/>
  <c r="F28" i="9"/>
  <c r="F29" i="9" s="1"/>
  <c r="F30" i="9" s="1"/>
  <c r="M23" i="9"/>
  <c r="M24" i="9" s="1"/>
  <c r="M25" i="9" s="1"/>
  <c r="F26" i="9"/>
  <c r="F27" i="9" s="1"/>
  <c r="F43" i="9"/>
  <c r="C9" i="9"/>
  <c r="F37" i="9"/>
  <c r="D14" i="8"/>
  <c r="C14" i="8"/>
  <c r="D13" i="8"/>
  <c r="C13" i="8"/>
  <c r="D12" i="8"/>
  <c r="C12" i="8"/>
  <c r="D11" i="8"/>
  <c r="C11" i="8"/>
  <c r="D10" i="8"/>
  <c r="C10" i="8"/>
  <c r="D9" i="8"/>
  <c r="C9" i="8"/>
  <c r="D15" i="8"/>
  <c r="C15" i="8"/>
  <c r="S4" i="2"/>
  <c r="T3" i="2"/>
  <c r="U3" i="2" s="1"/>
  <c r="S3" i="2"/>
  <c r="T4" i="2"/>
  <c r="U4" i="2" s="1"/>
  <c r="S2" i="2"/>
  <c r="P2" i="3"/>
  <c r="R2" i="3" s="1"/>
  <c r="V2" i="2" s="1"/>
  <c r="Q3" i="3"/>
  <c r="S3" i="3"/>
  <c r="R3" i="3"/>
  <c r="S4" i="3"/>
  <c r="Q4" i="3"/>
  <c r="R4" i="3"/>
  <c r="Q1104" i="3" l="1"/>
  <c r="R1104" i="3"/>
  <c r="V555" i="2" s="1"/>
  <c r="S1104" i="3"/>
  <c r="W555" i="2" s="1"/>
  <c r="T555" i="2"/>
  <c r="U555" i="2" s="1"/>
  <c r="Q1152" i="3"/>
  <c r="R1152" i="3"/>
  <c r="V579" i="2" s="1"/>
  <c r="S1152" i="3"/>
  <c r="W579" i="2" s="1"/>
  <c r="T579" i="2"/>
  <c r="U579" i="2" s="1"/>
  <c r="Q1120" i="3"/>
  <c r="R1120" i="3"/>
  <c r="V562" i="2" s="1"/>
  <c r="S1120" i="3"/>
  <c r="W562" i="2" s="1"/>
  <c r="T562" i="2"/>
  <c r="U562" i="2" s="1"/>
  <c r="Q1168" i="3"/>
  <c r="R1168" i="3"/>
  <c r="V587" i="2" s="1"/>
  <c r="S1168" i="3"/>
  <c r="W587" i="2" s="1"/>
  <c r="T587" i="2"/>
  <c r="U587" i="2" s="1"/>
  <c r="R244" i="3"/>
  <c r="V124" i="2" s="1"/>
  <c r="S603" i="3"/>
  <c r="W303" i="2" s="1"/>
  <c r="E19" i="8"/>
  <c r="S985" i="3"/>
  <c r="W496" i="2" s="1"/>
  <c r="R1002" i="3"/>
  <c r="V502" i="2" s="1"/>
  <c r="Q1002" i="3"/>
  <c r="T502" i="2"/>
  <c r="U502" i="2" s="1"/>
  <c r="T443" i="2"/>
  <c r="U443" i="2" s="1"/>
  <c r="S882" i="3"/>
  <c r="W443" i="2" s="1"/>
  <c r="Q515" i="3"/>
  <c r="T260" i="2"/>
  <c r="U260" i="2" s="1"/>
  <c r="Q720" i="3"/>
  <c r="T363" i="2"/>
  <c r="U363" i="2" s="1"/>
  <c r="Q808" i="3"/>
  <c r="T409" i="2"/>
  <c r="U409" i="2" s="1"/>
  <c r="Q915" i="3"/>
  <c r="R915" i="3"/>
  <c r="V459" i="2" s="1"/>
  <c r="T459" i="2"/>
  <c r="U459" i="2" s="1"/>
  <c r="S386" i="3"/>
  <c r="W194" i="2" s="1"/>
  <c r="Q603" i="3"/>
  <c r="R880" i="3"/>
  <c r="V441" i="2" s="1"/>
  <c r="S1006" i="3"/>
  <c r="W504" i="2" s="1"/>
  <c r="T504" i="2"/>
  <c r="U504" i="2" s="1"/>
  <c r="T488" i="2"/>
  <c r="U488" i="2" s="1"/>
  <c r="Q972" i="3"/>
  <c r="Q179" i="3"/>
  <c r="T92" i="2"/>
  <c r="U92" i="2" s="1"/>
  <c r="Q386" i="3"/>
  <c r="Q880" i="3"/>
  <c r="T490" i="2"/>
  <c r="U490" i="2" s="1"/>
  <c r="S974" i="3"/>
  <c r="W490" i="2" s="1"/>
  <c r="Q618" i="3"/>
  <c r="T310" i="2"/>
  <c r="U310" i="2" s="1"/>
  <c r="Q213" i="3"/>
  <c r="T109" i="2"/>
  <c r="U109" i="2" s="1"/>
  <c r="T462" i="2"/>
  <c r="U462" i="2" s="1"/>
  <c r="S918" i="3"/>
  <c r="W462" i="2" s="1"/>
  <c r="Q353" i="3"/>
  <c r="T179" i="2"/>
  <c r="U179" i="2" s="1"/>
  <c r="Q200" i="3"/>
  <c r="T101" i="2"/>
  <c r="U101" i="2" s="1"/>
  <c r="Q387" i="3"/>
  <c r="T195" i="2"/>
  <c r="U195" i="2" s="1"/>
  <c r="R1000" i="3"/>
  <c r="V501" i="2" s="1"/>
  <c r="Q1000" i="3"/>
  <c r="T501" i="2"/>
  <c r="U501" i="2" s="1"/>
  <c r="S1000" i="3"/>
  <c r="W501" i="2" s="1"/>
  <c r="Q234" i="3"/>
  <c r="T118" i="2"/>
  <c r="U118" i="2" s="1"/>
  <c r="S454" i="3"/>
  <c r="W230" i="2" s="1"/>
  <c r="T230" i="2"/>
  <c r="U230" i="2" s="1"/>
  <c r="Q195" i="3"/>
  <c r="R195" i="3"/>
  <c r="V100" i="2" s="1"/>
  <c r="T100" i="2"/>
  <c r="U100" i="2" s="1"/>
  <c r="R129" i="3"/>
  <c r="V67" i="2" s="1"/>
  <c r="R179" i="3"/>
  <c r="V92" i="2" s="1"/>
  <c r="S179" i="3"/>
  <c r="W92" i="2" s="1"/>
  <c r="R284" i="3"/>
  <c r="V143" i="2" s="1"/>
  <c r="R386" i="3"/>
  <c r="V194" i="2" s="1"/>
  <c r="Q575" i="3"/>
  <c r="E22" i="8"/>
  <c r="R605" i="3"/>
  <c r="V305" i="2" s="1"/>
  <c r="T305" i="2"/>
  <c r="U305" i="2" s="1"/>
  <c r="S822" i="3"/>
  <c r="W413" i="2" s="1"/>
  <c r="T413" i="2"/>
  <c r="U413" i="2" s="1"/>
  <c r="Q250" i="3"/>
  <c r="T126" i="2"/>
  <c r="U126" i="2" s="1"/>
  <c r="R28" i="3"/>
  <c r="V16" i="2" s="1"/>
  <c r="T16" i="2"/>
  <c r="U16" i="2" s="1"/>
  <c r="T479" i="2"/>
  <c r="U479" i="2" s="1"/>
  <c r="S950" i="3"/>
  <c r="W479" i="2" s="1"/>
  <c r="S564" i="3"/>
  <c r="W287" i="2" s="1"/>
  <c r="T287" i="2"/>
  <c r="U287" i="2" s="1"/>
  <c r="T143" i="2"/>
  <c r="U143" i="2" s="1"/>
  <c r="Q564" i="3"/>
  <c r="S575" i="3"/>
  <c r="W292" i="2" s="1"/>
  <c r="R1006" i="3"/>
  <c r="V504" i="2" s="1"/>
  <c r="Q745" i="3"/>
  <c r="T375" i="2"/>
  <c r="U375" i="2" s="1"/>
  <c r="Q784" i="3"/>
  <c r="T396" i="2"/>
  <c r="U396" i="2" s="1"/>
  <c r="T168" i="2"/>
  <c r="U168" i="2" s="1"/>
  <c r="Q329" i="3"/>
  <c r="R1088" i="3"/>
  <c r="V545" i="2" s="1"/>
  <c r="T545" i="2"/>
  <c r="U545" i="2" s="1"/>
  <c r="Q1088" i="3"/>
  <c r="Q284" i="3"/>
  <c r="Q244" i="3"/>
  <c r="Q658" i="3"/>
  <c r="R575" i="3"/>
  <c r="V292" i="2" s="1"/>
  <c r="T496" i="2"/>
  <c r="U496" i="2" s="1"/>
  <c r="R972" i="3"/>
  <c r="V488" i="2" s="1"/>
  <c r="Q1006" i="3"/>
  <c r="E23" i="8"/>
  <c r="S619" i="3"/>
  <c r="W311" i="2" s="1"/>
  <c r="T311" i="2"/>
  <c r="U311" i="2" s="1"/>
  <c r="Q574" i="3"/>
  <c r="T291" i="2"/>
  <c r="U291" i="2" s="1"/>
  <c r="R871" i="3"/>
  <c r="V438" i="2" s="1"/>
  <c r="T438" i="2"/>
  <c r="U438" i="2" s="1"/>
  <c r="Q931" i="3"/>
  <c r="R931" i="3"/>
  <c r="V467" i="2" s="1"/>
  <c r="T467" i="2"/>
  <c r="U467" i="2" s="1"/>
  <c r="S244" i="3"/>
  <c r="W124" i="2" s="1"/>
  <c r="S195" i="3"/>
  <c r="W100" i="2" s="1"/>
  <c r="R882" i="3"/>
  <c r="V443" i="2" s="1"/>
  <c r="S972" i="3"/>
  <c r="W488" i="2" s="1"/>
  <c r="R935" i="3"/>
  <c r="V471" i="2" s="1"/>
  <c r="T471" i="2"/>
  <c r="U471" i="2" s="1"/>
  <c r="R1040" i="3"/>
  <c r="V521" i="2" s="1"/>
  <c r="S1040" i="3"/>
  <c r="W521" i="2" s="1"/>
  <c r="Q1040" i="3"/>
  <c r="T521" i="2"/>
  <c r="U521" i="2" s="1"/>
  <c r="R53" i="3"/>
  <c r="V30" i="2" s="1"/>
  <c r="T30" i="2"/>
  <c r="U30" i="2" s="1"/>
  <c r="Q447" i="3"/>
  <c r="T225" i="2"/>
  <c r="U225" i="2" s="1"/>
  <c r="R906" i="3"/>
  <c r="V454" i="2" s="1"/>
  <c r="Q906" i="3"/>
  <c r="T454" i="2"/>
  <c r="U454" i="2" s="1"/>
  <c r="S1014" i="3"/>
  <c r="W509" i="2" s="1"/>
  <c r="T509" i="2"/>
  <c r="U509" i="2" s="1"/>
  <c r="R258" i="3"/>
  <c r="V130" i="2" s="1"/>
  <c r="T130" i="2"/>
  <c r="U130" i="2" s="1"/>
  <c r="C24" i="8"/>
  <c r="D24" i="8"/>
  <c r="E17" i="8"/>
  <c r="Q561" i="3"/>
  <c r="R561" i="3"/>
  <c r="V285" i="2" s="1"/>
  <c r="T285" i="2"/>
  <c r="U285" i="2" s="1"/>
  <c r="S47" i="3"/>
  <c r="W27" i="2" s="1"/>
  <c r="T27" i="2"/>
  <c r="U27" i="2" s="1"/>
  <c r="S92" i="3"/>
  <c r="W50" i="2" s="1"/>
  <c r="T50" i="2"/>
  <c r="U50" i="2" s="1"/>
  <c r="R227" i="3"/>
  <c r="V115" i="2" s="1"/>
  <c r="S227" i="3"/>
  <c r="W115" i="2" s="1"/>
  <c r="Q227" i="3"/>
  <c r="T115" i="2"/>
  <c r="U115" i="2" s="1"/>
  <c r="T12" i="2"/>
  <c r="U12" i="2" s="1"/>
  <c r="R20" i="3"/>
  <c r="V12" i="2" s="1"/>
  <c r="R123" i="3"/>
  <c r="V64" i="2" s="1"/>
  <c r="Q178" i="3"/>
  <c r="S561" i="3"/>
  <c r="W285" i="2" s="1"/>
  <c r="S543" i="3"/>
  <c r="W273" i="2" s="1"/>
  <c r="S873" i="3"/>
  <c r="W440" i="2" s="1"/>
  <c r="R706" i="3"/>
  <c r="V355" i="2" s="1"/>
  <c r="Q135" i="3"/>
  <c r="S135" i="3"/>
  <c r="W69" i="2" s="1"/>
  <c r="T69" i="2"/>
  <c r="U69" i="2" s="1"/>
  <c r="Q129" i="3"/>
  <c r="T67" i="2"/>
  <c r="U67" i="2" s="1"/>
  <c r="R621" i="3"/>
  <c r="V313" i="2" s="1"/>
  <c r="T313" i="2"/>
  <c r="U313" i="2" s="1"/>
  <c r="Q123" i="3"/>
  <c r="R543" i="3"/>
  <c r="V273" i="2" s="1"/>
  <c r="Q621" i="3"/>
  <c r="R873" i="3"/>
  <c r="V440" i="2" s="1"/>
  <c r="Q706" i="3"/>
  <c r="S658" i="3"/>
  <c r="W331" i="2" s="1"/>
  <c r="T331" i="2"/>
  <c r="U331" i="2" s="1"/>
  <c r="R87" i="3"/>
  <c r="V46" i="2" s="1"/>
  <c r="T46" i="2"/>
  <c r="U46" i="2" s="1"/>
  <c r="Q558" i="3"/>
  <c r="T284" i="2"/>
  <c r="U284" i="2" s="1"/>
  <c r="S621" i="3"/>
  <c r="W313" i="2" s="1"/>
  <c r="S706" i="3"/>
  <c r="W355" i="2" s="1"/>
  <c r="Q586" i="3"/>
  <c r="T296" i="2"/>
  <c r="U296" i="2" s="1"/>
  <c r="S628" i="3"/>
  <c r="W316" i="2" s="1"/>
  <c r="T316" i="2"/>
  <c r="U316" i="2" s="1"/>
  <c r="Q562" i="3"/>
  <c r="T286" i="2"/>
  <c r="U286" i="2" s="1"/>
  <c r="T299" i="2"/>
  <c r="U299" i="2" s="1"/>
  <c r="S595" i="3"/>
  <c r="W299" i="2" s="1"/>
  <c r="Q531" i="3"/>
  <c r="T268" i="2"/>
  <c r="U268" i="2" s="1"/>
  <c r="S531" i="3"/>
  <c r="W268" i="2" s="1"/>
  <c r="Q585" i="3"/>
  <c r="R585" i="3"/>
  <c r="V295" i="2" s="1"/>
  <c r="T295" i="2"/>
  <c r="U295" i="2" s="1"/>
  <c r="R47" i="3"/>
  <c r="V27" i="2" s="1"/>
  <c r="Q92" i="3"/>
  <c r="Q668" i="3"/>
  <c r="T335" i="2"/>
  <c r="U335" i="2" s="1"/>
  <c r="R657" i="3"/>
  <c r="V330" i="2" s="1"/>
  <c r="T330" i="2"/>
  <c r="U330" i="2" s="1"/>
  <c r="T302" i="2"/>
  <c r="U302" i="2" s="1"/>
  <c r="Q602" i="3"/>
  <c r="T304" i="2"/>
  <c r="U304" i="2" s="1"/>
  <c r="S604" i="3"/>
  <c r="W304" i="2" s="1"/>
  <c r="Q848" i="3"/>
  <c r="T427" i="2"/>
  <c r="U427" i="2" s="1"/>
  <c r="R92" i="3"/>
  <c r="V50" i="2" s="1"/>
  <c r="S766" i="3"/>
  <c r="W386" i="2" s="1"/>
  <c r="Q766" i="3"/>
  <c r="R766" i="3"/>
  <c r="V386" i="2" s="1"/>
  <c r="T386" i="2"/>
  <c r="U386" i="2" s="1"/>
  <c r="Q832" i="3"/>
  <c r="T417" i="2"/>
  <c r="U417" i="2" s="1"/>
  <c r="E20" i="8"/>
  <c r="E18" i="8"/>
  <c r="R825" i="3"/>
  <c r="V416" i="2" s="1"/>
  <c r="S825" i="3"/>
  <c r="W416" i="2" s="1"/>
  <c r="Q825" i="3"/>
  <c r="T416" i="2"/>
  <c r="U416" i="2" s="1"/>
  <c r="Q523" i="3"/>
  <c r="S524" i="3"/>
  <c r="W265" i="2" s="1"/>
  <c r="T265" i="2"/>
  <c r="U265" i="2" s="1"/>
  <c r="Q524" i="3"/>
  <c r="R524" i="3"/>
  <c r="V265" i="2" s="1"/>
  <c r="R523" i="3"/>
  <c r="V264" i="2" s="1"/>
  <c r="E16" i="8"/>
  <c r="Q11" i="3"/>
  <c r="R11" i="3"/>
  <c r="V8" i="2" s="1"/>
  <c r="S11" i="3"/>
  <c r="W8" i="2" s="1"/>
  <c r="T8" i="2"/>
  <c r="U8" i="2" s="1"/>
  <c r="S286" i="3"/>
  <c r="W145" i="2" s="1"/>
  <c r="R286" i="3"/>
  <c r="V145" i="2" s="1"/>
  <c r="Q286" i="3"/>
  <c r="T145" i="2"/>
  <c r="U145" i="2" s="1"/>
  <c r="E10" i="8"/>
  <c r="S2" i="3"/>
  <c r="W2" i="2" s="1"/>
  <c r="V3" i="2"/>
  <c r="W3" i="2"/>
  <c r="E15" i="8"/>
  <c r="E11" i="8"/>
  <c r="E14" i="8"/>
  <c r="E12" i="8"/>
  <c r="E9" i="8"/>
  <c r="E13" i="8"/>
  <c r="W4" i="2"/>
  <c r="V4" i="2"/>
  <c r="Q2" i="3"/>
  <c r="T2" i="2"/>
  <c r="U2" i="2" s="1"/>
  <c r="E24" i="8" l="1"/>
</calcChain>
</file>

<file path=xl/sharedStrings.xml><?xml version="1.0" encoding="utf-8"?>
<sst xmlns="http://schemas.openxmlformats.org/spreadsheetml/2006/main" count="8521" uniqueCount="895">
  <si>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</si>
  <si>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</si>
  <si>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</si>
  <si>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</si>
  <si>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</si>
  <si>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</si>
  <si>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</si>
  <si>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</si>
  <si>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</si>
  <si>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</si>
  <si>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</si>
  <si>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</si>
  <si>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</si>
  <si>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</si>
  <si>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</si>
  <si>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</si>
  <si>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</si>
  <si>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</si>
  <si>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</si>
  <si>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</si>
  <si>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</si>
  <si>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</si>
  <si>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</si>
  <si>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</si>
  <si>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</si>
  <si>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</si>
  <si>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</si>
  <si>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</si>
  <si>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</si>
  <si>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</si>
  <si>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</si>
  <si>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</si>
  <si>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</si>
  <si>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</si>
  <si>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</si>
  <si>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</si>
  <si>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</si>
  <si>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</si>
  <si>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0.01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</si>
  <si>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</si>
  <si>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</si>
  <si>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</si>
  <si>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</si>
  <si>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</si>
  <si>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</si>
  <si>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</si>
  <si>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</si>
  <si>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</si>
  <si>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</si>
  <si>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</si>
  <si>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</si>
  <si>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</si>
  <si>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</si>
  <si>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</si>
  <si>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</si>
  <si>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</si>
  <si>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</si>
  <si>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</si>
  <si>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</si>
  <si>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</si>
  <si>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</si>
  <si>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</si>
  <si>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</si>
  <si>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</si>
  <si>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</si>
  <si>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</si>
  <si>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</si>
  <si>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</si>
  <si>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</si>
  <si>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</si>
  <si>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</si>
  <si>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</si>
  <si>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</si>
  <si>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</si>
  <si>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</si>
  <si>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</si>
  <si>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</si>
  <si>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</si>
  <si>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</si>
  <si>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</si>
  <si>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</si>
  <si>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</si>
  <si>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</si>
  <si>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</si>
  <si>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</si>
  <si>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</si>
  <si>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</si>
  <si>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</si>
  <si>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</si>
  <si>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</si>
  <si>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</si>
  <si>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</si>
  <si>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</si>
  <si>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</si>
  <si>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</si>
  <si>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</si>
  <si>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</si>
  <si>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</si>
  <si>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</si>
  <si>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</si>
  <si>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</si>
  <si>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</si>
  <si>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</si>
  <si>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</si>
  <si>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</si>
  <si>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</si>
  <si>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</si>
  <si>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</si>
  <si>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</si>
  <si>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</si>
  <si>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</si>
  <si>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</si>
  <si>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</si>
  <si>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</si>
  <si>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</si>
  <si>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</si>
  <si>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</si>
  <si>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</si>
  <si>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</si>
  <si>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</si>
  <si>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</si>
  <si>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[sl 3676.10]</t>
  </si>
  <si>
    <t>[sl 3675.60]</t>
  </si>
  <si>
    <t>DEMO_strategy_03</t>
  </si>
  <si>
    <t>DEMO_strategy_01</t>
  </si>
  <si>
    <t>DEMO_strategy_02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</si>
  <si>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</si>
  <si>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</si>
  <si>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</si>
  <si>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</si>
  <si>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</si>
  <si>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</si>
  <si>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</si>
  <si>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</si>
  <si>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</si>
  <si>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</si>
  <si>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</si>
  <si>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</si>
  <si>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</si>
  <si>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</si>
  <si>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</si>
  <si>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</si>
  <si>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</si>
  <si>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</si>
  <si>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</si>
  <si>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</si>
  <si>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</si>
  <si>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</si>
  <si>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</si>
  <si>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</si>
  <si>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strategy_12_demo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</si>
  <si>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</si>
  <si>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</si>
  <si>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</si>
  <si>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</si>
  <si>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</si>
  <si>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</si>
  <si>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</si>
  <si>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</si>
  <si>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</si>
  <si>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</si>
  <si>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</si>
  <si>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</si>
  <si>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</si>
  <si>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</si>
  <si>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</si>
  <si>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</si>
  <si>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</si>
  <si>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</si>
  <si>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</si>
  <si>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</si>
  <si>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</si>
  <si>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</si>
  <si>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</si>
  <si>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</si>
  <si>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W</t>
  </si>
  <si>
    <t>L</t>
  </si>
  <si>
    <t>WR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</si>
  <si>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</si>
  <si>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</si>
  <si>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</si>
  <si>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</si>
  <si>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</si>
  <si>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</si>
  <si>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</si>
  <si>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</si>
  <si>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</si>
  <si>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</si>
  <si>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</si>
  <si>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</si>
  <si>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</si>
  <si>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</si>
  <si>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</si>
  <si>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</si>
  <si>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</si>
  <si>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</si>
  <si>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</si>
  <si>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</si>
  <si>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</si>
  <si>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</si>
  <si>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</si>
  <si>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</si>
  <si>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</si>
  <si>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</si>
  <si>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</si>
  <si>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</si>
  <si>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</si>
  <si>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</si>
  <si>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</si>
  <si>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</si>
  <si>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</si>
  <si>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</si>
  <si>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</si>
  <si>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</si>
  <si>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</si>
  <si>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</si>
  <si>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</si>
  <si>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</si>
  <si>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</si>
  <si>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</si>
  <si>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</si>
  <si>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</si>
  <si>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</si>
  <si>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</si>
  <si>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</si>
  <si>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</si>
  <si>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</si>
  <si>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</si>
  <si>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</si>
  <si>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</si>
  <si>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</si>
  <si>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</si>
  <si>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</si>
  <si>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</si>
  <si>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</si>
  <si>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</si>
  <si>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</si>
  <si>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</si>
  <si>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</si>
  <si>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</si>
  <si>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</si>
  <si>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</si>
  <si>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</si>
  <si>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</si>
  <si>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</si>
  <si>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</si>
  <si>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</si>
  <si>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</si>
  <si>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</si>
  <si>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</si>
  <si>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</si>
  <si>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</si>
  <si>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</si>
  <si>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</si>
  <si>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</si>
  <si>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</si>
  <si>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</si>
  <si>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</si>
  <si>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</si>
  <si>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</si>
  <si>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</si>
  <si>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</si>
  <si>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</si>
  <si>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</si>
  <si>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</si>
  <si>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</si>
  <si>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</si>
  <si>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</si>
  <si>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strategy_08_demo</t>
  </si>
  <si>
    <t>[sl 3655.66]</t>
  </si>
  <si>
    <t>[tp 3654.54]</t>
  </si>
  <si>
    <t>[sl 3656.50]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</si>
  <si>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</si>
  <si>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</si>
  <si>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</si>
  <si>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</si>
  <si>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</si>
  <si>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</si>
  <si>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</si>
  <si>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</si>
  <si>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</si>
  <si>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</si>
  <si>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</si>
  <si>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</si>
  <si>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</si>
  <si>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</si>
  <si>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</si>
  <si>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</si>
  <si>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</si>
  <si>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</si>
  <si>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</si>
  <si>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</si>
  <si>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</si>
  <si>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</si>
  <si>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</si>
  <si>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</si>
  <si>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</si>
  <si>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</si>
  <si>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</si>
  <si>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</si>
  <si>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</si>
  <si>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</si>
  <si>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</si>
  <si>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</si>
  <si>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</si>
  <si>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</si>
  <si>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</si>
  <si>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</si>
  <si>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</si>
  <si>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</si>
  <si>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</si>
  <si>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</si>
  <si>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</si>
  <si>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</si>
  <si>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</si>
  <si>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</si>
  <si>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</si>
  <si>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</si>
  <si>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</si>
  <si>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</si>
  <si>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</si>
  <si>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</si>
  <si>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</si>
  <si>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</si>
  <si>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</si>
  <si>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</si>
  <si>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</si>
  <si>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</si>
  <si>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</si>
  <si>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</si>
  <si>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</si>
  <si>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</si>
  <si>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</si>
  <si>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</si>
  <si>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</si>
  <si>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</si>
  <si>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</si>
  <si>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</si>
  <si>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</si>
  <si>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</si>
  <si>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</si>
  <si>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</si>
  <si>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</si>
  <si>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</si>
  <si>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</si>
  <si>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</si>
  <si>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</si>
  <si>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</si>
  <si>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</si>
  <si>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</si>
  <si>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</si>
  <si>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</si>
  <si>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</si>
  <si>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</si>
  <si>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</si>
  <si>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</si>
  <si>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</si>
  <si>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</si>
  <si>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</si>
  <si>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</si>
  <si>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</si>
  <si>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</si>
  <si>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</si>
  <si>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</si>
  <si>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</si>
  <si>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</si>
  <si>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</si>
  <si>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</si>
  <si>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</si>
  <si>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</si>
  <si>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</si>
  <si>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</si>
  <si>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</si>
  <si>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</si>
  <si>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</si>
  <si>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</si>
  <si>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</si>
  <si>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</si>
  <si>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</si>
  <si>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</si>
  <si>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</si>
  <si>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</si>
  <si>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</si>
  <si>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</si>
  <si>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</si>
  <si>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</si>
  <si>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</si>
  <si>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</si>
  <si>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</si>
  <si>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</si>
  <si>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</si>
  <si>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</si>
  <si>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</si>
  <si>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</si>
  <si>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</si>
  <si>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strategy_07_demo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</si>
  <si>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</si>
  <si>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</si>
  <si>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</si>
  <si>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</si>
  <si>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</si>
  <si>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</si>
  <si>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</si>
  <si>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</si>
  <si>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</si>
  <si>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</si>
  <si>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</si>
  <si>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</si>
  <si>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</si>
  <si>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</si>
  <si>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</si>
  <si>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</si>
  <si>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</si>
  <si>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</si>
  <si>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</si>
  <si>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</si>
  <si>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</si>
  <si>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</si>
  <si>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</si>
  <si>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</si>
  <si>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</si>
  <si>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</si>
  <si>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</si>
  <si>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</si>
  <si>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</si>
  <si>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</si>
  <si>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</si>
  <si>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</si>
  <si>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</si>
  <si>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</si>
  <si>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</si>
  <si>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</si>
  <si>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</si>
  <si>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</si>
  <si>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</si>
  <si>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</si>
  <si>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</si>
  <si>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</si>
  <si>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</si>
  <si>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</si>
  <si>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</si>
  <si>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</si>
  <si>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</si>
  <si>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</si>
  <si>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</si>
  <si>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</si>
  <si>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</si>
  <si>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</si>
  <si>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</si>
  <si>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</si>
  <si>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</si>
  <si>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</si>
  <si>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</si>
  <si>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</si>
  <si>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</si>
  <si>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</si>
  <si>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</si>
  <si>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</si>
  <si>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</si>
  <si>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</si>
  <si>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</si>
  <si>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</si>
  <si>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</si>
  <si>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</si>
  <si>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</si>
  <si>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</si>
  <si>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</si>
  <si>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</si>
  <si>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</si>
  <si>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</si>
  <si>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</si>
  <si>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</si>
  <si>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</si>
  <si>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</si>
  <si>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</si>
  <si>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</si>
  <si>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</si>
  <si>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</si>
  <si>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</si>
  <si>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</si>
  <si>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</si>
  <si>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</si>
  <si>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</si>
  <si>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</si>
  <si>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</si>
  <si>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</si>
  <si>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</si>
  <si>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</si>
  <si>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</si>
  <si>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</si>
  <si>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</si>
  <si>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</si>
  <si>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</si>
  <si>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</si>
  <si>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</si>
  <si>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</si>
  <si>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</si>
  <si>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</si>
  <si>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</si>
  <si>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</si>
  <si>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</si>
  <si>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</si>
  <si>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</si>
  <si>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</si>
  <si>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</si>
  <si>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</si>
  <si>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</si>
  <si>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</si>
  <si>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</si>
  <si>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</si>
  <si>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</si>
  <si>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</si>
  <si>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</si>
  <si>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</si>
  <si>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</si>
  <si>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</si>
  <si>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</si>
  <si>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</si>
  <si>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</si>
  <si>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</si>
  <si>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</si>
  <si>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</si>
  <si>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</si>
  <si>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</si>
  <si>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</si>
  <si>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</si>
  <si>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</si>
  <si>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</si>
  <si>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</si>
  <si>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</si>
  <si>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</si>
  <si>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</si>
  <si>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</si>
  <si>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</si>
  <si>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</si>
  <si>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</si>
  <si>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</si>
  <si>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</si>
  <si>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</si>
  <si>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</si>
  <si>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</si>
  <si>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</si>
  <si>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</si>
  <si>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</si>
  <si>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</si>
  <si>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</si>
  <si>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</si>
  <si>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</si>
  <si>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</si>
  <si>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</si>
  <si>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</si>
  <si>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</si>
  <si>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</si>
  <si>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</si>
  <si>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</si>
  <si>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</si>
  <si>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</si>
  <si>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</si>
  <si>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</si>
  <si>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</si>
  <si>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</si>
  <si>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</si>
  <si>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</si>
  <si>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</si>
  <si>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</si>
  <si>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</si>
  <si>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</si>
  <si>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</si>
  <si>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</si>
  <si>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</si>
  <si>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</si>
  <si>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</si>
  <si>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</si>
  <si>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</si>
  <si>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</si>
  <si>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</si>
  <si>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</si>
  <si>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</si>
  <si>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</si>
  <si>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</si>
  <si>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</si>
  <si>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</si>
  <si>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</si>
  <si>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</si>
  <si>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</si>
  <si>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</si>
  <si>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</si>
  <si>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</si>
  <si>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</si>
  <si>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</si>
  <si>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</si>
  <si>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</si>
  <si>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</si>
  <si>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</si>
  <si>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</si>
  <si>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</si>
  <si>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</si>
  <si>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</si>
  <si>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</si>
  <si>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</si>
  <si>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</si>
  <si>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</si>
  <si>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</si>
  <si>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</si>
  <si>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</si>
  <si>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</si>
  <si>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</si>
  <si>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</si>
  <si>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</si>
  <si>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</si>
  <si>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</si>
  <si>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</si>
  <si>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</si>
  <si>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</si>
  <si>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</si>
  <si>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</si>
  <si>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strategy_13_demo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</si>
  <si>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</si>
  <si>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</si>
  <si>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</si>
  <si>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</si>
  <si>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</si>
  <si>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</si>
  <si>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</si>
  <si>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</si>
  <si>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</si>
  <si>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</si>
  <si>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</si>
  <si>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</si>
  <si>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</si>
  <si>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</si>
  <si>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</si>
  <si>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</si>
  <si>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</si>
  <si>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</si>
  <si>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</si>
  <si>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</si>
  <si>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</si>
  <si>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</si>
  <si>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</si>
  <si>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</si>
  <si>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</si>
  <si>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</si>
  <si>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</si>
  <si>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</si>
  <si>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</si>
  <si>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</si>
  <si>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strategy_14_demo</t>
  </si>
  <si>
    <t>[sl 3657.51]</t>
  </si>
  <si>
    <t>[sl 3658.01]</t>
  </si>
  <si>
    <t>[sl 3658.08]</t>
  </si>
  <si>
    <t>[tp 3659.55]</t>
  </si>
  <si>
    <t>[tp 3659.62]</t>
  </si>
  <si>
    <t>strategy_15_demo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</si>
  <si>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</si>
  <si>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</si>
  <si>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</si>
  <si>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</si>
  <si>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</si>
  <si>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</si>
  <si>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</si>
  <si>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</si>
  <si>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</si>
  <si>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</si>
  <si>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</si>
  <si>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</si>
  <si>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</si>
  <si>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</si>
  <si>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</si>
  <si>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</si>
  <si>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</si>
  <si>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</si>
  <si>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</si>
  <si>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</si>
  <si>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</si>
  <si>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</si>
  <si>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</si>
  <si>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</si>
  <si>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</si>
  <si>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</si>
  <si>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</si>
  <si>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</si>
  <si>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</si>
  <si>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</si>
  <si>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</si>
  <si>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</si>
  <si>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</si>
  <si>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</si>
  <si>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</si>
  <si>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</si>
  <si>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</si>
  <si>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</si>
  <si>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</si>
  <si>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</si>
  <si>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</si>
  <si>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</si>
  <si>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</si>
  <si>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</si>
  <si>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</si>
  <si>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</si>
  <si>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</si>
  <si>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</si>
  <si>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</si>
  <si>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</si>
  <si>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12</t>
  </si>
  <si>
    <t>13</t>
  </si>
  <si>
    <t>14</t>
  </si>
  <si>
    <t>15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</si>
  <si>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</si>
  <si>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</si>
  <si>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</si>
  <si>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</si>
  <si>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</si>
  <si>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</si>
  <si>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</si>
  <si>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</si>
  <si>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</si>
  <si>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</si>
  <si>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</si>
  <si>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</si>
  <si>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</si>
  <si>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</si>
  <si>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</si>
  <si>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</si>
  <si>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</si>
  <si>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</si>
  <si>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</si>
  <si>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</si>
  <si>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</si>
  <si>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</si>
  <si>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</si>
  <si>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</si>
  <si>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</si>
  <si>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</si>
  <si>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</si>
  <si>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</si>
  <si>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</si>
  <si>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</si>
  <si>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</si>
  <si>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</si>
  <si>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</si>
  <si>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</si>
  <si>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</si>
  <si>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</si>
  <si>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</si>
  <si>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</si>
  <si>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</si>
  <si>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</si>
  <si>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</si>
  <si>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</si>
  <si>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</si>
  <si>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</si>
  <si>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</si>
  <si>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</si>
  <si>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</si>
  <si>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</si>
  <si>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</si>
  <si>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</si>
  <si>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</si>
  <si>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</si>
  <si>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</si>
  <si>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</si>
  <si>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</si>
  <si>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</si>
  <si>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</si>
  <si>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</si>
  <si>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</si>
  <si>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</si>
  <si>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</si>
  <si>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</si>
  <si>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</si>
  <si>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strategy_16_demo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</si>
  <si>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</si>
  <si>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</si>
  <si>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</si>
  <si>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</si>
  <si>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</si>
  <si>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</si>
  <si>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</si>
  <si>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</si>
  <si>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</si>
  <si>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</si>
  <si>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</si>
  <si>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</si>
  <si>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</si>
  <si>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</si>
  <si>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</si>
  <si>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</si>
  <si>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</si>
  <si>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</si>
  <si>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</si>
  <si>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</si>
  <si>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</si>
  <si>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strategy_17_demo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</si>
  <si>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</si>
  <si>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</si>
  <si>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</si>
  <si>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</si>
  <si>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</si>
  <si>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</si>
  <si>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</si>
  <si>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</si>
  <si>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</si>
  <si>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</si>
  <si>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</si>
  <si>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</si>
  <si>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</si>
  <si>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</si>
  <si>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</si>
  <si>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strategy_18_demo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</si>
  <si>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</si>
  <si>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</si>
  <si>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</si>
  <si>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</si>
  <si>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</si>
  <si>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</si>
  <si>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</si>
  <si>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</si>
  <si>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</si>
  <si>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</si>
  <si>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</si>
  <si>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</si>
  <si>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</si>
  <si>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</si>
  <si>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</si>
  <si>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</si>
  <si>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</si>
  <si>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</si>
  <si>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</si>
  <si>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</si>
  <si>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</si>
  <si>
    <t>2025.09.18 17:53:15</t>
  </si>
  <si>
    <t>2025.09.18 17:58:12</t>
  </si>
  <si>
    <t>2025.09.18 18:00:27</t>
  </si>
  <si>
    <t>2025.09.18 18:00:28</t>
  </si>
  <si>
    <t>2025.09.18 18:11:31</t>
  </si>
  <si>
    <t>2025.09.18 18:02:00</t>
  </si>
  <si>
    <t>2025.09.18 18:11:52</t>
  </si>
  <si>
    <t>2025.09.18 18:09:57</t>
  </si>
  <si>
    <t>2025.09.18 18:03:04</t>
  </si>
  <si>
    <t>2025.09.18 18:11:02</t>
  </si>
  <si>
    <t>2025.09.18 18:18:00</t>
  </si>
  <si>
    <t>2025.09.18 18:19:08</t>
  </si>
  <si>
    <t>2025.09.18 18:18:03</t>
  </si>
  <si>
    <t>2025.09.18 18:20:05</t>
  </si>
  <si>
    <t>2025.09.18 19:03:36</t>
  </si>
  <si>
    <t>2025.09.18 19:01:03</t>
  </si>
  <si>
    <t>2025.09.18 19:06:06</t>
  </si>
  <si>
    <t>2025.09.18 19:07:47</t>
  </si>
  <si>
    <t>2025.09.18 19:07:02</t>
  </si>
  <si>
    <t>2025.09.18 19:12:03</t>
  </si>
  <si>
    <t>2025.09.18 19:13:25</t>
  </si>
  <si>
    <t>2025.09.18 19:19:14</t>
  </si>
  <si>
    <t>2025.09.18 19:15:55</t>
  </si>
  <si>
    <t>2025.09.18 19:17:58</t>
  </si>
  <si>
    <t>2025.09.18 19:15:54</t>
  </si>
  <si>
    <t>2025.09.18 19:15:50</t>
  </si>
  <si>
    <t>2025.09.18 19:19:23</t>
  </si>
  <si>
    <t>[sl 3642.33]</t>
  </si>
  <si>
    <t>[sl 3640.63]</t>
  </si>
  <si>
    <t>[sl 3640.64]</t>
  </si>
  <si>
    <t>[sl 3639.18]</t>
  </si>
  <si>
    <t>[sl 3639.23]</t>
  </si>
  <si>
    <t>[tp 3638.88]</t>
  </si>
  <si>
    <t>[sl 3641.83]</t>
  </si>
  <si>
    <t>[tp 3638.83]</t>
  </si>
  <si>
    <t>[tp 3637.33]</t>
  </si>
  <si>
    <t>[sl 3638.08]</t>
  </si>
  <si>
    <t>[sl 3638.07]</t>
  </si>
  <si>
    <t>[sl 3638.89]</t>
  </si>
  <si>
    <t>[sl 3638.88]</t>
  </si>
  <si>
    <t>[sl 3641.15]</t>
  </si>
  <si>
    <t>[sl 3641.17]</t>
  </si>
  <si>
    <t>[sl 3641.41]</t>
  </si>
  <si>
    <t>[sl 3641.91]</t>
  </si>
  <si>
    <t>[sl 3642.42]</t>
  </si>
  <si>
    <t>[sl 3642.66]</t>
  </si>
  <si>
    <t>[sl 3641.66]</t>
  </si>
  <si>
    <t>[sl 3641.70]</t>
  </si>
  <si>
    <t>[tp 3643.21]</t>
  </si>
  <si>
    <t>[tp 3643.26]</t>
  </si>
  <si>
    <t>[sl 3642.36]</t>
  </si>
  <si>
    <t>[sl 3642.38]</t>
  </si>
  <si>
    <t>[sl 3641.77]</t>
  </si>
  <si>
    <t>[sl 3641.79]</t>
  </si>
  <si>
    <t>[tp 3643.73]</t>
  </si>
  <si>
    <t>[tp 3643.88]</t>
  </si>
  <si>
    <t>[sl 3642.97]</t>
  </si>
  <si>
    <t>[tp 3644.78]</t>
  </si>
  <si>
    <t>[tp 3644.95]</t>
  </si>
  <si>
    <t>[tp 3645.07]</t>
  </si>
  <si>
    <t>[tp 3645.45]</t>
  </si>
  <si>
    <t>[sl 3645.01]</t>
  </si>
  <si>
    <t>[sl 3644.99]</t>
  </si>
  <si>
    <t>[sl 3644.38]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</si>
</sst>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2" fontId="7" fillId="4" borderId="0" xfId="0" applyNumberFormat="1" applyFont="1" applyFill="1" applyAlignment="1">
      <alignment horizontal="right" vertical="center"/>
    </xf>
    <xf numFmtId="167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right" vertical="center"/>
    </xf>
    <xf numFmtId="168" fontId="7" fillId="4" borderId="0" xfId="0" applyNumberFormat="1" applyFont="1" applyFill="1" applyAlignment="1">
      <alignment horizontal="right" vertical="center"/>
    </xf>
    <xf numFmtId="168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horizontal="right" vertical="center"/>
    </xf>
    <xf numFmtId="167" fontId="7" fillId="5" borderId="0" xfId="0" applyNumberFormat="1" applyFont="1" applyFill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168" fontId="7" fillId="5" borderId="0" xfId="0" applyNumberFormat="1" applyFont="1" applyFill="1" applyAlignment="1">
      <alignment horizontal="right"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</cellXfs>
  <cellStyles count="2">
    <cellStyle name="Normal" xfId="0" builtinId="0"/>
    <cellStyle name="Percent" xfId="1" builtinId="5"/>
  </cellStyles>
  <dxfs count="8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954757870371" createdVersion="8" refreshedVersion="8" minRefreshableVersion="3" recordCount="544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18T17:45:36"/>
    </cacheField>
    <cacheField name="Position" numFmtId="0">
      <sharedItems containsString="0" containsBlank="1" containsNumber="1" containsInteger="1" minValue="442874070" maxValue="44350896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25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52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17:45:36"/>
    </cacheField>
    <cacheField name="opening_timestamp_manila" numFmtId="0">
      <sharedItems containsNonDate="0" containsDate="1" containsString="0" containsBlank="1" minDate="2025-09-16T14:04:38" maxDate="2025-09-18T22:45:36" count="386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4">
        <s v="Wed"/>
        <s v="Thu"/>
        <m/>
        <s v="Tue" u="1"/>
      </sharedItems>
    </cacheField>
    <cacheField name="profit_simulation_30usd" numFmtId="0">
      <sharedItems containsString="0" containsBlank="1" containsNumber="1" minValue="-0.35200000000000004" maxValue="0.89800000000000013"/>
    </cacheField>
    <cacheField name="profit_simulation_60usd" numFmtId="0">
      <sharedItems containsString="0" containsBlank="1" containsNumber="1" minValue="-0.70400000000000007" maxValue="1.7960000000000003"/>
    </cacheField>
    <cacheField name="profit_simulation_100usd" numFmtId="0">
      <sharedItems containsString="0" containsBlank="1" containsNumber="1" minValue="-1.056" maxValue="2.694"/>
    </cacheField>
    <cacheField name="Seconds (opening_timestamp_manila)" numFmtId="0" databaseField="0">
      <fieldGroup base="19">
        <rangePr groupBy="seconds" startDate="2025-09-17T20:59:17" endDate="2025-09-18T22:45:3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22:45:3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22:45:36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22:45:36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95548611111" createdVersion="8" refreshedVersion="8" minRefreshableVersion="3" recordCount="544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18T17:45:36"/>
    </cacheField>
    <cacheField name="Position" numFmtId="0">
      <sharedItems containsString="0" containsBlank="1" containsNumber="1" containsInteger="1" minValue="442874070" maxValue="44350896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25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52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17:45:36"/>
    </cacheField>
    <cacheField name="opening_timestamp_manila" numFmtId="0">
      <sharedItems containsNonDate="0" containsDate="1" containsString="0" containsBlank="1" minDate="2025-09-16T14:04:38" maxDate="2025-09-18T22:45:36" count="390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3">
        <s v="2025-09-17"/>
        <s v="2025-09-18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3">
        <s v="Wed"/>
        <s v="Thu"/>
        <m/>
      </sharedItems>
    </cacheField>
    <cacheField name="profit_simulation_30usd" numFmtId="0">
      <sharedItems containsString="0" containsBlank="1" containsNumber="1" minValue="-0.35200000000000004" maxValue="0.89800000000000013"/>
    </cacheField>
    <cacheField name="profit_simulation_60usd" numFmtId="0">
      <sharedItems containsString="0" containsBlank="1" containsNumber="1" minValue="-0.70400000000000007" maxValue="1.7960000000000003"/>
    </cacheField>
    <cacheField name="profit_simulation_100usd" numFmtId="0">
      <sharedItems containsString="0" containsBlank="1" containsNumber="1" minValue="-1.056" maxValue="2.694"/>
    </cacheField>
    <cacheField name="Normalized_Profit" numFmtId="0">
      <sharedItems containsString="0" containsBlank="1" containsNumber="1" minValue="-3" maxValue="8.98"/>
    </cacheField>
    <cacheField name="Seconds (opening_timestamp_manila)" numFmtId="0" databaseField="0">
      <fieldGroup base="19">
        <rangePr groupBy="seconds" startDate="2025-09-17T20:59:17" endDate="2025-09-18T22:45:3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22:45:3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22:45:36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22:45:36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4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x v="1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x v="1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x v="1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x v="1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x v="1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x v="1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x v="1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x v="1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x v="1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x v="1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x v="1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x v="1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x v="1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x v="1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x v="1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x v="1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x v="1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x v="1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x v="1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x v="1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x v="1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x v="1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x v="1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x v="1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x v="1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x v="1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x v="1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x v="1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x v="1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x v="1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x v="1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x v="1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x v="1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x v="1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x v="1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x v="1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x v="1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x v="1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x v="1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x v="1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x v="1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x v="1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x v="1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x v="1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x v="1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x v="1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x v="1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x v="1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x v="1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x v="1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x v="1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x v="1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x v="1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x v="1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x v="1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x v="1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x v="1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x v="1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x v="1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x v="1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x v="1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x v="1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x v="1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x v="1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x v="1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x v="1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x v="1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x v="1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x v="1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x v="1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x v="1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x v="1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x v="1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x v="1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x v="1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x v="1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x v="1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x v="1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x v="1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x v="1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x v="1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x v="1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x v="1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x v="1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x v="1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x v="1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x v="1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x v="1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x v="1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x v="1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x v="1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x v="1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x v="1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x v="1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x v="1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x v="1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x v="1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x v="1"/>
    <n v="-0.30099999999999999"/>
    <n v="-0.60199999999999998"/>
    <n v="-0.90299999999999991"/>
  </r>
  <r>
    <m/>
    <m/>
    <m/>
    <m/>
    <m/>
    <m/>
    <m/>
    <m/>
    <m/>
    <m/>
    <m/>
    <m/>
    <m/>
    <m/>
    <m/>
    <m/>
    <x v="15"/>
    <m/>
    <m/>
    <x v="281"/>
    <m/>
    <x v="23"/>
    <x v="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4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m/>
    <m/>
    <m/>
    <m/>
    <m/>
    <m/>
    <m/>
    <m/>
    <m/>
    <m/>
    <m/>
    <m/>
    <m/>
    <m/>
    <m/>
    <m/>
    <x v="15"/>
    <m/>
    <m/>
    <x v="281"/>
    <x v="2"/>
    <x v="23"/>
    <x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1:AC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0">
        <item x="4"/>
        <item x="5"/>
        <item x="3"/>
        <item m="1" x="16"/>
        <item x="8"/>
        <item m="1" x="17"/>
        <item x="7"/>
        <item m="1" x="18"/>
        <item x="0"/>
        <item x="2"/>
        <item x="1"/>
        <item x="6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>
      <items count="387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16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Sum of Profit" fld="12" baseField="0" baseItem="0"/>
  </dataFields>
  <formats count="10"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26">
      <pivotArea dataOnly="0" labelOnly="1" grandCol="1" outline="0" fieldPosition="0"/>
    </format>
    <format dxfId="25">
      <pivotArea outline="0" collapsedLevelsAreSubtotals="1" fieldPosition="0"/>
    </format>
    <format dxfId="24">
      <pivotArea field="21" type="button" dataOnly="0" labelOnly="1" outline="0" axis="axisRow" fieldPosition="0"/>
    </format>
    <format dxfId="23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20">
      <pivotArea dataOnly="0" labelOnly="1" grandCol="1" outline="0" fieldPosition="0"/>
    </format>
  </formats>
  <conditionalFormats count="4"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Q50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0">
        <item x="4"/>
        <item x="5"/>
        <item x="3"/>
        <item m="1" x="16"/>
        <item x="8"/>
        <item m="1" x="17"/>
        <item x="7"/>
        <item m="1" x="18"/>
        <item x="0"/>
        <item x="2"/>
        <item x="1"/>
        <item x="6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16"/>
  </colFields>
  <colItems count="16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Sum of Profit" fld="12" baseField="0" baseItem="0"/>
  </dataFields>
  <formats count="32">
    <format dxfId="61">
      <pivotArea dataOnly="0" labelOnly="1" fieldPosition="0">
        <references count="1">
          <reference field="16" count="1">
            <x v="11"/>
          </reference>
        </references>
      </pivotArea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type="origin" dataOnly="0" labelOnly="1" outline="0" fieldPosition="0"/>
    </format>
    <format dxfId="57">
      <pivotArea field="16" type="button" dataOnly="0" labelOnly="1" outline="0" axis="axisCol" fieldPosition="0"/>
    </format>
    <format dxfId="56">
      <pivotArea type="topRight" dataOnly="0" labelOnly="1" outline="0" fieldPosition="0"/>
    </format>
    <format dxfId="55">
      <pivotArea field="20" type="button" dataOnly="0" labelOnly="1" outline="0" axis="axisRow" fieldPosition="0"/>
    </format>
    <format dxfId="54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53">
      <pivotArea dataOnly="0" labelOnly="1" grandRow="1" outline="0" fieldPosition="0"/>
    </format>
    <format dxfId="52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51">
      <pivotArea dataOnly="0" labelOnly="1" grandCol="1" outline="0" fieldPosition="0"/>
    </format>
    <format dxfId="50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49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48">
      <pivotArea dataOnly="0" labelOnly="1" fieldPosition="0">
        <references count="1">
          <reference field="16" count="1">
            <x v="8"/>
          </reference>
        </references>
      </pivotArea>
    </format>
    <format dxfId="47">
      <pivotArea dataOnly="0" labelOnly="1" fieldPosition="0">
        <references count="1">
          <reference field="16" count="1">
            <x v="8"/>
          </reference>
        </references>
      </pivotArea>
    </format>
    <format dxfId="46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45">
      <pivotArea outline="0" collapsedLevelsAreSubtotals="1" fieldPosition="0"/>
    </format>
    <format dxfId="44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43">
      <pivotArea dataOnly="0" labelOnly="1" grandCol="1" outline="0" fieldPosition="0"/>
    </format>
    <format dxfId="42">
      <pivotArea dataOnly="0" labelOnly="1" fieldPosition="0">
        <references count="1">
          <reference field="16" count="1">
            <x v="8"/>
          </reference>
        </references>
      </pivotArea>
    </format>
    <format dxfId="41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40">
      <pivotArea dataOnly="0" labelOnly="1" grandCol="1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16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20" type="button" dataOnly="0" labelOnly="1" outline="0" axis="axisRow" fieldPosition="0"/>
    </format>
    <format dxfId="33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32">
      <pivotArea dataOnly="0" labelOnly="1" grandRow="1" outline="0" fieldPosition="0"/>
    </format>
    <format dxfId="31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30">
      <pivotArea dataOnly="0" labelOnly="1" grandCol="1" outline="0" fieldPosition="0"/>
    </format>
  </formats>
  <conditionalFormats count="1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1:I14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0">
        <item m="1" x="16"/>
        <item m="1" x="17"/>
        <item m="1" x="18"/>
        <item x="0"/>
        <item x="2"/>
        <item x="1"/>
        <item x="1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>
      <items count="387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showAll="0"/>
    <pivotField axis="axisRow" showAll="0">
      <items count="5">
        <item m="1" x="3"/>
        <item x="0"/>
        <item x="2"/>
        <item x="1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 v="1"/>
    </i>
    <i>
      <x v="3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22" type="button" dataOnly="0" labelOnly="1" outline="0" axis="axisRow" fieldPosition="0"/>
    </format>
    <format dxfId="64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24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0">
        <item x="4"/>
        <item x="5"/>
        <item x="3"/>
        <item m="1" x="16"/>
        <item x="8"/>
        <item m="1" x="17"/>
        <item x="7"/>
        <item m="1" x="18"/>
        <item x="0"/>
        <item x="2"/>
        <item x="1"/>
        <item x="6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16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Profit" fld="12" baseField="0" baseItem="0"/>
  </dataFields>
  <formats count="11">
    <format dxfId="78">
      <pivotArea dataOnly="0" labelOnly="1" fieldPosition="0">
        <references count="1">
          <reference field="16" count="1">
            <x v="11"/>
          </reference>
        </references>
      </pivotArea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16" type="button" dataOnly="0" labelOnly="1" outline="0" axis="axisRow" fieldPosition="0"/>
    </format>
    <format dxfId="74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axis="axisValues" fieldPosition="0"/>
    </format>
    <format dxfId="71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70">
      <pivotArea dataOnly="0" labelOnly="1" fieldPosition="0">
        <references count="1">
          <reference field="16" count="1">
            <x v="17"/>
          </reference>
        </references>
      </pivotArea>
    </format>
    <format dxfId="69">
      <pivotArea dataOnly="0" labelOnly="1" fieldPosition="0">
        <references count="1">
          <reference field="16" count="1">
            <x v="1"/>
          </reference>
        </references>
      </pivotArea>
    </format>
    <format dxfId="68">
      <pivotArea dataOnly="0" labelOnly="1" fieldPosition="0">
        <references count="1">
          <reference field="16" count="1">
            <x v="2"/>
          </reference>
        </references>
      </pivotArea>
    </format>
  </formats>
  <conditionalFormats count="1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4"/>
              <x v="6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4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0">
        <item m="1" x="16"/>
        <item m="1" x="17"/>
        <item m="1" x="18"/>
        <item x="0"/>
        <item x="2"/>
        <item x="1"/>
        <item x="1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axis="axisRow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"/>
        <item x="2"/>
        <item x="3"/>
        <item x="23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10">
    <i>
      <x/>
    </i>
    <i>
      <x v="1"/>
    </i>
    <i>
      <x v="5"/>
    </i>
    <i>
      <x v="8"/>
    </i>
    <i>
      <x v="11"/>
    </i>
    <i>
      <x v="12"/>
    </i>
    <i>
      <x v="13"/>
    </i>
    <i>
      <x v="14"/>
    </i>
    <i>
      <x v="16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0">
        <item m="1" x="16"/>
        <item m="1" x="17"/>
        <item m="1" x="18"/>
        <item x="0"/>
        <item x="2"/>
        <item x="1"/>
        <item x="1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0">
        <item m="1" x="16"/>
        <item m="1" x="17"/>
        <item m="1" x="18"/>
        <item x="0"/>
        <item x="2"/>
        <item x="1"/>
        <item x="1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3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0">
        <item m="1" x="16"/>
        <item m="1" x="17"/>
        <item m="1" x="18"/>
        <item x="0"/>
        <item x="2"/>
        <item x="1"/>
        <item x="1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axis="axisRow" showAll="0">
      <items count="391"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x="281"/>
        <item m="1" x="386"/>
        <item m="1" x="387"/>
        <item m="1" x="388"/>
        <item m="1" x="3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5">
    <i>
      <x v="112"/>
    </i>
    <i>
      <x v="122"/>
    </i>
    <i>
      <x v="125"/>
    </i>
    <i>
      <x v="130"/>
    </i>
    <i>
      <x v="136"/>
    </i>
    <i>
      <x v="143"/>
    </i>
    <i>
      <x v="155"/>
    </i>
    <i>
      <x v="194"/>
    </i>
    <i>
      <x v="201"/>
    </i>
    <i>
      <x v="220"/>
    </i>
    <i>
      <x v="259"/>
    </i>
    <i>
      <x v="264"/>
    </i>
    <i>
      <x v="345"/>
    </i>
    <i>
      <x v="349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C104"/>
  <sheetViews>
    <sheetView showGridLines="0" workbookViewId="0">
      <selection activeCell="F16" sqref="F16"/>
    </sheetView>
  </sheetViews>
  <sheetFormatPr defaultRowHeight="15" zeroHeight="1" x14ac:dyDescent="0.25"/>
  <cols>
    <col min="1" max="1" width="17.28515625" customWidth="1"/>
    <col min="2" max="2" width="14.5703125" bestFit="1" customWidth="1"/>
    <col min="3" max="4" width="16.140625" bestFit="1" customWidth="1"/>
    <col min="5" max="7" width="15.85546875" bestFit="1" customWidth="1"/>
    <col min="8" max="9" width="11.140625" bestFit="1" customWidth="1"/>
    <col min="10" max="12" width="15.85546875" bestFit="1" customWidth="1"/>
    <col min="13" max="13" width="11.140625" bestFit="1" customWidth="1"/>
    <col min="14" max="16" width="15.85546875" bestFit="1" customWidth="1"/>
    <col min="17" max="17" width="10" bestFit="1" customWidth="1"/>
    <col min="18" max="28" width="15.85546875" bestFit="1" customWidth="1"/>
    <col min="29" max="29" width="10" bestFit="1" customWidth="1"/>
  </cols>
  <sheetData>
    <row r="1" spans="1:29" ht="18.75" x14ac:dyDescent="0.3">
      <c r="A1" s="27" t="s">
        <v>59</v>
      </c>
      <c r="C1" s="26">
        <v>32.25</v>
      </c>
    </row>
    <row r="2" spans="1:29" x14ac:dyDescent="0.25"/>
    <row r="3" spans="1:29" x14ac:dyDescent="0.25"/>
    <row r="4" spans="1:29" x14ac:dyDescent="0.25">
      <c r="J4" s="30"/>
      <c r="K4" s="30"/>
    </row>
    <row r="5" spans="1:29" x14ac:dyDescent="0.25">
      <c r="J5" s="30"/>
      <c r="K5" s="30"/>
    </row>
    <row r="6" spans="1:29" x14ac:dyDescent="0.25">
      <c r="J6" s="30"/>
      <c r="K6" s="30"/>
    </row>
    <row r="7" spans="1:29" ht="17.100000000000001" customHeight="1" x14ac:dyDescent="0.25">
      <c r="A7" s="27" t="s">
        <v>280</v>
      </c>
    </row>
    <row r="8" spans="1:29" ht="17.100000000000001" customHeight="1" x14ac:dyDescent="0.25">
      <c r="A8" s="47" t="s">
        <v>54</v>
      </c>
      <c r="B8" s="48" t="s">
        <v>56</v>
      </c>
      <c r="C8" s="50" t="s">
        <v>175</v>
      </c>
      <c r="D8" s="50" t="s">
        <v>176</v>
      </c>
      <c r="E8" s="50" t="s">
        <v>177</v>
      </c>
      <c r="H8" s="27" t="s">
        <v>282</v>
      </c>
      <c r="M8" s="27" t="s">
        <v>281</v>
      </c>
    </row>
    <row r="9" spans="1:29" ht="17.100000000000001" customHeight="1" x14ac:dyDescent="0.25">
      <c r="A9" s="49" t="s">
        <v>124</v>
      </c>
      <c r="B9" s="51">
        <v>5.490000000000002</v>
      </c>
      <c r="C9" s="51">
        <f>COUNTIFS(Positions_Demo!$Q:$Q,$A9,Positions_Demo!$N:$N,"W")</f>
        <v>9</v>
      </c>
      <c r="D9" s="51">
        <f>COUNTIFS(Positions_Demo!$Q:$Q,$A9,Positions_Demo!$N:$N,"L")</f>
        <v>5</v>
      </c>
      <c r="E9" s="52">
        <f>C9/(C9+D9)</f>
        <v>0.6428571428571429</v>
      </c>
      <c r="H9" s="47" t="s">
        <v>29</v>
      </c>
      <c r="I9" s="48" t="s">
        <v>279</v>
      </c>
    </row>
    <row r="10" spans="1:29" ht="17.100000000000001" customHeight="1" x14ac:dyDescent="0.25">
      <c r="A10" s="53" t="s">
        <v>125</v>
      </c>
      <c r="B10" s="51">
        <v>16.040000000000003</v>
      </c>
      <c r="C10" s="51">
        <f>COUNTIFS(Positions_Demo!$Q:$Q,$A10,Positions_Demo!$N:$N,"W")</f>
        <v>9</v>
      </c>
      <c r="D10" s="51">
        <f>COUNTIFS(Positions_Demo!$Q:$Q,$A10,Positions_Demo!$N:$N,"L")</f>
        <v>5</v>
      </c>
      <c r="E10" s="52">
        <f t="shared" ref="E10:E14" si="0">C10/(C10+D10)</f>
        <v>0.6428571428571429</v>
      </c>
      <c r="H10" s="48"/>
      <c r="I10" s="48"/>
    </row>
    <row r="11" spans="1:29" ht="17.100000000000001" customHeight="1" x14ac:dyDescent="0.25">
      <c r="A11" s="53" t="s">
        <v>123</v>
      </c>
      <c r="B11" s="51">
        <v>7.9299999999999988</v>
      </c>
      <c r="C11" s="51">
        <f>COUNTIFS(Positions_Demo!$Q:$Q,$A11,Positions_Demo!$N:$N,"W")</f>
        <v>10</v>
      </c>
      <c r="D11" s="51">
        <f>COUNTIFS(Positions_Demo!$Q:$Q,$A11,Positions_Demo!$N:$N,"L")</f>
        <v>7</v>
      </c>
      <c r="E11" s="52">
        <f t="shared" si="0"/>
        <v>0.58823529411764708</v>
      </c>
      <c r="H11" s="47" t="s">
        <v>54</v>
      </c>
      <c r="I11" s="48" t="s">
        <v>56</v>
      </c>
      <c r="M11" s="47" t="s">
        <v>56</v>
      </c>
      <c r="N11" s="47" t="s">
        <v>467</v>
      </c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</row>
    <row r="12" spans="1:29" ht="17.100000000000001" customHeight="1" x14ac:dyDescent="0.25">
      <c r="A12" s="49" t="s">
        <v>395</v>
      </c>
      <c r="B12" s="51">
        <v>-2.6199999999999997</v>
      </c>
      <c r="C12" s="51">
        <f>COUNTIFS(Positions_Demo!$Q:$Q,$A12,Positions_Demo!$N:$N,"W")</f>
        <v>5</v>
      </c>
      <c r="D12" s="51">
        <f>COUNTIFS(Positions_Demo!$Q:$Q,$A12,Positions_Demo!$N:$N,"L")</f>
        <v>6</v>
      </c>
      <c r="E12" s="52">
        <f t="shared" si="0"/>
        <v>0.45454545454545453</v>
      </c>
      <c r="H12" s="49" t="s">
        <v>74</v>
      </c>
      <c r="I12" s="48">
        <v>-32.900000000000006</v>
      </c>
      <c r="M12" s="55" t="s">
        <v>54</v>
      </c>
      <c r="N12" s="56" t="s">
        <v>124</v>
      </c>
      <c r="O12" s="56" t="s">
        <v>125</v>
      </c>
      <c r="P12" s="56" t="s">
        <v>123</v>
      </c>
      <c r="Q12" s="56" t="s">
        <v>395</v>
      </c>
      <c r="R12" s="56" t="s">
        <v>268</v>
      </c>
      <c r="S12" s="56" t="s">
        <v>48</v>
      </c>
      <c r="T12" s="56" t="s">
        <v>49</v>
      </c>
      <c r="U12" s="56" t="s">
        <v>53</v>
      </c>
      <c r="V12" s="56" t="s">
        <v>150</v>
      </c>
      <c r="W12" s="48" t="s">
        <v>616</v>
      </c>
      <c r="X12" s="48" t="s">
        <v>647</v>
      </c>
      <c r="Y12" s="48" t="s">
        <v>653</v>
      </c>
      <c r="Z12" s="48" t="s">
        <v>771</v>
      </c>
      <c r="AA12" s="48" t="s">
        <v>793</v>
      </c>
      <c r="AB12" s="48" t="s">
        <v>809</v>
      </c>
      <c r="AC12" s="56" t="s">
        <v>55</v>
      </c>
    </row>
    <row r="13" spans="1:29" ht="17.100000000000001" customHeight="1" x14ac:dyDescent="0.25">
      <c r="A13" s="49" t="s">
        <v>268</v>
      </c>
      <c r="B13" s="51">
        <v>-20.89</v>
      </c>
      <c r="C13" s="51">
        <f>COUNTIFS(Positions_Demo!$Q:$Q,$A13,Positions_Demo!$N:$N,"W")</f>
        <v>11</v>
      </c>
      <c r="D13" s="51">
        <f>COUNTIFS(Positions_Demo!$Q:$Q,$A13,Positions_Demo!$N:$N,"L")</f>
        <v>21</v>
      </c>
      <c r="E13" s="52">
        <f t="shared" si="0"/>
        <v>0.34375</v>
      </c>
      <c r="H13" s="49" t="s">
        <v>277</v>
      </c>
      <c r="I13" s="48">
        <v>0.97999999999995024</v>
      </c>
      <c r="M13" s="57" t="s">
        <v>276</v>
      </c>
      <c r="N13" s="56">
        <v>-3.09</v>
      </c>
      <c r="O13" s="56">
        <v>-3.02</v>
      </c>
      <c r="P13" s="56">
        <v>-3.05</v>
      </c>
      <c r="Q13" s="56"/>
      <c r="R13" s="56"/>
      <c r="S13" s="56">
        <v>-0.44999999999999973</v>
      </c>
      <c r="T13" s="56">
        <v>0.10000000000000009</v>
      </c>
      <c r="U13" s="56">
        <v>-0.44999999999999973</v>
      </c>
      <c r="V13" s="56">
        <v>0</v>
      </c>
      <c r="W13" s="56"/>
      <c r="X13" s="56"/>
      <c r="Y13" s="56"/>
      <c r="Z13" s="56"/>
      <c r="AA13" s="56"/>
      <c r="AB13" s="56"/>
      <c r="AC13" s="56">
        <v>-9.9599999999999991</v>
      </c>
    </row>
    <row r="14" spans="1:29" ht="17.100000000000001" customHeight="1" x14ac:dyDescent="0.25">
      <c r="A14" s="49" t="s">
        <v>48</v>
      </c>
      <c r="B14" s="51">
        <v>-5.3299999999999983</v>
      </c>
      <c r="C14" s="51">
        <f>COUNTIFS(Positions_Demo!$Q:$Q,$A14,Positions_Demo!$N:$N,"W")</f>
        <v>53</v>
      </c>
      <c r="D14" s="51">
        <f>COUNTIFS(Positions_Demo!$Q:$Q,$A14,Positions_Demo!$N:$N,"L")</f>
        <v>46</v>
      </c>
      <c r="E14" s="52">
        <f t="shared" si="0"/>
        <v>0.53535353535353536</v>
      </c>
      <c r="H14" s="49" t="s">
        <v>55</v>
      </c>
      <c r="I14" s="48">
        <v>-31.920000000000055</v>
      </c>
      <c r="M14" s="57" t="s">
        <v>72</v>
      </c>
      <c r="N14" s="56">
        <v>4.17</v>
      </c>
      <c r="O14" s="56">
        <v>8.98</v>
      </c>
      <c r="P14" s="56">
        <v>5.8800000000000008</v>
      </c>
      <c r="Q14" s="56"/>
      <c r="R14" s="56"/>
      <c r="S14" s="56">
        <v>9.11</v>
      </c>
      <c r="T14" s="56">
        <v>9.75</v>
      </c>
      <c r="U14" s="56">
        <v>8.42</v>
      </c>
      <c r="V14" s="56">
        <v>7.61</v>
      </c>
      <c r="W14" s="56"/>
      <c r="X14" s="56"/>
      <c r="Y14" s="56"/>
      <c r="Z14" s="56"/>
      <c r="AA14" s="56"/>
      <c r="AB14" s="56"/>
      <c r="AC14" s="56">
        <v>53.92</v>
      </c>
    </row>
    <row r="15" spans="1:29" ht="17.100000000000001" customHeight="1" x14ac:dyDescent="0.25">
      <c r="A15" s="49" t="s">
        <v>49</v>
      </c>
      <c r="B15" s="51">
        <v>2.1200000000000023</v>
      </c>
      <c r="C15" s="51">
        <f>COUNTIFS(Positions_Demo!$Q:$Q,$A15,Positions_Demo!$N:$N,"W")</f>
        <v>55</v>
      </c>
      <c r="D15" s="51">
        <f>COUNTIFS(Positions_Demo!$Q:$Q,$A15,Positions_Demo!$N:$N,"L")</f>
        <v>47</v>
      </c>
      <c r="E15" s="52">
        <f>C15/(C15+D15)</f>
        <v>0.53921568627450978</v>
      </c>
      <c r="M15" s="57" t="s">
        <v>70</v>
      </c>
      <c r="N15" s="56"/>
      <c r="O15" s="56"/>
      <c r="P15" s="56"/>
      <c r="Q15" s="56"/>
      <c r="R15" s="56"/>
      <c r="S15" s="56">
        <v>11.76</v>
      </c>
      <c r="T15" s="56">
        <v>11.71</v>
      </c>
      <c r="U15" s="56">
        <v>14.229999999999999</v>
      </c>
      <c r="V15" s="56">
        <v>8</v>
      </c>
      <c r="W15" s="56"/>
      <c r="X15" s="56"/>
      <c r="Y15" s="56"/>
      <c r="Z15" s="56"/>
      <c r="AA15" s="56"/>
      <c r="AB15" s="56"/>
      <c r="AC15" s="56">
        <v>45.699999999999996</v>
      </c>
    </row>
    <row r="16" spans="1:29" ht="17.100000000000001" customHeight="1" x14ac:dyDescent="0.25">
      <c r="A16" s="49" t="s">
        <v>53</v>
      </c>
      <c r="B16" s="51">
        <v>-5.7499999999999956</v>
      </c>
      <c r="C16" s="51">
        <f>COUNTIFS(Positions_Demo!$Q:$Q,$A16,Positions_Demo!$N:$N,"W")</f>
        <v>52</v>
      </c>
      <c r="D16" s="51">
        <f>COUNTIFS(Positions_Demo!$Q:$Q,$A16,Positions_Demo!$N:$N,"L")</f>
        <v>45</v>
      </c>
      <c r="E16" s="52">
        <f>C16/(C16+D16)</f>
        <v>0.53608247422680411</v>
      </c>
      <c r="M16" s="57" t="s">
        <v>71</v>
      </c>
      <c r="N16" s="56"/>
      <c r="O16" s="56"/>
      <c r="P16" s="56"/>
      <c r="Q16" s="56"/>
      <c r="R16" s="56">
        <v>1.6899999999999995</v>
      </c>
      <c r="S16" s="56">
        <v>-9.2100000000000009</v>
      </c>
      <c r="T16" s="56">
        <v>-7.54</v>
      </c>
      <c r="U16" s="56">
        <v>-9.07</v>
      </c>
      <c r="V16" s="56">
        <v>-9.36</v>
      </c>
      <c r="W16" s="56"/>
      <c r="X16" s="56"/>
      <c r="Y16" s="56"/>
      <c r="Z16" s="56"/>
      <c r="AA16" s="56"/>
      <c r="AB16" s="56"/>
      <c r="AC16" s="56">
        <v>-33.49</v>
      </c>
    </row>
    <row r="17" spans="1:29" ht="17.100000000000001" customHeight="1" x14ac:dyDescent="0.25">
      <c r="A17" s="53" t="s">
        <v>150</v>
      </c>
      <c r="B17" s="51">
        <v>7.9100000000000037</v>
      </c>
      <c r="C17" s="51">
        <f>COUNTIFS(Positions_Demo!$Q:$Q,$A17,Positions_Demo!$N:$N,"W")</f>
        <v>68</v>
      </c>
      <c r="D17" s="51">
        <f>COUNTIFS(Positions_Demo!$Q:$Q,$A17,Positions_Demo!$N:$N,"L")</f>
        <v>32</v>
      </c>
      <c r="E17" s="52">
        <f t="shared" ref="E17:E20" si="1">C17/(C17+D17)</f>
        <v>0.68</v>
      </c>
      <c r="M17" s="57" t="s">
        <v>461</v>
      </c>
      <c r="N17" s="56"/>
      <c r="O17" s="56"/>
      <c r="P17" s="56"/>
      <c r="Q17" s="56"/>
      <c r="R17" s="56"/>
      <c r="S17" s="56">
        <v>-0.38999999999999996</v>
      </c>
      <c r="T17" s="56">
        <v>-2.21</v>
      </c>
      <c r="U17" s="56">
        <v>-0.44999999999999996</v>
      </c>
      <c r="V17" s="56">
        <v>4.1900000000000004</v>
      </c>
      <c r="W17" s="56"/>
      <c r="X17" s="56"/>
      <c r="Y17" s="56"/>
      <c r="Z17" s="56"/>
      <c r="AA17" s="56"/>
      <c r="AB17" s="56"/>
      <c r="AC17" s="56">
        <v>1.1400000000000006</v>
      </c>
    </row>
    <row r="18" spans="1:29" ht="17.100000000000001" customHeight="1" x14ac:dyDescent="0.25">
      <c r="A18" s="49" t="s">
        <v>616</v>
      </c>
      <c r="B18" s="51">
        <v>-8.0500000000000007</v>
      </c>
      <c r="C18" s="51">
        <f>COUNTIFS(Positions_Demo!$Q:$Q,$A18,Positions_Demo!$N:$N,"W")</f>
        <v>3</v>
      </c>
      <c r="D18" s="51">
        <f>COUNTIFS(Positions_Demo!$Q:$Q,$A18,Positions_Demo!$N:$N,"L")</f>
        <v>7</v>
      </c>
      <c r="E18" s="52">
        <f t="shared" si="1"/>
        <v>0.3</v>
      </c>
      <c r="M18" s="57" t="s">
        <v>456</v>
      </c>
      <c r="N18" s="56">
        <v>-6.26</v>
      </c>
      <c r="O18" s="56">
        <v>-6.32</v>
      </c>
      <c r="P18" s="56">
        <v>-6.0600000000000005</v>
      </c>
      <c r="Q18" s="56"/>
      <c r="R18" s="56"/>
      <c r="S18" s="56">
        <v>3.3699999999999997</v>
      </c>
      <c r="T18" s="56">
        <v>-2.1799999999999997</v>
      </c>
      <c r="U18" s="56">
        <v>3.83</v>
      </c>
      <c r="V18" s="56">
        <v>-1.4099999999999997</v>
      </c>
      <c r="W18" s="56"/>
      <c r="X18" s="56"/>
      <c r="Y18" s="56"/>
      <c r="Z18" s="56"/>
      <c r="AA18" s="56"/>
      <c r="AB18" s="56"/>
      <c r="AC18" s="56">
        <v>-15.030000000000003</v>
      </c>
    </row>
    <row r="19" spans="1:29" ht="17.100000000000001" customHeight="1" x14ac:dyDescent="0.25">
      <c r="A19" s="49" t="s">
        <v>647</v>
      </c>
      <c r="B19" s="51">
        <v>-12.75</v>
      </c>
      <c r="C19" s="51">
        <f>COUNTIFS(Positions_Demo!$Q:$Q,$A19,Positions_Demo!$N:$N,"W")</f>
        <v>15</v>
      </c>
      <c r="D19" s="51">
        <f>COUNTIFS(Positions_Demo!$Q:$Q,$A19,Positions_Demo!$N:$N,"L")</f>
        <v>10</v>
      </c>
      <c r="E19" s="52">
        <f t="shared" si="1"/>
        <v>0.6</v>
      </c>
      <c r="M19" s="57" t="s">
        <v>460</v>
      </c>
      <c r="N19" s="56"/>
      <c r="O19" s="56"/>
      <c r="P19" s="56"/>
      <c r="Q19" s="56">
        <v>-3.02</v>
      </c>
      <c r="R19" s="56">
        <v>-3.02</v>
      </c>
      <c r="S19" s="56">
        <v>0.10000000000000009</v>
      </c>
      <c r="T19" s="56">
        <v>3.62</v>
      </c>
      <c r="U19" s="56">
        <v>1.1300000000000003</v>
      </c>
      <c r="V19" s="56">
        <v>0.16000000000000014</v>
      </c>
      <c r="W19" s="56"/>
      <c r="X19" s="56"/>
      <c r="Y19" s="56"/>
      <c r="Z19" s="56"/>
      <c r="AA19" s="56"/>
      <c r="AB19" s="56"/>
      <c r="AC19" s="56">
        <v>-1.0299999999999989</v>
      </c>
    </row>
    <row r="20" spans="1:29" ht="17.100000000000001" customHeight="1" x14ac:dyDescent="0.25">
      <c r="A20" s="49" t="s">
        <v>653</v>
      </c>
      <c r="B20" s="51">
        <v>-3.2699999999999996</v>
      </c>
      <c r="C20" s="51">
        <f>COUNTIFS(Positions_Demo!$Q:$Q,$A20,Positions_Demo!$N:$N,"W")</f>
        <v>13</v>
      </c>
      <c r="D20" s="51">
        <f>COUNTIFS(Positions_Demo!$Q:$Q,$A20,Positions_Demo!$N:$N,"L")</f>
        <v>13</v>
      </c>
      <c r="E20" s="52">
        <f t="shared" si="1"/>
        <v>0.5</v>
      </c>
      <c r="M20" s="57" t="s">
        <v>459</v>
      </c>
      <c r="N20" s="56"/>
      <c r="O20" s="56"/>
      <c r="P20" s="56"/>
      <c r="Q20" s="56">
        <v>3.46</v>
      </c>
      <c r="R20" s="56">
        <v>0.41000000000000014</v>
      </c>
      <c r="S20" s="56">
        <v>4.2</v>
      </c>
      <c r="T20" s="56">
        <v>4.46</v>
      </c>
      <c r="U20" s="56">
        <v>4.9800000000000004</v>
      </c>
      <c r="V20" s="56">
        <v>3.41</v>
      </c>
      <c r="W20" s="56"/>
      <c r="X20" s="56"/>
      <c r="Y20" s="56"/>
      <c r="Z20" s="56"/>
      <c r="AA20" s="56"/>
      <c r="AB20" s="56"/>
      <c r="AC20" s="56">
        <v>20.92</v>
      </c>
    </row>
    <row r="21" spans="1:29" ht="17.100000000000001" customHeight="1" x14ac:dyDescent="0.25">
      <c r="A21" s="49" t="s">
        <v>771</v>
      </c>
      <c r="B21" s="51">
        <v>-5.3000000000000007</v>
      </c>
      <c r="C21" s="51">
        <f>COUNTIFS(Positions_Demo!$Q:$Q,$A21,Positions_Demo!$N:$N,"W")</f>
        <v>5</v>
      </c>
      <c r="D21" s="51">
        <f>COUNTIFS(Positions_Demo!$Q:$Q,$A21,Positions_Demo!$N:$N,"L")</f>
        <v>6</v>
      </c>
      <c r="E21" s="52">
        <f t="shared" ref="E21:E22" si="2">C21/(C21+D21)</f>
        <v>0.45454545454545453</v>
      </c>
      <c r="M21" s="57" t="s">
        <v>462</v>
      </c>
      <c r="N21" s="56">
        <v>2.14</v>
      </c>
      <c r="O21" s="56">
        <v>5.99</v>
      </c>
      <c r="P21" s="56">
        <v>4.62</v>
      </c>
      <c r="Q21" s="56"/>
      <c r="R21" s="56">
        <v>-5.3</v>
      </c>
      <c r="S21" s="56">
        <v>-2.9099999999999997</v>
      </c>
      <c r="T21" s="56">
        <v>-7.1700000000000008</v>
      </c>
      <c r="U21" s="56">
        <v>-4.4000000000000004</v>
      </c>
      <c r="V21" s="56">
        <v>-4.4099999999999993</v>
      </c>
      <c r="W21" s="56"/>
      <c r="X21" s="56"/>
      <c r="Y21" s="56"/>
      <c r="Z21" s="56"/>
      <c r="AA21" s="56"/>
      <c r="AB21" s="56"/>
      <c r="AC21" s="56">
        <v>-11.44</v>
      </c>
    </row>
    <row r="22" spans="1:29" ht="17.100000000000001" customHeight="1" x14ac:dyDescent="0.25">
      <c r="A22" s="49" t="s">
        <v>793</v>
      </c>
      <c r="B22" s="51">
        <v>-9.2799999999999976</v>
      </c>
      <c r="C22" s="51">
        <f>COUNTIFS(Positions_Demo!$Q:$Q,$A22,Positions_Demo!$N:$N,"W")</f>
        <v>12</v>
      </c>
      <c r="D22" s="51">
        <f>COUNTIFS(Positions_Demo!$Q:$Q,$A22,Positions_Demo!$N:$N,"L")</f>
        <v>7</v>
      </c>
      <c r="E22" s="52">
        <f t="shared" si="2"/>
        <v>0.63157894736842102</v>
      </c>
      <c r="M22" s="57" t="s">
        <v>458</v>
      </c>
      <c r="N22" s="56"/>
      <c r="O22" s="56"/>
      <c r="P22" s="56"/>
      <c r="Q22" s="56">
        <v>-1.39</v>
      </c>
      <c r="R22" s="56">
        <v>1.68</v>
      </c>
      <c r="S22" s="56">
        <v>3.7800000000000002</v>
      </c>
      <c r="T22" s="56">
        <v>1.32</v>
      </c>
      <c r="U22" s="56">
        <v>4.25</v>
      </c>
      <c r="V22" s="56">
        <v>3.17</v>
      </c>
      <c r="W22" s="56"/>
      <c r="X22" s="56"/>
      <c r="Y22" s="56"/>
      <c r="Z22" s="56"/>
      <c r="AA22" s="56"/>
      <c r="AB22" s="56"/>
      <c r="AC22" s="56">
        <v>12.81</v>
      </c>
    </row>
    <row r="23" spans="1:29" ht="17.100000000000001" customHeight="1" x14ac:dyDescent="0.25">
      <c r="A23" s="53" t="s">
        <v>809</v>
      </c>
      <c r="B23" s="51">
        <v>1.8300000000000005</v>
      </c>
      <c r="C23" s="51">
        <f>COUNTIFS(Positions_Demo!$Q:$Q,$A23,Positions_Demo!$N:$N,"W")</f>
        <v>10</v>
      </c>
      <c r="D23" s="51">
        <f>COUNTIFS(Positions_Demo!$Q:$Q,$A23,Positions_Demo!$N:$N,"L")</f>
        <v>3</v>
      </c>
      <c r="E23" s="52">
        <f t="shared" ref="E23:E24" si="3">C23/(C23+D23)</f>
        <v>0.76923076923076927</v>
      </c>
      <c r="M23" s="57" t="s">
        <v>457</v>
      </c>
      <c r="N23" s="56"/>
      <c r="O23" s="56"/>
      <c r="P23" s="56"/>
      <c r="Q23" s="56">
        <v>-6.04</v>
      </c>
      <c r="R23" s="56">
        <v>-6.15</v>
      </c>
      <c r="S23" s="56">
        <v>1.0099999999999998</v>
      </c>
      <c r="T23" s="56">
        <v>1.42</v>
      </c>
      <c r="U23" s="56">
        <v>1.3900000000000001</v>
      </c>
      <c r="V23" s="56">
        <v>3.8400000000000003</v>
      </c>
      <c r="W23" s="56"/>
      <c r="X23" s="56"/>
      <c r="Y23" s="56"/>
      <c r="Z23" s="56"/>
      <c r="AA23" s="56"/>
      <c r="AB23" s="56"/>
      <c r="AC23" s="56">
        <v>-4.5300000000000011</v>
      </c>
    </row>
    <row r="24" spans="1:29" ht="17.100000000000001" customHeight="1" x14ac:dyDescent="0.25">
      <c r="A24" s="49" t="s">
        <v>55</v>
      </c>
      <c r="B24" s="48">
        <v>-31.919999999999984</v>
      </c>
      <c r="C24" s="50">
        <f>SUM(C12:C23)</f>
        <v>302</v>
      </c>
      <c r="D24" s="50">
        <f>SUM(D12:D23)</f>
        <v>243</v>
      </c>
      <c r="E24" s="54">
        <f t="shared" si="3"/>
        <v>0.55412844036697251</v>
      </c>
      <c r="M24" s="57" t="s">
        <v>704</v>
      </c>
      <c r="N24" s="56">
        <v>3.8600000000000003</v>
      </c>
      <c r="O24" s="56">
        <v>4</v>
      </c>
      <c r="P24" s="56">
        <v>3.77</v>
      </c>
      <c r="Q24" s="56">
        <v>3.48</v>
      </c>
      <c r="R24" s="56">
        <v>3.51</v>
      </c>
      <c r="S24" s="56">
        <v>4.26</v>
      </c>
      <c r="T24" s="56">
        <v>4.28</v>
      </c>
      <c r="U24" s="56">
        <v>3.29</v>
      </c>
      <c r="V24" s="56">
        <v>3.0700000000000003</v>
      </c>
      <c r="W24" s="56"/>
      <c r="X24" s="56"/>
      <c r="Y24" s="56"/>
      <c r="Z24" s="56"/>
      <c r="AA24" s="56"/>
      <c r="AB24" s="56"/>
      <c r="AC24" s="56">
        <v>33.520000000000003</v>
      </c>
    </row>
    <row r="25" spans="1:29" ht="17.100000000000001" customHeight="1" x14ac:dyDescent="0.25">
      <c r="M25" s="57" t="s">
        <v>705</v>
      </c>
      <c r="N25" s="56"/>
      <c r="O25" s="56"/>
      <c r="P25" s="56"/>
      <c r="Q25" s="56">
        <v>-3.01</v>
      </c>
      <c r="R25" s="56">
        <v>-3</v>
      </c>
      <c r="S25" s="56">
        <v>1.1899999999999995</v>
      </c>
      <c r="T25" s="56">
        <v>1.9999999999999991</v>
      </c>
      <c r="U25" s="56">
        <v>-0.43000000000000105</v>
      </c>
      <c r="V25" s="56">
        <v>-0.55000000000000027</v>
      </c>
      <c r="W25" s="56"/>
      <c r="X25" s="56"/>
      <c r="Y25" s="56"/>
      <c r="Z25" s="56"/>
      <c r="AA25" s="56"/>
      <c r="AB25" s="56"/>
      <c r="AC25" s="56">
        <v>-3.8000000000000025</v>
      </c>
    </row>
    <row r="26" spans="1:29" ht="17.100000000000001" customHeight="1" x14ac:dyDescent="0.25">
      <c r="M26" s="57" t="s">
        <v>706</v>
      </c>
      <c r="N26" s="56"/>
      <c r="O26" s="56"/>
      <c r="P26" s="56"/>
      <c r="Q26" s="56"/>
      <c r="R26" s="56">
        <v>-2.71</v>
      </c>
      <c r="S26" s="56">
        <v>-2.41</v>
      </c>
      <c r="T26" s="56">
        <v>-1.1999999999999997</v>
      </c>
      <c r="U26" s="56">
        <v>-4.8499999999999996</v>
      </c>
      <c r="V26" s="56">
        <v>-1.9999999999999574E-2</v>
      </c>
      <c r="W26" s="56">
        <v>-2.6</v>
      </c>
      <c r="X26" s="56"/>
      <c r="Y26" s="56"/>
      <c r="Z26" s="56"/>
      <c r="AA26" s="56"/>
      <c r="AB26" s="56"/>
      <c r="AC26" s="56">
        <v>-13.79</v>
      </c>
    </row>
    <row r="27" spans="1:29" ht="17.100000000000001" customHeight="1" x14ac:dyDescent="0.25">
      <c r="M27" s="57" t="s">
        <v>707</v>
      </c>
      <c r="N27" s="56"/>
      <c r="O27" s="56"/>
      <c r="P27" s="56"/>
      <c r="Q27" s="56"/>
      <c r="R27" s="56">
        <v>-3.04</v>
      </c>
      <c r="S27" s="56">
        <v>2.9400000000000004</v>
      </c>
      <c r="T27" s="56">
        <v>3.37</v>
      </c>
      <c r="U27" s="56">
        <v>3.899999999999999</v>
      </c>
      <c r="V27" s="56">
        <v>1.2200000000000002</v>
      </c>
      <c r="W27" s="56"/>
      <c r="X27" s="56"/>
      <c r="Y27" s="56"/>
      <c r="Z27" s="56"/>
      <c r="AA27" s="56"/>
      <c r="AB27" s="56"/>
      <c r="AC27" s="56">
        <v>8.39</v>
      </c>
    </row>
    <row r="28" spans="1:29" ht="17.100000000000001" customHeight="1" x14ac:dyDescent="0.25">
      <c r="M28" s="57" t="s">
        <v>465</v>
      </c>
      <c r="N28" s="56"/>
      <c r="O28" s="56"/>
      <c r="P28" s="56"/>
      <c r="Q28" s="56"/>
      <c r="R28" s="56">
        <v>3.65</v>
      </c>
      <c r="S28" s="56">
        <v>0.96</v>
      </c>
      <c r="T28" s="56">
        <v>1.5099999999999998</v>
      </c>
      <c r="U28" s="56">
        <v>1.2700000000000005</v>
      </c>
      <c r="V28" s="56">
        <v>0.30000000000000004</v>
      </c>
      <c r="W28" s="56">
        <v>3.61</v>
      </c>
      <c r="X28" s="56">
        <v>0.30000000000000004</v>
      </c>
      <c r="Y28" s="56">
        <v>3.26</v>
      </c>
      <c r="Z28" s="56"/>
      <c r="AA28" s="56"/>
      <c r="AB28" s="56"/>
      <c r="AC28" s="56">
        <v>14.86</v>
      </c>
    </row>
    <row r="29" spans="1:29" ht="17.100000000000001" customHeight="1" x14ac:dyDescent="0.25">
      <c r="M29" s="57" t="s">
        <v>466</v>
      </c>
      <c r="N29" s="56"/>
      <c r="O29" s="56"/>
      <c r="P29" s="56"/>
      <c r="Q29" s="56">
        <v>0.37999999999999989</v>
      </c>
      <c r="R29" s="56">
        <v>0.48999999999999977</v>
      </c>
      <c r="S29" s="56">
        <v>3.09</v>
      </c>
      <c r="T29" s="56">
        <v>3.7399999999999998</v>
      </c>
      <c r="U29" s="56">
        <v>1.0499999999999989</v>
      </c>
      <c r="V29" s="56">
        <v>2.8799999999999994</v>
      </c>
      <c r="W29" s="56">
        <v>0.48999999999999977</v>
      </c>
      <c r="X29" s="56">
        <v>1.65</v>
      </c>
      <c r="Y29" s="56">
        <v>5.0000000000000266E-2</v>
      </c>
      <c r="Z29" s="56"/>
      <c r="AA29" s="56"/>
      <c r="AB29" s="56"/>
      <c r="AC29" s="56">
        <v>13.819999999999999</v>
      </c>
    </row>
    <row r="30" spans="1:29" ht="17.100000000000001" customHeight="1" x14ac:dyDescent="0.25">
      <c r="M30" s="57" t="s">
        <v>463</v>
      </c>
      <c r="N30" s="56"/>
      <c r="O30" s="56"/>
      <c r="P30" s="56"/>
      <c r="Q30" s="56"/>
      <c r="R30" s="56"/>
      <c r="S30" s="56">
        <v>-2.9699999999999998</v>
      </c>
      <c r="T30" s="56">
        <v>-1.9900000000000002</v>
      </c>
      <c r="U30" s="56">
        <v>-2.57</v>
      </c>
      <c r="V30" s="56">
        <v>-4.54</v>
      </c>
      <c r="W30" s="56"/>
      <c r="X30" s="56">
        <v>-4.5199999999999996</v>
      </c>
      <c r="Y30" s="56">
        <v>-3.1100000000000003</v>
      </c>
      <c r="Z30" s="56"/>
      <c r="AA30" s="56"/>
      <c r="AB30" s="56"/>
      <c r="AC30" s="56">
        <v>-19.7</v>
      </c>
    </row>
    <row r="31" spans="1:29" x14ac:dyDescent="0.25">
      <c r="H31" s="28"/>
      <c r="M31" s="57" t="s">
        <v>464</v>
      </c>
      <c r="N31" s="56"/>
      <c r="O31" s="56"/>
      <c r="P31" s="56"/>
      <c r="Q31" s="56"/>
      <c r="R31" s="56"/>
      <c r="S31" s="56">
        <v>-8.9600000000000009</v>
      </c>
      <c r="T31" s="56">
        <v>-7.53</v>
      </c>
      <c r="U31" s="56">
        <v>-8.9600000000000009</v>
      </c>
      <c r="V31" s="56">
        <v>-8.7899999999999991</v>
      </c>
      <c r="W31" s="56"/>
      <c r="X31" s="56">
        <v>-5.98</v>
      </c>
      <c r="Y31" s="56">
        <v>-3.1100000000000003</v>
      </c>
      <c r="Z31" s="56"/>
      <c r="AA31" s="56"/>
      <c r="AB31" s="56"/>
      <c r="AC31" s="56">
        <v>-43.33</v>
      </c>
    </row>
    <row r="32" spans="1:29" x14ac:dyDescent="0.25">
      <c r="H32" s="28"/>
      <c r="M32" s="57" t="s">
        <v>272</v>
      </c>
      <c r="N32" s="56">
        <v>-1.8699999999999999</v>
      </c>
      <c r="O32" s="56">
        <v>-1.92</v>
      </c>
      <c r="P32" s="56">
        <v>-5.88</v>
      </c>
      <c r="Q32" s="56"/>
      <c r="R32" s="56"/>
      <c r="S32" s="56">
        <v>-6.21</v>
      </c>
      <c r="T32" s="56">
        <v>-5.1100000000000003</v>
      </c>
      <c r="U32" s="56">
        <v>-6.11</v>
      </c>
      <c r="V32" s="56">
        <v>-3.17</v>
      </c>
      <c r="W32" s="56"/>
      <c r="X32" s="56">
        <v>-3.17</v>
      </c>
      <c r="Y32" s="56">
        <v>-1.75</v>
      </c>
      <c r="Z32" s="56"/>
      <c r="AA32" s="56"/>
      <c r="AB32" s="56"/>
      <c r="AC32" s="56">
        <v>-35.19</v>
      </c>
    </row>
    <row r="33" spans="1:29" x14ac:dyDescent="0.25">
      <c r="M33" s="57" t="s">
        <v>273</v>
      </c>
      <c r="N33" s="56">
        <v>6.61</v>
      </c>
      <c r="O33" s="56">
        <v>8.51</v>
      </c>
      <c r="P33" s="56">
        <v>6.6899999999999995</v>
      </c>
      <c r="Q33" s="56">
        <v>3.52</v>
      </c>
      <c r="R33" s="56">
        <v>-2.5099999999999998</v>
      </c>
      <c r="S33" s="56">
        <v>-9.0100000000000016</v>
      </c>
      <c r="T33" s="56">
        <v>-6.51</v>
      </c>
      <c r="U33" s="56">
        <v>-8.14</v>
      </c>
      <c r="V33" s="56">
        <v>0.35999999999999988</v>
      </c>
      <c r="W33" s="56">
        <v>-5.99</v>
      </c>
      <c r="X33" s="56">
        <v>-1.1499999999999997</v>
      </c>
      <c r="Y33" s="56">
        <v>-9.9999999999999867E-2</v>
      </c>
      <c r="Z33" s="56">
        <v>-2.4600000000000004</v>
      </c>
      <c r="AA33" s="56">
        <v>-5.7</v>
      </c>
      <c r="AB33" s="56"/>
      <c r="AC33" s="56">
        <v>-15.880000000000003</v>
      </c>
    </row>
    <row r="34" spans="1:29" x14ac:dyDescent="0.25">
      <c r="M34" s="57" t="s">
        <v>274</v>
      </c>
      <c r="N34" s="56">
        <v>2.96</v>
      </c>
      <c r="O34" s="56">
        <v>2.8499999999999996</v>
      </c>
      <c r="P34" s="56">
        <v>1.04</v>
      </c>
      <c r="Q34" s="56"/>
      <c r="R34" s="56">
        <v>-6.59</v>
      </c>
      <c r="S34" s="56">
        <v>-2.52</v>
      </c>
      <c r="T34" s="56">
        <v>-1.5600000000000005</v>
      </c>
      <c r="U34" s="56">
        <v>-2.08</v>
      </c>
      <c r="V34" s="56">
        <v>3.5500000000000007</v>
      </c>
      <c r="W34" s="56">
        <v>-3.5599999999999996</v>
      </c>
      <c r="X34" s="56">
        <v>0.12000000000000033</v>
      </c>
      <c r="Y34" s="56">
        <v>1.49</v>
      </c>
      <c r="Z34" s="56">
        <v>-2.84</v>
      </c>
      <c r="AA34" s="56">
        <v>-3.5799999999999992</v>
      </c>
      <c r="AB34" s="56">
        <v>1.8300000000000005</v>
      </c>
      <c r="AC34" s="56">
        <v>-8.8899999999999988</v>
      </c>
    </row>
    <row r="35" spans="1:29" x14ac:dyDescent="0.25">
      <c r="M35" s="57" t="s">
        <v>275</v>
      </c>
      <c r="N35" s="56">
        <v>-3.03</v>
      </c>
      <c r="O35" s="56">
        <v>-3.03</v>
      </c>
      <c r="P35" s="56">
        <v>0.92</v>
      </c>
      <c r="Q35" s="56"/>
      <c r="R35" s="56"/>
      <c r="S35" s="56">
        <v>-6.06</v>
      </c>
      <c r="T35" s="56">
        <v>-2.16</v>
      </c>
      <c r="U35" s="56">
        <v>-5.98</v>
      </c>
      <c r="V35" s="56">
        <v>-1.5999999999999999</v>
      </c>
      <c r="W35" s="56"/>
      <c r="X35" s="56"/>
      <c r="Y35" s="56"/>
      <c r="Z35" s="56"/>
      <c r="AA35" s="56"/>
      <c r="AB35" s="56"/>
      <c r="AC35" s="56">
        <v>-20.94</v>
      </c>
    </row>
    <row r="36" spans="1:29" x14ac:dyDescent="0.25">
      <c r="M36" s="57" t="s">
        <v>55</v>
      </c>
      <c r="N36" s="56">
        <v>5.490000000000002</v>
      </c>
      <c r="O36" s="56">
        <v>16.04</v>
      </c>
      <c r="P36" s="56">
        <v>7.93</v>
      </c>
      <c r="Q36" s="56">
        <v>-2.6199999999999997</v>
      </c>
      <c r="R36" s="56">
        <v>-20.89</v>
      </c>
      <c r="S36" s="56">
        <v>-5.3300000000000072</v>
      </c>
      <c r="T36" s="56">
        <v>2.120000000000001</v>
      </c>
      <c r="U36" s="56">
        <v>-5.7500000000000053</v>
      </c>
      <c r="V36" s="56">
        <v>7.9100000000000037</v>
      </c>
      <c r="W36" s="56">
        <v>-8.0500000000000007</v>
      </c>
      <c r="X36" s="56">
        <v>-12.75</v>
      </c>
      <c r="Y36" s="56">
        <v>-3.2699999999999996</v>
      </c>
      <c r="Z36" s="56">
        <v>-5.3000000000000007</v>
      </c>
      <c r="AA36" s="56">
        <v>-9.2799999999999994</v>
      </c>
      <c r="AB36" s="56">
        <v>1.8300000000000005</v>
      </c>
      <c r="AC36" s="56">
        <v>-31.920000000000009</v>
      </c>
    </row>
    <row r="37" spans="1:29" x14ac:dyDescent="0.25">
      <c r="M37" s="57" t="s">
        <v>175</v>
      </c>
      <c r="N37" s="56">
        <f>COUNTIF(N13:N35,"&gt;0.0")</f>
        <v>5</v>
      </c>
      <c r="O37" s="56">
        <f t="shared" ref="O37:Z37" si="4">COUNTIF(O13:O35,"&gt;0.0")</f>
        <v>5</v>
      </c>
      <c r="P37" s="56">
        <f t="shared" si="4"/>
        <v>6</v>
      </c>
      <c r="Q37" s="56">
        <f t="shared" si="4"/>
        <v>4</v>
      </c>
      <c r="R37" s="56">
        <f t="shared" si="4"/>
        <v>6</v>
      </c>
      <c r="S37" s="56">
        <f t="shared" si="4"/>
        <v>12</v>
      </c>
      <c r="T37" s="56">
        <f t="shared" si="4"/>
        <v>12</v>
      </c>
      <c r="U37" s="56">
        <f t="shared" si="4"/>
        <v>11</v>
      </c>
      <c r="V37" s="56">
        <f t="shared" si="4"/>
        <v>13</v>
      </c>
      <c r="W37" s="56">
        <f t="shared" si="4"/>
        <v>2</v>
      </c>
      <c r="X37" s="56">
        <f t="shared" si="4"/>
        <v>3</v>
      </c>
      <c r="Y37" s="56">
        <f t="shared" si="4"/>
        <v>3</v>
      </c>
      <c r="Z37" s="56">
        <f t="shared" si="4"/>
        <v>0</v>
      </c>
      <c r="AA37" s="56">
        <f t="shared" ref="AA37:AC37" si="5">COUNTIF(AA13:AA35,"&gt;0.0")</f>
        <v>0</v>
      </c>
      <c r="AB37" s="56">
        <f t="shared" si="5"/>
        <v>1</v>
      </c>
      <c r="AC37" s="56">
        <f t="shared" si="5"/>
        <v>9</v>
      </c>
    </row>
    <row r="38" spans="1:29" x14ac:dyDescent="0.25">
      <c r="M38" s="57" t="s">
        <v>176</v>
      </c>
      <c r="N38" s="56">
        <f>COUNTIF(N13:N35,"&lt;0.0")</f>
        <v>4</v>
      </c>
      <c r="O38" s="56">
        <f t="shared" ref="O38:Z38" si="6">COUNTIF(O13:O35,"&lt;0.0")</f>
        <v>4</v>
      </c>
      <c r="P38" s="56">
        <f t="shared" si="6"/>
        <v>3</v>
      </c>
      <c r="Q38" s="56">
        <f t="shared" si="6"/>
        <v>4</v>
      </c>
      <c r="R38" s="56">
        <f t="shared" si="6"/>
        <v>8</v>
      </c>
      <c r="S38" s="56">
        <f t="shared" si="6"/>
        <v>11</v>
      </c>
      <c r="T38" s="56">
        <f t="shared" si="6"/>
        <v>11</v>
      </c>
      <c r="U38" s="56">
        <f t="shared" si="6"/>
        <v>12</v>
      </c>
      <c r="V38" s="56">
        <f t="shared" si="6"/>
        <v>9</v>
      </c>
      <c r="W38" s="56">
        <f t="shared" si="6"/>
        <v>3</v>
      </c>
      <c r="X38" s="56">
        <f t="shared" si="6"/>
        <v>4</v>
      </c>
      <c r="Y38" s="56">
        <f t="shared" si="6"/>
        <v>4</v>
      </c>
      <c r="Z38" s="56">
        <f t="shared" si="6"/>
        <v>2</v>
      </c>
      <c r="AA38" s="56">
        <f t="shared" ref="AA38:AC38" si="7">COUNTIF(AA13:AA35,"&lt;0.0")</f>
        <v>2</v>
      </c>
      <c r="AB38" s="56">
        <f t="shared" si="7"/>
        <v>0</v>
      </c>
      <c r="AC38" s="56">
        <f t="shared" si="7"/>
        <v>14</v>
      </c>
    </row>
    <row r="39" spans="1:29" x14ac:dyDescent="0.25">
      <c r="M39" s="59" t="s">
        <v>65</v>
      </c>
      <c r="N39" s="60">
        <f>N37/(N37+N38)</f>
        <v>0.55555555555555558</v>
      </c>
      <c r="O39" s="60">
        <f t="shared" ref="O39:Z39" si="8">O37/(O37+O38)</f>
        <v>0.55555555555555558</v>
      </c>
      <c r="P39" s="60">
        <f t="shared" si="8"/>
        <v>0.66666666666666663</v>
      </c>
      <c r="Q39" s="60">
        <f t="shared" si="8"/>
        <v>0.5</v>
      </c>
      <c r="R39" s="60">
        <f t="shared" si="8"/>
        <v>0.42857142857142855</v>
      </c>
      <c r="S39" s="60">
        <f t="shared" si="8"/>
        <v>0.52173913043478259</v>
      </c>
      <c r="T39" s="60">
        <f t="shared" si="8"/>
        <v>0.52173913043478259</v>
      </c>
      <c r="U39" s="60">
        <f t="shared" si="8"/>
        <v>0.47826086956521741</v>
      </c>
      <c r="V39" s="60">
        <f t="shared" si="8"/>
        <v>0.59090909090909094</v>
      </c>
      <c r="W39" s="60">
        <f t="shared" si="8"/>
        <v>0.4</v>
      </c>
      <c r="X39" s="60">
        <f t="shared" si="8"/>
        <v>0.42857142857142855</v>
      </c>
      <c r="Y39" s="60">
        <f t="shared" si="8"/>
        <v>0.42857142857142855</v>
      </c>
      <c r="Z39" s="60">
        <f t="shared" si="8"/>
        <v>0</v>
      </c>
      <c r="AA39" s="60">
        <f t="shared" ref="AA39:AC39" si="9">AA37/(AA37+AA38)</f>
        <v>0</v>
      </c>
      <c r="AB39" s="60">
        <f t="shared" si="9"/>
        <v>1</v>
      </c>
      <c r="AC39" s="60">
        <f t="shared" si="9"/>
        <v>0.39130434782608697</v>
      </c>
    </row>
    <row r="40" spans="1:29" x14ac:dyDescent="0.25"/>
    <row r="41" spans="1:29" x14ac:dyDescent="0.25"/>
    <row r="42" spans="1:29" x14ac:dyDescent="0.25"/>
    <row r="43" spans="1:29" x14ac:dyDescent="0.25"/>
    <row r="44" spans="1:29" x14ac:dyDescent="0.25"/>
    <row r="45" spans="1:29" x14ac:dyDescent="0.25">
      <c r="A45" s="27" t="s">
        <v>468</v>
      </c>
    </row>
    <row r="46" spans="1:29" s="29" customFormat="1" x14ac:dyDescent="0.25">
      <c r="A46" s="62" t="s">
        <v>56</v>
      </c>
      <c r="B46" s="62" t="s">
        <v>467</v>
      </c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</row>
    <row r="47" spans="1:29" s="29" customFormat="1" ht="25.5" x14ac:dyDescent="0.25">
      <c r="A47" s="62" t="s">
        <v>54</v>
      </c>
      <c r="B47" s="61" t="s">
        <v>124</v>
      </c>
      <c r="C47" s="61" t="s">
        <v>125</v>
      </c>
      <c r="D47" s="61" t="s">
        <v>123</v>
      </c>
      <c r="E47" s="61" t="s">
        <v>395</v>
      </c>
      <c r="F47" s="61" t="s">
        <v>268</v>
      </c>
      <c r="G47" s="61" t="s">
        <v>48</v>
      </c>
      <c r="H47" s="61" t="s">
        <v>49</v>
      </c>
      <c r="I47" s="61" t="s">
        <v>53</v>
      </c>
      <c r="J47" s="61" t="s">
        <v>150</v>
      </c>
      <c r="K47" s="61" t="s">
        <v>616</v>
      </c>
      <c r="L47" s="61" t="s">
        <v>647</v>
      </c>
      <c r="M47" s="61" t="s">
        <v>653</v>
      </c>
      <c r="N47" s="61" t="s">
        <v>771</v>
      </c>
      <c r="O47" s="61" t="s">
        <v>793</v>
      </c>
      <c r="P47" s="61" t="s">
        <v>809</v>
      </c>
      <c r="Q47" s="61" t="s">
        <v>55</v>
      </c>
    </row>
    <row r="48" spans="1:29" s="29" customFormat="1" x14ac:dyDescent="0.25">
      <c r="A48" s="63" t="s">
        <v>62</v>
      </c>
      <c r="B48" s="51">
        <v>6.5400000000000009</v>
      </c>
      <c r="C48" s="51">
        <v>8.33</v>
      </c>
      <c r="D48" s="51">
        <v>8.65</v>
      </c>
      <c r="E48" s="51"/>
      <c r="F48" s="51"/>
      <c r="G48" s="51">
        <v>-20.53</v>
      </c>
      <c r="H48" s="51">
        <v>-13.970000000000002</v>
      </c>
      <c r="I48" s="51">
        <v>-20.32</v>
      </c>
      <c r="J48" s="51">
        <v>-1.5999999999999999</v>
      </c>
      <c r="K48" s="51"/>
      <c r="L48" s="51"/>
      <c r="M48" s="51"/>
      <c r="N48" s="51"/>
      <c r="O48" s="51"/>
      <c r="P48" s="51"/>
      <c r="Q48" s="51">
        <v>-32.9</v>
      </c>
    </row>
    <row r="49" spans="1:17" s="29" customFormat="1" x14ac:dyDescent="0.25">
      <c r="A49" s="63" t="s">
        <v>278</v>
      </c>
      <c r="B49" s="51">
        <v>-1.0499999999999994</v>
      </c>
      <c r="C49" s="51">
        <v>7.7100000000000009</v>
      </c>
      <c r="D49" s="51">
        <v>-0.71999999999999886</v>
      </c>
      <c r="E49" s="51">
        <v>-2.6199999999999997</v>
      </c>
      <c r="F49" s="51">
        <v>-20.89</v>
      </c>
      <c r="G49" s="51">
        <v>15.2</v>
      </c>
      <c r="H49" s="51">
        <v>16.089999999999982</v>
      </c>
      <c r="I49" s="51">
        <v>14.570000000000011</v>
      </c>
      <c r="J49" s="51">
        <v>9.51</v>
      </c>
      <c r="K49" s="51">
        <v>-8.0500000000000007</v>
      </c>
      <c r="L49" s="51">
        <v>-12.75</v>
      </c>
      <c r="M49" s="51">
        <v>-3.2699999999999996</v>
      </c>
      <c r="N49" s="51">
        <v>-5.3000000000000007</v>
      </c>
      <c r="O49" s="51">
        <v>-9.2799999999999976</v>
      </c>
      <c r="P49" s="51">
        <v>1.8300000000000005</v>
      </c>
      <c r="Q49" s="51">
        <v>0.97999999999999909</v>
      </c>
    </row>
    <row r="50" spans="1:17" s="29" customFormat="1" x14ac:dyDescent="0.25">
      <c r="A50" s="63" t="s">
        <v>55</v>
      </c>
      <c r="B50" s="51">
        <v>5.490000000000002</v>
      </c>
      <c r="C50" s="51">
        <v>16.04</v>
      </c>
      <c r="D50" s="51">
        <v>7.9300000000000015</v>
      </c>
      <c r="E50" s="51">
        <v>-2.6199999999999997</v>
      </c>
      <c r="F50" s="51">
        <v>-20.89</v>
      </c>
      <c r="G50" s="51">
        <v>-5.3300000000000018</v>
      </c>
      <c r="H50" s="51">
        <v>2.1199999999999797</v>
      </c>
      <c r="I50" s="51">
        <v>-5.7499999999999893</v>
      </c>
      <c r="J50" s="51">
        <v>7.91</v>
      </c>
      <c r="K50" s="51">
        <v>-8.0500000000000007</v>
      </c>
      <c r="L50" s="51">
        <v>-12.75</v>
      </c>
      <c r="M50" s="51">
        <v>-3.2699999999999996</v>
      </c>
      <c r="N50" s="51">
        <v>-5.3000000000000007</v>
      </c>
      <c r="O50" s="51">
        <v>-9.2799999999999976</v>
      </c>
      <c r="P50" s="51">
        <v>1.8300000000000005</v>
      </c>
      <c r="Q50" s="51">
        <v>-31.919999999999998</v>
      </c>
    </row>
    <row r="51" spans="1:17" x14ac:dyDescent="0.25"/>
    <row r="52" spans="1:17" x14ac:dyDescent="0.25"/>
    <row r="53" spans="1:17" x14ac:dyDescent="0.25"/>
    <row r="54" spans="1:17" x14ac:dyDescent="0.25"/>
    <row r="55" spans="1:17" x14ac:dyDescent="0.25"/>
    <row r="56" spans="1:17" x14ac:dyDescent="0.25"/>
    <row r="57" spans="1:17" x14ac:dyDescent="0.25"/>
    <row r="58" spans="1:17" x14ac:dyDescent="0.25"/>
    <row r="59" spans="1:17" x14ac:dyDescent="0.25"/>
    <row r="60" spans="1:17" x14ac:dyDescent="0.25"/>
    <row r="61" spans="1:17" x14ac:dyDescent="0.25"/>
    <row r="62" spans="1:17" x14ac:dyDescent="0.25"/>
    <row r="63" spans="1:17" x14ac:dyDescent="0.25"/>
    <row r="64" spans="1:1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Q49">
    <cfRule type="cellIs" dxfId="86" priority="7" operator="lessThan">
      <formula>0</formula>
    </cfRule>
    <cfRule type="cellIs" dxfId="85" priority="8" operator="greaterThan">
      <formula>0</formula>
    </cfRule>
  </conditionalFormatting>
  <conditionalFormatting pivot="1" sqref="B9:B23">
    <cfRule type="cellIs" dxfId="84" priority="5" operator="lessThan">
      <formula>0</formula>
    </cfRule>
    <cfRule type="cellIs" dxfId="83" priority="6" operator="greaterThan">
      <formula>0</formula>
    </cfRule>
  </conditionalFormatting>
  <conditionalFormatting pivot="1" sqref="N13:AC35">
    <cfRule type="cellIs" dxfId="82" priority="4" operator="greaterThan">
      <formula>0</formula>
    </cfRule>
  </conditionalFormatting>
  <conditionalFormatting pivot="1" sqref="N13:AC35">
    <cfRule type="cellIs" dxfId="81" priority="3" operator="lessThan">
      <formula>0</formula>
    </cfRule>
  </conditionalFormatting>
  <conditionalFormatting pivot="1" sqref="S13:S35">
    <cfRule type="cellIs" dxfId="80" priority="2" operator="greaterThan">
      <formula>0</formula>
    </cfRule>
  </conditionalFormatting>
  <conditionalFormatting pivot="1" sqref="S13:S3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104"/>
  <sheetViews>
    <sheetView showGridLines="0" topLeftCell="A10" workbookViewId="0">
      <selection activeCell="B39" sqref="B39"/>
    </sheetView>
  </sheetViews>
  <sheetFormatPr defaultRowHeight="15" zeroHeight="1" x14ac:dyDescent="0.25"/>
  <cols>
    <col min="2" max="2" width="15.85546875" bestFit="1" customWidth="1"/>
    <col min="3" max="3" width="20.140625" bestFit="1" customWidth="1"/>
    <col min="4" max="4" width="16.7109375" bestFit="1" customWidth="1"/>
    <col min="9" max="9" width="13.140625" bestFit="1" customWidth="1"/>
    <col min="10" max="10" width="20.140625" bestFit="1" customWidth="1"/>
    <col min="17" max="17" width="13.140625" bestFit="1" customWidth="1"/>
    <col min="18" max="18" width="20.140625" bestFit="1" customWidth="1"/>
  </cols>
  <sheetData>
    <row r="1" spans="2:13" ht="18.75" x14ac:dyDescent="0.3">
      <c r="K1" t="s">
        <v>59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63</v>
      </c>
      <c r="C4" s="29"/>
      <c r="D4" s="30"/>
      <c r="E4" s="30"/>
    </row>
    <row r="5" spans="2:13" x14ac:dyDescent="0.25">
      <c r="B5" s="31" t="s">
        <v>64</v>
      </c>
      <c r="C5" s="32">
        <f>MEDIAN(C22:C61)</f>
        <v>1.49</v>
      </c>
    </row>
    <row r="6" spans="2:13" x14ac:dyDescent="0.25">
      <c r="B6" s="31" t="s">
        <v>66</v>
      </c>
      <c r="C6" s="32">
        <f>AVERAGE(C22:C61)</f>
        <v>0.73200000000000032</v>
      </c>
      <c r="D6" s="30"/>
      <c r="E6" s="30"/>
    </row>
    <row r="7" spans="2:13" x14ac:dyDescent="0.25">
      <c r="B7" s="31" t="s">
        <v>67</v>
      </c>
      <c r="C7" s="32">
        <f>MIN(C22:C61)</f>
        <v>-3.36</v>
      </c>
      <c r="D7" s="30"/>
      <c r="E7" s="30"/>
    </row>
    <row r="8" spans="2:13" x14ac:dyDescent="0.25">
      <c r="B8" s="31" t="s">
        <v>68</v>
      </c>
      <c r="C8" s="32">
        <f>MAX(C22:C61)</f>
        <v>5.490000000000002</v>
      </c>
      <c r="D8" s="30"/>
      <c r="E8" s="30"/>
    </row>
    <row r="9" spans="2:13" x14ac:dyDescent="0.25">
      <c r="B9" s="31" t="s">
        <v>65</v>
      </c>
      <c r="C9" s="33">
        <f>COUNTIF(E:E,"W")/(COUNTIF(E:E,"W")+COUNTIF(E:E,"L"))</f>
        <v>0.6428571428571429</v>
      </c>
      <c r="D9" s="30"/>
      <c r="E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8"/>
    </row>
    <row r="14" spans="2:13" x14ac:dyDescent="0.25">
      <c r="B14" s="28"/>
    </row>
    <row r="15" spans="2:13" x14ac:dyDescent="0.25">
      <c r="B15" s="28"/>
      <c r="D15" s="30"/>
      <c r="E15" s="30"/>
    </row>
    <row r="16" spans="2:13" x14ac:dyDescent="0.25">
      <c r="B16" s="29"/>
      <c r="C16" s="34"/>
      <c r="D16" s="30"/>
      <c r="E16" s="30"/>
    </row>
    <row r="17" spans="2:18" x14ac:dyDescent="0.25"/>
    <row r="18" spans="2:18" x14ac:dyDescent="0.25">
      <c r="B18" s="27" t="s">
        <v>60</v>
      </c>
      <c r="I18" s="27" t="s">
        <v>61</v>
      </c>
      <c r="Q18" s="27" t="s">
        <v>73</v>
      </c>
    </row>
    <row r="19" spans="2:18" x14ac:dyDescent="0.25">
      <c r="B19" s="21" t="s">
        <v>29</v>
      </c>
      <c r="C19" t="s">
        <v>124</v>
      </c>
      <c r="I19" s="21" t="s">
        <v>29</v>
      </c>
      <c r="J19" t="s">
        <v>124</v>
      </c>
      <c r="Q19" s="21" t="s">
        <v>29</v>
      </c>
      <c r="R19" t="s">
        <v>124</v>
      </c>
    </row>
    <row r="20" spans="2:18" x14ac:dyDescent="0.25"/>
    <row r="21" spans="2:18" x14ac:dyDescent="0.25">
      <c r="B21" s="21" t="s">
        <v>54</v>
      </c>
      <c r="C21" t="s">
        <v>56</v>
      </c>
      <c r="D21" s="23" t="s">
        <v>57</v>
      </c>
      <c r="E21" s="24" t="s">
        <v>26</v>
      </c>
      <c r="F21" t="s">
        <v>58</v>
      </c>
      <c r="I21" s="21" t="s">
        <v>54</v>
      </c>
      <c r="J21" t="s">
        <v>56</v>
      </c>
      <c r="K21" s="23" t="s">
        <v>57</v>
      </c>
      <c r="L21" s="24" t="s">
        <v>26</v>
      </c>
      <c r="M21" t="s">
        <v>58</v>
      </c>
      <c r="Q21" s="21" t="s">
        <v>54</v>
      </c>
      <c r="R21" t="s">
        <v>56</v>
      </c>
    </row>
    <row r="22" spans="2:18" x14ac:dyDescent="0.25">
      <c r="B22" s="22">
        <v>45917.881909722222</v>
      </c>
      <c r="C22">
        <v>2.41</v>
      </c>
      <c r="D22" s="25">
        <f>$M$1+C22</f>
        <v>34.659999999999997</v>
      </c>
      <c r="E22" s="24" t="str">
        <f>IF(OR(C22="",B22="Grand Total"),"",IF(C22&lt;0,"L","W"))</f>
        <v>W</v>
      </c>
      <c r="F22">
        <v>1</v>
      </c>
      <c r="I22" s="1" t="s">
        <v>62</v>
      </c>
      <c r="J22">
        <v>6.5400000000000009</v>
      </c>
      <c r="K22" s="25">
        <f>$M$1+J22</f>
        <v>38.79</v>
      </c>
      <c r="L22" s="24" t="str">
        <f>IF(OR(J22="",I22="Grand Total"),"",IF(J22&lt;0,"L","W"))</f>
        <v>W</v>
      </c>
      <c r="M22">
        <v>1</v>
      </c>
      <c r="Q22" s="1" t="s">
        <v>74</v>
      </c>
      <c r="R22">
        <v>6.5400000000000009</v>
      </c>
    </row>
    <row r="23" spans="2:18" x14ac:dyDescent="0.25">
      <c r="B23" s="22">
        <v>45917.906921296293</v>
      </c>
      <c r="C23">
        <v>4.2</v>
      </c>
      <c r="D23" s="25">
        <f t="shared" ref="D23:D64" si="0">IF(OR(B23="Grand Total",B23=""),"",D22+C23)</f>
        <v>38.86</v>
      </c>
      <c r="E23" s="24" t="str">
        <f t="shared" ref="E23:E64" si="1">IF(OR(C23="",B23="Grand Total"),"",IF(C23&lt;0,"L","W"))</f>
        <v>W</v>
      </c>
      <c r="F23">
        <f>IF(E23="","",IF(E23=E22,F22+1,1))</f>
        <v>2</v>
      </c>
      <c r="I23" s="1" t="s">
        <v>278</v>
      </c>
      <c r="J23">
        <v>-1.0499999999999994</v>
      </c>
      <c r="K23" s="25">
        <f t="shared" ref="K23:K62" si="2">IF(OR(I23="Grand Total",I23=""),"",K22+J23)</f>
        <v>37.74</v>
      </c>
      <c r="L23" s="24" t="str">
        <f t="shared" ref="L23:L62" si="3">IF(OR(J23="",I23="Grand Total"),"",IF(J23&lt;0,"L","W"))</f>
        <v>L</v>
      </c>
      <c r="M23">
        <f>IF(L23="","",IF(L23=L22,M22+1,1))</f>
        <v>1</v>
      </c>
      <c r="Q23" s="1" t="s">
        <v>277</v>
      </c>
      <c r="R23">
        <v>-1.0499999999999994</v>
      </c>
    </row>
    <row r="24" spans="2:18" x14ac:dyDescent="0.25">
      <c r="B24" s="22">
        <v>45917.934699074074</v>
      </c>
      <c r="C24">
        <v>2.0299999999999998</v>
      </c>
      <c r="D24" s="25">
        <f t="shared" si="0"/>
        <v>40.89</v>
      </c>
      <c r="E24" s="24" t="str">
        <f t="shared" si="1"/>
        <v>W</v>
      </c>
      <c r="F24">
        <f t="shared" ref="F24:F64" si="4">IF(E24="","",IF(E24=E23,F23+1,1))</f>
        <v>3</v>
      </c>
      <c r="I24" s="1" t="s">
        <v>55</v>
      </c>
      <c r="J24">
        <v>5.490000000000002</v>
      </c>
      <c r="K24" s="25" t="str">
        <f t="shared" si="2"/>
        <v/>
      </c>
      <c r="L24" s="24" t="str">
        <f t="shared" si="3"/>
        <v/>
      </c>
      <c r="M24" t="str">
        <f t="shared" ref="M24:M62" si="5">IF(L24="","",IF(L24=L23,M23+1,1))</f>
        <v/>
      </c>
      <c r="Q24" s="1" t="s">
        <v>55</v>
      </c>
      <c r="R24">
        <v>5.490000000000002</v>
      </c>
    </row>
    <row r="25" spans="2:18" x14ac:dyDescent="0.25">
      <c r="B25" s="22">
        <v>45917.954143518517</v>
      </c>
      <c r="C25">
        <v>0.93</v>
      </c>
      <c r="D25" s="25">
        <f t="shared" si="0"/>
        <v>41.82</v>
      </c>
      <c r="E25" s="24" t="str">
        <f t="shared" si="1"/>
        <v>W</v>
      </c>
      <c r="F25">
        <f t="shared" si="4"/>
        <v>4</v>
      </c>
      <c r="K25" s="25" t="str">
        <f t="shared" si="2"/>
        <v/>
      </c>
      <c r="L25" s="24" t="str">
        <f t="shared" si="3"/>
        <v/>
      </c>
      <c r="M25" t="str">
        <f t="shared" si="5"/>
        <v/>
      </c>
    </row>
    <row r="26" spans="2:18" x14ac:dyDescent="0.25">
      <c r="B26" s="22">
        <v>45917.974965277775</v>
      </c>
      <c r="C26">
        <v>-3.03</v>
      </c>
      <c r="D26" s="25">
        <f t="shared" si="0"/>
        <v>38.79</v>
      </c>
      <c r="E26" s="24" t="str">
        <f t="shared" si="1"/>
        <v>L</v>
      </c>
      <c r="F26">
        <f t="shared" si="4"/>
        <v>1</v>
      </c>
      <c r="K26" s="25" t="str">
        <f t="shared" si="2"/>
        <v/>
      </c>
      <c r="L26" s="24" t="str">
        <f t="shared" si="3"/>
        <v/>
      </c>
      <c r="M26" t="str">
        <f t="shared" si="5"/>
        <v/>
      </c>
    </row>
    <row r="27" spans="2:18" x14ac:dyDescent="0.25">
      <c r="B27" s="22">
        <v>45918.00136574074</v>
      </c>
      <c r="C27">
        <v>-3.09</v>
      </c>
      <c r="D27" s="25">
        <f t="shared" si="0"/>
        <v>35.700000000000003</v>
      </c>
      <c r="E27" s="24" t="str">
        <f t="shared" si="1"/>
        <v>L</v>
      </c>
      <c r="F27">
        <f t="shared" si="4"/>
        <v>2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45918.063854166663</v>
      </c>
      <c r="C28">
        <v>4.17</v>
      </c>
      <c r="D28" s="25">
        <f t="shared" si="0"/>
        <v>39.870000000000005</v>
      </c>
      <c r="E28" s="24" t="str">
        <f t="shared" si="1"/>
        <v>W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45918.255543981482</v>
      </c>
      <c r="C29">
        <v>-3.02</v>
      </c>
      <c r="D29" s="25">
        <f t="shared" si="0"/>
        <v>36.85</v>
      </c>
      <c r="E29" s="24" t="str">
        <f t="shared" si="1"/>
        <v>L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45918.276388888888</v>
      </c>
      <c r="C30">
        <v>-3.24</v>
      </c>
      <c r="D30" s="25">
        <f t="shared" si="0"/>
        <v>33.61</v>
      </c>
      <c r="E30" s="24" t="str">
        <f t="shared" si="1"/>
        <v>L</v>
      </c>
      <c r="F30">
        <f t="shared" si="4"/>
        <v>2</v>
      </c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45918.377766203703</v>
      </c>
      <c r="C31">
        <v>2.14</v>
      </c>
      <c r="D31" s="25">
        <f t="shared" si="0"/>
        <v>35.75</v>
      </c>
      <c r="E31" s="24" t="str">
        <f t="shared" si="1"/>
        <v>W</v>
      </c>
      <c r="F31">
        <f t="shared" si="4"/>
        <v>1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45918.506932870368</v>
      </c>
      <c r="C32">
        <v>1.24</v>
      </c>
      <c r="D32" s="25">
        <f t="shared" si="0"/>
        <v>36.99</v>
      </c>
      <c r="E32" s="24" t="str">
        <f t="shared" si="1"/>
        <v>W</v>
      </c>
      <c r="F32">
        <f t="shared" si="4"/>
        <v>2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45918.52915509259</v>
      </c>
      <c r="C33">
        <v>2.62</v>
      </c>
      <c r="D33" s="25">
        <f t="shared" si="0"/>
        <v>39.61</v>
      </c>
      <c r="E33" s="24" t="str">
        <f t="shared" si="1"/>
        <v>W</v>
      </c>
      <c r="F33">
        <f t="shared" si="4"/>
        <v>3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45918.834687499999</v>
      </c>
      <c r="C34">
        <v>1.49</v>
      </c>
      <c r="D34" s="25">
        <f t="shared" si="0"/>
        <v>41.1</v>
      </c>
      <c r="E34" s="24" t="str">
        <f t="shared" si="1"/>
        <v>W</v>
      </c>
      <c r="F34">
        <f t="shared" si="4"/>
        <v>4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45918.861076388886</v>
      </c>
      <c r="C35">
        <v>-3.36</v>
      </c>
      <c r="D35" s="25">
        <f t="shared" si="0"/>
        <v>37.74</v>
      </c>
      <c r="E35" s="24" t="str">
        <f t="shared" si="1"/>
        <v>L</v>
      </c>
      <c r="F35">
        <f t="shared" si="4"/>
        <v>1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73</v>
      </c>
    </row>
    <row r="36" spans="2:18" x14ac:dyDescent="0.25">
      <c r="B36" s="1" t="s">
        <v>55</v>
      </c>
      <c r="C36">
        <v>5.490000000000002</v>
      </c>
      <c r="D36" s="25" t="str">
        <f t="shared" si="0"/>
        <v/>
      </c>
      <c r="E36" s="24" t="str">
        <f t="shared" si="1"/>
        <v/>
      </c>
      <c r="F36" t="str">
        <f t="shared" si="4"/>
        <v/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124</v>
      </c>
    </row>
    <row r="37" spans="2:18" x14ac:dyDescent="0.25">
      <c r="D37" s="25" t="str">
        <f t="shared" si="0"/>
        <v/>
      </c>
      <c r="E37" s="24" t="str">
        <f t="shared" si="1"/>
        <v/>
      </c>
      <c r="F37" t="str">
        <f t="shared" si="4"/>
        <v/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D38" s="25" t="str">
        <f t="shared" si="0"/>
        <v/>
      </c>
      <c r="E38" s="24" t="str">
        <f t="shared" si="1"/>
        <v/>
      </c>
      <c r="F38" t="str">
        <f t="shared" si="4"/>
        <v/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54</v>
      </c>
      <c r="R38" t="s">
        <v>56</v>
      </c>
    </row>
    <row r="39" spans="2:18" x14ac:dyDescent="0.25">
      <c r="D39" s="25" t="str">
        <f t="shared" si="0"/>
        <v/>
      </c>
      <c r="E39" s="24" t="str">
        <f t="shared" si="1"/>
        <v/>
      </c>
      <c r="F39" t="str">
        <f t="shared" si="4"/>
        <v/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276</v>
      </c>
      <c r="R39">
        <v>-3.09</v>
      </c>
    </row>
    <row r="40" spans="2:18" x14ac:dyDescent="0.25">
      <c r="D40" s="25" t="str">
        <f t="shared" si="0"/>
        <v/>
      </c>
      <c r="E40" s="24" t="str">
        <f t="shared" si="1"/>
        <v/>
      </c>
      <c r="F40" t="str">
        <f t="shared" si="4"/>
        <v/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72</v>
      </c>
      <c r="R40">
        <v>4.17</v>
      </c>
    </row>
    <row r="41" spans="2:18" x14ac:dyDescent="0.25">
      <c r="D41" s="25" t="str">
        <f t="shared" si="0"/>
        <v/>
      </c>
      <c r="E41" s="24" t="str">
        <f t="shared" si="1"/>
        <v/>
      </c>
      <c r="F41" t="str">
        <f t="shared" si="4"/>
        <v/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456</v>
      </c>
      <c r="R41">
        <v>-6.26</v>
      </c>
    </row>
    <row r="42" spans="2:18" x14ac:dyDescent="0.25">
      <c r="D42" s="25" t="str">
        <f t="shared" si="0"/>
        <v/>
      </c>
      <c r="E42" s="24" t="str">
        <f t="shared" si="1"/>
        <v/>
      </c>
      <c r="F42" t="str">
        <f t="shared" si="4"/>
        <v/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462</v>
      </c>
      <c r="R42">
        <v>2.14</v>
      </c>
    </row>
    <row r="43" spans="2:18" x14ac:dyDescent="0.25">
      <c r="D43" s="25" t="str">
        <f t="shared" si="0"/>
        <v/>
      </c>
      <c r="E43" s="24" t="str">
        <f t="shared" si="1"/>
        <v/>
      </c>
      <c r="F43" t="str">
        <f t="shared" si="4"/>
        <v/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272</v>
      </c>
      <c r="R43">
        <v>-1.8699999999999999</v>
      </c>
    </row>
    <row r="44" spans="2:18" x14ac:dyDescent="0.25">
      <c r="D44" s="25" t="str">
        <f t="shared" si="0"/>
        <v/>
      </c>
      <c r="E44" s="24" t="str">
        <f t="shared" si="1"/>
        <v/>
      </c>
      <c r="F44" t="str">
        <f t="shared" si="4"/>
        <v/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273</v>
      </c>
      <c r="R44">
        <v>6.61</v>
      </c>
    </row>
    <row r="45" spans="2:18" x14ac:dyDescent="0.25">
      <c r="D45" s="25" t="str">
        <f t="shared" si="0"/>
        <v/>
      </c>
      <c r="E45" s="24" t="str">
        <f t="shared" si="1"/>
        <v/>
      </c>
      <c r="F45" t="str">
        <f t="shared" si="4"/>
        <v/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274</v>
      </c>
      <c r="R45">
        <v>2.96</v>
      </c>
    </row>
    <row r="46" spans="2:18" x14ac:dyDescent="0.25">
      <c r="D46" s="25" t="str">
        <f t="shared" si="0"/>
        <v/>
      </c>
      <c r="E46" s="24" t="str">
        <f t="shared" si="1"/>
        <v/>
      </c>
      <c r="F46" t="str">
        <f t="shared" si="4"/>
        <v/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275</v>
      </c>
      <c r="R46">
        <v>-3.03</v>
      </c>
    </row>
    <row r="47" spans="2:18" x14ac:dyDescent="0.25">
      <c r="D47" s="25" t="str">
        <f t="shared" si="0"/>
        <v/>
      </c>
      <c r="E47" s="24" t="str">
        <f t="shared" si="1"/>
        <v/>
      </c>
      <c r="F47" t="str">
        <f t="shared" si="4"/>
        <v/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704</v>
      </c>
      <c r="R47">
        <v>3.8600000000000003</v>
      </c>
    </row>
    <row r="48" spans="2:18" x14ac:dyDescent="0.25">
      <c r="D48" s="25" t="str">
        <f t="shared" si="0"/>
        <v/>
      </c>
      <c r="E48" s="24" t="str">
        <f t="shared" si="1"/>
        <v/>
      </c>
      <c r="F48" t="str">
        <f t="shared" si="4"/>
        <v/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55</v>
      </c>
      <c r="R48">
        <v>5.490000000000002</v>
      </c>
    </row>
    <row r="49" spans="4:13" x14ac:dyDescent="0.25">
      <c r="D49" s="25" t="str">
        <f t="shared" si="0"/>
        <v/>
      </c>
      <c r="E49" s="24" t="str">
        <f t="shared" si="1"/>
        <v/>
      </c>
      <c r="F49" t="str">
        <f t="shared" si="4"/>
        <v/>
      </c>
      <c r="K49" s="25" t="str">
        <f t="shared" si="2"/>
        <v/>
      </c>
      <c r="L49" s="24" t="str">
        <f t="shared" si="3"/>
        <v/>
      </c>
      <c r="M49" t="str">
        <f t="shared" si="5"/>
        <v/>
      </c>
    </row>
    <row r="50" spans="4:13" x14ac:dyDescent="0.25">
      <c r="D50" s="25" t="str">
        <f t="shared" si="0"/>
        <v/>
      </c>
      <c r="E50" s="24" t="str">
        <f t="shared" si="1"/>
        <v/>
      </c>
      <c r="F50" t="str">
        <f t="shared" si="4"/>
        <v/>
      </c>
      <c r="K50" s="25" t="str">
        <f t="shared" si="2"/>
        <v/>
      </c>
      <c r="L50" s="24" t="str">
        <f t="shared" si="3"/>
        <v/>
      </c>
      <c r="M50" t="str">
        <f t="shared" si="5"/>
        <v/>
      </c>
    </row>
    <row r="51" spans="4:13" x14ac:dyDescent="0.25">
      <c r="D51" s="25" t="str">
        <f t="shared" si="0"/>
        <v/>
      </c>
      <c r="E51" s="24" t="str">
        <f t="shared" si="1"/>
        <v/>
      </c>
      <c r="F51" t="str">
        <f t="shared" si="4"/>
        <v/>
      </c>
      <c r="K51" s="25" t="str">
        <f t="shared" si="2"/>
        <v/>
      </c>
      <c r="L51" s="24" t="str">
        <f t="shared" si="3"/>
        <v/>
      </c>
      <c r="M51" t="str">
        <f t="shared" si="5"/>
        <v/>
      </c>
    </row>
    <row r="52" spans="4:13" x14ac:dyDescent="0.25">
      <c r="D52" s="25" t="str">
        <f t="shared" si="0"/>
        <v/>
      </c>
      <c r="E52" s="24" t="str">
        <f t="shared" si="1"/>
        <v/>
      </c>
      <c r="F52" t="str">
        <f t="shared" si="4"/>
        <v/>
      </c>
      <c r="K52" s="25" t="str">
        <f t="shared" si="2"/>
        <v/>
      </c>
      <c r="L52" s="24" t="str">
        <f t="shared" si="3"/>
        <v/>
      </c>
      <c r="M52" t="str">
        <f t="shared" si="5"/>
        <v/>
      </c>
    </row>
    <row r="53" spans="4:13" x14ac:dyDescent="0.25">
      <c r="D53" s="25" t="str">
        <f t="shared" si="0"/>
        <v/>
      </c>
      <c r="E53" s="24" t="str">
        <f t="shared" si="1"/>
        <v/>
      </c>
      <c r="F53" t="str">
        <f t="shared" si="4"/>
        <v/>
      </c>
      <c r="K53" s="25" t="str">
        <f t="shared" si="2"/>
        <v/>
      </c>
      <c r="L53" s="24" t="str">
        <f t="shared" si="3"/>
        <v/>
      </c>
      <c r="M53" t="str">
        <f t="shared" si="5"/>
        <v/>
      </c>
    </row>
    <row r="54" spans="4:13" x14ac:dyDescent="0.25">
      <c r="D54" s="25" t="str">
        <f t="shared" si="0"/>
        <v/>
      </c>
      <c r="E54" s="24" t="str">
        <f t="shared" si="1"/>
        <v/>
      </c>
      <c r="F54" t="str">
        <f t="shared" si="4"/>
        <v/>
      </c>
      <c r="K54" s="25" t="str">
        <f t="shared" si="2"/>
        <v/>
      </c>
      <c r="L54" s="24" t="str">
        <f t="shared" si="3"/>
        <v/>
      </c>
      <c r="M54" t="str">
        <f t="shared" si="5"/>
        <v/>
      </c>
    </row>
    <row r="55" spans="4:13" x14ac:dyDescent="0.25">
      <c r="D55" s="25" t="str">
        <f t="shared" si="0"/>
        <v/>
      </c>
      <c r="E55" s="24" t="str">
        <f t="shared" si="1"/>
        <v/>
      </c>
      <c r="F55" t="str">
        <f t="shared" si="4"/>
        <v/>
      </c>
      <c r="K55" s="25" t="str">
        <f t="shared" si="2"/>
        <v/>
      </c>
      <c r="L55" s="24" t="str">
        <f t="shared" si="3"/>
        <v/>
      </c>
      <c r="M55" t="str">
        <f t="shared" si="5"/>
        <v/>
      </c>
    </row>
    <row r="56" spans="4:13" x14ac:dyDescent="0.25">
      <c r="D56" s="25" t="str">
        <f t="shared" si="0"/>
        <v/>
      </c>
      <c r="E56" s="24" t="str">
        <f t="shared" si="1"/>
        <v/>
      </c>
      <c r="F56" t="str">
        <f t="shared" si="4"/>
        <v/>
      </c>
      <c r="K56" s="25" t="str">
        <f t="shared" si="2"/>
        <v/>
      </c>
      <c r="L56" s="24" t="str">
        <f t="shared" si="3"/>
        <v/>
      </c>
      <c r="M56" t="str">
        <f t="shared" si="5"/>
        <v/>
      </c>
    </row>
    <row r="57" spans="4:13" x14ac:dyDescent="0.25">
      <c r="D57" s="25" t="str">
        <f t="shared" si="0"/>
        <v/>
      </c>
      <c r="E57" s="24" t="str">
        <f t="shared" si="1"/>
        <v/>
      </c>
      <c r="F57" t="str">
        <f t="shared" si="4"/>
        <v/>
      </c>
      <c r="K57" s="25" t="str">
        <f t="shared" si="2"/>
        <v/>
      </c>
      <c r="L57" s="24" t="str">
        <f t="shared" si="3"/>
        <v/>
      </c>
      <c r="M57" t="str">
        <f t="shared" si="5"/>
        <v/>
      </c>
    </row>
    <row r="58" spans="4:13" x14ac:dyDescent="0.25">
      <c r="D58" s="25" t="str">
        <f t="shared" si="0"/>
        <v/>
      </c>
      <c r="E58" s="24" t="str">
        <f t="shared" si="1"/>
        <v/>
      </c>
      <c r="F58" t="str">
        <f t="shared" si="4"/>
        <v/>
      </c>
      <c r="K58" s="25" t="str">
        <f t="shared" si="2"/>
        <v/>
      </c>
      <c r="L58" s="24" t="str">
        <f t="shared" si="3"/>
        <v/>
      </c>
      <c r="M58" t="str">
        <f t="shared" si="5"/>
        <v/>
      </c>
    </row>
    <row r="59" spans="4:13" x14ac:dyDescent="0.25">
      <c r="D59" s="25" t="str">
        <f t="shared" si="0"/>
        <v/>
      </c>
      <c r="E59" s="24" t="str">
        <f t="shared" si="1"/>
        <v/>
      </c>
      <c r="F59" t="str">
        <f t="shared" si="4"/>
        <v/>
      </c>
      <c r="K59" s="25" t="str">
        <f t="shared" si="2"/>
        <v/>
      </c>
      <c r="L59" s="24" t="str">
        <f t="shared" si="3"/>
        <v/>
      </c>
      <c r="M59" t="str">
        <f t="shared" si="5"/>
        <v/>
      </c>
    </row>
    <row r="60" spans="4:13" x14ac:dyDescent="0.25">
      <c r="D60" s="25" t="str">
        <f t="shared" si="0"/>
        <v/>
      </c>
      <c r="E60" s="24" t="str">
        <f t="shared" si="1"/>
        <v/>
      </c>
      <c r="F60" t="str">
        <f t="shared" si="4"/>
        <v/>
      </c>
      <c r="K60" s="25" t="str">
        <f t="shared" si="2"/>
        <v/>
      </c>
      <c r="L60" s="24" t="str">
        <f t="shared" si="3"/>
        <v/>
      </c>
      <c r="M60" t="str">
        <f t="shared" si="5"/>
        <v/>
      </c>
    </row>
    <row r="61" spans="4:13" x14ac:dyDescent="0.25">
      <c r="D61" s="25" t="str">
        <f t="shared" si="0"/>
        <v/>
      </c>
      <c r="E61" s="24" t="str">
        <f t="shared" si="1"/>
        <v/>
      </c>
      <c r="F61" t="str">
        <f t="shared" si="4"/>
        <v/>
      </c>
      <c r="K61" s="25" t="str">
        <f t="shared" si="2"/>
        <v/>
      </c>
      <c r="L61" s="24" t="str">
        <f t="shared" si="3"/>
        <v/>
      </c>
      <c r="M61" t="str">
        <f t="shared" si="5"/>
        <v/>
      </c>
    </row>
    <row r="62" spans="4:13" x14ac:dyDescent="0.25">
      <c r="D62" s="25" t="str">
        <f t="shared" si="0"/>
        <v/>
      </c>
      <c r="E62" s="24" t="str">
        <f t="shared" si="1"/>
        <v/>
      </c>
      <c r="F62" t="str">
        <f t="shared" si="4"/>
        <v/>
      </c>
      <c r="K62" s="25" t="str">
        <f t="shared" si="2"/>
        <v/>
      </c>
      <c r="L62" s="24" t="str">
        <f t="shared" si="3"/>
        <v/>
      </c>
      <c r="M62" t="str">
        <f t="shared" si="5"/>
        <v/>
      </c>
    </row>
    <row r="63" spans="4:13" x14ac:dyDescent="0.25">
      <c r="D63" s="25" t="str">
        <f t="shared" si="0"/>
        <v/>
      </c>
      <c r="E63" s="24" t="str">
        <f t="shared" si="1"/>
        <v/>
      </c>
      <c r="F63" t="str">
        <f t="shared" si="4"/>
        <v/>
      </c>
    </row>
    <row r="64" spans="4:13" x14ac:dyDescent="0.25">
      <c r="D64" s="25" t="str">
        <f t="shared" si="0"/>
        <v/>
      </c>
      <c r="E64" s="24" t="str">
        <f t="shared" si="1"/>
        <v/>
      </c>
      <c r="F64" t="str">
        <f t="shared" si="4"/>
        <v/>
      </c>
    </row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sqref="K22:K62">
    <cfRule type="cellIs" dxfId="19" priority="27" operator="greaterThan">
      <formula>$M$1</formula>
    </cfRule>
    <cfRule type="cellIs" dxfId="18" priority="28" operator="greaterThan">
      <formula>"31.555$G$1"</formula>
    </cfRule>
  </conditionalFormatting>
  <conditionalFormatting sqref="K22:K62">
    <cfRule type="cellIs" dxfId="17" priority="26" operator="lessThan">
      <formula>0</formula>
    </cfRule>
  </conditionalFormatting>
  <conditionalFormatting sqref="K22:K62">
    <cfRule type="cellIs" dxfId="16" priority="25" operator="lessThan">
      <formula>0</formula>
    </cfRule>
  </conditionalFormatting>
  <conditionalFormatting sqref="D22">
    <cfRule type="cellIs" dxfId="15" priority="23" operator="greaterThan">
      <formula>$M$1</formula>
    </cfRule>
    <cfRule type="cellIs" dxfId="14" priority="24" operator="greaterThan">
      <formula>"31.555$G$1"</formula>
    </cfRule>
  </conditionalFormatting>
  <conditionalFormatting sqref="D22">
    <cfRule type="cellIs" dxfId="13" priority="22" operator="lessThan">
      <formula>0</formula>
    </cfRule>
  </conditionalFormatting>
  <conditionalFormatting sqref="D22">
    <cfRule type="cellIs" dxfId="12" priority="21" operator="lessThan">
      <formula>0</formula>
    </cfRule>
  </conditionalFormatting>
  <conditionalFormatting sqref="D23:D64">
    <cfRule type="cellIs" dxfId="11" priority="19" operator="greaterThan">
      <formula>$M$1</formula>
    </cfRule>
    <cfRule type="cellIs" dxfId="10" priority="20" operator="greaterThan">
      <formula>"31.555$G$1"</formula>
    </cfRule>
  </conditionalFormatting>
  <conditionalFormatting sqref="D23:D64">
    <cfRule type="cellIs" dxfId="9" priority="18" operator="lessThan">
      <formula>0</formula>
    </cfRule>
  </conditionalFormatting>
  <conditionalFormatting sqref="D23:D64">
    <cfRule type="cellIs" dxfId="8" priority="17" operator="lessThan">
      <formula>0</formula>
    </cfRule>
  </conditionalFormatting>
  <conditionalFormatting pivot="1" sqref="C22:C28">
    <cfRule type="cellIs" dxfId="7" priority="12" operator="greaterThan">
      <formula>0</formula>
    </cfRule>
  </conditionalFormatting>
  <conditionalFormatting pivot="1" sqref="C22:C28">
    <cfRule type="cellIs" dxfId="6" priority="11" operator="lessThan">
      <formula>0</formula>
    </cfRule>
  </conditionalFormatting>
  <conditionalFormatting pivot="1" sqref="J22:J23">
    <cfRule type="cellIs" dxfId="5" priority="6" operator="greaterThan">
      <formula>0</formula>
    </cfRule>
  </conditionalFormatting>
  <conditionalFormatting pivot="1" sqref="J22:J23">
    <cfRule type="cellIs" dxfId="4" priority="5" operator="lessThan">
      <formula>0</formula>
    </cfRule>
  </conditionalFormatting>
  <conditionalFormatting pivot="1" sqref="R22:R23">
    <cfRule type="cellIs" dxfId="3" priority="4" operator="greaterThan">
      <formula>0</formula>
    </cfRule>
  </conditionalFormatting>
  <conditionalFormatting pivot="1" sqref="R22:R23">
    <cfRule type="cellIs" dxfId="2" priority="3" operator="lessThan">
      <formula>0</formula>
    </cfRule>
  </conditionalFormatting>
  <conditionalFormatting pivot="1" sqref="R39:R42 R44:R46">
    <cfRule type="cellIs" dxfId="1" priority="2" operator="greaterThan">
      <formula>0</formula>
    </cfRule>
  </conditionalFormatting>
  <conditionalFormatting pivot="1" sqref="R39:R42 R44:R46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591"/>
  <sheetViews>
    <sheetView showGridLines="0" tabSelected="1" workbookViewId="0">
      <selection activeCell="M26" sqref="M26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50</v>
      </c>
      <c r="Y1" s="7" t="s">
        <v>51</v>
      </c>
      <c r="Z1" s="7" t="s">
        <v>52</v>
      </c>
      <c r="AA1" s="7" t="s">
        <v>69</v>
      </c>
    </row>
    <row r="2" spans="1:27" x14ac:dyDescent="0.25">
      <c r="A2" s="35">
        <v>45917.666168981479</v>
      </c>
      <c r="B2" s="36">
        <v>442874070</v>
      </c>
      <c r="C2" s="37" t="s">
        <v>36</v>
      </c>
      <c r="D2" s="37" t="s">
        <v>37</v>
      </c>
      <c r="E2" s="37" t="s">
        <v>38</v>
      </c>
      <c r="F2" s="38">
        <v>3678.6</v>
      </c>
      <c r="G2" s="38">
        <v>3675.6</v>
      </c>
      <c r="H2" s="38">
        <v>3681.6</v>
      </c>
      <c r="I2" s="37" t="s">
        <v>75</v>
      </c>
      <c r="J2" s="38">
        <v>3675.56</v>
      </c>
      <c r="K2" s="38">
        <v>0</v>
      </c>
      <c r="L2" s="38">
        <v>0</v>
      </c>
      <c r="M2" s="39">
        <v>-3.04</v>
      </c>
      <c r="N2" s="10" t="str">
        <f>IF(M2&gt;0,"W",IF(M2&lt;0,"L","BE"))</f>
        <v>L</v>
      </c>
      <c r="O2" s="11">
        <f>INT(LEFT(A2,10))</f>
        <v>45917</v>
      </c>
      <c r="P2" s="12" t="str">
        <f>TEXT(A2,"hh")</f>
        <v>15</v>
      </c>
      <c r="Q2" s="13" t="str">
        <f>VLOOKUP($B2,Deals_Demo!$H:$N,7,0)</f>
        <v>strategy_09_demo</v>
      </c>
      <c r="R2" s="13" t="str">
        <f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>$M2*0.1</f>
        <v>-0.30400000000000005</v>
      </c>
      <c r="Y2" s="13">
        <f>$M2*0.2</f>
        <v>-0.6080000000000001</v>
      </c>
      <c r="Z2" s="13">
        <f>$M2*0.3</f>
        <v>-0.91199999999999992</v>
      </c>
      <c r="AA2" s="13">
        <f>IF(M2&lt;2.9,-3,M2)</f>
        <v>-3</v>
      </c>
    </row>
    <row r="3" spans="1:27" x14ac:dyDescent="0.25">
      <c r="A3" s="40">
        <v>45917.666180555556</v>
      </c>
      <c r="B3" s="41">
        <v>442874071</v>
      </c>
      <c r="C3" s="42" t="s">
        <v>36</v>
      </c>
      <c r="D3" s="42" t="s">
        <v>37</v>
      </c>
      <c r="E3" s="42" t="s">
        <v>38</v>
      </c>
      <c r="F3" s="43">
        <v>3678.55</v>
      </c>
      <c r="G3" s="43">
        <v>3675.6</v>
      </c>
      <c r="H3" s="43">
        <v>3682.1</v>
      </c>
      <c r="I3" s="42" t="s">
        <v>75</v>
      </c>
      <c r="J3" s="43">
        <v>3675.56</v>
      </c>
      <c r="K3" s="43">
        <v>0</v>
      </c>
      <c r="L3" s="43">
        <v>0</v>
      </c>
      <c r="M3" s="44">
        <v>-2.99</v>
      </c>
      <c r="N3" s="10" t="str">
        <f t="shared" ref="N3:N4" si="0">IF(M3&gt;0,"W",IF(M3&lt;0,"L","BE"))</f>
        <v>L</v>
      </c>
      <c r="O3" s="11">
        <f t="shared" ref="O3:O4" si="1">INT(LEFT(A3,10))</f>
        <v>45917</v>
      </c>
      <c r="P3" s="12" t="str">
        <f t="shared" ref="P3:P4" si="2">TEXT(A3,"hh")</f>
        <v>15</v>
      </c>
      <c r="Q3" s="13" t="str">
        <f>VLOOKUP($B3,Deals_Demo!$H:$N,7,0)</f>
        <v>strategy_11_demo</v>
      </c>
      <c r="R3" s="13" t="str">
        <f t="shared" ref="R3:R4" si="3">TEXT(O3,"ddd")</f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ref="U3:U4" si="4">TEXT(T3,"yyyy-mm-dd")</f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ref="X3:X66" si="5">$M3*0.1</f>
        <v>-0.29900000000000004</v>
      </c>
      <c r="Y3" s="13">
        <f t="shared" ref="Y3:Y66" si="6">$M3*0.2</f>
        <v>-0.59800000000000009</v>
      </c>
      <c r="Z3" s="13">
        <f t="shared" ref="Z3:Z66" si="7">$M3*0.3</f>
        <v>-0.89700000000000002</v>
      </c>
      <c r="AA3" s="13">
        <f t="shared" ref="AA3:AA4" si="8">IF(M3&lt;2.9,-3,M3)</f>
        <v>-3</v>
      </c>
    </row>
    <row r="4" spans="1:27" x14ac:dyDescent="0.25">
      <c r="A4" s="35">
        <v>45917.666180555556</v>
      </c>
      <c r="B4" s="36">
        <v>442874073</v>
      </c>
      <c r="C4" s="37" t="s">
        <v>36</v>
      </c>
      <c r="D4" s="37" t="s">
        <v>37</v>
      </c>
      <c r="E4" s="37" t="s">
        <v>38</v>
      </c>
      <c r="F4" s="38">
        <v>3678.55</v>
      </c>
      <c r="G4" s="38">
        <v>3676.1</v>
      </c>
      <c r="H4" s="38">
        <v>3681.6</v>
      </c>
      <c r="I4" s="37" t="s">
        <v>76</v>
      </c>
      <c r="J4" s="38">
        <v>3676.1</v>
      </c>
      <c r="K4" s="38">
        <v>0</v>
      </c>
      <c r="L4" s="38">
        <v>0</v>
      </c>
      <c r="M4" s="39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40">
        <v>45917.670358796298</v>
      </c>
      <c r="B5" s="41">
        <v>442879091</v>
      </c>
      <c r="C5" s="42" t="s">
        <v>36</v>
      </c>
      <c r="D5" s="42" t="s">
        <v>37</v>
      </c>
      <c r="E5" s="42" t="s">
        <v>38</v>
      </c>
      <c r="F5" s="43">
        <v>3675.65</v>
      </c>
      <c r="G5" s="43">
        <v>3676.36</v>
      </c>
      <c r="H5" s="43">
        <v>3680.17</v>
      </c>
      <c r="I5" s="42" t="s">
        <v>77</v>
      </c>
      <c r="J5" s="43">
        <v>3676.33</v>
      </c>
      <c r="K5" s="43">
        <v>0</v>
      </c>
      <c r="L5" s="43">
        <v>0</v>
      </c>
      <c r="M5" s="44">
        <v>0.68</v>
      </c>
      <c r="N5" s="10" t="str">
        <f t="shared" ref="N5:N68" si="9">IF(M5&gt;0,"W",IF(M5&lt;0,"L","BE"))</f>
        <v>W</v>
      </c>
      <c r="O5" s="11">
        <f t="shared" ref="O5:O68" si="10">INT(LEFT(A5,10))</f>
        <v>45917</v>
      </c>
      <c r="P5" s="12" t="str">
        <f t="shared" ref="P5:P68" si="11">TEXT(A5,"hh")</f>
        <v>16</v>
      </c>
      <c r="Q5" s="13" t="str">
        <f>VLOOKUP($B5,Deals_Demo!$H:$N,7,0)</f>
        <v>DEMO_strategy_03</v>
      </c>
      <c r="R5" s="13" t="str">
        <f t="shared" ref="R5:R68" si="12">TEXT(O5,"ddd")</f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ref="U5:U68" si="13">TEXT(T5,"yyyy-mm-dd")</f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ref="AA5:AA68" si="14">IF(M5&lt;2.9,-3,M5)</f>
        <v>-3</v>
      </c>
    </row>
    <row r="6" spans="1:27" x14ac:dyDescent="0.25">
      <c r="A6" s="35">
        <v>45917.673576388886</v>
      </c>
      <c r="B6" s="36">
        <v>442884874</v>
      </c>
      <c r="C6" s="37" t="s">
        <v>36</v>
      </c>
      <c r="D6" s="37" t="s">
        <v>37</v>
      </c>
      <c r="E6" s="37" t="s">
        <v>38</v>
      </c>
      <c r="F6" s="38">
        <v>3676.65</v>
      </c>
      <c r="G6" s="38">
        <v>3679.11</v>
      </c>
      <c r="H6" s="37"/>
      <c r="I6" s="37" t="s">
        <v>78</v>
      </c>
      <c r="J6" s="38">
        <v>3679.06</v>
      </c>
      <c r="K6" s="38">
        <v>0</v>
      </c>
      <c r="L6" s="38">
        <v>0</v>
      </c>
      <c r="M6" s="39">
        <v>2.41</v>
      </c>
      <c r="N6" s="10" t="str">
        <f t="shared" si="9"/>
        <v>W</v>
      </c>
      <c r="O6" s="11">
        <f t="shared" si="10"/>
        <v>45917</v>
      </c>
      <c r="P6" s="12" t="str">
        <f t="shared" si="11"/>
        <v>16</v>
      </c>
      <c r="Q6" s="13" t="str">
        <f>VLOOKUP($B6,Deals_Demo!$H:$N,7,0)</f>
        <v>DEMO_strategy_01</v>
      </c>
      <c r="R6" s="13" t="str">
        <f t="shared" si="12"/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si="13"/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si="14"/>
        <v>-3</v>
      </c>
    </row>
    <row r="7" spans="1:27" x14ac:dyDescent="0.25">
      <c r="A7" s="40">
        <v>45917.673587962963</v>
      </c>
      <c r="B7" s="41">
        <v>442884879</v>
      </c>
      <c r="C7" s="42" t="s">
        <v>36</v>
      </c>
      <c r="D7" s="42" t="s">
        <v>37</v>
      </c>
      <c r="E7" s="42" t="s">
        <v>38</v>
      </c>
      <c r="F7" s="43">
        <v>3676.65</v>
      </c>
      <c r="G7" s="43">
        <v>3679.12</v>
      </c>
      <c r="H7" s="43">
        <v>3682.61</v>
      </c>
      <c r="I7" s="42" t="s">
        <v>78</v>
      </c>
      <c r="J7" s="43">
        <v>3679.06</v>
      </c>
      <c r="K7" s="43">
        <v>0</v>
      </c>
      <c r="L7" s="43">
        <v>0</v>
      </c>
      <c r="M7" s="44">
        <v>2.41</v>
      </c>
      <c r="N7" s="10" t="str">
        <f t="shared" si="9"/>
        <v>W</v>
      </c>
      <c r="O7" s="11">
        <f t="shared" si="10"/>
        <v>45917</v>
      </c>
      <c r="P7" s="12" t="str">
        <f t="shared" si="11"/>
        <v>16</v>
      </c>
      <c r="Q7" s="13" t="str">
        <f>VLOOKUP($B7,Deals_Demo!$H:$N,7,0)</f>
        <v>DEMO_strategy_02</v>
      </c>
      <c r="R7" s="13" t="str">
        <f t="shared" si="12"/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si="13"/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si="14"/>
        <v>-3</v>
      </c>
    </row>
    <row r="8" spans="1:27" x14ac:dyDescent="0.25">
      <c r="A8" s="35">
        <v>45917.677743055552</v>
      </c>
      <c r="B8" s="36">
        <v>442887666</v>
      </c>
      <c r="C8" s="37" t="s">
        <v>36</v>
      </c>
      <c r="D8" s="37" t="s">
        <v>37</v>
      </c>
      <c r="E8" s="37" t="s">
        <v>38</v>
      </c>
      <c r="F8" s="38">
        <v>3678.04</v>
      </c>
      <c r="G8" s="38">
        <v>3675.53</v>
      </c>
      <c r="H8" s="38">
        <v>3681.03</v>
      </c>
      <c r="I8" s="37" t="s">
        <v>79</v>
      </c>
      <c r="J8" s="38">
        <v>3675.42</v>
      </c>
      <c r="K8" s="38">
        <v>0</v>
      </c>
      <c r="L8" s="38">
        <v>0</v>
      </c>
      <c r="M8" s="39">
        <v>-2.62</v>
      </c>
      <c r="N8" s="10" t="str">
        <f t="shared" si="9"/>
        <v>L</v>
      </c>
      <c r="O8" s="11">
        <f t="shared" si="10"/>
        <v>45917</v>
      </c>
      <c r="P8" s="12" t="str">
        <f t="shared" si="11"/>
        <v>16</v>
      </c>
      <c r="Q8" s="13" t="str">
        <f>VLOOKUP($B8,Deals_Demo!$H:$N,7,0)</f>
        <v>strategy_10_demo</v>
      </c>
      <c r="R8" s="13" t="str">
        <f t="shared" si="12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3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14"/>
        <v>-3</v>
      </c>
    </row>
    <row r="9" spans="1:27" x14ac:dyDescent="0.25">
      <c r="A9" s="40">
        <v>45917.677754629629</v>
      </c>
      <c r="B9" s="41">
        <v>442887668</v>
      </c>
      <c r="C9" s="42" t="s">
        <v>36</v>
      </c>
      <c r="D9" s="42" t="s">
        <v>37</v>
      </c>
      <c r="E9" s="42" t="s">
        <v>38</v>
      </c>
      <c r="F9" s="43">
        <v>3678.02</v>
      </c>
      <c r="G9" s="43">
        <v>3675.04</v>
      </c>
      <c r="H9" s="43">
        <v>3681.04</v>
      </c>
      <c r="I9" s="42" t="s">
        <v>80</v>
      </c>
      <c r="J9" s="43">
        <v>3675</v>
      </c>
      <c r="K9" s="43">
        <v>0</v>
      </c>
      <c r="L9" s="43">
        <v>0</v>
      </c>
      <c r="M9" s="44">
        <v>-3.02</v>
      </c>
      <c r="N9" s="10" t="str">
        <f t="shared" si="9"/>
        <v>L</v>
      </c>
      <c r="O9" s="11">
        <f t="shared" si="10"/>
        <v>45917</v>
      </c>
      <c r="P9" s="12" t="str">
        <f t="shared" si="11"/>
        <v>16</v>
      </c>
      <c r="Q9" s="13" t="str">
        <f>VLOOKUP($B9,Deals_Demo!$H:$N,7,0)</f>
        <v>strategy_09_demo</v>
      </c>
      <c r="R9" s="13" t="str">
        <f t="shared" si="12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3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14"/>
        <v>-3</v>
      </c>
    </row>
    <row r="10" spans="1:27" x14ac:dyDescent="0.25">
      <c r="A10" s="35">
        <v>45917.677754629629</v>
      </c>
      <c r="B10" s="36">
        <v>442887669</v>
      </c>
      <c r="C10" s="37" t="s">
        <v>36</v>
      </c>
      <c r="D10" s="37" t="s">
        <v>37</v>
      </c>
      <c r="E10" s="37" t="s">
        <v>38</v>
      </c>
      <c r="F10" s="38">
        <v>3677.94</v>
      </c>
      <c r="G10" s="38">
        <v>3675.04</v>
      </c>
      <c r="H10" s="38">
        <v>3681.54</v>
      </c>
      <c r="I10" s="37" t="s">
        <v>80</v>
      </c>
      <c r="J10" s="38">
        <v>3675</v>
      </c>
      <c r="K10" s="38">
        <v>0</v>
      </c>
      <c r="L10" s="38">
        <v>0</v>
      </c>
      <c r="M10" s="39">
        <v>-2.94</v>
      </c>
      <c r="N10" s="10" t="str">
        <f t="shared" si="9"/>
        <v>L</v>
      </c>
      <c r="O10" s="11">
        <f t="shared" si="10"/>
        <v>45917</v>
      </c>
      <c r="P10" s="12" t="str">
        <f t="shared" si="11"/>
        <v>16</v>
      </c>
      <c r="Q10" s="13" t="str">
        <f>VLOOKUP($B10,Deals_Demo!$H:$N,7,0)</f>
        <v>strategy_11_demo</v>
      </c>
      <c r="R10" s="13" t="str">
        <f t="shared" si="12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3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14"/>
        <v>-3</v>
      </c>
    </row>
    <row r="11" spans="1:27" x14ac:dyDescent="0.25">
      <c r="A11" s="40">
        <v>45917.679131944446</v>
      </c>
      <c r="B11" s="41">
        <v>442888597</v>
      </c>
      <c r="C11" s="42" t="s">
        <v>36</v>
      </c>
      <c r="D11" s="42" t="s">
        <v>37</v>
      </c>
      <c r="E11" s="42" t="s">
        <v>38</v>
      </c>
      <c r="F11" s="43">
        <v>3677.06</v>
      </c>
      <c r="G11" s="43">
        <v>3674.06</v>
      </c>
      <c r="H11" s="43">
        <v>3681.56</v>
      </c>
      <c r="I11" s="42" t="s">
        <v>81</v>
      </c>
      <c r="J11" s="43">
        <v>3674.05</v>
      </c>
      <c r="K11" s="43">
        <v>0</v>
      </c>
      <c r="L11" s="43">
        <v>0</v>
      </c>
      <c r="M11" s="44">
        <v>-3.01</v>
      </c>
      <c r="N11" s="10" t="str">
        <f t="shared" si="9"/>
        <v>L</v>
      </c>
      <c r="O11" s="11">
        <f t="shared" si="10"/>
        <v>45917</v>
      </c>
      <c r="P11" s="12" t="str">
        <f t="shared" si="11"/>
        <v>16</v>
      </c>
      <c r="Q11" s="13" t="str">
        <f>VLOOKUP($B11,Deals_Demo!$H:$N,7,0)</f>
        <v>DEMO_strategy_03</v>
      </c>
      <c r="R11" s="13" t="str">
        <f t="shared" si="12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3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14"/>
        <v>-3</v>
      </c>
    </row>
    <row r="12" spans="1:27" x14ac:dyDescent="0.25">
      <c r="A12" s="35">
        <v>45917.684224537035</v>
      </c>
      <c r="B12" s="36">
        <v>442892951</v>
      </c>
      <c r="C12" s="37" t="s">
        <v>36</v>
      </c>
      <c r="D12" s="37" t="s">
        <v>39</v>
      </c>
      <c r="E12" s="37" t="s">
        <v>38</v>
      </c>
      <c r="F12" s="38">
        <v>3675.51</v>
      </c>
      <c r="G12" s="38">
        <v>3678.51</v>
      </c>
      <c r="H12" s="38">
        <v>3672.01</v>
      </c>
      <c r="I12" s="37" t="s">
        <v>82</v>
      </c>
      <c r="J12" s="38">
        <v>3678.61</v>
      </c>
      <c r="K12" s="38">
        <v>0</v>
      </c>
      <c r="L12" s="38">
        <v>0</v>
      </c>
      <c r="M12" s="39">
        <v>-3.1</v>
      </c>
      <c r="N12" s="10" t="str">
        <f t="shared" si="9"/>
        <v>L</v>
      </c>
      <c r="O12" s="11">
        <f t="shared" si="10"/>
        <v>45917</v>
      </c>
      <c r="P12" s="12" t="str">
        <f t="shared" si="11"/>
        <v>16</v>
      </c>
      <c r="Q12" s="13" t="str">
        <f>VLOOKUP($B12,Deals_Demo!$H:$N,7,0)</f>
        <v>strategy_11_demo</v>
      </c>
      <c r="R12" s="13" t="str">
        <f t="shared" si="12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3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14"/>
        <v>-3</v>
      </c>
    </row>
    <row r="13" spans="1:27" x14ac:dyDescent="0.25">
      <c r="A13" s="40">
        <v>45917.684236111112</v>
      </c>
      <c r="B13" s="41">
        <v>442892954</v>
      </c>
      <c r="C13" s="42" t="s">
        <v>36</v>
      </c>
      <c r="D13" s="42" t="s">
        <v>39</v>
      </c>
      <c r="E13" s="42" t="s">
        <v>38</v>
      </c>
      <c r="F13" s="43">
        <v>3675.52</v>
      </c>
      <c r="G13" s="43">
        <v>3678.01</v>
      </c>
      <c r="H13" s="43">
        <v>3672.51</v>
      </c>
      <c r="I13" s="42" t="s">
        <v>83</v>
      </c>
      <c r="J13" s="43">
        <v>3678.06</v>
      </c>
      <c r="K13" s="43">
        <v>0</v>
      </c>
      <c r="L13" s="43">
        <v>0</v>
      </c>
      <c r="M13" s="44">
        <v>-2.54</v>
      </c>
      <c r="N13" s="10" t="str">
        <f t="shared" si="9"/>
        <v>L</v>
      </c>
      <c r="O13" s="11">
        <f t="shared" si="10"/>
        <v>45917</v>
      </c>
      <c r="P13" s="12" t="str">
        <f t="shared" si="11"/>
        <v>16</v>
      </c>
      <c r="Q13" s="13" t="str">
        <f>VLOOKUP($B13,Deals_Demo!$H:$N,7,0)</f>
        <v>strategy_10_demo</v>
      </c>
      <c r="R13" s="13" t="str">
        <f t="shared" si="12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3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14"/>
        <v>-3</v>
      </c>
    </row>
    <row r="14" spans="1:27" x14ac:dyDescent="0.25">
      <c r="A14" s="35">
        <v>45917.684236111112</v>
      </c>
      <c r="B14" s="36">
        <v>442892955</v>
      </c>
      <c r="C14" s="37" t="s">
        <v>36</v>
      </c>
      <c r="D14" s="37" t="s">
        <v>39</v>
      </c>
      <c r="E14" s="37" t="s">
        <v>38</v>
      </c>
      <c r="F14" s="38">
        <v>3675.48</v>
      </c>
      <c r="G14" s="38">
        <v>3678.51</v>
      </c>
      <c r="H14" s="38">
        <v>3672.51</v>
      </c>
      <c r="I14" s="37" t="s">
        <v>82</v>
      </c>
      <c r="J14" s="38">
        <v>3678.61</v>
      </c>
      <c r="K14" s="38">
        <v>0</v>
      </c>
      <c r="L14" s="38">
        <v>0</v>
      </c>
      <c r="M14" s="39">
        <v>-3.13</v>
      </c>
      <c r="N14" s="10" t="str">
        <f t="shared" si="9"/>
        <v>L</v>
      </c>
      <c r="O14" s="11">
        <f t="shared" si="10"/>
        <v>45917</v>
      </c>
      <c r="P14" s="12" t="str">
        <f t="shared" si="11"/>
        <v>16</v>
      </c>
      <c r="Q14" s="13" t="str">
        <f>VLOOKUP($B14,Deals_Demo!$H:$N,7,0)</f>
        <v>strategy_09_demo</v>
      </c>
      <c r="R14" s="13" t="str">
        <f t="shared" si="12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3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14"/>
        <v>-3</v>
      </c>
    </row>
    <row r="15" spans="1:27" x14ac:dyDescent="0.25">
      <c r="A15" s="40">
        <v>45917.688854166663</v>
      </c>
      <c r="B15" s="41">
        <v>442896085</v>
      </c>
      <c r="C15" s="42" t="s">
        <v>36</v>
      </c>
      <c r="D15" s="42" t="s">
        <v>37</v>
      </c>
      <c r="E15" s="42" t="s">
        <v>38</v>
      </c>
      <c r="F15" s="43">
        <v>3677.35</v>
      </c>
      <c r="G15" s="43">
        <v>3676.88</v>
      </c>
      <c r="H15" s="43">
        <v>3681.84</v>
      </c>
      <c r="I15" s="42" t="s">
        <v>84</v>
      </c>
      <c r="J15" s="43">
        <v>3681.85</v>
      </c>
      <c r="K15" s="43">
        <v>0</v>
      </c>
      <c r="L15" s="43">
        <v>0</v>
      </c>
      <c r="M15" s="44">
        <v>4.5</v>
      </c>
      <c r="N15" s="10" t="str">
        <f t="shared" si="9"/>
        <v>W</v>
      </c>
      <c r="O15" s="11">
        <f t="shared" si="10"/>
        <v>45917</v>
      </c>
      <c r="P15" s="12" t="str">
        <f t="shared" si="11"/>
        <v>16</v>
      </c>
      <c r="Q15" s="13" t="str">
        <f>VLOOKUP($B15,Deals_Demo!$H:$N,7,0)</f>
        <v>DEMO_strategy_03</v>
      </c>
      <c r="R15" s="13" t="str">
        <f t="shared" si="12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3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14"/>
        <v>4.5</v>
      </c>
    </row>
    <row r="16" spans="1:27" x14ac:dyDescent="0.25">
      <c r="A16" s="35">
        <v>45917.694525462961</v>
      </c>
      <c r="B16" s="36">
        <v>442903050</v>
      </c>
      <c r="C16" s="37" t="s">
        <v>36</v>
      </c>
      <c r="D16" s="37" t="s">
        <v>37</v>
      </c>
      <c r="E16" s="37" t="s">
        <v>38</v>
      </c>
      <c r="F16" s="38">
        <v>3680.46</v>
      </c>
      <c r="G16" s="38">
        <v>3678.03</v>
      </c>
      <c r="H16" s="38">
        <v>3683.53</v>
      </c>
      <c r="I16" s="37" t="s">
        <v>85</v>
      </c>
      <c r="J16" s="38">
        <v>3678.03</v>
      </c>
      <c r="K16" s="38">
        <v>0</v>
      </c>
      <c r="L16" s="38">
        <v>0</v>
      </c>
      <c r="M16" s="39">
        <v>-2.4300000000000002</v>
      </c>
      <c r="N16" s="10" t="str">
        <f t="shared" si="9"/>
        <v>L</v>
      </c>
      <c r="O16" s="11">
        <f t="shared" si="10"/>
        <v>45917</v>
      </c>
      <c r="P16" s="12" t="str">
        <f t="shared" si="11"/>
        <v>16</v>
      </c>
      <c r="Q16" s="13" t="str">
        <f>VLOOKUP($B16,Deals_Demo!$H:$N,7,0)</f>
        <v>strategy_10_demo</v>
      </c>
      <c r="R16" s="13" t="str">
        <f t="shared" si="12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3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14"/>
        <v>-3</v>
      </c>
    </row>
    <row r="17" spans="1:27" x14ac:dyDescent="0.25">
      <c r="A17" s="40">
        <v>45917.694537037038</v>
      </c>
      <c r="B17" s="41">
        <v>442903055</v>
      </c>
      <c r="C17" s="42" t="s">
        <v>36</v>
      </c>
      <c r="D17" s="42" t="s">
        <v>37</v>
      </c>
      <c r="E17" s="42" t="s">
        <v>38</v>
      </c>
      <c r="F17" s="43">
        <v>3680.45</v>
      </c>
      <c r="G17" s="43">
        <v>3677.46</v>
      </c>
      <c r="H17" s="43">
        <v>3683.96</v>
      </c>
      <c r="I17" s="42" t="s">
        <v>86</v>
      </c>
      <c r="J17" s="43">
        <v>3677.41</v>
      </c>
      <c r="K17" s="43">
        <v>0</v>
      </c>
      <c r="L17" s="43">
        <v>0</v>
      </c>
      <c r="M17" s="44">
        <v>-3.04</v>
      </c>
      <c r="N17" s="10" t="str">
        <f t="shared" si="9"/>
        <v>L</v>
      </c>
      <c r="O17" s="11">
        <f t="shared" si="10"/>
        <v>45917</v>
      </c>
      <c r="P17" s="12" t="str">
        <f t="shared" si="11"/>
        <v>16</v>
      </c>
      <c r="Q17" s="13" t="str">
        <f>VLOOKUP($B17,Deals_Demo!$H:$N,7,0)</f>
        <v>strategy_11_demo</v>
      </c>
      <c r="R17" s="13" t="str">
        <f t="shared" si="12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3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14"/>
        <v>-3</v>
      </c>
    </row>
    <row r="18" spans="1:27" x14ac:dyDescent="0.25">
      <c r="A18" s="35">
        <v>45917.694537037038</v>
      </c>
      <c r="B18" s="36">
        <v>442903057</v>
      </c>
      <c r="C18" s="37" t="s">
        <v>36</v>
      </c>
      <c r="D18" s="37" t="s">
        <v>37</v>
      </c>
      <c r="E18" s="37" t="s">
        <v>38</v>
      </c>
      <c r="F18" s="38">
        <v>3680.46</v>
      </c>
      <c r="G18" s="38">
        <v>3677.46</v>
      </c>
      <c r="H18" s="38">
        <v>3683.46</v>
      </c>
      <c r="I18" s="37" t="s">
        <v>86</v>
      </c>
      <c r="J18" s="38">
        <v>3677.41</v>
      </c>
      <c r="K18" s="38">
        <v>0</v>
      </c>
      <c r="L18" s="38">
        <v>0</v>
      </c>
      <c r="M18" s="39">
        <v>-3.05</v>
      </c>
      <c r="N18" s="10" t="str">
        <f t="shared" si="9"/>
        <v>L</v>
      </c>
      <c r="O18" s="11">
        <f t="shared" si="10"/>
        <v>45917</v>
      </c>
      <c r="P18" s="12" t="str">
        <f t="shared" si="11"/>
        <v>16</v>
      </c>
      <c r="Q18" s="13" t="str">
        <f>VLOOKUP($B18,Deals_Demo!$H:$N,7,0)</f>
        <v>strategy_09_demo</v>
      </c>
      <c r="R18" s="13" t="str">
        <f t="shared" si="12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3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14"/>
        <v>-3</v>
      </c>
    </row>
    <row r="19" spans="1:27" x14ac:dyDescent="0.25">
      <c r="A19" s="40">
        <v>45917.698587962965</v>
      </c>
      <c r="B19" s="41">
        <v>442906378</v>
      </c>
      <c r="C19" s="42" t="s">
        <v>36</v>
      </c>
      <c r="D19" s="42" t="s">
        <v>37</v>
      </c>
      <c r="E19" s="42" t="s">
        <v>38</v>
      </c>
      <c r="F19" s="43">
        <v>3678.35</v>
      </c>
      <c r="G19" s="43">
        <v>3679.87</v>
      </c>
      <c r="H19" s="43">
        <v>3682.87</v>
      </c>
      <c r="I19" s="42" t="s">
        <v>87</v>
      </c>
      <c r="J19" s="43">
        <v>3682.87</v>
      </c>
      <c r="K19" s="43">
        <v>0</v>
      </c>
      <c r="L19" s="43">
        <v>0</v>
      </c>
      <c r="M19" s="44">
        <v>4.5199999999999996</v>
      </c>
      <c r="N19" s="10" t="str">
        <f t="shared" si="9"/>
        <v>W</v>
      </c>
      <c r="O19" s="11">
        <f t="shared" si="10"/>
        <v>45917</v>
      </c>
      <c r="P19" s="12" t="str">
        <f t="shared" si="11"/>
        <v>16</v>
      </c>
      <c r="Q19" s="13" t="str">
        <f>VLOOKUP($B19,Deals_Demo!$H:$N,7,0)</f>
        <v>DEMO_strategy_03</v>
      </c>
      <c r="R19" s="13" t="str">
        <f t="shared" si="12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3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14"/>
        <v>4.5199999999999996</v>
      </c>
    </row>
    <row r="20" spans="1:27" x14ac:dyDescent="0.25">
      <c r="A20" s="35">
        <v>45917.698587962965</v>
      </c>
      <c r="B20" s="36">
        <v>442906390</v>
      </c>
      <c r="C20" s="37" t="s">
        <v>36</v>
      </c>
      <c r="D20" s="37" t="s">
        <v>37</v>
      </c>
      <c r="E20" s="37" t="s">
        <v>38</v>
      </c>
      <c r="F20" s="38">
        <v>3678.33</v>
      </c>
      <c r="G20" s="38">
        <v>3682.56</v>
      </c>
      <c r="H20" s="37"/>
      <c r="I20" s="37" t="s">
        <v>88</v>
      </c>
      <c r="J20" s="38">
        <v>3682.53</v>
      </c>
      <c r="K20" s="38">
        <v>0</v>
      </c>
      <c r="L20" s="38">
        <v>0</v>
      </c>
      <c r="M20" s="39">
        <v>4.2</v>
      </c>
      <c r="N20" s="10" t="str">
        <f t="shared" si="9"/>
        <v>W</v>
      </c>
      <c r="O20" s="11">
        <f t="shared" si="10"/>
        <v>45917</v>
      </c>
      <c r="P20" s="12" t="str">
        <f t="shared" si="11"/>
        <v>16</v>
      </c>
      <c r="Q20" s="13" t="str">
        <f>VLOOKUP($B20,Deals_Demo!$H:$N,7,0)</f>
        <v>DEMO_strategy_01</v>
      </c>
      <c r="R20" s="13" t="str">
        <f t="shared" si="12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3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14"/>
        <v>4.2</v>
      </c>
    </row>
    <row r="21" spans="1:27" x14ac:dyDescent="0.25">
      <c r="A21" s="40">
        <v>45917.698587962965</v>
      </c>
      <c r="B21" s="41">
        <v>442906392</v>
      </c>
      <c r="C21" s="42" t="s">
        <v>36</v>
      </c>
      <c r="D21" s="42" t="s">
        <v>37</v>
      </c>
      <c r="E21" s="42" t="s">
        <v>38</v>
      </c>
      <c r="F21" s="43">
        <v>3678.32</v>
      </c>
      <c r="G21" s="43">
        <v>3681.73</v>
      </c>
      <c r="H21" s="43">
        <v>3684.33</v>
      </c>
      <c r="I21" s="42" t="s">
        <v>89</v>
      </c>
      <c r="J21" s="43">
        <v>3684.42</v>
      </c>
      <c r="K21" s="43">
        <v>0</v>
      </c>
      <c r="L21" s="43">
        <v>0</v>
      </c>
      <c r="M21" s="44">
        <v>6.1</v>
      </c>
      <c r="N21" s="10" t="str">
        <f t="shared" si="9"/>
        <v>W</v>
      </c>
      <c r="O21" s="11">
        <f t="shared" si="10"/>
        <v>45917</v>
      </c>
      <c r="P21" s="12" t="str">
        <f t="shared" si="11"/>
        <v>16</v>
      </c>
      <c r="Q21" s="13" t="str">
        <f>VLOOKUP($B21,Deals_Demo!$H:$N,7,0)</f>
        <v>DEMO_strategy_02</v>
      </c>
      <c r="R21" s="13" t="str">
        <f t="shared" si="12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3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14"/>
        <v>6.1</v>
      </c>
    </row>
    <row r="22" spans="1:27" x14ac:dyDescent="0.25">
      <c r="A22" s="35">
        <v>45917.721608796295</v>
      </c>
      <c r="B22" s="36">
        <v>442925881</v>
      </c>
      <c r="C22" s="37" t="s">
        <v>36</v>
      </c>
      <c r="D22" s="37" t="s">
        <v>37</v>
      </c>
      <c r="E22" s="37" t="s">
        <v>38</v>
      </c>
      <c r="F22" s="38">
        <v>3683.82</v>
      </c>
      <c r="G22" s="38">
        <v>3684.28</v>
      </c>
      <c r="H22" s="38">
        <v>3686.96</v>
      </c>
      <c r="I22" s="37" t="s">
        <v>90</v>
      </c>
      <c r="J22" s="38">
        <v>3684.25</v>
      </c>
      <c r="K22" s="38">
        <v>0</v>
      </c>
      <c r="L22" s="38">
        <v>0</v>
      </c>
      <c r="M22" s="39">
        <v>0.43</v>
      </c>
      <c r="N22" s="10" t="str">
        <f t="shared" si="9"/>
        <v>W</v>
      </c>
      <c r="O22" s="11">
        <f t="shared" si="10"/>
        <v>45917</v>
      </c>
      <c r="P22" s="12" t="str">
        <f t="shared" si="11"/>
        <v>17</v>
      </c>
      <c r="Q22" s="13" t="str">
        <f>VLOOKUP($B22,Deals_Demo!$H:$N,7,0)</f>
        <v>strategy_10_demo</v>
      </c>
      <c r="R22" s="13" t="str">
        <f t="shared" si="12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3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14"/>
        <v>-3</v>
      </c>
    </row>
    <row r="23" spans="1:27" x14ac:dyDescent="0.25">
      <c r="A23" s="40">
        <v>45917.721608796295</v>
      </c>
      <c r="B23" s="41">
        <v>442925884</v>
      </c>
      <c r="C23" s="42" t="s">
        <v>36</v>
      </c>
      <c r="D23" s="42" t="s">
        <v>37</v>
      </c>
      <c r="E23" s="42" t="s">
        <v>38</v>
      </c>
      <c r="F23" s="43">
        <v>3683.76</v>
      </c>
      <c r="G23" s="43">
        <v>3684.28</v>
      </c>
      <c r="H23" s="43">
        <v>3686.82</v>
      </c>
      <c r="I23" s="42" t="s">
        <v>90</v>
      </c>
      <c r="J23" s="43">
        <v>3684.25</v>
      </c>
      <c r="K23" s="43">
        <v>0</v>
      </c>
      <c r="L23" s="43">
        <v>0</v>
      </c>
      <c r="M23" s="44">
        <v>0.49</v>
      </c>
      <c r="N23" s="10" t="str">
        <f t="shared" si="9"/>
        <v>W</v>
      </c>
      <c r="O23" s="11">
        <f t="shared" si="10"/>
        <v>45917</v>
      </c>
      <c r="P23" s="12" t="str">
        <f t="shared" si="11"/>
        <v>17</v>
      </c>
      <c r="Q23" s="13" t="str">
        <f>VLOOKUP($B23,Deals_Demo!$H:$N,7,0)</f>
        <v>strategy_09_demo</v>
      </c>
      <c r="R23" s="13" t="str">
        <f t="shared" si="12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3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14"/>
        <v>-3</v>
      </c>
    </row>
    <row r="24" spans="1:27" x14ac:dyDescent="0.25">
      <c r="A24" s="35">
        <v>45917.721620370372</v>
      </c>
      <c r="B24" s="36">
        <v>442925888</v>
      </c>
      <c r="C24" s="37" t="s">
        <v>36</v>
      </c>
      <c r="D24" s="37" t="s">
        <v>37</v>
      </c>
      <c r="E24" s="37" t="s">
        <v>38</v>
      </c>
      <c r="F24" s="38">
        <v>3683.82</v>
      </c>
      <c r="G24" s="38">
        <v>3684.28</v>
      </c>
      <c r="H24" s="38">
        <v>3687.32</v>
      </c>
      <c r="I24" s="37" t="s">
        <v>90</v>
      </c>
      <c r="J24" s="38">
        <v>3684.25</v>
      </c>
      <c r="K24" s="38">
        <v>0</v>
      </c>
      <c r="L24" s="38">
        <v>0</v>
      </c>
      <c r="M24" s="39">
        <v>0.43</v>
      </c>
      <c r="N24" s="10" t="str">
        <f t="shared" si="9"/>
        <v>W</v>
      </c>
      <c r="O24" s="11">
        <f t="shared" si="10"/>
        <v>45917</v>
      </c>
      <c r="P24" s="12" t="str">
        <f t="shared" si="11"/>
        <v>17</v>
      </c>
      <c r="Q24" s="13" t="str">
        <f>VLOOKUP($B24,Deals_Demo!$H:$N,7,0)</f>
        <v>strategy_11_demo</v>
      </c>
      <c r="R24" s="13" t="str">
        <f t="shared" si="12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3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14"/>
        <v>-3</v>
      </c>
    </row>
    <row r="25" spans="1:27" x14ac:dyDescent="0.25">
      <c r="A25" s="40">
        <v>45917.726365740738</v>
      </c>
      <c r="B25" s="41">
        <v>442929514</v>
      </c>
      <c r="C25" s="42" t="s">
        <v>36</v>
      </c>
      <c r="D25" s="42" t="s">
        <v>37</v>
      </c>
      <c r="E25" s="42" t="s">
        <v>38</v>
      </c>
      <c r="F25" s="43">
        <v>3682.57</v>
      </c>
      <c r="G25" s="43">
        <v>3684.61</v>
      </c>
      <c r="H25" s="42"/>
      <c r="I25" s="42" t="s">
        <v>91</v>
      </c>
      <c r="J25" s="43">
        <v>3684.6</v>
      </c>
      <c r="K25" s="43">
        <v>0</v>
      </c>
      <c r="L25" s="43">
        <v>0</v>
      </c>
      <c r="M25" s="44">
        <v>2.0299999999999998</v>
      </c>
      <c r="N25" s="10" t="str">
        <f t="shared" si="9"/>
        <v>W</v>
      </c>
      <c r="O25" s="11">
        <f t="shared" si="10"/>
        <v>45917</v>
      </c>
      <c r="P25" s="12" t="str">
        <f t="shared" si="11"/>
        <v>17</v>
      </c>
      <c r="Q25" s="13" t="str">
        <f>VLOOKUP($B25,Deals_Demo!$H:$N,7,0)</f>
        <v>DEMO_strategy_01</v>
      </c>
      <c r="R25" s="13" t="str">
        <f t="shared" si="12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3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14"/>
        <v>-3</v>
      </c>
    </row>
    <row r="26" spans="1:27" x14ac:dyDescent="0.25">
      <c r="A26" s="35">
        <v>45917.726365740738</v>
      </c>
      <c r="B26" s="36">
        <v>442929515</v>
      </c>
      <c r="C26" s="37" t="s">
        <v>36</v>
      </c>
      <c r="D26" s="37" t="s">
        <v>37</v>
      </c>
      <c r="E26" s="37" t="s">
        <v>38</v>
      </c>
      <c r="F26" s="38">
        <v>3682.57</v>
      </c>
      <c r="G26" s="38">
        <v>3684.61</v>
      </c>
      <c r="H26" s="38">
        <v>3688.57</v>
      </c>
      <c r="I26" s="37" t="s">
        <v>91</v>
      </c>
      <c r="J26" s="38">
        <v>3684.6</v>
      </c>
      <c r="K26" s="38">
        <v>0</v>
      </c>
      <c r="L26" s="38">
        <v>0</v>
      </c>
      <c r="M26" s="39">
        <v>2.0299999999999998</v>
      </c>
      <c r="N26" s="10" t="str">
        <f t="shared" si="9"/>
        <v>W</v>
      </c>
      <c r="O26" s="11">
        <f t="shared" si="10"/>
        <v>45917</v>
      </c>
      <c r="P26" s="12" t="str">
        <f t="shared" si="11"/>
        <v>17</v>
      </c>
      <c r="Q26" s="13" t="str">
        <f>VLOOKUP($B26,Deals_Demo!$H:$N,7,0)</f>
        <v>DEMO_strategy_02</v>
      </c>
      <c r="R26" s="13" t="str">
        <f t="shared" si="12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3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14"/>
        <v>-3</v>
      </c>
    </row>
    <row r="27" spans="1:27" x14ac:dyDescent="0.25">
      <c r="A27" s="40">
        <v>45917.733310185184</v>
      </c>
      <c r="B27" s="41">
        <v>442934114</v>
      </c>
      <c r="C27" s="42" t="s">
        <v>36</v>
      </c>
      <c r="D27" s="42" t="s">
        <v>37</v>
      </c>
      <c r="E27" s="42" t="s">
        <v>38</v>
      </c>
      <c r="F27" s="43">
        <v>3683.38</v>
      </c>
      <c r="G27" s="43">
        <v>3684.44</v>
      </c>
      <c r="H27" s="43">
        <v>3687.86</v>
      </c>
      <c r="I27" s="42" t="s">
        <v>92</v>
      </c>
      <c r="J27" s="43">
        <v>3684.42</v>
      </c>
      <c r="K27" s="43">
        <v>0</v>
      </c>
      <c r="L27" s="43">
        <v>0</v>
      </c>
      <c r="M27" s="44">
        <v>1.04</v>
      </c>
      <c r="N27" s="10" t="str">
        <f t="shared" si="9"/>
        <v>W</v>
      </c>
      <c r="O27" s="11">
        <f t="shared" si="10"/>
        <v>45917</v>
      </c>
      <c r="P27" s="12" t="str">
        <f t="shared" si="11"/>
        <v>17</v>
      </c>
      <c r="Q27" s="13" t="str">
        <f>VLOOKUP($B27,Deals_Demo!$H:$N,7,0)</f>
        <v>DEMO_strategy_03</v>
      </c>
      <c r="R27" s="13" t="str">
        <f t="shared" si="12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3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14"/>
        <v>-3</v>
      </c>
    </row>
    <row r="28" spans="1:27" x14ac:dyDescent="0.25">
      <c r="A28" s="35">
        <v>45917.737812500003</v>
      </c>
      <c r="B28" s="36">
        <v>442936578</v>
      </c>
      <c r="C28" s="37" t="s">
        <v>36</v>
      </c>
      <c r="D28" s="37" t="s">
        <v>37</v>
      </c>
      <c r="E28" s="37" t="s">
        <v>38</v>
      </c>
      <c r="F28" s="38">
        <v>3684.71</v>
      </c>
      <c r="G28" s="38">
        <v>3684.99</v>
      </c>
      <c r="H28" s="38">
        <v>3687.58</v>
      </c>
      <c r="I28" s="37" t="s">
        <v>93</v>
      </c>
      <c r="J28" s="38">
        <v>3684.99</v>
      </c>
      <c r="K28" s="38">
        <v>0</v>
      </c>
      <c r="L28" s="38">
        <v>0</v>
      </c>
      <c r="M28" s="39">
        <v>0.28000000000000003</v>
      </c>
      <c r="N28" s="10" t="str">
        <f t="shared" si="9"/>
        <v>W</v>
      </c>
      <c r="O28" s="11">
        <f t="shared" si="10"/>
        <v>45917</v>
      </c>
      <c r="P28" s="12" t="str">
        <f t="shared" si="11"/>
        <v>17</v>
      </c>
      <c r="Q28" s="13" t="str">
        <f>VLOOKUP($B28,Deals_Demo!$H:$N,7,0)</f>
        <v>strategy_09_demo</v>
      </c>
      <c r="R28" s="13" t="str">
        <f t="shared" si="12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3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14"/>
        <v>-3</v>
      </c>
    </row>
    <row r="29" spans="1:27" x14ac:dyDescent="0.25">
      <c r="A29" s="40">
        <v>45917.737812500003</v>
      </c>
      <c r="B29" s="41">
        <v>442936579</v>
      </c>
      <c r="C29" s="42" t="s">
        <v>36</v>
      </c>
      <c r="D29" s="42" t="s">
        <v>37</v>
      </c>
      <c r="E29" s="42" t="s">
        <v>38</v>
      </c>
      <c r="F29" s="43">
        <v>3684.69</v>
      </c>
      <c r="G29" s="43">
        <v>3684.99</v>
      </c>
      <c r="H29" s="43">
        <v>3688.21</v>
      </c>
      <c r="I29" s="42" t="s">
        <v>93</v>
      </c>
      <c r="J29" s="43">
        <v>3684.99</v>
      </c>
      <c r="K29" s="43">
        <v>0</v>
      </c>
      <c r="L29" s="43">
        <v>0</v>
      </c>
      <c r="M29" s="44">
        <v>0.3</v>
      </c>
      <c r="N29" s="10" t="str">
        <f t="shared" si="9"/>
        <v>W</v>
      </c>
      <c r="O29" s="11">
        <f t="shared" si="10"/>
        <v>45917</v>
      </c>
      <c r="P29" s="12" t="str">
        <f t="shared" si="11"/>
        <v>17</v>
      </c>
      <c r="Q29" s="13" t="str">
        <f>VLOOKUP($B29,Deals_Demo!$H:$N,7,0)</f>
        <v>strategy_11_demo</v>
      </c>
      <c r="R29" s="13" t="str">
        <f t="shared" si="12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3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14"/>
        <v>-3</v>
      </c>
    </row>
    <row r="30" spans="1:27" x14ac:dyDescent="0.25">
      <c r="A30" s="35">
        <v>45917.737824074073</v>
      </c>
      <c r="B30" s="36">
        <v>442936580</v>
      </c>
      <c r="C30" s="37" t="s">
        <v>36</v>
      </c>
      <c r="D30" s="37" t="s">
        <v>37</v>
      </c>
      <c r="E30" s="37" t="s">
        <v>38</v>
      </c>
      <c r="F30" s="38">
        <v>3684.69</v>
      </c>
      <c r="G30" s="38">
        <v>3684.99</v>
      </c>
      <c r="H30" s="38">
        <v>3687.71</v>
      </c>
      <c r="I30" s="37" t="s">
        <v>93</v>
      </c>
      <c r="J30" s="38">
        <v>3684.99</v>
      </c>
      <c r="K30" s="38">
        <v>0</v>
      </c>
      <c r="L30" s="38">
        <v>0</v>
      </c>
      <c r="M30" s="39">
        <v>0.3</v>
      </c>
      <c r="N30" s="10" t="str">
        <f t="shared" si="9"/>
        <v>W</v>
      </c>
      <c r="O30" s="11">
        <f t="shared" si="10"/>
        <v>45917</v>
      </c>
      <c r="P30" s="12" t="str">
        <f t="shared" si="11"/>
        <v>17</v>
      </c>
      <c r="Q30" s="13" t="str">
        <f>VLOOKUP($B30,Deals_Demo!$H:$N,7,0)</f>
        <v>strategy_10_demo</v>
      </c>
      <c r="R30" s="13" t="str">
        <f t="shared" si="12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3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14"/>
        <v>-3</v>
      </c>
    </row>
    <row r="31" spans="1:27" x14ac:dyDescent="0.25">
      <c r="A31" s="40">
        <v>45917.745798611111</v>
      </c>
      <c r="B31" s="41">
        <v>442940492</v>
      </c>
      <c r="C31" s="42" t="s">
        <v>36</v>
      </c>
      <c r="D31" s="42" t="s">
        <v>37</v>
      </c>
      <c r="E31" s="42" t="s">
        <v>38</v>
      </c>
      <c r="F31" s="43">
        <v>3683.89</v>
      </c>
      <c r="G31" s="43">
        <v>3684.77</v>
      </c>
      <c r="H31" s="43">
        <v>3689.89</v>
      </c>
      <c r="I31" s="42" t="s">
        <v>94</v>
      </c>
      <c r="J31" s="43">
        <v>3684.71</v>
      </c>
      <c r="K31" s="43">
        <v>0</v>
      </c>
      <c r="L31" s="43">
        <v>0</v>
      </c>
      <c r="M31" s="44">
        <v>0.82</v>
      </c>
      <c r="N31" s="10" t="str">
        <f t="shared" si="9"/>
        <v>W</v>
      </c>
      <c r="O31" s="11">
        <f t="shared" si="10"/>
        <v>45917</v>
      </c>
      <c r="P31" s="12" t="str">
        <f t="shared" si="11"/>
        <v>17</v>
      </c>
      <c r="Q31" s="13" t="str">
        <f>VLOOKUP($B31,Deals_Demo!$H:$N,7,0)</f>
        <v>DEMO_strategy_02</v>
      </c>
      <c r="R31" s="13" t="str">
        <f t="shared" si="12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3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14"/>
        <v>-3</v>
      </c>
    </row>
    <row r="32" spans="1:27" x14ac:dyDescent="0.25">
      <c r="A32" s="35">
        <v>45917.745810185188</v>
      </c>
      <c r="B32" s="36">
        <v>442940496</v>
      </c>
      <c r="C32" s="37" t="s">
        <v>36</v>
      </c>
      <c r="D32" s="37" t="s">
        <v>37</v>
      </c>
      <c r="E32" s="37" t="s">
        <v>38</v>
      </c>
      <c r="F32" s="38">
        <v>3683.78</v>
      </c>
      <c r="G32" s="38">
        <v>3684.75</v>
      </c>
      <c r="H32" s="37"/>
      <c r="I32" s="37" t="s">
        <v>94</v>
      </c>
      <c r="J32" s="38">
        <v>3684.71</v>
      </c>
      <c r="K32" s="38">
        <v>0</v>
      </c>
      <c r="L32" s="38">
        <v>0</v>
      </c>
      <c r="M32" s="39">
        <v>0.93</v>
      </c>
      <c r="N32" s="10" t="str">
        <f t="shared" si="9"/>
        <v>W</v>
      </c>
      <c r="O32" s="11">
        <f t="shared" si="10"/>
        <v>45917</v>
      </c>
      <c r="P32" s="12" t="str">
        <f t="shared" si="11"/>
        <v>17</v>
      </c>
      <c r="Q32" s="13" t="str">
        <f>VLOOKUP($B32,Deals_Demo!$H:$N,7,0)</f>
        <v>DEMO_strategy_01</v>
      </c>
      <c r="R32" s="13" t="str">
        <f t="shared" si="12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3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14"/>
        <v>-3</v>
      </c>
    </row>
    <row r="33" spans="1:27" x14ac:dyDescent="0.25">
      <c r="A33" s="40">
        <v>45917.748692129629</v>
      </c>
      <c r="B33" s="41">
        <v>442942538</v>
      </c>
      <c r="C33" s="42" t="s">
        <v>36</v>
      </c>
      <c r="D33" s="42" t="s">
        <v>39</v>
      </c>
      <c r="E33" s="42" t="s">
        <v>38</v>
      </c>
      <c r="F33" s="43">
        <v>3683.15</v>
      </c>
      <c r="G33" s="43">
        <v>3685.64</v>
      </c>
      <c r="H33" s="43">
        <v>3680.14</v>
      </c>
      <c r="I33" s="42" t="s">
        <v>95</v>
      </c>
      <c r="J33" s="43">
        <v>3685.65</v>
      </c>
      <c r="K33" s="43">
        <v>0</v>
      </c>
      <c r="L33" s="43">
        <v>0</v>
      </c>
      <c r="M33" s="44">
        <v>-2.5</v>
      </c>
      <c r="N33" s="10" t="str">
        <f t="shared" si="9"/>
        <v>L</v>
      </c>
      <c r="O33" s="11">
        <f t="shared" si="10"/>
        <v>45917</v>
      </c>
      <c r="P33" s="12" t="str">
        <f t="shared" si="11"/>
        <v>17</v>
      </c>
      <c r="Q33" s="13" t="str">
        <f>VLOOKUP($B33,Deals_Demo!$H:$N,7,0)</f>
        <v>strategy_10_demo</v>
      </c>
      <c r="R33" s="13" t="str">
        <f t="shared" si="12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3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14"/>
        <v>-3</v>
      </c>
    </row>
    <row r="34" spans="1:27" x14ac:dyDescent="0.25">
      <c r="A34" s="35">
        <v>45917.748692129629</v>
      </c>
      <c r="B34" s="36">
        <v>442942542</v>
      </c>
      <c r="C34" s="37" t="s">
        <v>36</v>
      </c>
      <c r="D34" s="37" t="s">
        <v>39</v>
      </c>
      <c r="E34" s="37" t="s">
        <v>38</v>
      </c>
      <c r="F34" s="38">
        <v>3683.15</v>
      </c>
      <c r="G34" s="38">
        <v>3686.15</v>
      </c>
      <c r="H34" s="38">
        <v>3679.65</v>
      </c>
      <c r="I34" s="37" t="s">
        <v>96</v>
      </c>
      <c r="J34" s="38">
        <v>3686.15</v>
      </c>
      <c r="K34" s="38">
        <v>0</v>
      </c>
      <c r="L34" s="38">
        <v>0</v>
      </c>
      <c r="M34" s="39">
        <v>-3</v>
      </c>
      <c r="N34" s="10" t="str">
        <f t="shared" si="9"/>
        <v>L</v>
      </c>
      <c r="O34" s="11">
        <f t="shared" si="10"/>
        <v>45917</v>
      </c>
      <c r="P34" s="12" t="str">
        <f t="shared" si="11"/>
        <v>17</v>
      </c>
      <c r="Q34" s="13" t="str">
        <f>VLOOKUP($B34,Deals_Demo!$H:$N,7,0)</f>
        <v>strategy_11_demo</v>
      </c>
      <c r="R34" s="13" t="str">
        <f t="shared" si="12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3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14"/>
        <v>-3</v>
      </c>
    </row>
    <row r="35" spans="1:27" x14ac:dyDescent="0.25">
      <c r="A35" s="40">
        <v>45917.748703703706</v>
      </c>
      <c r="B35" s="41">
        <v>442942544</v>
      </c>
      <c r="C35" s="42" t="s">
        <v>36</v>
      </c>
      <c r="D35" s="42" t="s">
        <v>39</v>
      </c>
      <c r="E35" s="42" t="s">
        <v>38</v>
      </c>
      <c r="F35" s="43">
        <v>3683.15</v>
      </c>
      <c r="G35" s="43">
        <v>3686.15</v>
      </c>
      <c r="H35" s="43">
        <v>3680.15</v>
      </c>
      <c r="I35" s="42" t="s">
        <v>96</v>
      </c>
      <c r="J35" s="43">
        <v>3686.15</v>
      </c>
      <c r="K35" s="43">
        <v>0</v>
      </c>
      <c r="L35" s="43">
        <v>0</v>
      </c>
      <c r="M35" s="44">
        <v>-3</v>
      </c>
      <c r="N35" s="10" t="str">
        <f t="shared" si="9"/>
        <v>L</v>
      </c>
      <c r="O35" s="11">
        <f t="shared" si="10"/>
        <v>45917</v>
      </c>
      <c r="P35" s="12" t="str">
        <f t="shared" si="11"/>
        <v>17</v>
      </c>
      <c r="Q35" s="13" t="str">
        <f>VLOOKUP($B35,Deals_Demo!$H:$N,7,0)</f>
        <v>strategy_09_demo</v>
      </c>
      <c r="R35" s="13" t="str">
        <f t="shared" si="12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3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14"/>
        <v>-3</v>
      </c>
    </row>
    <row r="36" spans="1:27" x14ac:dyDescent="0.25">
      <c r="A36" s="35">
        <v>45917.758414351854</v>
      </c>
      <c r="B36" s="36">
        <v>442947400</v>
      </c>
      <c r="C36" s="37" t="s">
        <v>36</v>
      </c>
      <c r="D36" s="37" t="s">
        <v>37</v>
      </c>
      <c r="E36" s="37" t="s">
        <v>38</v>
      </c>
      <c r="F36" s="38">
        <v>3685.23</v>
      </c>
      <c r="G36" s="38">
        <v>3685.26</v>
      </c>
      <c r="H36" s="38">
        <v>3688.23</v>
      </c>
      <c r="I36" s="37" t="s">
        <v>97</v>
      </c>
      <c r="J36" s="38">
        <v>3685.26</v>
      </c>
      <c r="K36" s="38">
        <v>0</v>
      </c>
      <c r="L36" s="38">
        <v>0</v>
      </c>
      <c r="M36" s="39">
        <v>0.03</v>
      </c>
      <c r="N36" s="10" t="str">
        <f t="shared" si="9"/>
        <v>W</v>
      </c>
      <c r="O36" s="11">
        <f t="shared" si="10"/>
        <v>45917</v>
      </c>
      <c r="P36" s="12" t="str">
        <f t="shared" si="11"/>
        <v>18</v>
      </c>
      <c r="Q36" s="13" t="str">
        <f>VLOOKUP($B36,Deals_Demo!$H:$N,7,0)</f>
        <v>strategy_10_demo</v>
      </c>
      <c r="R36" s="13" t="str">
        <f t="shared" si="12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3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14"/>
        <v>-3</v>
      </c>
    </row>
    <row r="37" spans="1:27" x14ac:dyDescent="0.25">
      <c r="A37" s="40">
        <v>45917.760034722225</v>
      </c>
      <c r="B37" s="41">
        <v>442949291</v>
      </c>
      <c r="C37" s="42" t="s">
        <v>36</v>
      </c>
      <c r="D37" s="42" t="s">
        <v>37</v>
      </c>
      <c r="E37" s="42" t="s">
        <v>38</v>
      </c>
      <c r="F37" s="43">
        <v>3685.85</v>
      </c>
      <c r="G37" s="43">
        <v>3682.88</v>
      </c>
      <c r="H37" s="43">
        <v>3689.38</v>
      </c>
      <c r="I37" s="42" t="s">
        <v>98</v>
      </c>
      <c r="J37" s="43">
        <v>3682.82</v>
      </c>
      <c r="K37" s="43">
        <v>0</v>
      </c>
      <c r="L37" s="43">
        <v>0</v>
      </c>
      <c r="M37" s="44">
        <v>-3.03</v>
      </c>
      <c r="N37" s="10" t="str">
        <f t="shared" si="9"/>
        <v>L</v>
      </c>
      <c r="O37" s="11">
        <f t="shared" si="10"/>
        <v>45917</v>
      </c>
      <c r="P37" s="12" t="str">
        <f t="shared" si="11"/>
        <v>18</v>
      </c>
      <c r="Q37" s="13" t="str">
        <f>VLOOKUP($B37,Deals_Demo!$H:$N,7,0)</f>
        <v>strategy_11_demo</v>
      </c>
      <c r="R37" s="13" t="str">
        <f t="shared" si="12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3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14"/>
        <v>-3</v>
      </c>
    </row>
    <row r="38" spans="1:27" x14ac:dyDescent="0.25">
      <c r="A38" s="35">
        <v>45917.760034722225</v>
      </c>
      <c r="B38" s="36">
        <v>442949294</v>
      </c>
      <c r="C38" s="37" t="s">
        <v>36</v>
      </c>
      <c r="D38" s="37" t="s">
        <v>37</v>
      </c>
      <c r="E38" s="37" t="s">
        <v>38</v>
      </c>
      <c r="F38" s="38">
        <v>3685.87</v>
      </c>
      <c r="G38" s="38">
        <v>3682.85</v>
      </c>
      <c r="H38" s="38">
        <v>3688.85</v>
      </c>
      <c r="I38" s="37" t="s">
        <v>98</v>
      </c>
      <c r="J38" s="38">
        <v>3682.82</v>
      </c>
      <c r="K38" s="38">
        <v>0</v>
      </c>
      <c r="L38" s="38">
        <v>0</v>
      </c>
      <c r="M38" s="39">
        <v>-3.05</v>
      </c>
      <c r="N38" s="10" t="str">
        <f t="shared" si="9"/>
        <v>L</v>
      </c>
      <c r="O38" s="11">
        <f t="shared" si="10"/>
        <v>45917</v>
      </c>
      <c r="P38" s="12" t="str">
        <f t="shared" si="11"/>
        <v>18</v>
      </c>
      <c r="Q38" s="13" t="str">
        <f>VLOOKUP($B38,Deals_Demo!$H:$N,7,0)</f>
        <v>strategy_09_demo</v>
      </c>
      <c r="R38" s="13" t="str">
        <f t="shared" si="12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3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14"/>
        <v>-3</v>
      </c>
    </row>
    <row r="39" spans="1:27" x14ac:dyDescent="0.25">
      <c r="A39" s="40">
        <v>45917.761076388888</v>
      </c>
      <c r="B39" s="41">
        <v>442950199</v>
      </c>
      <c r="C39" s="42" t="s">
        <v>36</v>
      </c>
      <c r="D39" s="42" t="s">
        <v>37</v>
      </c>
      <c r="E39" s="42" t="s">
        <v>38</v>
      </c>
      <c r="F39" s="43">
        <v>3685.57</v>
      </c>
      <c r="G39" s="43">
        <v>3685.32</v>
      </c>
      <c r="H39" s="43">
        <v>3688.57</v>
      </c>
      <c r="I39" s="42" t="s">
        <v>99</v>
      </c>
      <c r="J39" s="43">
        <v>3685.31</v>
      </c>
      <c r="K39" s="43">
        <v>0</v>
      </c>
      <c r="L39" s="43">
        <v>0</v>
      </c>
      <c r="M39" s="44">
        <v>-0.26</v>
      </c>
      <c r="N39" s="10" t="str">
        <f t="shared" si="9"/>
        <v>L</v>
      </c>
      <c r="O39" s="11">
        <f t="shared" si="10"/>
        <v>45917</v>
      </c>
      <c r="P39" s="12" t="str">
        <f t="shared" si="11"/>
        <v>18</v>
      </c>
      <c r="Q39" s="13" t="str">
        <f>VLOOKUP($B39,Deals_Demo!$H:$N,7,0)</f>
        <v>strategy_10_demo</v>
      </c>
      <c r="R39" s="13" t="str">
        <f t="shared" si="12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3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14"/>
        <v>-3</v>
      </c>
    </row>
    <row r="40" spans="1:27" x14ac:dyDescent="0.25">
      <c r="A40" s="35">
        <v>45917.766631944447</v>
      </c>
      <c r="B40" s="36">
        <v>442952638</v>
      </c>
      <c r="C40" s="37" t="s">
        <v>36</v>
      </c>
      <c r="D40" s="37" t="s">
        <v>37</v>
      </c>
      <c r="E40" s="37" t="s">
        <v>38</v>
      </c>
      <c r="F40" s="38">
        <v>3686.21</v>
      </c>
      <c r="G40" s="38">
        <v>3683.21</v>
      </c>
      <c r="H40" s="37"/>
      <c r="I40" s="37" t="s">
        <v>100</v>
      </c>
      <c r="J40" s="38">
        <v>3683.18</v>
      </c>
      <c r="K40" s="38">
        <v>0</v>
      </c>
      <c r="L40" s="38">
        <v>0</v>
      </c>
      <c r="M40" s="39">
        <v>-3.03</v>
      </c>
      <c r="N40" s="10" t="str">
        <f t="shared" si="9"/>
        <v>L</v>
      </c>
      <c r="O40" s="11">
        <f t="shared" si="10"/>
        <v>45917</v>
      </c>
      <c r="P40" s="12" t="str">
        <f t="shared" si="11"/>
        <v>18</v>
      </c>
      <c r="Q40" s="13" t="str">
        <f>VLOOKUP($B40,Deals_Demo!$H:$N,7,0)</f>
        <v>DEMO_strategy_01</v>
      </c>
      <c r="R40" s="13" t="str">
        <f t="shared" si="12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3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14"/>
        <v>-3</v>
      </c>
    </row>
    <row r="41" spans="1:27" x14ac:dyDescent="0.25">
      <c r="A41" s="40">
        <v>45917.766643518517</v>
      </c>
      <c r="B41" s="41">
        <v>442952641</v>
      </c>
      <c r="C41" s="42" t="s">
        <v>36</v>
      </c>
      <c r="D41" s="42" t="s">
        <v>37</v>
      </c>
      <c r="E41" s="42" t="s">
        <v>38</v>
      </c>
      <c r="F41" s="43">
        <v>3686.21</v>
      </c>
      <c r="G41" s="43">
        <v>3683.21</v>
      </c>
      <c r="H41" s="43">
        <v>3692.21</v>
      </c>
      <c r="I41" s="42" t="s">
        <v>100</v>
      </c>
      <c r="J41" s="43">
        <v>3683.18</v>
      </c>
      <c r="K41" s="43">
        <v>0</v>
      </c>
      <c r="L41" s="43">
        <v>0</v>
      </c>
      <c r="M41" s="44">
        <v>-3.03</v>
      </c>
      <c r="N41" s="10" t="str">
        <f t="shared" si="9"/>
        <v>L</v>
      </c>
      <c r="O41" s="11">
        <f t="shared" si="10"/>
        <v>45917</v>
      </c>
      <c r="P41" s="12" t="str">
        <f t="shared" si="11"/>
        <v>18</v>
      </c>
      <c r="Q41" s="13" t="str">
        <f>VLOOKUP($B41,Deals_Demo!$H:$N,7,0)</f>
        <v>DEMO_strategy_02</v>
      </c>
      <c r="R41" s="13" t="str">
        <f t="shared" si="12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3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14"/>
        <v>-3</v>
      </c>
    </row>
    <row r="42" spans="1:27" x14ac:dyDescent="0.25">
      <c r="A42" s="35">
        <v>45917.770798611113</v>
      </c>
      <c r="B42" s="36">
        <v>442954728</v>
      </c>
      <c r="C42" s="37" t="s">
        <v>36</v>
      </c>
      <c r="D42" s="37" t="s">
        <v>37</v>
      </c>
      <c r="E42" s="37" t="s">
        <v>38</v>
      </c>
      <c r="F42" s="38">
        <v>3685.35</v>
      </c>
      <c r="G42" s="38">
        <v>3686.31</v>
      </c>
      <c r="H42" s="38">
        <v>3689.85</v>
      </c>
      <c r="I42" s="37" t="s">
        <v>101</v>
      </c>
      <c r="J42" s="38">
        <v>3686.27</v>
      </c>
      <c r="K42" s="38">
        <v>0</v>
      </c>
      <c r="L42" s="38">
        <v>0</v>
      </c>
      <c r="M42" s="39">
        <v>0.92</v>
      </c>
      <c r="N42" s="10" t="str">
        <f t="shared" si="9"/>
        <v>W</v>
      </c>
      <c r="O42" s="11">
        <f t="shared" si="10"/>
        <v>45917</v>
      </c>
      <c r="P42" s="12" t="str">
        <f t="shared" si="11"/>
        <v>18</v>
      </c>
      <c r="Q42" s="13" t="str">
        <f>VLOOKUP($B42,Deals_Demo!$H:$N,7,0)</f>
        <v>DEMO_strategy_03</v>
      </c>
      <c r="R42" s="13" t="str">
        <f t="shared" si="12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3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14"/>
        <v>-3</v>
      </c>
    </row>
    <row r="43" spans="1:27" x14ac:dyDescent="0.25">
      <c r="A43" s="40">
        <v>45917.784918981481</v>
      </c>
      <c r="B43" s="41">
        <v>442960760</v>
      </c>
      <c r="C43" s="42" t="s">
        <v>36</v>
      </c>
      <c r="D43" s="42" t="s">
        <v>39</v>
      </c>
      <c r="E43" s="42" t="s">
        <v>38</v>
      </c>
      <c r="F43" s="43">
        <v>3684.72</v>
      </c>
      <c r="G43" s="43">
        <v>3684.1</v>
      </c>
      <c r="H43" s="43">
        <v>3681.76</v>
      </c>
      <c r="I43" s="42" t="s">
        <v>102</v>
      </c>
      <c r="J43" s="43">
        <v>3684.11</v>
      </c>
      <c r="K43" s="43">
        <v>0</v>
      </c>
      <c r="L43" s="43">
        <v>0</v>
      </c>
      <c r="M43" s="44">
        <v>0.61</v>
      </c>
      <c r="N43" s="10" t="str">
        <f t="shared" si="9"/>
        <v>W</v>
      </c>
      <c r="O43" s="11">
        <f t="shared" si="10"/>
        <v>45917</v>
      </c>
      <c r="P43" s="12" t="str">
        <f t="shared" si="11"/>
        <v>18</v>
      </c>
      <c r="Q43" s="13" t="str">
        <f>VLOOKUP($B43,Deals_Demo!$H:$N,7,0)</f>
        <v>strategy_10_demo</v>
      </c>
      <c r="R43" s="13" t="str">
        <f t="shared" si="12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3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14"/>
        <v>-3</v>
      </c>
    </row>
    <row r="44" spans="1:27" x14ac:dyDescent="0.25">
      <c r="A44" s="35">
        <v>45917.784918981481</v>
      </c>
      <c r="B44" s="36">
        <v>442960761</v>
      </c>
      <c r="C44" s="37" t="s">
        <v>36</v>
      </c>
      <c r="D44" s="37" t="s">
        <v>39</v>
      </c>
      <c r="E44" s="37" t="s">
        <v>38</v>
      </c>
      <c r="F44" s="38">
        <v>3684.72</v>
      </c>
      <c r="G44" s="38">
        <v>3684.44</v>
      </c>
      <c r="H44" s="38">
        <v>3683.22</v>
      </c>
      <c r="I44" s="37" t="s">
        <v>103</v>
      </c>
      <c r="J44" s="38">
        <v>3683.21</v>
      </c>
      <c r="K44" s="38">
        <v>0</v>
      </c>
      <c r="L44" s="38">
        <v>0</v>
      </c>
      <c r="M44" s="39">
        <v>1.51</v>
      </c>
      <c r="N44" s="10" t="str">
        <f t="shared" si="9"/>
        <v>W</v>
      </c>
      <c r="O44" s="11">
        <f t="shared" si="10"/>
        <v>45917</v>
      </c>
      <c r="P44" s="12" t="str">
        <f t="shared" si="11"/>
        <v>18</v>
      </c>
      <c r="Q44" s="13" t="str">
        <f>VLOOKUP($B44,Deals_Demo!$H:$N,7,0)</f>
        <v>strategy_12_demo</v>
      </c>
      <c r="R44" s="13" t="str">
        <f t="shared" si="12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3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14"/>
        <v>-3</v>
      </c>
    </row>
    <row r="45" spans="1:27" x14ac:dyDescent="0.25">
      <c r="A45" s="40">
        <v>45917.789317129631</v>
      </c>
      <c r="B45" s="41">
        <v>442962317</v>
      </c>
      <c r="C45" s="42" t="s">
        <v>36</v>
      </c>
      <c r="D45" s="42" t="s">
        <v>39</v>
      </c>
      <c r="E45" s="42" t="s">
        <v>38</v>
      </c>
      <c r="F45" s="43">
        <v>3683.65</v>
      </c>
      <c r="G45" s="43">
        <v>3686.74</v>
      </c>
      <c r="H45" s="43">
        <v>3682.24</v>
      </c>
      <c r="I45" s="42" t="s">
        <v>104</v>
      </c>
      <c r="J45" s="43">
        <v>3686.76</v>
      </c>
      <c r="K45" s="43">
        <v>0</v>
      </c>
      <c r="L45" s="43">
        <v>0</v>
      </c>
      <c r="M45" s="44">
        <v>-3.11</v>
      </c>
      <c r="N45" s="10" t="str">
        <f t="shared" si="9"/>
        <v>L</v>
      </c>
      <c r="O45" s="11">
        <f t="shared" si="10"/>
        <v>45917</v>
      </c>
      <c r="P45" s="12" t="str">
        <f t="shared" si="11"/>
        <v>18</v>
      </c>
      <c r="Q45" s="13" t="str">
        <f>VLOOKUP($B45,Deals_Demo!$H:$N,7,0)</f>
        <v>strategy_12_demo</v>
      </c>
      <c r="R45" s="13" t="str">
        <f t="shared" si="12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3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14"/>
        <v>-3</v>
      </c>
    </row>
    <row r="46" spans="1:27" x14ac:dyDescent="0.25">
      <c r="A46" s="35">
        <v>45917.789317129631</v>
      </c>
      <c r="B46" s="36">
        <v>442962318</v>
      </c>
      <c r="C46" s="37" t="s">
        <v>36</v>
      </c>
      <c r="D46" s="37" t="s">
        <v>39</v>
      </c>
      <c r="E46" s="37" t="s">
        <v>38</v>
      </c>
      <c r="F46" s="38">
        <v>3683.65</v>
      </c>
      <c r="G46" s="38">
        <v>3686.65</v>
      </c>
      <c r="H46" s="38">
        <v>3680.65</v>
      </c>
      <c r="I46" s="37" t="s">
        <v>105</v>
      </c>
      <c r="J46" s="38">
        <v>3686.66</v>
      </c>
      <c r="K46" s="38">
        <v>0</v>
      </c>
      <c r="L46" s="38">
        <v>0</v>
      </c>
      <c r="M46" s="39">
        <v>-3.01</v>
      </c>
      <c r="N46" s="10" t="str">
        <f t="shared" si="9"/>
        <v>L</v>
      </c>
      <c r="O46" s="11">
        <f t="shared" si="10"/>
        <v>45917</v>
      </c>
      <c r="P46" s="12" t="str">
        <f t="shared" si="11"/>
        <v>18</v>
      </c>
      <c r="Q46" s="13" t="str">
        <f>VLOOKUP($B46,Deals_Demo!$H:$N,7,0)</f>
        <v>strategy_09_demo</v>
      </c>
      <c r="R46" s="13" t="str">
        <f t="shared" si="12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3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14"/>
        <v>-3</v>
      </c>
    </row>
    <row r="47" spans="1:27" x14ac:dyDescent="0.25">
      <c r="A47" s="40">
        <v>45917.789317129631</v>
      </c>
      <c r="B47" s="41">
        <v>442962319</v>
      </c>
      <c r="C47" s="42" t="s">
        <v>36</v>
      </c>
      <c r="D47" s="42" t="s">
        <v>39</v>
      </c>
      <c r="E47" s="42" t="s">
        <v>38</v>
      </c>
      <c r="F47" s="43">
        <v>3683.71</v>
      </c>
      <c r="G47" s="43">
        <v>3686.65</v>
      </c>
      <c r="H47" s="43">
        <v>3680.15</v>
      </c>
      <c r="I47" s="42" t="s">
        <v>105</v>
      </c>
      <c r="J47" s="43">
        <v>3686.66</v>
      </c>
      <c r="K47" s="43">
        <v>0</v>
      </c>
      <c r="L47" s="43">
        <v>0</v>
      </c>
      <c r="M47" s="44">
        <v>-2.95</v>
      </c>
      <c r="N47" s="10" t="str">
        <f t="shared" si="9"/>
        <v>L</v>
      </c>
      <c r="O47" s="11">
        <f t="shared" si="10"/>
        <v>45917</v>
      </c>
      <c r="P47" s="12" t="str">
        <f t="shared" si="11"/>
        <v>18</v>
      </c>
      <c r="Q47" s="13" t="str">
        <f>VLOOKUP($B47,Deals_Demo!$H:$N,7,0)</f>
        <v>strategy_11_demo</v>
      </c>
      <c r="R47" s="13" t="str">
        <f t="shared" si="12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3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14"/>
        <v>-3</v>
      </c>
    </row>
    <row r="48" spans="1:27" x14ac:dyDescent="0.25">
      <c r="A48" s="35">
        <v>45917.790821759256</v>
      </c>
      <c r="B48" s="36">
        <v>442962640</v>
      </c>
      <c r="C48" s="37" t="s">
        <v>36</v>
      </c>
      <c r="D48" s="37" t="s">
        <v>39</v>
      </c>
      <c r="E48" s="37" t="s">
        <v>38</v>
      </c>
      <c r="F48" s="38">
        <v>3683.9</v>
      </c>
      <c r="G48" s="38">
        <v>3686.4</v>
      </c>
      <c r="H48" s="38">
        <v>3680.9</v>
      </c>
      <c r="I48" s="37" t="s">
        <v>106</v>
      </c>
      <c r="J48" s="38">
        <v>3686.44</v>
      </c>
      <c r="K48" s="38">
        <v>0</v>
      </c>
      <c r="L48" s="38">
        <v>0</v>
      </c>
      <c r="M48" s="39">
        <v>-2.54</v>
      </c>
      <c r="N48" s="10" t="str">
        <f t="shared" si="9"/>
        <v>L</v>
      </c>
      <c r="O48" s="11">
        <f t="shared" si="10"/>
        <v>45917</v>
      </c>
      <c r="P48" s="12" t="str">
        <f t="shared" si="11"/>
        <v>18</v>
      </c>
      <c r="Q48" s="13" t="str">
        <f>VLOOKUP($B48,Deals_Demo!$H:$N,7,0)</f>
        <v>strategy_10_demo</v>
      </c>
      <c r="R48" s="13" t="str">
        <f t="shared" si="12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3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14"/>
        <v>-3</v>
      </c>
    </row>
    <row r="49" spans="1:27" x14ac:dyDescent="0.25">
      <c r="A49" s="40">
        <v>45917.793020833335</v>
      </c>
      <c r="B49" s="41">
        <v>442964017</v>
      </c>
      <c r="C49" s="42" t="s">
        <v>36</v>
      </c>
      <c r="D49" s="42" t="s">
        <v>37</v>
      </c>
      <c r="E49" s="42" t="s">
        <v>38</v>
      </c>
      <c r="F49" s="43">
        <v>3685.66</v>
      </c>
      <c r="G49" s="43">
        <v>3682.66</v>
      </c>
      <c r="H49" s="43">
        <v>3691.66</v>
      </c>
      <c r="I49" s="42" t="s">
        <v>107</v>
      </c>
      <c r="J49" s="43">
        <v>3682.64</v>
      </c>
      <c r="K49" s="43">
        <v>0</v>
      </c>
      <c r="L49" s="43">
        <v>0</v>
      </c>
      <c r="M49" s="44">
        <v>-3.02</v>
      </c>
      <c r="N49" s="10" t="str">
        <f t="shared" si="9"/>
        <v>L</v>
      </c>
      <c r="O49" s="11">
        <f t="shared" si="10"/>
        <v>45917</v>
      </c>
      <c r="P49" s="12" t="str">
        <f t="shared" si="11"/>
        <v>19</v>
      </c>
      <c r="Q49" s="13" t="str">
        <f>VLOOKUP($B49,Deals_Demo!$H:$N,7,0)</f>
        <v>DEMO_strategy_02</v>
      </c>
      <c r="R49" s="13" t="str">
        <f t="shared" si="12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3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14"/>
        <v>-3</v>
      </c>
    </row>
    <row r="50" spans="1:27" x14ac:dyDescent="0.25">
      <c r="A50" s="35">
        <v>45917.793032407404</v>
      </c>
      <c r="B50" s="36">
        <v>442964021</v>
      </c>
      <c r="C50" s="37" t="s">
        <v>36</v>
      </c>
      <c r="D50" s="37" t="s">
        <v>37</v>
      </c>
      <c r="E50" s="37" t="s">
        <v>38</v>
      </c>
      <c r="F50" s="38">
        <v>3685.45</v>
      </c>
      <c r="G50" s="38">
        <v>3682.45</v>
      </c>
      <c r="H50" s="37"/>
      <c r="I50" s="37" t="s">
        <v>108</v>
      </c>
      <c r="J50" s="38">
        <v>3682.36</v>
      </c>
      <c r="K50" s="38">
        <v>0</v>
      </c>
      <c r="L50" s="38">
        <v>0</v>
      </c>
      <c r="M50" s="39">
        <v>-3.09</v>
      </c>
      <c r="N50" s="10" t="str">
        <f t="shared" si="9"/>
        <v>L</v>
      </c>
      <c r="O50" s="11">
        <f t="shared" si="10"/>
        <v>45917</v>
      </c>
      <c r="P50" s="12" t="str">
        <f t="shared" si="11"/>
        <v>19</v>
      </c>
      <c r="Q50" s="13" t="str">
        <f>VLOOKUP($B50,Deals_Demo!$H:$N,7,0)</f>
        <v>DEMO_strategy_01</v>
      </c>
      <c r="R50" s="13" t="str">
        <f t="shared" si="12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3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14"/>
        <v>-3</v>
      </c>
    </row>
    <row r="51" spans="1:27" x14ac:dyDescent="0.25">
      <c r="A51" s="40">
        <v>45917.796377314815</v>
      </c>
      <c r="B51" s="41">
        <v>442965083</v>
      </c>
      <c r="C51" s="42" t="s">
        <v>36</v>
      </c>
      <c r="D51" s="42" t="s">
        <v>37</v>
      </c>
      <c r="E51" s="42" t="s">
        <v>38</v>
      </c>
      <c r="F51" s="43">
        <v>3685.92</v>
      </c>
      <c r="G51" s="43">
        <v>3687.48</v>
      </c>
      <c r="H51" s="43">
        <v>3689.42</v>
      </c>
      <c r="I51" s="42" t="s">
        <v>109</v>
      </c>
      <c r="J51" s="43">
        <v>3687.47</v>
      </c>
      <c r="K51" s="43">
        <v>0</v>
      </c>
      <c r="L51" s="43">
        <v>0</v>
      </c>
      <c r="M51" s="44">
        <v>1.55</v>
      </c>
      <c r="N51" s="10" t="str">
        <f t="shared" si="9"/>
        <v>W</v>
      </c>
      <c r="O51" s="11">
        <f t="shared" si="10"/>
        <v>45917</v>
      </c>
      <c r="P51" s="12" t="str">
        <f t="shared" si="11"/>
        <v>19</v>
      </c>
      <c r="Q51" s="13" t="str">
        <f>VLOOKUP($B51,Deals_Demo!$H:$N,7,0)</f>
        <v>strategy_11_demo</v>
      </c>
      <c r="R51" s="13" t="str">
        <f t="shared" si="12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3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14"/>
        <v>-3</v>
      </c>
    </row>
    <row r="52" spans="1:27" x14ac:dyDescent="0.25">
      <c r="A52" s="35">
        <v>45917.796377314815</v>
      </c>
      <c r="B52" s="36">
        <v>442965084</v>
      </c>
      <c r="C52" s="37" t="s">
        <v>36</v>
      </c>
      <c r="D52" s="37" t="s">
        <v>37</v>
      </c>
      <c r="E52" s="37" t="s">
        <v>38</v>
      </c>
      <c r="F52" s="38">
        <v>3685.92</v>
      </c>
      <c r="G52" s="38">
        <v>3687.48</v>
      </c>
      <c r="H52" s="38">
        <v>3688.92</v>
      </c>
      <c r="I52" s="37" t="s">
        <v>109</v>
      </c>
      <c r="J52" s="38">
        <v>3687.47</v>
      </c>
      <c r="K52" s="38">
        <v>0</v>
      </c>
      <c r="L52" s="38">
        <v>0</v>
      </c>
      <c r="M52" s="39">
        <v>1.55</v>
      </c>
      <c r="N52" s="10" t="str">
        <f t="shared" si="9"/>
        <v>W</v>
      </c>
      <c r="O52" s="11">
        <f t="shared" si="10"/>
        <v>45917</v>
      </c>
      <c r="P52" s="12" t="str">
        <f t="shared" si="11"/>
        <v>19</v>
      </c>
      <c r="Q52" s="13" t="str">
        <f>VLOOKUP($B52,Deals_Demo!$H:$N,7,0)</f>
        <v>strategy_09_demo</v>
      </c>
      <c r="R52" s="13" t="str">
        <f t="shared" si="12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3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14"/>
        <v>-3</v>
      </c>
    </row>
    <row r="53" spans="1:27" x14ac:dyDescent="0.25">
      <c r="A53" s="40">
        <v>45917.796377314815</v>
      </c>
      <c r="B53" s="41">
        <v>442965087</v>
      </c>
      <c r="C53" s="42" t="s">
        <v>36</v>
      </c>
      <c r="D53" s="42" t="s">
        <v>37</v>
      </c>
      <c r="E53" s="42" t="s">
        <v>38</v>
      </c>
      <c r="F53" s="43">
        <v>3685.92</v>
      </c>
      <c r="G53" s="43">
        <v>3686.21</v>
      </c>
      <c r="H53" s="43">
        <v>3687.42</v>
      </c>
      <c r="I53" s="42" t="s">
        <v>110</v>
      </c>
      <c r="J53" s="43">
        <v>3687.44</v>
      </c>
      <c r="K53" s="43">
        <v>0</v>
      </c>
      <c r="L53" s="43">
        <v>0</v>
      </c>
      <c r="M53" s="44">
        <v>1.52</v>
      </c>
      <c r="N53" s="10" t="str">
        <f t="shared" si="9"/>
        <v>W</v>
      </c>
      <c r="O53" s="11">
        <f t="shared" si="10"/>
        <v>45917</v>
      </c>
      <c r="P53" s="12" t="str">
        <f t="shared" si="11"/>
        <v>19</v>
      </c>
      <c r="Q53" s="13" t="str">
        <f>VLOOKUP($B53,Deals_Demo!$H:$N,7,0)</f>
        <v>strategy_12_demo</v>
      </c>
      <c r="R53" s="13" t="str">
        <f t="shared" si="12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3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14"/>
        <v>-3</v>
      </c>
    </row>
    <row r="54" spans="1:27" x14ac:dyDescent="0.25">
      <c r="A54" s="35">
        <v>45917.796388888892</v>
      </c>
      <c r="B54" s="36">
        <v>442965089</v>
      </c>
      <c r="C54" s="37" t="s">
        <v>36</v>
      </c>
      <c r="D54" s="37" t="s">
        <v>37</v>
      </c>
      <c r="E54" s="37" t="s">
        <v>38</v>
      </c>
      <c r="F54" s="38">
        <v>3685.92</v>
      </c>
      <c r="G54" s="38">
        <v>3687.47</v>
      </c>
      <c r="H54" s="38">
        <v>3688.92</v>
      </c>
      <c r="I54" s="37" t="s">
        <v>109</v>
      </c>
      <c r="J54" s="38">
        <v>3687.47</v>
      </c>
      <c r="K54" s="38">
        <v>0</v>
      </c>
      <c r="L54" s="38">
        <v>0</v>
      </c>
      <c r="M54" s="39">
        <v>1.55</v>
      </c>
      <c r="N54" s="10" t="str">
        <f t="shared" si="9"/>
        <v>W</v>
      </c>
      <c r="O54" s="11">
        <f t="shared" si="10"/>
        <v>45917</v>
      </c>
      <c r="P54" s="12" t="str">
        <f t="shared" si="11"/>
        <v>19</v>
      </c>
      <c r="Q54" s="13" t="str">
        <f>VLOOKUP($B54,Deals_Demo!$H:$N,7,0)</f>
        <v>strategy_10_demo</v>
      </c>
      <c r="R54" s="13" t="str">
        <f t="shared" si="12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3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14"/>
        <v>-3</v>
      </c>
    </row>
    <row r="55" spans="1:27" x14ac:dyDescent="0.25">
      <c r="A55" s="40">
        <v>45917.810034722221</v>
      </c>
      <c r="B55" s="41">
        <v>442970672</v>
      </c>
      <c r="C55" s="42" t="s">
        <v>36</v>
      </c>
      <c r="D55" s="42" t="s">
        <v>37</v>
      </c>
      <c r="E55" s="42" t="s">
        <v>38</v>
      </c>
      <c r="F55" s="43">
        <v>3688.02</v>
      </c>
      <c r="G55" s="43">
        <v>3684.94</v>
      </c>
      <c r="H55" s="43">
        <v>3689.44</v>
      </c>
      <c r="I55" s="42" t="s">
        <v>111</v>
      </c>
      <c r="J55" s="43">
        <v>3684.94</v>
      </c>
      <c r="K55" s="43">
        <v>0</v>
      </c>
      <c r="L55" s="43">
        <v>0</v>
      </c>
      <c r="M55" s="44">
        <v>-3.08</v>
      </c>
      <c r="N55" s="10" t="str">
        <f t="shared" si="9"/>
        <v>L</v>
      </c>
      <c r="O55" s="11">
        <f t="shared" si="10"/>
        <v>45917</v>
      </c>
      <c r="P55" s="12" t="str">
        <f t="shared" si="11"/>
        <v>19</v>
      </c>
      <c r="Q55" s="13" t="str">
        <f>VLOOKUP($B55,Deals_Demo!$H:$N,7,0)</f>
        <v>strategy_12_demo</v>
      </c>
      <c r="R55" s="13" t="str">
        <f t="shared" si="12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3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14"/>
        <v>-3</v>
      </c>
    </row>
    <row r="56" spans="1:27" x14ac:dyDescent="0.25">
      <c r="A56" s="35">
        <v>45917.813043981485</v>
      </c>
      <c r="B56" s="36">
        <v>442971545</v>
      </c>
      <c r="C56" s="37" t="s">
        <v>36</v>
      </c>
      <c r="D56" s="37" t="s">
        <v>37</v>
      </c>
      <c r="E56" s="37" t="s">
        <v>38</v>
      </c>
      <c r="F56" s="38">
        <v>3687.74</v>
      </c>
      <c r="G56" s="38">
        <v>3684.77</v>
      </c>
      <c r="H56" s="38">
        <v>3691.27</v>
      </c>
      <c r="I56" s="37" t="s">
        <v>112</v>
      </c>
      <c r="J56" s="38">
        <v>3684.71</v>
      </c>
      <c r="K56" s="38">
        <v>0</v>
      </c>
      <c r="L56" s="38">
        <v>0</v>
      </c>
      <c r="M56" s="39">
        <v>-3.03</v>
      </c>
      <c r="N56" s="10" t="str">
        <f t="shared" si="9"/>
        <v>L</v>
      </c>
      <c r="O56" s="11">
        <f t="shared" si="10"/>
        <v>45917</v>
      </c>
      <c r="P56" s="12" t="str">
        <f t="shared" si="11"/>
        <v>19</v>
      </c>
      <c r="Q56" s="13" t="str">
        <f>VLOOKUP($B56,Deals_Demo!$H:$N,7,0)</f>
        <v>strategy_11_demo</v>
      </c>
      <c r="R56" s="13" t="str">
        <f t="shared" si="12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3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14"/>
        <v>-3</v>
      </c>
    </row>
    <row r="57" spans="1:27" x14ac:dyDescent="0.25">
      <c r="A57" s="40">
        <v>45917.813043981485</v>
      </c>
      <c r="B57" s="41">
        <v>442971547</v>
      </c>
      <c r="C57" s="42" t="s">
        <v>36</v>
      </c>
      <c r="D57" s="42" t="s">
        <v>37</v>
      </c>
      <c r="E57" s="42" t="s">
        <v>38</v>
      </c>
      <c r="F57" s="43">
        <v>3687.74</v>
      </c>
      <c r="G57" s="43">
        <v>3684.74</v>
      </c>
      <c r="H57" s="43">
        <v>3690.74</v>
      </c>
      <c r="I57" s="42" t="s">
        <v>112</v>
      </c>
      <c r="J57" s="43">
        <v>3684.71</v>
      </c>
      <c r="K57" s="43">
        <v>0</v>
      </c>
      <c r="L57" s="43">
        <v>0</v>
      </c>
      <c r="M57" s="44">
        <v>-3.03</v>
      </c>
      <c r="N57" s="10" t="str">
        <f t="shared" si="9"/>
        <v>L</v>
      </c>
      <c r="O57" s="11">
        <f t="shared" si="10"/>
        <v>45917</v>
      </c>
      <c r="P57" s="12" t="str">
        <f t="shared" si="11"/>
        <v>19</v>
      </c>
      <c r="Q57" s="13" t="str">
        <f>VLOOKUP($B57,Deals_Demo!$H:$N,7,0)</f>
        <v>strategy_09_demo</v>
      </c>
      <c r="R57" s="13" t="str">
        <f t="shared" si="12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3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14"/>
        <v>-3</v>
      </c>
    </row>
    <row r="58" spans="1:27" x14ac:dyDescent="0.25">
      <c r="A58" s="35">
        <v>45917.813043981485</v>
      </c>
      <c r="B58" s="36">
        <v>442971548</v>
      </c>
      <c r="C58" s="37" t="s">
        <v>36</v>
      </c>
      <c r="D58" s="37" t="s">
        <v>37</v>
      </c>
      <c r="E58" s="37" t="s">
        <v>38</v>
      </c>
      <c r="F58" s="38">
        <v>3687.72</v>
      </c>
      <c r="G58" s="38">
        <v>3685.24</v>
      </c>
      <c r="H58" s="38">
        <v>3690.74</v>
      </c>
      <c r="I58" s="37" t="s">
        <v>113</v>
      </c>
      <c r="J58" s="38">
        <v>3685.24</v>
      </c>
      <c r="K58" s="38">
        <v>0</v>
      </c>
      <c r="L58" s="38">
        <v>0</v>
      </c>
      <c r="M58" s="39">
        <v>-2.48</v>
      </c>
      <c r="N58" s="10" t="str">
        <f t="shared" si="9"/>
        <v>L</v>
      </c>
      <c r="O58" s="11">
        <f t="shared" si="10"/>
        <v>45917</v>
      </c>
      <c r="P58" s="12" t="str">
        <f t="shared" si="11"/>
        <v>19</v>
      </c>
      <c r="Q58" s="13" t="str">
        <f>VLOOKUP($B58,Deals_Demo!$H:$N,7,0)</f>
        <v>strategy_10_demo</v>
      </c>
      <c r="R58" s="13" t="str">
        <f t="shared" si="12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3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14"/>
        <v>-3</v>
      </c>
    </row>
    <row r="59" spans="1:27" x14ac:dyDescent="0.25">
      <c r="A59" s="40">
        <v>45917.823576388888</v>
      </c>
      <c r="B59" s="41">
        <v>442974926</v>
      </c>
      <c r="C59" s="42" t="s">
        <v>36</v>
      </c>
      <c r="D59" s="42" t="s">
        <v>37</v>
      </c>
      <c r="E59" s="42" t="s">
        <v>38</v>
      </c>
      <c r="F59" s="43">
        <v>3687.21</v>
      </c>
      <c r="G59" s="43">
        <v>3684.21</v>
      </c>
      <c r="H59" s="43">
        <v>3691.71</v>
      </c>
      <c r="I59" s="42" t="s">
        <v>114</v>
      </c>
      <c r="J59" s="43">
        <v>3684.16</v>
      </c>
      <c r="K59" s="43">
        <v>0</v>
      </c>
      <c r="L59" s="43">
        <v>0</v>
      </c>
      <c r="M59" s="44">
        <v>-3.05</v>
      </c>
      <c r="N59" s="10" t="str">
        <f t="shared" si="9"/>
        <v>L</v>
      </c>
      <c r="O59" s="11">
        <f t="shared" si="10"/>
        <v>45917</v>
      </c>
      <c r="P59" s="12" t="str">
        <f t="shared" si="11"/>
        <v>19</v>
      </c>
      <c r="Q59" s="13" t="str">
        <f>VLOOKUP($B59,Deals_Demo!$H:$N,7,0)</f>
        <v>DEMO_strategy_03</v>
      </c>
      <c r="R59" s="13" t="str">
        <f t="shared" si="12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3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14"/>
        <v>-3</v>
      </c>
    </row>
    <row r="60" spans="1:27" x14ac:dyDescent="0.25">
      <c r="A60" s="35">
        <v>45917.832256944443</v>
      </c>
      <c r="B60" s="36">
        <v>442977818</v>
      </c>
      <c r="C60" s="37" t="s">
        <v>36</v>
      </c>
      <c r="D60" s="37" t="s">
        <v>39</v>
      </c>
      <c r="E60" s="37" t="s">
        <v>38</v>
      </c>
      <c r="F60" s="38">
        <v>3684.65</v>
      </c>
      <c r="G60" s="38">
        <v>3683.62</v>
      </c>
      <c r="H60" s="38">
        <v>3681.62</v>
      </c>
      <c r="I60" s="37" t="s">
        <v>115</v>
      </c>
      <c r="J60" s="38">
        <v>3683.62</v>
      </c>
      <c r="K60" s="38">
        <v>0</v>
      </c>
      <c r="L60" s="38">
        <v>0</v>
      </c>
      <c r="M60" s="39">
        <v>1.03</v>
      </c>
      <c r="N60" s="10" t="str">
        <f t="shared" si="9"/>
        <v>W</v>
      </c>
      <c r="O60" s="11">
        <f t="shared" si="10"/>
        <v>45917</v>
      </c>
      <c r="P60" s="12" t="str">
        <f t="shared" si="11"/>
        <v>19</v>
      </c>
      <c r="Q60" s="13" t="str">
        <f>VLOOKUP($B60,Deals_Demo!$H:$N,7,0)</f>
        <v>strategy_09_demo</v>
      </c>
      <c r="R60" s="13" t="str">
        <f t="shared" si="12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3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14"/>
        <v>-3</v>
      </c>
    </row>
    <row r="61" spans="1:27" x14ac:dyDescent="0.25">
      <c r="A61" s="40">
        <v>45917.832256944443</v>
      </c>
      <c r="B61" s="41">
        <v>442977821</v>
      </c>
      <c r="C61" s="42" t="s">
        <v>36</v>
      </c>
      <c r="D61" s="42" t="s">
        <v>39</v>
      </c>
      <c r="E61" s="42" t="s">
        <v>38</v>
      </c>
      <c r="F61" s="43">
        <v>3684.65</v>
      </c>
      <c r="G61" s="43">
        <v>3683.62</v>
      </c>
      <c r="H61" s="43">
        <v>3681.15</v>
      </c>
      <c r="I61" s="42" t="s">
        <v>115</v>
      </c>
      <c r="J61" s="43">
        <v>3683.62</v>
      </c>
      <c r="K61" s="43">
        <v>0</v>
      </c>
      <c r="L61" s="43">
        <v>0</v>
      </c>
      <c r="M61" s="44">
        <v>1.03</v>
      </c>
      <c r="N61" s="10" t="str">
        <f t="shared" si="9"/>
        <v>W</v>
      </c>
      <c r="O61" s="11">
        <f t="shared" si="10"/>
        <v>45917</v>
      </c>
      <c r="P61" s="12" t="str">
        <f t="shared" si="11"/>
        <v>19</v>
      </c>
      <c r="Q61" s="13" t="str">
        <f>VLOOKUP($B61,Deals_Demo!$H:$N,7,0)</f>
        <v>strategy_11_demo</v>
      </c>
      <c r="R61" s="13" t="str">
        <f t="shared" si="12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3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14"/>
        <v>-3</v>
      </c>
    </row>
    <row r="62" spans="1:27" x14ac:dyDescent="0.25">
      <c r="A62" s="35">
        <v>45917.832256944443</v>
      </c>
      <c r="B62" s="36">
        <v>442977822</v>
      </c>
      <c r="C62" s="37" t="s">
        <v>36</v>
      </c>
      <c r="D62" s="37" t="s">
        <v>39</v>
      </c>
      <c r="E62" s="37" t="s">
        <v>38</v>
      </c>
      <c r="F62" s="38">
        <v>3684.65</v>
      </c>
      <c r="G62" s="38">
        <v>3683.62</v>
      </c>
      <c r="H62" s="38">
        <v>3681.65</v>
      </c>
      <c r="I62" s="37" t="s">
        <v>115</v>
      </c>
      <c r="J62" s="38">
        <v>3683.62</v>
      </c>
      <c r="K62" s="38">
        <v>0</v>
      </c>
      <c r="L62" s="38">
        <v>0</v>
      </c>
      <c r="M62" s="39">
        <v>1.03</v>
      </c>
      <c r="N62" s="10" t="str">
        <f t="shared" si="9"/>
        <v>W</v>
      </c>
      <c r="O62" s="11">
        <f t="shared" si="10"/>
        <v>45917</v>
      </c>
      <c r="P62" s="12" t="str">
        <f t="shared" si="11"/>
        <v>19</v>
      </c>
      <c r="Q62" s="13" t="str">
        <f>VLOOKUP($B62,Deals_Demo!$H:$N,7,0)</f>
        <v>strategy_10_demo</v>
      </c>
      <c r="R62" s="13" t="str">
        <f t="shared" si="12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3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14"/>
        <v>-3</v>
      </c>
    </row>
    <row r="63" spans="1:27" x14ac:dyDescent="0.25">
      <c r="A63" s="40">
        <v>45917.832268518519</v>
      </c>
      <c r="B63" s="41">
        <v>442977823</v>
      </c>
      <c r="C63" s="42" t="s">
        <v>36</v>
      </c>
      <c r="D63" s="42" t="s">
        <v>39</v>
      </c>
      <c r="E63" s="42" t="s">
        <v>38</v>
      </c>
      <c r="F63" s="43">
        <v>3684.66</v>
      </c>
      <c r="G63" s="43">
        <v>3687.65</v>
      </c>
      <c r="H63" s="43">
        <v>3683.15</v>
      </c>
      <c r="I63" s="42" t="s">
        <v>116</v>
      </c>
      <c r="J63" s="43">
        <v>3683.1</v>
      </c>
      <c r="K63" s="43">
        <v>0</v>
      </c>
      <c r="L63" s="43">
        <v>0</v>
      </c>
      <c r="M63" s="44">
        <v>1.56</v>
      </c>
      <c r="N63" s="10" t="str">
        <f t="shared" si="9"/>
        <v>W</v>
      </c>
      <c r="O63" s="11">
        <f t="shared" si="10"/>
        <v>45917</v>
      </c>
      <c r="P63" s="12" t="str">
        <f t="shared" si="11"/>
        <v>19</v>
      </c>
      <c r="Q63" s="13" t="str">
        <f>VLOOKUP($B63,Deals_Demo!$H:$N,7,0)</f>
        <v>strategy_12_demo</v>
      </c>
      <c r="R63" s="13" t="str">
        <f t="shared" si="12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3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14"/>
        <v>-3</v>
      </c>
    </row>
    <row r="64" spans="1:27" x14ac:dyDescent="0.25">
      <c r="A64" s="35">
        <v>45917.837581018517</v>
      </c>
      <c r="B64" s="36">
        <v>442980771</v>
      </c>
      <c r="C64" s="37" t="s">
        <v>36</v>
      </c>
      <c r="D64" s="37" t="s">
        <v>39</v>
      </c>
      <c r="E64" s="37" t="s">
        <v>38</v>
      </c>
      <c r="F64" s="38">
        <v>3683.15</v>
      </c>
      <c r="G64" s="38">
        <v>3686.15</v>
      </c>
      <c r="H64" s="38">
        <v>3681.65</v>
      </c>
      <c r="I64" s="37" t="s">
        <v>117</v>
      </c>
      <c r="J64" s="38">
        <v>3681.65</v>
      </c>
      <c r="K64" s="38">
        <v>0</v>
      </c>
      <c r="L64" s="38">
        <v>0</v>
      </c>
      <c r="M64" s="39">
        <v>1.5</v>
      </c>
      <c r="N64" s="10" t="str">
        <f t="shared" si="9"/>
        <v>W</v>
      </c>
      <c r="O64" s="11">
        <f t="shared" si="10"/>
        <v>45917</v>
      </c>
      <c r="P64" s="12" t="str">
        <f t="shared" si="11"/>
        <v>20</v>
      </c>
      <c r="Q64" s="13" t="str">
        <f>VLOOKUP($B64,Deals_Demo!$H:$N,7,0)</f>
        <v>strategy_12_demo</v>
      </c>
      <c r="R64" s="13" t="str">
        <f t="shared" si="12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3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14"/>
        <v>-3</v>
      </c>
    </row>
    <row r="65" spans="1:27" x14ac:dyDescent="0.25">
      <c r="A65" s="40">
        <v>45917.83792824074</v>
      </c>
      <c r="B65" s="41">
        <v>442981056</v>
      </c>
      <c r="C65" s="42" t="s">
        <v>36</v>
      </c>
      <c r="D65" s="42" t="s">
        <v>39</v>
      </c>
      <c r="E65" s="42" t="s">
        <v>38</v>
      </c>
      <c r="F65" s="43">
        <v>3683.38</v>
      </c>
      <c r="G65" s="43">
        <v>3682.47</v>
      </c>
      <c r="H65" s="43">
        <v>3680.46</v>
      </c>
      <c r="I65" s="42" t="s">
        <v>118</v>
      </c>
      <c r="J65" s="43">
        <v>3680.4</v>
      </c>
      <c r="K65" s="43">
        <v>0</v>
      </c>
      <c r="L65" s="43">
        <v>0</v>
      </c>
      <c r="M65" s="44">
        <v>2.98</v>
      </c>
      <c r="N65" s="10" t="str">
        <f t="shared" si="9"/>
        <v>W</v>
      </c>
      <c r="O65" s="11">
        <f t="shared" si="10"/>
        <v>45917</v>
      </c>
      <c r="P65" s="12" t="str">
        <f t="shared" si="11"/>
        <v>20</v>
      </c>
      <c r="Q65" s="13" t="str">
        <f>VLOOKUP($B65,Deals_Demo!$H:$N,7,0)</f>
        <v>strategy_09_demo</v>
      </c>
      <c r="R65" s="13" t="str">
        <f t="shared" si="12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3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14"/>
        <v>2.98</v>
      </c>
    </row>
    <row r="66" spans="1:27" x14ac:dyDescent="0.25">
      <c r="A66" s="35">
        <v>45917.83792824074</v>
      </c>
      <c r="B66" s="36">
        <v>442981059</v>
      </c>
      <c r="C66" s="37" t="s">
        <v>36</v>
      </c>
      <c r="D66" s="37" t="s">
        <v>39</v>
      </c>
      <c r="E66" s="37" t="s">
        <v>38</v>
      </c>
      <c r="F66" s="38">
        <v>3683.38</v>
      </c>
      <c r="G66" s="38">
        <v>3682.47</v>
      </c>
      <c r="H66" s="38">
        <v>3679.88</v>
      </c>
      <c r="I66" s="37" t="s">
        <v>119</v>
      </c>
      <c r="J66" s="38">
        <v>3679.81</v>
      </c>
      <c r="K66" s="38">
        <v>0</v>
      </c>
      <c r="L66" s="38">
        <v>0</v>
      </c>
      <c r="M66" s="39">
        <v>3.57</v>
      </c>
      <c r="N66" s="10" t="str">
        <f t="shared" si="9"/>
        <v>W</v>
      </c>
      <c r="O66" s="11">
        <f t="shared" si="10"/>
        <v>45917</v>
      </c>
      <c r="P66" s="12" t="str">
        <f t="shared" si="11"/>
        <v>20</v>
      </c>
      <c r="Q66" s="13" t="str">
        <f>VLOOKUP($B66,Deals_Demo!$H:$N,7,0)</f>
        <v>strategy_11_demo</v>
      </c>
      <c r="R66" s="13" t="str">
        <f t="shared" si="12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3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14"/>
        <v>3.57</v>
      </c>
    </row>
    <row r="67" spans="1:27" x14ac:dyDescent="0.25">
      <c r="A67" s="40">
        <v>45917.83792824074</v>
      </c>
      <c r="B67" s="41">
        <v>442981061</v>
      </c>
      <c r="C67" s="42" t="s">
        <v>36</v>
      </c>
      <c r="D67" s="42" t="s">
        <v>39</v>
      </c>
      <c r="E67" s="42" t="s">
        <v>38</v>
      </c>
      <c r="F67" s="43">
        <v>3683.38</v>
      </c>
      <c r="G67" s="43">
        <v>3682.47</v>
      </c>
      <c r="H67" s="43">
        <v>3680.38</v>
      </c>
      <c r="I67" s="42" t="s">
        <v>120</v>
      </c>
      <c r="J67" s="43">
        <v>3680.38</v>
      </c>
      <c r="K67" s="43">
        <v>0</v>
      </c>
      <c r="L67" s="43">
        <v>0</v>
      </c>
      <c r="M67" s="44">
        <v>3</v>
      </c>
      <c r="N67" s="10" t="str">
        <f t="shared" si="9"/>
        <v>W</v>
      </c>
      <c r="O67" s="11">
        <f t="shared" si="10"/>
        <v>45917</v>
      </c>
      <c r="P67" s="12" t="str">
        <f t="shared" si="11"/>
        <v>20</v>
      </c>
      <c r="Q67" s="13" t="str">
        <f>VLOOKUP($B67,Deals_Demo!$H:$N,7,0)</f>
        <v>strategy_10_demo</v>
      </c>
      <c r="R67" s="13" t="str">
        <f t="shared" si="12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3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15">$M67*0.1</f>
        <v>0.30000000000000004</v>
      </c>
      <c r="Y67" s="13">
        <f t="shared" ref="Y67:Y130" si="16">$M67*0.2</f>
        <v>0.60000000000000009</v>
      </c>
      <c r="Z67" s="13">
        <f t="shared" ref="Z67:Z130" si="17">$M67*0.3</f>
        <v>0.89999999999999991</v>
      </c>
      <c r="AA67" s="13">
        <f t="shared" si="14"/>
        <v>3</v>
      </c>
    </row>
    <row r="68" spans="1:27" x14ac:dyDescent="0.25">
      <c r="A68" s="35">
        <v>45917.849733796298</v>
      </c>
      <c r="B68" s="36">
        <v>442987088</v>
      </c>
      <c r="C68" s="37" t="s">
        <v>36</v>
      </c>
      <c r="D68" s="37" t="s">
        <v>39</v>
      </c>
      <c r="E68" s="37" t="s">
        <v>38</v>
      </c>
      <c r="F68" s="38">
        <v>3681.02</v>
      </c>
      <c r="G68" s="38">
        <v>3684.02</v>
      </c>
      <c r="H68" s="38">
        <v>3677.52</v>
      </c>
      <c r="I68" s="37" t="s">
        <v>178</v>
      </c>
      <c r="J68" s="38">
        <v>3684.13</v>
      </c>
      <c r="K68" s="38">
        <v>0</v>
      </c>
      <c r="L68" s="38">
        <v>0</v>
      </c>
      <c r="M68" s="39">
        <v>-3.11</v>
      </c>
      <c r="N68" s="10" t="str">
        <f t="shared" si="9"/>
        <v>L</v>
      </c>
      <c r="O68" s="11">
        <f t="shared" si="10"/>
        <v>45917</v>
      </c>
      <c r="P68" s="12" t="str">
        <f t="shared" si="11"/>
        <v>20</v>
      </c>
      <c r="Q68" s="13" t="str">
        <f>VLOOKUP($B68,Deals_Demo!$H:$N,7,0)</f>
        <v>strategy_11_demo</v>
      </c>
      <c r="R68" s="13" t="str">
        <f t="shared" si="12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3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15"/>
        <v>-0.311</v>
      </c>
      <c r="Y68" s="13">
        <f t="shared" si="16"/>
        <v>-0.622</v>
      </c>
      <c r="Z68" s="13">
        <f t="shared" si="17"/>
        <v>-0.93299999999999994</v>
      </c>
      <c r="AA68" s="13">
        <f t="shared" si="14"/>
        <v>-3</v>
      </c>
    </row>
    <row r="69" spans="1:27" x14ac:dyDescent="0.25">
      <c r="A69" s="40">
        <v>45917.849733796298</v>
      </c>
      <c r="B69" s="41">
        <v>442987091</v>
      </c>
      <c r="C69" s="42" t="s">
        <v>36</v>
      </c>
      <c r="D69" s="42" t="s">
        <v>39</v>
      </c>
      <c r="E69" s="42" t="s">
        <v>38</v>
      </c>
      <c r="F69" s="43">
        <v>3681.02</v>
      </c>
      <c r="G69" s="43">
        <v>3684.02</v>
      </c>
      <c r="H69" s="43">
        <v>3679.52</v>
      </c>
      <c r="I69" s="42" t="s">
        <v>178</v>
      </c>
      <c r="J69" s="43">
        <v>3684.13</v>
      </c>
      <c r="K69" s="43">
        <v>0</v>
      </c>
      <c r="L69" s="43">
        <v>0</v>
      </c>
      <c r="M69" s="44">
        <v>-3.11</v>
      </c>
      <c r="N69" s="10" t="str">
        <f t="shared" ref="N69:N132" si="18">IF(M69&gt;0,"W",IF(M69&lt;0,"L","BE"))</f>
        <v>L</v>
      </c>
      <c r="O69" s="11">
        <f t="shared" ref="O69:O132" si="19">INT(LEFT(A69,10))</f>
        <v>45917</v>
      </c>
      <c r="P69" s="12" t="str">
        <f t="shared" ref="P69:P132" si="20">TEXT(A69,"hh")</f>
        <v>20</v>
      </c>
      <c r="Q69" s="13" t="str">
        <f>VLOOKUP($B69,Deals_Demo!$H:$N,7,0)</f>
        <v>strategy_12_demo</v>
      </c>
      <c r="R69" s="13" t="str">
        <f t="shared" ref="R69:R132" si="21">TEXT(O69,"ddd")</f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ref="U69:U132" si="22">TEXT(T69,"yyyy-mm-dd")</f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15"/>
        <v>-0.311</v>
      </c>
      <c r="Y69" s="13">
        <f t="shared" si="16"/>
        <v>-0.622</v>
      </c>
      <c r="Z69" s="13">
        <f t="shared" si="17"/>
        <v>-0.93299999999999994</v>
      </c>
      <c r="AA69" s="13">
        <f t="shared" ref="AA69:AA132" si="23">IF(M69&lt;2.9,-3,M69)</f>
        <v>-3</v>
      </c>
    </row>
    <row r="70" spans="1:27" x14ac:dyDescent="0.25">
      <c r="A70" s="35">
        <v>45917.849733796298</v>
      </c>
      <c r="B70" s="36">
        <v>442987094</v>
      </c>
      <c r="C70" s="37" t="s">
        <v>36</v>
      </c>
      <c r="D70" s="37" t="s">
        <v>39</v>
      </c>
      <c r="E70" s="37" t="s">
        <v>38</v>
      </c>
      <c r="F70" s="38">
        <v>3681.05</v>
      </c>
      <c r="G70" s="38">
        <v>3684.02</v>
      </c>
      <c r="H70" s="38">
        <v>3678.02</v>
      </c>
      <c r="I70" s="37" t="s">
        <v>178</v>
      </c>
      <c r="J70" s="38">
        <v>3684.13</v>
      </c>
      <c r="K70" s="38">
        <v>0</v>
      </c>
      <c r="L70" s="38">
        <v>0</v>
      </c>
      <c r="M70" s="39">
        <v>-3.08</v>
      </c>
      <c r="N70" s="10" t="str">
        <f t="shared" si="18"/>
        <v>L</v>
      </c>
      <c r="O70" s="11">
        <f t="shared" si="19"/>
        <v>45917</v>
      </c>
      <c r="P70" s="12" t="str">
        <f t="shared" si="20"/>
        <v>20</v>
      </c>
      <c r="Q70" s="13" t="str">
        <f>VLOOKUP($B70,Deals_Demo!$H:$N,7,0)</f>
        <v>strategy_09_demo</v>
      </c>
      <c r="R70" s="13" t="str">
        <f t="shared" si="21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22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15"/>
        <v>-0.30800000000000005</v>
      </c>
      <c r="Y70" s="13">
        <f t="shared" si="16"/>
        <v>-0.6160000000000001</v>
      </c>
      <c r="Z70" s="13">
        <f t="shared" si="17"/>
        <v>-0.92399999999999993</v>
      </c>
      <c r="AA70" s="13">
        <f t="shared" si="23"/>
        <v>-3</v>
      </c>
    </row>
    <row r="71" spans="1:27" x14ac:dyDescent="0.25">
      <c r="A71" s="40">
        <v>45917.849733796298</v>
      </c>
      <c r="B71" s="41">
        <v>442987096</v>
      </c>
      <c r="C71" s="42" t="s">
        <v>36</v>
      </c>
      <c r="D71" s="42" t="s">
        <v>39</v>
      </c>
      <c r="E71" s="42" t="s">
        <v>38</v>
      </c>
      <c r="F71" s="43">
        <v>3681.05</v>
      </c>
      <c r="G71" s="43">
        <v>3683.52</v>
      </c>
      <c r="H71" s="43">
        <v>3678.02</v>
      </c>
      <c r="I71" s="42" t="s">
        <v>179</v>
      </c>
      <c r="J71" s="43">
        <v>3683.53</v>
      </c>
      <c r="K71" s="43">
        <v>0</v>
      </c>
      <c r="L71" s="43">
        <v>0</v>
      </c>
      <c r="M71" s="44">
        <v>-2.48</v>
      </c>
      <c r="N71" s="10" t="str">
        <f t="shared" si="18"/>
        <v>L</v>
      </c>
      <c r="O71" s="11">
        <f t="shared" si="19"/>
        <v>45917</v>
      </c>
      <c r="P71" s="12" t="str">
        <f t="shared" si="20"/>
        <v>20</v>
      </c>
      <c r="Q71" s="13" t="str">
        <f>VLOOKUP($B71,Deals_Demo!$H:$N,7,0)</f>
        <v>strategy_10_demo</v>
      </c>
      <c r="R71" s="13" t="str">
        <f t="shared" si="21"/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si="22"/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15"/>
        <v>-0.248</v>
      </c>
      <c r="Y71" s="13">
        <f t="shared" si="16"/>
        <v>-0.496</v>
      </c>
      <c r="Z71" s="13">
        <f t="shared" si="17"/>
        <v>-0.74399999999999999</v>
      </c>
      <c r="AA71" s="13">
        <f t="shared" si="23"/>
        <v>-3</v>
      </c>
    </row>
    <row r="72" spans="1:27" x14ac:dyDescent="0.25">
      <c r="A72" s="35">
        <v>45917.852743055555</v>
      </c>
      <c r="B72" s="36">
        <v>442989123</v>
      </c>
      <c r="C72" s="37" t="s">
        <v>36</v>
      </c>
      <c r="D72" s="37" t="s">
        <v>39</v>
      </c>
      <c r="E72" s="37" t="s">
        <v>38</v>
      </c>
      <c r="F72" s="38">
        <v>3682.24</v>
      </c>
      <c r="G72" s="38">
        <v>3685.2</v>
      </c>
      <c r="H72" s="38">
        <v>3677.7</v>
      </c>
      <c r="I72" s="37" t="s">
        <v>180</v>
      </c>
      <c r="J72" s="38">
        <v>3685.25</v>
      </c>
      <c r="K72" s="38">
        <v>0</v>
      </c>
      <c r="L72" s="38">
        <v>0</v>
      </c>
      <c r="M72" s="39">
        <v>-3.01</v>
      </c>
      <c r="N72" s="10" t="str">
        <f t="shared" si="18"/>
        <v>L</v>
      </c>
      <c r="O72" s="11">
        <f t="shared" si="19"/>
        <v>45917</v>
      </c>
      <c r="P72" s="12" t="str">
        <f t="shared" si="20"/>
        <v>20</v>
      </c>
      <c r="Q72" s="13" t="str">
        <f>VLOOKUP($B72,Deals_Demo!$H:$N,7,0)</f>
        <v>DEMO_strategy_03</v>
      </c>
      <c r="R72" s="13" t="str">
        <f t="shared" si="21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2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15"/>
        <v>-0.30099999999999999</v>
      </c>
      <c r="Y72" s="13">
        <f t="shared" si="16"/>
        <v>-0.60199999999999998</v>
      </c>
      <c r="Z72" s="13">
        <f t="shared" si="17"/>
        <v>-0.90299999999999991</v>
      </c>
      <c r="AA72" s="13">
        <f t="shared" si="23"/>
        <v>-3</v>
      </c>
    </row>
    <row r="73" spans="1:27" x14ac:dyDescent="0.25">
      <c r="A73" s="40">
        <v>45917.855520833335</v>
      </c>
      <c r="B73" s="41">
        <v>442991015</v>
      </c>
      <c r="C73" s="42" t="s">
        <v>36</v>
      </c>
      <c r="D73" s="42" t="s">
        <v>37</v>
      </c>
      <c r="E73" s="42" t="s">
        <v>38</v>
      </c>
      <c r="F73" s="43">
        <v>3683.95</v>
      </c>
      <c r="G73" s="43">
        <v>3688.13</v>
      </c>
      <c r="H73" s="42"/>
      <c r="I73" s="42" t="s">
        <v>181</v>
      </c>
      <c r="J73" s="43">
        <v>3688.12</v>
      </c>
      <c r="K73" s="43">
        <v>0</v>
      </c>
      <c r="L73" s="43">
        <v>0</v>
      </c>
      <c r="M73" s="44">
        <v>4.17</v>
      </c>
      <c r="N73" s="10" t="str">
        <f t="shared" si="18"/>
        <v>W</v>
      </c>
      <c r="O73" s="11">
        <f t="shared" si="19"/>
        <v>45917</v>
      </c>
      <c r="P73" s="12" t="str">
        <f t="shared" si="20"/>
        <v>20</v>
      </c>
      <c r="Q73" s="13" t="str">
        <f>VLOOKUP($B73,Deals_Demo!$H:$N,7,0)</f>
        <v>DEMO_strategy_01</v>
      </c>
      <c r="R73" s="13" t="str">
        <f t="shared" si="21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2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15"/>
        <v>0.41700000000000004</v>
      </c>
      <c r="Y73" s="13">
        <f t="shared" si="16"/>
        <v>0.83400000000000007</v>
      </c>
      <c r="Z73" s="13">
        <f t="shared" si="17"/>
        <v>1.2509999999999999</v>
      </c>
      <c r="AA73" s="13">
        <f t="shared" si="23"/>
        <v>4.17</v>
      </c>
    </row>
    <row r="74" spans="1:27" x14ac:dyDescent="0.25">
      <c r="A74" s="35">
        <v>45917.855532407404</v>
      </c>
      <c r="B74" s="36">
        <v>442991017</v>
      </c>
      <c r="C74" s="37" t="s">
        <v>36</v>
      </c>
      <c r="D74" s="37" t="s">
        <v>37</v>
      </c>
      <c r="E74" s="37" t="s">
        <v>38</v>
      </c>
      <c r="F74" s="38">
        <v>3683.95</v>
      </c>
      <c r="G74" s="38">
        <v>3685.9</v>
      </c>
      <c r="H74" s="38">
        <v>3689.95</v>
      </c>
      <c r="I74" s="37" t="s">
        <v>182</v>
      </c>
      <c r="J74" s="38">
        <v>3692.93</v>
      </c>
      <c r="K74" s="38">
        <v>0</v>
      </c>
      <c r="L74" s="38">
        <v>0</v>
      </c>
      <c r="M74" s="39">
        <v>8.98</v>
      </c>
      <c r="N74" s="10" t="str">
        <f t="shared" si="18"/>
        <v>W</v>
      </c>
      <c r="O74" s="11">
        <f t="shared" si="19"/>
        <v>45917</v>
      </c>
      <c r="P74" s="12" t="str">
        <f t="shared" si="20"/>
        <v>20</v>
      </c>
      <c r="Q74" s="13" t="str">
        <f>VLOOKUP($B74,Deals_Demo!$H:$N,7,0)</f>
        <v>DEMO_strategy_02</v>
      </c>
      <c r="R74" s="13" t="str">
        <f t="shared" si="21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2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15"/>
        <v>0.89800000000000013</v>
      </c>
      <c r="Y74" s="13">
        <f t="shared" si="16"/>
        <v>1.7960000000000003</v>
      </c>
      <c r="Z74" s="13">
        <f t="shared" si="17"/>
        <v>2.694</v>
      </c>
      <c r="AA74" s="13">
        <f t="shared" si="23"/>
        <v>8.98</v>
      </c>
    </row>
    <row r="75" spans="1:27" x14ac:dyDescent="0.25">
      <c r="A75" s="40">
        <v>45917.860381944447</v>
      </c>
      <c r="B75" s="41">
        <v>442993026</v>
      </c>
      <c r="C75" s="42" t="s">
        <v>36</v>
      </c>
      <c r="D75" s="42" t="s">
        <v>37</v>
      </c>
      <c r="E75" s="42" t="s">
        <v>38</v>
      </c>
      <c r="F75" s="43">
        <v>3684.53</v>
      </c>
      <c r="G75" s="43">
        <v>3684.51</v>
      </c>
      <c r="H75" s="43">
        <v>3686</v>
      </c>
      <c r="I75" s="42" t="s">
        <v>183</v>
      </c>
      <c r="J75" s="43">
        <v>3686</v>
      </c>
      <c r="K75" s="43">
        <v>0</v>
      </c>
      <c r="L75" s="43">
        <v>0</v>
      </c>
      <c r="M75" s="44">
        <v>1.47</v>
      </c>
      <c r="N75" s="10" t="str">
        <f t="shared" si="18"/>
        <v>W</v>
      </c>
      <c r="O75" s="11">
        <f t="shared" si="19"/>
        <v>45917</v>
      </c>
      <c r="P75" s="12" t="str">
        <f t="shared" si="20"/>
        <v>20</v>
      </c>
      <c r="Q75" s="13" t="str">
        <f>VLOOKUP($B75,Deals_Demo!$H:$N,7,0)</f>
        <v>strategy_12_demo</v>
      </c>
      <c r="R75" s="13" t="str">
        <f t="shared" si="21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2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15"/>
        <v>0.14699999999999999</v>
      </c>
      <c r="Y75" s="13">
        <f t="shared" si="16"/>
        <v>0.29399999999999998</v>
      </c>
      <c r="Z75" s="13">
        <f t="shared" si="17"/>
        <v>0.441</v>
      </c>
      <c r="AA75" s="13">
        <f t="shared" si="23"/>
        <v>-3</v>
      </c>
    </row>
    <row r="76" spans="1:27" x14ac:dyDescent="0.25">
      <c r="A76" s="35">
        <v>45917.860381944447</v>
      </c>
      <c r="B76" s="36">
        <v>442993027</v>
      </c>
      <c r="C76" s="37" t="s">
        <v>36</v>
      </c>
      <c r="D76" s="37" t="s">
        <v>37</v>
      </c>
      <c r="E76" s="37" t="s">
        <v>38</v>
      </c>
      <c r="F76" s="38">
        <v>3684.53</v>
      </c>
      <c r="G76" s="38">
        <v>3686.44</v>
      </c>
      <c r="H76" s="38">
        <v>3688.03</v>
      </c>
      <c r="I76" s="37" t="s">
        <v>184</v>
      </c>
      <c r="J76" s="38">
        <v>3686.44</v>
      </c>
      <c r="K76" s="38">
        <v>0</v>
      </c>
      <c r="L76" s="38">
        <v>0</v>
      </c>
      <c r="M76" s="39">
        <v>1.91</v>
      </c>
      <c r="N76" s="10" t="str">
        <f t="shared" si="18"/>
        <v>W</v>
      </c>
      <c r="O76" s="11">
        <f t="shared" si="19"/>
        <v>45917</v>
      </c>
      <c r="P76" s="12" t="str">
        <f t="shared" si="20"/>
        <v>20</v>
      </c>
      <c r="Q76" s="13" t="str">
        <f>VLOOKUP($B76,Deals_Demo!$H:$N,7,0)</f>
        <v>strategy_11_demo</v>
      </c>
      <c r="R76" s="13" t="str">
        <f t="shared" si="21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2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15"/>
        <v>0.191</v>
      </c>
      <c r="Y76" s="13">
        <f t="shared" si="16"/>
        <v>0.38200000000000001</v>
      </c>
      <c r="Z76" s="13">
        <f t="shared" si="17"/>
        <v>0.57299999999999995</v>
      </c>
      <c r="AA76" s="13">
        <f t="shared" si="23"/>
        <v>-3</v>
      </c>
    </row>
    <row r="77" spans="1:27" x14ac:dyDescent="0.25">
      <c r="A77" s="40">
        <v>45917.860381944447</v>
      </c>
      <c r="B77" s="41">
        <v>442993028</v>
      </c>
      <c r="C77" s="42" t="s">
        <v>36</v>
      </c>
      <c r="D77" s="42" t="s">
        <v>37</v>
      </c>
      <c r="E77" s="42" t="s">
        <v>38</v>
      </c>
      <c r="F77" s="43">
        <v>3684.5</v>
      </c>
      <c r="G77" s="43">
        <v>3686.11</v>
      </c>
      <c r="H77" s="43">
        <v>3687.53</v>
      </c>
      <c r="I77" s="42" t="s">
        <v>185</v>
      </c>
      <c r="J77" s="43">
        <v>3687.53</v>
      </c>
      <c r="K77" s="43">
        <v>0</v>
      </c>
      <c r="L77" s="43">
        <v>0</v>
      </c>
      <c r="M77" s="44">
        <v>3.03</v>
      </c>
      <c r="N77" s="10" t="str">
        <f t="shared" si="18"/>
        <v>W</v>
      </c>
      <c r="O77" s="11">
        <f t="shared" si="19"/>
        <v>45917</v>
      </c>
      <c r="P77" s="12" t="str">
        <f t="shared" si="20"/>
        <v>20</v>
      </c>
      <c r="Q77" s="13" t="str">
        <f>VLOOKUP($B77,Deals_Demo!$H:$N,7,0)</f>
        <v>strategy_10_demo</v>
      </c>
      <c r="R77" s="13" t="str">
        <f t="shared" si="21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2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15"/>
        <v>0.30299999999999999</v>
      </c>
      <c r="Y77" s="13">
        <f t="shared" si="16"/>
        <v>0.60599999999999998</v>
      </c>
      <c r="Z77" s="13">
        <f t="shared" si="17"/>
        <v>0.90899999999999992</v>
      </c>
      <c r="AA77" s="13">
        <f t="shared" si="23"/>
        <v>3.03</v>
      </c>
    </row>
    <row r="78" spans="1:27" x14ac:dyDescent="0.25">
      <c r="A78" s="35">
        <v>45917.860381944447</v>
      </c>
      <c r="B78" s="36">
        <v>442993029</v>
      </c>
      <c r="C78" s="37" t="s">
        <v>36</v>
      </c>
      <c r="D78" s="37" t="s">
        <v>37</v>
      </c>
      <c r="E78" s="37" t="s">
        <v>38</v>
      </c>
      <c r="F78" s="38">
        <v>3684.5</v>
      </c>
      <c r="G78" s="38">
        <v>3686.11</v>
      </c>
      <c r="H78" s="38">
        <v>3687.53</v>
      </c>
      <c r="I78" s="37" t="s">
        <v>185</v>
      </c>
      <c r="J78" s="38">
        <v>3687.53</v>
      </c>
      <c r="K78" s="38">
        <v>0</v>
      </c>
      <c r="L78" s="38">
        <v>0</v>
      </c>
      <c r="M78" s="39">
        <v>3.03</v>
      </c>
      <c r="N78" s="10" t="str">
        <f t="shared" si="18"/>
        <v>W</v>
      </c>
      <c r="O78" s="11">
        <f t="shared" si="19"/>
        <v>45917</v>
      </c>
      <c r="P78" s="12" t="str">
        <f t="shared" si="20"/>
        <v>20</v>
      </c>
      <c r="Q78" s="13" t="str">
        <f>VLOOKUP($B78,Deals_Demo!$H:$N,7,0)</f>
        <v>strategy_09_demo</v>
      </c>
      <c r="R78" s="13" t="str">
        <f t="shared" si="21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2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15"/>
        <v>0.30299999999999999</v>
      </c>
      <c r="Y78" s="13">
        <f t="shared" si="16"/>
        <v>0.60599999999999998</v>
      </c>
      <c r="Z78" s="13">
        <f t="shared" si="17"/>
        <v>0.90899999999999992</v>
      </c>
      <c r="AA78" s="13">
        <f t="shared" si="23"/>
        <v>3.03</v>
      </c>
    </row>
    <row r="79" spans="1:27" x14ac:dyDescent="0.25">
      <c r="A79" s="40">
        <v>45917.862476851849</v>
      </c>
      <c r="B79" s="41">
        <v>442994072</v>
      </c>
      <c r="C79" s="42" t="s">
        <v>36</v>
      </c>
      <c r="D79" s="42" t="s">
        <v>37</v>
      </c>
      <c r="E79" s="42" t="s">
        <v>38</v>
      </c>
      <c r="F79" s="43">
        <v>3684.04</v>
      </c>
      <c r="G79" s="43">
        <v>3685.79</v>
      </c>
      <c r="H79" s="43">
        <v>3688.54</v>
      </c>
      <c r="I79" s="42" t="s">
        <v>182</v>
      </c>
      <c r="J79" s="43">
        <v>3692.93</v>
      </c>
      <c r="K79" s="43">
        <v>0</v>
      </c>
      <c r="L79" s="43">
        <v>0</v>
      </c>
      <c r="M79" s="44">
        <v>8.89</v>
      </c>
      <c r="N79" s="10" t="str">
        <f t="shared" si="18"/>
        <v>W</v>
      </c>
      <c r="O79" s="11">
        <f t="shared" si="19"/>
        <v>45917</v>
      </c>
      <c r="P79" s="12" t="str">
        <f t="shared" si="20"/>
        <v>20</v>
      </c>
      <c r="Q79" s="13" t="str">
        <f>VLOOKUP($B79,Deals_Demo!$H:$N,7,0)</f>
        <v>DEMO_strategy_03</v>
      </c>
      <c r="R79" s="13" t="str">
        <f t="shared" si="21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2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15"/>
        <v>0.88900000000000012</v>
      </c>
      <c r="Y79" s="13">
        <f t="shared" si="16"/>
        <v>1.7780000000000002</v>
      </c>
      <c r="Z79" s="13">
        <f t="shared" si="17"/>
        <v>2.6670000000000003</v>
      </c>
      <c r="AA79" s="13">
        <f t="shared" si="23"/>
        <v>8.89</v>
      </c>
    </row>
    <row r="80" spans="1:27" x14ac:dyDescent="0.25">
      <c r="A80" s="35">
        <v>45917.869293981479</v>
      </c>
      <c r="B80" s="36">
        <v>442997210</v>
      </c>
      <c r="C80" s="37" t="s">
        <v>36</v>
      </c>
      <c r="D80" s="37" t="s">
        <v>37</v>
      </c>
      <c r="E80" s="37" t="s">
        <v>38</v>
      </c>
      <c r="F80" s="38">
        <v>3685.99</v>
      </c>
      <c r="G80" s="38">
        <v>3686.09</v>
      </c>
      <c r="H80" s="38">
        <v>3687.5</v>
      </c>
      <c r="I80" s="37" t="s">
        <v>185</v>
      </c>
      <c r="J80" s="38">
        <v>3687.53</v>
      </c>
      <c r="K80" s="38">
        <v>0</v>
      </c>
      <c r="L80" s="38">
        <v>0</v>
      </c>
      <c r="M80" s="39">
        <v>1.54</v>
      </c>
      <c r="N80" s="10" t="str">
        <f t="shared" si="18"/>
        <v>W</v>
      </c>
      <c r="O80" s="11">
        <f t="shared" si="19"/>
        <v>45917</v>
      </c>
      <c r="P80" s="12" t="str">
        <f t="shared" si="20"/>
        <v>20</v>
      </c>
      <c r="Q80" s="13" t="str">
        <f>VLOOKUP($B80,Deals_Demo!$H:$N,7,0)</f>
        <v>strategy_12_demo</v>
      </c>
      <c r="R80" s="13" t="str">
        <f t="shared" si="21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2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15"/>
        <v>0.15400000000000003</v>
      </c>
      <c r="Y80" s="13">
        <f t="shared" si="16"/>
        <v>0.30800000000000005</v>
      </c>
      <c r="Z80" s="13">
        <f t="shared" si="17"/>
        <v>0.46199999999999997</v>
      </c>
      <c r="AA80" s="13">
        <f t="shared" si="23"/>
        <v>-3</v>
      </c>
    </row>
    <row r="81" spans="1:27" x14ac:dyDescent="0.25">
      <c r="A81" s="40">
        <v>45917.873229166667</v>
      </c>
      <c r="B81" s="41">
        <v>443000266</v>
      </c>
      <c r="C81" s="42" t="s">
        <v>36</v>
      </c>
      <c r="D81" s="42" t="s">
        <v>37</v>
      </c>
      <c r="E81" s="42" t="s">
        <v>38</v>
      </c>
      <c r="F81" s="43">
        <v>3686.75</v>
      </c>
      <c r="G81" s="43">
        <v>3683.75</v>
      </c>
      <c r="H81" s="43">
        <v>3689.75</v>
      </c>
      <c r="I81" s="42" t="s">
        <v>182</v>
      </c>
      <c r="J81" s="43">
        <v>3692.93</v>
      </c>
      <c r="K81" s="43">
        <v>0</v>
      </c>
      <c r="L81" s="43">
        <v>0</v>
      </c>
      <c r="M81" s="44">
        <v>6.18</v>
      </c>
      <c r="N81" s="10" t="str">
        <f t="shared" si="18"/>
        <v>W</v>
      </c>
      <c r="O81" s="11">
        <f t="shared" si="19"/>
        <v>45917</v>
      </c>
      <c r="P81" s="12" t="str">
        <f t="shared" si="20"/>
        <v>20</v>
      </c>
      <c r="Q81" s="13" t="str">
        <f>VLOOKUP($B81,Deals_Demo!$H:$N,7,0)</f>
        <v>strategy_09_demo</v>
      </c>
      <c r="R81" s="13" t="str">
        <f t="shared" si="21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2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15"/>
        <v>0.61799999999999999</v>
      </c>
      <c r="Y81" s="13">
        <f t="shared" si="16"/>
        <v>1.236</v>
      </c>
      <c r="Z81" s="13">
        <f t="shared" si="17"/>
        <v>1.8539999999999999</v>
      </c>
      <c r="AA81" s="13">
        <f t="shared" si="23"/>
        <v>6.18</v>
      </c>
    </row>
    <row r="82" spans="1:27" x14ac:dyDescent="0.25">
      <c r="A82" s="35">
        <v>45917.873229166667</v>
      </c>
      <c r="B82" s="36">
        <v>443000267</v>
      </c>
      <c r="C82" s="37" t="s">
        <v>36</v>
      </c>
      <c r="D82" s="37" t="s">
        <v>37</v>
      </c>
      <c r="E82" s="37" t="s">
        <v>38</v>
      </c>
      <c r="F82" s="38">
        <v>3686.73</v>
      </c>
      <c r="G82" s="38">
        <v>3684.25</v>
      </c>
      <c r="H82" s="38">
        <v>3689.75</v>
      </c>
      <c r="I82" s="37" t="s">
        <v>182</v>
      </c>
      <c r="J82" s="38">
        <v>3692.93</v>
      </c>
      <c r="K82" s="38">
        <v>0</v>
      </c>
      <c r="L82" s="38">
        <v>0</v>
      </c>
      <c r="M82" s="39">
        <v>6.2</v>
      </c>
      <c r="N82" s="10" t="str">
        <f t="shared" si="18"/>
        <v>W</v>
      </c>
      <c r="O82" s="11">
        <f t="shared" si="19"/>
        <v>45917</v>
      </c>
      <c r="P82" s="12" t="str">
        <f t="shared" si="20"/>
        <v>20</v>
      </c>
      <c r="Q82" s="13" t="str">
        <f>VLOOKUP($B82,Deals_Demo!$H:$N,7,0)</f>
        <v>strategy_10_demo</v>
      </c>
      <c r="R82" s="13" t="str">
        <f t="shared" si="21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2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15"/>
        <v>0.62000000000000011</v>
      </c>
      <c r="Y82" s="13">
        <f t="shared" si="16"/>
        <v>1.2400000000000002</v>
      </c>
      <c r="Z82" s="13">
        <f t="shared" si="17"/>
        <v>1.8599999999999999</v>
      </c>
      <c r="AA82" s="13">
        <f t="shared" si="23"/>
        <v>6.2</v>
      </c>
    </row>
    <row r="83" spans="1:27" x14ac:dyDescent="0.25">
      <c r="A83" s="40">
        <v>45917.873229166667</v>
      </c>
      <c r="B83" s="41">
        <v>443000269</v>
      </c>
      <c r="C83" s="42" t="s">
        <v>36</v>
      </c>
      <c r="D83" s="42" t="s">
        <v>37</v>
      </c>
      <c r="E83" s="42" t="s">
        <v>38</v>
      </c>
      <c r="F83" s="43">
        <v>3686.72</v>
      </c>
      <c r="G83" s="43">
        <v>3683.75</v>
      </c>
      <c r="H83" s="43">
        <v>3688.25</v>
      </c>
      <c r="I83" s="42" t="s">
        <v>182</v>
      </c>
      <c r="J83" s="43">
        <v>3692.93</v>
      </c>
      <c r="K83" s="43">
        <v>0</v>
      </c>
      <c r="L83" s="43">
        <v>0</v>
      </c>
      <c r="M83" s="44">
        <v>6.21</v>
      </c>
      <c r="N83" s="10" t="str">
        <f t="shared" si="18"/>
        <v>W</v>
      </c>
      <c r="O83" s="11">
        <f t="shared" si="19"/>
        <v>45917</v>
      </c>
      <c r="P83" s="12" t="str">
        <f t="shared" si="20"/>
        <v>20</v>
      </c>
      <c r="Q83" s="13" t="str">
        <f>VLOOKUP($B83,Deals_Demo!$H:$N,7,0)</f>
        <v>strategy_12_demo</v>
      </c>
      <c r="R83" s="13" t="str">
        <f t="shared" si="21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2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15"/>
        <v>0.621</v>
      </c>
      <c r="Y83" s="13">
        <f t="shared" si="16"/>
        <v>1.242</v>
      </c>
      <c r="Z83" s="13">
        <f t="shared" si="17"/>
        <v>1.863</v>
      </c>
      <c r="AA83" s="13">
        <f t="shared" si="23"/>
        <v>6.21</v>
      </c>
    </row>
    <row r="84" spans="1:27" x14ac:dyDescent="0.25">
      <c r="A84" s="35">
        <v>45917.873692129629</v>
      </c>
      <c r="B84" s="36">
        <v>443000809</v>
      </c>
      <c r="C84" s="37" t="s">
        <v>36</v>
      </c>
      <c r="D84" s="37" t="s">
        <v>37</v>
      </c>
      <c r="E84" s="37" t="s">
        <v>38</v>
      </c>
      <c r="F84" s="38">
        <v>3686.88</v>
      </c>
      <c r="G84" s="38">
        <v>3683.8</v>
      </c>
      <c r="H84" s="38">
        <v>3690.3</v>
      </c>
      <c r="I84" s="37" t="s">
        <v>182</v>
      </c>
      <c r="J84" s="38">
        <v>3692.93</v>
      </c>
      <c r="K84" s="38">
        <v>0</v>
      </c>
      <c r="L84" s="38">
        <v>0</v>
      </c>
      <c r="M84" s="39">
        <v>6.05</v>
      </c>
      <c r="N84" s="10" t="str">
        <f t="shared" si="18"/>
        <v>W</v>
      </c>
      <c r="O84" s="11">
        <f t="shared" si="19"/>
        <v>45917</v>
      </c>
      <c r="P84" s="12" t="str">
        <f t="shared" si="20"/>
        <v>20</v>
      </c>
      <c r="Q84" s="13" t="str">
        <f>VLOOKUP($B84,Deals_Demo!$H:$N,7,0)</f>
        <v>strategy_11_demo</v>
      </c>
      <c r="R84" s="13" t="str">
        <f t="shared" si="21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2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15"/>
        <v>0.60499999999999998</v>
      </c>
      <c r="Y84" s="13">
        <f t="shared" si="16"/>
        <v>1.21</v>
      </c>
      <c r="Z84" s="13">
        <f t="shared" si="17"/>
        <v>1.8149999999999999</v>
      </c>
      <c r="AA84" s="13">
        <f t="shared" si="23"/>
        <v>6.05</v>
      </c>
    </row>
    <row r="85" spans="1:27" x14ac:dyDescent="0.25">
      <c r="A85" s="40">
        <v>45917.883414351854</v>
      </c>
      <c r="B85" s="41">
        <v>443037794</v>
      </c>
      <c r="C85" s="42" t="s">
        <v>36</v>
      </c>
      <c r="D85" s="42" t="s">
        <v>37</v>
      </c>
      <c r="E85" s="42" t="s">
        <v>38</v>
      </c>
      <c r="F85" s="43">
        <v>3699.07</v>
      </c>
      <c r="G85" s="43">
        <v>3696.04</v>
      </c>
      <c r="H85" s="43">
        <v>3700.54</v>
      </c>
      <c r="I85" s="42" t="s">
        <v>186</v>
      </c>
      <c r="J85" s="43">
        <v>3696.02</v>
      </c>
      <c r="K85" s="43">
        <v>0</v>
      </c>
      <c r="L85" s="43">
        <v>0</v>
      </c>
      <c r="M85" s="44">
        <v>-3.05</v>
      </c>
      <c r="N85" s="10" t="str">
        <f t="shared" si="18"/>
        <v>L</v>
      </c>
      <c r="O85" s="11">
        <f t="shared" si="19"/>
        <v>45917</v>
      </c>
      <c r="P85" s="12" t="str">
        <f t="shared" si="20"/>
        <v>21</v>
      </c>
      <c r="Q85" s="13" t="str">
        <f>VLOOKUP($B85,Deals_Demo!$H:$N,7,0)</f>
        <v>strategy_12_demo</v>
      </c>
      <c r="R85" s="13" t="str">
        <f t="shared" si="21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2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15"/>
        <v>-0.30499999999999999</v>
      </c>
      <c r="Y85" s="13">
        <f t="shared" si="16"/>
        <v>-0.61</v>
      </c>
      <c r="Z85" s="13">
        <f t="shared" si="17"/>
        <v>-0.91499999999999992</v>
      </c>
      <c r="AA85" s="13">
        <f t="shared" si="23"/>
        <v>-3</v>
      </c>
    </row>
    <row r="86" spans="1:27" x14ac:dyDescent="0.25">
      <c r="A86" s="35">
        <v>45917.883414351854</v>
      </c>
      <c r="B86" s="36">
        <v>443037805</v>
      </c>
      <c r="C86" s="37" t="s">
        <v>36</v>
      </c>
      <c r="D86" s="37" t="s">
        <v>37</v>
      </c>
      <c r="E86" s="37" t="s">
        <v>38</v>
      </c>
      <c r="F86" s="38">
        <v>3698.97</v>
      </c>
      <c r="G86" s="38">
        <v>3696.07</v>
      </c>
      <c r="H86" s="38">
        <v>3702.07</v>
      </c>
      <c r="I86" s="37" t="s">
        <v>186</v>
      </c>
      <c r="J86" s="38">
        <v>3696.02</v>
      </c>
      <c r="K86" s="38">
        <v>0</v>
      </c>
      <c r="L86" s="38">
        <v>0</v>
      </c>
      <c r="M86" s="39">
        <v>-2.95</v>
      </c>
      <c r="N86" s="10" t="str">
        <f t="shared" si="18"/>
        <v>L</v>
      </c>
      <c r="O86" s="11">
        <f t="shared" si="19"/>
        <v>45917</v>
      </c>
      <c r="P86" s="12" t="str">
        <f t="shared" si="20"/>
        <v>21</v>
      </c>
      <c r="Q86" s="13" t="str">
        <f>VLOOKUP($B86,Deals_Demo!$H:$N,7,0)</f>
        <v>strategy_09_demo</v>
      </c>
      <c r="R86" s="13" t="str">
        <f t="shared" si="21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2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15"/>
        <v>-0.29500000000000004</v>
      </c>
      <c r="Y86" s="13">
        <f t="shared" si="16"/>
        <v>-0.59000000000000008</v>
      </c>
      <c r="Z86" s="13">
        <f t="shared" si="17"/>
        <v>-0.88500000000000001</v>
      </c>
      <c r="AA86" s="13">
        <f t="shared" si="23"/>
        <v>-3</v>
      </c>
    </row>
    <row r="87" spans="1:27" x14ac:dyDescent="0.25">
      <c r="A87" s="40">
        <v>45917.883414351854</v>
      </c>
      <c r="B87" s="41">
        <v>443037880</v>
      </c>
      <c r="C87" s="42" t="s">
        <v>36</v>
      </c>
      <c r="D87" s="42" t="s">
        <v>37</v>
      </c>
      <c r="E87" s="42" t="s">
        <v>38</v>
      </c>
      <c r="F87" s="43">
        <v>3698.99</v>
      </c>
      <c r="G87" s="43">
        <v>3696.07</v>
      </c>
      <c r="H87" s="43">
        <v>3702.57</v>
      </c>
      <c r="I87" s="42" t="s">
        <v>186</v>
      </c>
      <c r="J87" s="43">
        <v>3696.02</v>
      </c>
      <c r="K87" s="43">
        <v>0</v>
      </c>
      <c r="L87" s="43">
        <v>0</v>
      </c>
      <c r="M87" s="44">
        <v>-2.97</v>
      </c>
      <c r="N87" s="10" t="str">
        <f t="shared" si="18"/>
        <v>L</v>
      </c>
      <c r="O87" s="11">
        <f t="shared" si="19"/>
        <v>45917</v>
      </c>
      <c r="P87" s="12" t="str">
        <f t="shared" si="20"/>
        <v>21</v>
      </c>
      <c r="Q87" s="13" t="str">
        <f>VLOOKUP($B87,Deals_Demo!$H:$N,7,0)</f>
        <v>strategy_11_demo</v>
      </c>
      <c r="R87" s="13" t="str">
        <f t="shared" si="21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2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15"/>
        <v>-0.29700000000000004</v>
      </c>
      <c r="Y87" s="13">
        <f t="shared" si="16"/>
        <v>-0.59400000000000008</v>
      </c>
      <c r="Z87" s="13">
        <f t="shared" si="17"/>
        <v>-0.89100000000000001</v>
      </c>
      <c r="AA87" s="13">
        <f t="shared" si="23"/>
        <v>-3</v>
      </c>
    </row>
    <row r="88" spans="1:27" x14ac:dyDescent="0.25">
      <c r="A88" s="35">
        <v>45917.883414351854</v>
      </c>
      <c r="B88" s="36">
        <v>443037883</v>
      </c>
      <c r="C88" s="37" t="s">
        <v>36</v>
      </c>
      <c r="D88" s="37" t="s">
        <v>37</v>
      </c>
      <c r="E88" s="37" t="s">
        <v>38</v>
      </c>
      <c r="F88" s="38">
        <v>3698.97</v>
      </c>
      <c r="G88" s="38">
        <v>3696.57</v>
      </c>
      <c r="H88" s="38">
        <v>3702.07</v>
      </c>
      <c r="I88" s="37" t="s">
        <v>187</v>
      </c>
      <c r="J88" s="38">
        <v>3696.57</v>
      </c>
      <c r="K88" s="38">
        <v>0</v>
      </c>
      <c r="L88" s="38">
        <v>0</v>
      </c>
      <c r="M88" s="39">
        <v>-2.4</v>
      </c>
      <c r="N88" s="10" t="str">
        <f t="shared" si="18"/>
        <v>L</v>
      </c>
      <c r="O88" s="11">
        <f t="shared" si="19"/>
        <v>45917</v>
      </c>
      <c r="P88" s="12" t="str">
        <f t="shared" si="20"/>
        <v>21</v>
      </c>
      <c r="Q88" s="13" t="str">
        <f>VLOOKUP($B88,Deals_Demo!$H:$N,7,0)</f>
        <v>strategy_10_demo</v>
      </c>
      <c r="R88" s="13" t="str">
        <f t="shared" si="21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2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15"/>
        <v>-0.24</v>
      </c>
      <c r="Y88" s="13">
        <f t="shared" si="16"/>
        <v>-0.48</v>
      </c>
      <c r="Z88" s="13">
        <f t="shared" si="17"/>
        <v>-0.72</v>
      </c>
      <c r="AA88" s="13">
        <f t="shared" si="23"/>
        <v>-3</v>
      </c>
    </row>
    <row r="89" spans="1:27" x14ac:dyDescent="0.25">
      <c r="A89" s="40">
        <v>45917.892326388886</v>
      </c>
      <c r="B89" s="41">
        <v>443055815</v>
      </c>
      <c r="C89" s="42" t="s">
        <v>36</v>
      </c>
      <c r="D89" s="42" t="s">
        <v>39</v>
      </c>
      <c r="E89" s="42" t="s">
        <v>38</v>
      </c>
      <c r="F89" s="43">
        <v>3685.93</v>
      </c>
      <c r="G89" s="43">
        <v>3688.91</v>
      </c>
      <c r="H89" s="43">
        <v>3684.41</v>
      </c>
      <c r="I89" s="42" t="s">
        <v>188</v>
      </c>
      <c r="J89" s="43">
        <v>3684.37</v>
      </c>
      <c r="K89" s="43">
        <v>0</v>
      </c>
      <c r="L89" s="43">
        <v>0</v>
      </c>
      <c r="M89" s="44">
        <v>1.56</v>
      </c>
      <c r="N89" s="10" t="str">
        <f t="shared" si="18"/>
        <v>W</v>
      </c>
      <c r="O89" s="11">
        <f t="shared" si="19"/>
        <v>45917</v>
      </c>
      <c r="P89" s="12" t="str">
        <f t="shared" si="20"/>
        <v>21</v>
      </c>
      <c r="Q89" s="13" t="str">
        <f>VLOOKUP($B89,Deals_Demo!$H:$N,7,0)</f>
        <v>strategy_12_demo</v>
      </c>
      <c r="R89" s="13" t="str">
        <f t="shared" si="21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2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15"/>
        <v>0.15600000000000003</v>
      </c>
      <c r="Y89" s="13">
        <f t="shared" si="16"/>
        <v>0.31200000000000006</v>
      </c>
      <c r="Z89" s="13">
        <f t="shared" si="17"/>
        <v>0.46799999999999997</v>
      </c>
      <c r="AA89" s="13">
        <f t="shared" si="23"/>
        <v>-3</v>
      </c>
    </row>
    <row r="90" spans="1:27" x14ac:dyDescent="0.25">
      <c r="A90" s="35">
        <v>45917.892326388886</v>
      </c>
      <c r="B90" s="36">
        <v>443055818</v>
      </c>
      <c r="C90" s="37" t="s">
        <v>36</v>
      </c>
      <c r="D90" s="37" t="s">
        <v>39</v>
      </c>
      <c r="E90" s="37" t="s">
        <v>38</v>
      </c>
      <c r="F90" s="38">
        <v>3685.96</v>
      </c>
      <c r="G90" s="38">
        <v>3685.68</v>
      </c>
      <c r="H90" s="38">
        <v>3682.43</v>
      </c>
      <c r="I90" s="37" t="s">
        <v>189</v>
      </c>
      <c r="J90" s="38">
        <v>3685.68</v>
      </c>
      <c r="K90" s="38">
        <v>0</v>
      </c>
      <c r="L90" s="38">
        <v>0</v>
      </c>
      <c r="M90" s="39">
        <v>0.28000000000000003</v>
      </c>
      <c r="N90" s="10" t="str">
        <f t="shared" si="18"/>
        <v>W</v>
      </c>
      <c r="O90" s="11">
        <f t="shared" si="19"/>
        <v>45917</v>
      </c>
      <c r="P90" s="12" t="str">
        <f t="shared" si="20"/>
        <v>21</v>
      </c>
      <c r="Q90" s="13" t="str">
        <f>VLOOKUP($B90,Deals_Demo!$H:$N,7,0)</f>
        <v>strategy_11_demo</v>
      </c>
      <c r="R90" s="13" t="str">
        <f t="shared" si="21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2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15"/>
        <v>2.8000000000000004E-2</v>
      </c>
      <c r="Y90" s="13">
        <f t="shared" si="16"/>
        <v>5.6000000000000008E-2</v>
      </c>
      <c r="Z90" s="13">
        <f t="shared" si="17"/>
        <v>8.4000000000000005E-2</v>
      </c>
      <c r="AA90" s="13">
        <f t="shared" si="23"/>
        <v>-3</v>
      </c>
    </row>
    <row r="91" spans="1:27" x14ac:dyDescent="0.25">
      <c r="A91" s="40">
        <v>45917.892326388886</v>
      </c>
      <c r="B91" s="41">
        <v>443055821</v>
      </c>
      <c r="C91" s="42" t="s">
        <v>36</v>
      </c>
      <c r="D91" s="42" t="s">
        <v>39</v>
      </c>
      <c r="E91" s="42" t="s">
        <v>38</v>
      </c>
      <c r="F91" s="43">
        <v>3685.83</v>
      </c>
      <c r="G91" s="43">
        <v>3685.68</v>
      </c>
      <c r="H91" s="43">
        <v>3682.93</v>
      </c>
      <c r="I91" s="42" t="s">
        <v>189</v>
      </c>
      <c r="J91" s="43">
        <v>3685.68</v>
      </c>
      <c r="K91" s="43">
        <v>0</v>
      </c>
      <c r="L91" s="43">
        <v>0</v>
      </c>
      <c r="M91" s="44">
        <v>0.15</v>
      </c>
      <c r="N91" s="10" t="str">
        <f t="shared" si="18"/>
        <v>W</v>
      </c>
      <c r="O91" s="11">
        <f t="shared" si="19"/>
        <v>45917</v>
      </c>
      <c r="P91" s="12" t="str">
        <f t="shared" si="20"/>
        <v>21</v>
      </c>
      <c r="Q91" s="13" t="str">
        <f>VLOOKUP($B91,Deals_Demo!$H:$N,7,0)</f>
        <v>strategy_09_demo</v>
      </c>
      <c r="R91" s="13" t="str">
        <f t="shared" si="21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2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15"/>
        <v>1.4999999999999999E-2</v>
      </c>
      <c r="Y91" s="13">
        <f t="shared" si="16"/>
        <v>0.03</v>
      </c>
      <c r="Z91" s="13">
        <f t="shared" si="17"/>
        <v>4.4999999999999998E-2</v>
      </c>
      <c r="AA91" s="13">
        <f t="shared" si="23"/>
        <v>-3</v>
      </c>
    </row>
    <row r="92" spans="1:27" x14ac:dyDescent="0.25">
      <c r="A92" s="35">
        <v>45917.892326388886</v>
      </c>
      <c r="B92" s="36">
        <v>443055825</v>
      </c>
      <c r="C92" s="37" t="s">
        <v>36</v>
      </c>
      <c r="D92" s="37" t="s">
        <v>39</v>
      </c>
      <c r="E92" s="37" t="s">
        <v>38</v>
      </c>
      <c r="F92" s="38">
        <v>3685.57</v>
      </c>
      <c r="G92" s="38">
        <v>3685.62</v>
      </c>
      <c r="H92" s="38">
        <v>3682.93</v>
      </c>
      <c r="I92" s="37" t="s">
        <v>189</v>
      </c>
      <c r="J92" s="38">
        <v>3685.68</v>
      </c>
      <c r="K92" s="38">
        <v>0</v>
      </c>
      <c r="L92" s="38">
        <v>0</v>
      </c>
      <c r="M92" s="39">
        <v>-0.11</v>
      </c>
      <c r="N92" s="10" t="str">
        <f t="shared" si="18"/>
        <v>L</v>
      </c>
      <c r="O92" s="11">
        <f t="shared" si="19"/>
        <v>45917</v>
      </c>
      <c r="P92" s="12" t="str">
        <f t="shared" si="20"/>
        <v>21</v>
      </c>
      <c r="Q92" s="13" t="str">
        <f>VLOOKUP($B92,Deals_Demo!$H:$N,7,0)</f>
        <v>strategy_10_demo</v>
      </c>
      <c r="R92" s="13" t="str">
        <f t="shared" si="21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2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15"/>
        <v>-1.1000000000000001E-2</v>
      </c>
      <c r="Y92" s="13">
        <f t="shared" si="16"/>
        <v>-2.2000000000000002E-2</v>
      </c>
      <c r="Z92" s="13">
        <f t="shared" si="17"/>
        <v>-3.3000000000000002E-2</v>
      </c>
      <c r="AA92" s="13">
        <f t="shared" si="23"/>
        <v>-3</v>
      </c>
    </row>
    <row r="93" spans="1:27" x14ac:dyDescent="0.25">
      <c r="A93" s="40">
        <v>45917.89267361111</v>
      </c>
      <c r="B93" s="41">
        <v>443056055</v>
      </c>
      <c r="C93" s="42" t="s">
        <v>36</v>
      </c>
      <c r="D93" s="42" t="s">
        <v>39</v>
      </c>
      <c r="E93" s="42" t="s">
        <v>38</v>
      </c>
      <c r="F93" s="43">
        <v>3685.91</v>
      </c>
      <c r="G93" s="43">
        <v>3689.08</v>
      </c>
      <c r="H93" s="43">
        <v>3684.58</v>
      </c>
      <c r="I93" s="42" t="s">
        <v>190</v>
      </c>
      <c r="J93" s="43">
        <v>3684.5</v>
      </c>
      <c r="K93" s="43">
        <v>0</v>
      </c>
      <c r="L93" s="43">
        <v>0</v>
      </c>
      <c r="M93" s="44">
        <v>1.41</v>
      </c>
      <c r="N93" s="10" t="str">
        <f t="shared" si="18"/>
        <v>W</v>
      </c>
      <c r="O93" s="11">
        <f t="shared" si="19"/>
        <v>45917</v>
      </c>
      <c r="P93" s="12" t="str">
        <f t="shared" si="20"/>
        <v>21</v>
      </c>
      <c r="Q93" s="13" t="str">
        <f>VLOOKUP($B93,Deals_Demo!$H:$N,7,0)</f>
        <v>strategy_12_demo</v>
      </c>
      <c r="R93" s="13" t="str">
        <f t="shared" si="21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2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15"/>
        <v>0.14099999999999999</v>
      </c>
      <c r="Y93" s="13">
        <f t="shared" si="16"/>
        <v>0.28199999999999997</v>
      </c>
      <c r="Z93" s="13">
        <f t="shared" si="17"/>
        <v>0.42299999999999999</v>
      </c>
      <c r="AA93" s="13">
        <f t="shared" si="23"/>
        <v>-3</v>
      </c>
    </row>
    <row r="94" spans="1:27" x14ac:dyDescent="0.25">
      <c r="A94" s="35">
        <v>45917.89267361111</v>
      </c>
      <c r="B94" s="36">
        <v>443056057</v>
      </c>
      <c r="C94" s="37" t="s">
        <v>36</v>
      </c>
      <c r="D94" s="37" t="s">
        <v>39</v>
      </c>
      <c r="E94" s="37" t="s">
        <v>38</v>
      </c>
      <c r="F94" s="38">
        <v>3685.71</v>
      </c>
      <c r="G94" s="38">
        <v>3684.97</v>
      </c>
      <c r="H94" s="38">
        <v>3682.87</v>
      </c>
      <c r="I94" s="37" t="s">
        <v>191</v>
      </c>
      <c r="J94" s="38">
        <v>3682.81</v>
      </c>
      <c r="K94" s="38">
        <v>0</v>
      </c>
      <c r="L94" s="38">
        <v>0</v>
      </c>
      <c r="M94" s="39">
        <v>2.9</v>
      </c>
      <c r="N94" s="10" t="str">
        <f t="shared" si="18"/>
        <v>W</v>
      </c>
      <c r="O94" s="11">
        <f t="shared" si="19"/>
        <v>45917</v>
      </c>
      <c r="P94" s="12" t="str">
        <f t="shared" si="20"/>
        <v>21</v>
      </c>
      <c r="Q94" s="13" t="str">
        <f>VLOOKUP($B94,Deals_Demo!$H:$N,7,0)</f>
        <v>strategy_09_demo</v>
      </c>
      <c r="R94" s="13" t="str">
        <f t="shared" si="21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2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15"/>
        <v>0.28999999999999998</v>
      </c>
      <c r="Y94" s="13">
        <f t="shared" si="16"/>
        <v>0.57999999999999996</v>
      </c>
      <c r="Z94" s="13">
        <f t="shared" si="17"/>
        <v>0.87</v>
      </c>
      <c r="AA94" s="13">
        <f t="shared" si="23"/>
        <v>2.9</v>
      </c>
    </row>
    <row r="95" spans="1:27" x14ac:dyDescent="0.25">
      <c r="A95" s="40">
        <v>45917.89267361111</v>
      </c>
      <c r="B95" s="41">
        <v>443056058</v>
      </c>
      <c r="C95" s="42" t="s">
        <v>36</v>
      </c>
      <c r="D95" s="42" t="s">
        <v>39</v>
      </c>
      <c r="E95" s="42" t="s">
        <v>38</v>
      </c>
      <c r="F95" s="43">
        <v>3685.74</v>
      </c>
      <c r="G95" s="43">
        <v>3684.98</v>
      </c>
      <c r="H95" s="43">
        <v>3682.87</v>
      </c>
      <c r="I95" s="42" t="s">
        <v>191</v>
      </c>
      <c r="J95" s="43">
        <v>3682.81</v>
      </c>
      <c r="K95" s="43">
        <v>0</v>
      </c>
      <c r="L95" s="43">
        <v>0</v>
      </c>
      <c r="M95" s="44">
        <v>2.93</v>
      </c>
      <c r="N95" s="10" t="str">
        <f t="shared" si="18"/>
        <v>W</v>
      </c>
      <c r="O95" s="11">
        <f t="shared" si="19"/>
        <v>45917</v>
      </c>
      <c r="P95" s="12" t="str">
        <f t="shared" si="20"/>
        <v>21</v>
      </c>
      <c r="Q95" s="13" t="str">
        <f>VLOOKUP($B95,Deals_Demo!$H:$N,7,0)</f>
        <v>strategy_10_demo</v>
      </c>
      <c r="R95" s="13" t="str">
        <f t="shared" si="21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2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15"/>
        <v>0.29300000000000004</v>
      </c>
      <c r="Y95" s="13">
        <f t="shared" si="16"/>
        <v>0.58600000000000008</v>
      </c>
      <c r="Z95" s="13">
        <f t="shared" si="17"/>
        <v>0.879</v>
      </c>
      <c r="AA95" s="13">
        <f t="shared" si="23"/>
        <v>2.93</v>
      </c>
    </row>
    <row r="96" spans="1:27" x14ac:dyDescent="0.25">
      <c r="A96" s="35">
        <v>45917.89267361111</v>
      </c>
      <c r="B96" s="36">
        <v>443056060</v>
      </c>
      <c r="C96" s="37" t="s">
        <v>36</v>
      </c>
      <c r="D96" s="37" t="s">
        <v>39</v>
      </c>
      <c r="E96" s="37" t="s">
        <v>38</v>
      </c>
      <c r="F96" s="38">
        <v>3685.83</v>
      </c>
      <c r="G96" s="38">
        <v>3685</v>
      </c>
      <c r="H96" s="38">
        <v>3682.37</v>
      </c>
      <c r="I96" s="37" t="s">
        <v>192</v>
      </c>
      <c r="J96" s="38">
        <v>3682.03</v>
      </c>
      <c r="K96" s="38">
        <v>0</v>
      </c>
      <c r="L96" s="38">
        <v>0</v>
      </c>
      <c r="M96" s="39">
        <v>3.8</v>
      </c>
      <c r="N96" s="10" t="str">
        <f t="shared" si="18"/>
        <v>W</v>
      </c>
      <c r="O96" s="11">
        <f t="shared" si="19"/>
        <v>45917</v>
      </c>
      <c r="P96" s="12" t="str">
        <f t="shared" si="20"/>
        <v>21</v>
      </c>
      <c r="Q96" s="13" t="str">
        <f>VLOOKUP($B96,Deals_Demo!$H:$N,7,0)</f>
        <v>strategy_11_demo</v>
      </c>
      <c r="R96" s="13" t="str">
        <f t="shared" si="21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2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15"/>
        <v>0.38</v>
      </c>
      <c r="Y96" s="13">
        <f t="shared" si="16"/>
        <v>0.76</v>
      </c>
      <c r="Z96" s="13">
        <f t="shared" si="17"/>
        <v>1.1399999999999999</v>
      </c>
      <c r="AA96" s="13">
        <f t="shared" si="23"/>
        <v>3.8</v>
      </c>
    </row>
    <row r="97" spans="1:27" x14ac:dyDescent="0.25">
      <c r="A97" s="40">
        <v>45917.895451388889</v>
      </c>
      <c r="B97" s="41">
        <v>443057989</v>
      </c>
      <c r="C97" s="42" t="s">
        <v>36</v>
      </c>
      <c r="D97" s="42" t="s">
        <v>39</v>
      </c>
      <c r="E97" s="42" t="s">
        <v>38</v>
      </c>
      <c r="F97" s="43">
        <v>3683.73</v>
      </c>
      <c r="G97" s="43">
        <v>3686.81</v>
      </c>
      <c r="H97" s="43">
        <v>3682.31</v>
      </c>
      <c r="I97" s="42" t="s">
        <v>193</v>
      </c>
      <c r="J97" s="43">
        <v>3682.29</v>
      </c>
      <c r="K97" s="43">
        <v>0</v>
      </c>
      <c r="L97" s="43">
        <v>0</v>
      </c>
      <c r="M97" s="44">
        <v>1.44</v>
      </c>
      <c r="N97" s="10" t="str">
        <f t="shared" si="18"/>
        <v>W</v>
      </c>
      <c r="O97" s="11">
        <f t="shared" si="19"/>
        <v>45917</v>
      </c>
      <c r="P97" s="12" t="str">
        <f t="shared" si="20"/>
        <v>21</v>
      </c>
      <c r="Q97" s="13" t="str">
        <f>VLOOKUP($B97,Deals_Demo!$H:$N,7,0)</f>
        <v>strategy_12_demo</v>
      </c>
      <c r="R97" s="13" t="str">
        <f t="shared" si="21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2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15"/>
        <v>0.14399999999999999</v>
      </c>
      <c r="Y97" s="13">
        <f t="shared" si="16"/>
        <v>0.28799999999999998</v>
      </c>
      <c r="Z97" s="13">
        <f t="shared" si="17"/>
        <v>0.432</v>
      </c>
      <c r="AA97" s="13">
        <f t="shared" si="23"/>
        <v>-3</v>
      </c>
    </row>
    <row r="98" spans="1:27" x14ac:dyDescent="0.25">
      <c r="A98" s="35">
        <v>45917.895451388889</v>
      </c>
      <c r="B98" s="36">
        <v>443057990</v>
      </c>
      <c r="C98" s="37" t="s">
        <v>36</v>
      </c>
      <c r="D98" s="37" t="s">
        <v>39</v>
      </c>
      <c r="E98" s="37" t="s">
        <v>38</v>
      </c>
      <c r="F98" s="38">
        <v>3683.88</v>
      </c>
      <c r="G98" s="38">
        <v>3683.9</v>
      </c>
      <c r="H98" s="38">
        <v>3680.73</v>
      </c>
      <c r="I98" s="37" t="s">
        <v>194</v>
      </c>
      <c r="J98" s="38">
        <v>3684.84</v>
      </c>
      <c r="K98" s="38">
        <v>0</v>
      </c>
      <c r="L98" s="38">
        <v>0</v>
      </c>
      <c r="M98" s="39">
        <v>-0.96</v>
      </c>
      <c r="N98" s="10" t="str">
        <f t="shared" si="18"/>
        <v>L</v>
      </c>
      <c r="O98" s="11">
        <f t="shared" si="19"/>
        <v>45917</v>
      </c>
      <c r="P98" s="12" t="str">
        <f t="shared" si="20"/>
        <v>21</v>
      </c>
      <c r="Q98" s="13" t="str">
        <f>VLOOKUP($B98,Deals_Demo!$H:$N,7,0)</f>
        <v>strategy_09_demo</v>
      </c>
      <c r="R98" s="13" t="str">
        <f t="shared" si="21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2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15"/>
        <v>-9.6000000000000002E-2</v>
      </c>
      <c r="Y98" s="13">
        <f t="shared" si="16"/>
        <v>-0.192</v>
      </c>
      <c r="Z98" s="13">
        <f t="shared" si="17"/>
        <v>-0.28799999999999998</v>
      </c>
      <c r="AA98" s="13">
        <f t="shared" si="23"/>
        <v>-3</v>
      </c>
    </row>
    <row r="99" spans="1:27" x14ac:dyDescent="0.25">
      <c r="A99" s="40">
        <v>45917.895451388889</v>
      </c>
      <c r="B99" s="41">
        <v>443057991</v>
      </c>
      <c r="C99" s="42" t="s">
        <v>36</v>
      </c>
      <c r="D99" s="42" t="s">
        <v>39</v>
      </c>
      <c r="E99" s="42" t="s">
        <v>38</v>
      </c>
      <c r="F99" s="43">
        <v>3684.01</v>
      </c>
      <c r="G99" s="43">
        <v>3683.9</v>
      </c>
      <c r="H99" s="43">
        <v>3680.23</v>
      </c>
      <c r="I99" s="42" t="s">
        <v>194</v>
      </c>
      <c r="J99" s="43">
        <v>3684.84</v>
      </c>
      <c r="K99" s="43">
        <v>0</v>
      </c>
      <c r="L99" s="43">
        <v>0</v>
      </c>
      <c r="M99" s="44">
        <v>-0.83</v>
      </c>
      <c r="N99" s="10" t="str">
        <f t="shared" si="18"/>
        <v>L</v>
      </c>
      <c r="O99" s="11">
        <f t="shared" si="19"/>
        <v>45917</v>
      </c>
      <c r="P99" s="12" t="str">
        <f t="shared" si="20"/>
        <v>21</v>
      </c>
      <c r="Q99" s="13" t="str">
        <f>VLOOKUP($B99,Deals_Demo!$H:$N,7,0)</f>
        <v>strategy_11_demo</v>
      </c>
      <c r="R99" s="13" t="str">
        <f t="shared" si="21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2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15"/>
        <v>-8.3000000000000004E-2</v>
      </c>
      <c r="Y99" s="13">
        <f t="shared" si="16"/>
        <v>-0.16600000000000001</v>
      </c>
      <c r="Z99" s="13">
        <f t="shared" si="17"/>
        <v>-0.24899999999999997</v>
      </c>
      <c r="AA99" s="13">
        <f t="shared" si="23"/>
        <v>-3</v>
      </c>
    </row>
    <row r="100" spans="1:27" x14ac:dyDescent="0.25">
      <c r="A100" s="35">
        <v>45917.895451388889</v>
      </c>
      <c r="B100" s="36">
        <v>443057993</v>
      </c>
      <c r="C100" s="37" t="s">
        <v>36</v>
      </c>
      <c r="D100" s="37" t="s">
        <v>39</v>
      </c>
      <c r="E100" s="37" t="s">
        <v>38</v>
      </c>
      <c r="F100" s="38">
        <v>3684.54</v>
      </c>
      <c r="G100" s="38">
        <v>3683.74</v>
      </c>
      <c r="H100" s="38">
        <v>3680.73</v>
      </c>
      <c r="I100" s="37" t="s">
        <v>194</v>
      </c>
      <c r="J100" s="38">
        <v>3683.88</v>
      </c>
      <c r="K100" s="38">
        <v>0</v>
      </c>
      <c r="L100" s="38">
        <v>0</v>
      </c>
      <c r="M100" s="39">
        <v>0.66</v>
      </c>
      <c r="N100" s="10" t="str">
        <f t="shared" si="18"/>
        <v>W</v>
      </c>
      <c r="O100" s="11">
        <f t="shared" si="19"/>
        <v>45917</v>
      </c>
      <c r="P100" s="12" t="str">
        <f t="shared" si="20"/>
        <v>21</v>
      </c>
      <c r="Q100" s="13" t="str">
        <f>VLOOKUP($B100,Deals_Demo!$H:$N,7,0)</f>
        <v>strategy_10_demo</v>
      </c>
      <c r="R100" s="13" t="str">
        <f t="shared" si="21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2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15"/>
        <v>6.6000000000000003E-2</v>
      </c>
      <c r="Y100" s="13">
        <f t="shared" si="16"/>
        <v>0.13200000000000001</v>
      </c>
      <c r="Z100" s="13">
        <f t="shared" si="17"/>
        <v>0.19800000000000001</v>
      </c>
      <c r="AA100" s="13">
        <f t="shared" si="23"/>
        <v>-3</v>
      </c>
    </row>
    <row r="101" spans="1:27" x14ac:dyDescent="0.25">
      <c r="A101" s="40">
        <v>45917.89603009259</v>
      </c>
      <c r="B101" s="41">
        <v>443058463</v>
      </c>
      <c r="C101" s="42" t="s">
        <v>36</v>
      </c>
      <c r="D101" s="42" t="s">
        <v>39</v>
      </c>
      <c r="E101" s="42" t="s">
        <v>38</v>
      </c>
      <c r="F101" s="43">
        <v>3683.58</v>
      </c>
      <c r="G101" s="43">
        <v>3686.64</v>
      </c>
      <c r="H101" s="43">
        <v>3682.14</v>
      </c>
      <c r="I101" s="42" t="s">
        <v>195</v>
      </c>
      <c r="J101" s="43">
        <v>3681.77</v>
      </c>
      <c r="K101" s="43">
        <v>0</v>
      </c>
      <c r="L101" s="43">
        <v>0</v>
      </c>
      <c r="M101" s="44">
        <v>1.81</v>
      </c>
      <c r="N101" s="10" t="str">
        <f t="shared" si="18"/>
        <v>W</v>
      </c>
      <c r="O101" s="11">
        <f t="shared" si="19"/>
        <v>45917</v>
      </c>
      <c r="P101" s="12" t="str">
        <f t="shared" si="20"/>
        <v>21</v>
      </c>
      <c r="Q101" s="13" t="str">
        <f>VLOOKUP($B101,Deals_Demo!$H:$N,7,0)</f>
        <v>strategy_12_demo</v>
      </c>
      <c r="R101" s="13" t="str">
        <f t="shared" si="21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2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15"/>
        <v>0.18100000000000002</v>
      </c>
      <c r="Y101" s="13">
        <f t="shared" si="16"/>
        <v>0.36200000000000004</v>
      </c>
      <c r="Z101" s="13">
        <f t="shared" si="17"/>
        <v>0.54300000000000004</v>
      </c>
      <c r="AA101" s="13">
        <f t="shared" si="23"/>
        <v>-3</v>
      </c>
    </row>
    <row r="102" spans="1:27" x14ac:dyDescent="0.25">
      <c r="A102" s="35">
        <v>45917.89603009259</v>
      </c>
      <c r="B102" s="36">
        <v>443058467</v>
      </c>
      <c r="C102" s="37" t="s">
        <v>36</v>
      </c>
      <c r="D102" s="37" t="s">
        <v>39</v>
      </c>
      <c r="E102" s="37" t="s">
        <v>38</v>
      </c>
      <c r="F102" s="38">
        <v>3683.54</v>
      </c>
      <c r="G102" s="38">
        <v>3686.58</v>
      </c>
      <c r="H102" s="38">
        <v>3680.08</v>
      </c>
      <c r="I102" s="37" t="s">
        <v>196</v>
      </c>
      <c r="J102" s="38">
        <v>3679.84</v>
      </c>
      <c r="K102" s="38">
        <v>0</v>
      </c>
      <c r="L102" s="38">
        <v>0</v>
      </c>
      <c r="M102" s="39">
        <v>3.7</v>
      </c>
      <c r="N102" s="10" t="str">
        <f t="shared" si="18"/>
        <v>W</v>
      </c>
      <c r="O102" s="11">
        <f t="shared" si="19"/>
        <v>45917</v>
      </c>
      <c r="P102" s="12" t="str">
        <f t="shared" si="20"/>
        <v>21</v>
      </c>
      <c r="Q102" s="13" t="str">
        <f>VLOOKUP($B102,Deals_Demo!$H:$N,7,0)</f>
        <v>strategy_11_demo</v>
      </c>
      <c r="R102" s="13" t="str">
        <f t="shared" si="21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2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15"/>
        <v>0.37000000000000005</v>
      </c>
      <c r="Y102" s="13">
        <f t="shared" si="16"/>
        <v>0.7400000000000001</v>
      </c>
      <c r="Z102" s="13">
        <f t="shared" si="17"/>
        <v>1.1100000000000001</v>
      </c>
      <c r="AA102" s="13">
        <f t="shared" si="23"/>
        <v>3.7</v>
      </c>
    </row>
    <row r="103" spans="1:27" x14ac:dyDescent="0.25">
      <c r="A103" s="40">
        <v>45917.89603009259</v>
      </c>
      <c r="B103" s="41">
        <v>443058471</v>
      </c>
      <c r="C103" s="42" t="s">
        <v>36</v>
      </c>
      <c r="D103" s="42" t="s">
        <v>39</v>
      </c>
      <c r="E103" s="42" t="s">
        <v>38</v>
      </c>
      <c r="F103" s="43">
        <v>3683.36</v>
      </c>
      <c r="G103" s="43">
        <v>3686.08</v>
      </c>
      <c r="H103" s="43">
        <v>3680.58</v>
      </c>
      <c r="I103" s="42" t="s">
        <v>197</v>
      </c>
      <c r="J103" s="43">
        <v>3680.35</v>
      </c>
      <c r="K103" s="43">
        <v>0</v>
      </c>
      <c r="L103" s="43">
        <v>0</v>
      </c>
      <c r="M103" s="44">
        <v>3.01</v>
      </c>
      <c r="N103" s="10" t="str">
        <f t="shared" si="18"/>
        <v>W</v>
      </c>
      <c r="O103" s="11">
        <f t="shared" si="19"/>
        <v>45917</v>
      </c>
      <c r="P103" s="12" t="str">
        <f t="shared" si="20"/>
        <v>21</v>
      </c>
      <c r="Q103" s="13" t="str">
        <f>VLOOKUP($B103,Deals_Demo!$H:$N,7,0)</f>
        <v>strategy_10_demo</v>
      </c>
      <c r="R103" s="13" t="str">
        <f t="shared" si="21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2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15"/>
        <v>0.30099999999999999</v>
      </c>
      <c r="Y103" s="13">
        <f t="shared" si="16"/>
        <v>0.60199999999999998</v>
      </c>
      <c r="Z103" s="13">
        <f t="shared" si="17"/>
        <v>0.90299999999999991</v>
      </c>
      <c r="AA103" s="13">
        <f t="shared" si="23"/>
        <v>3.01</v>
      </c>
    </row>
    <row r="104" spans="1:27" x14ac:dyDescent="0.25">
      <c r="A104" s="35">
        <v>45917.89603009259</v>
      </c>
      <c r="B104" s="36">
        <v>443058474</v>
      </c>
      <c r="C104" s="37" t="s">
        <v>36</v>
      </c>
      <c r="D104" s="37" t="s">
        <v>39</v>
      </c>
      <c r="E104" s="37" t="s">
        <v>38</v>
      </c>
      <c r="F104" s="38">
        <v>3683.13</v>
      </c>
      <c r="G104" s="38">
        <v>3686.58</v>
      </c>
      <c r="H104" s="38">
        <v>3680.58</v>
      </c>
      <c r="I104" s="37" t="s">
        <v>197</v>
      </c>
      <c r="J104" s="38">
        <v>3680.35</v>
      </c>
      <c r="K104" s="38">
        <v>0</v>
      </c>
      <c r="L104" s="38">
        <v>0</v>
      </c>
      <c r="M104" s="39">
        <v>2.78</v>
      </c>
      <c r="N104" s="10" t="str">
        <f t="shared" si="18"/>
        <v>W</v>
      </c>
      <c r="O104" s="11">
        <f t="shared" si="19"/>
        <v>45917</v>
      </c>
      <c r="P104" s="12" t="str">
        <f t="shared" si="20"/>
        <v>21</v>
      </c>
      <c r="Q104" s="13" t="str">
        <f>VLOOKUP($B104,Deals_Demo!$H:$N,7,0)</f>
        <v>strategy_09_demo</v>
      </c>
      <c r="R104" s="13" t="str">
        <f t="shared" si="21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2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15"/>
        <v>0.27799999999999997</v>
      </c>
      <c r="Y104" s="13">
        <f t="shared" si="16"/>
        <v>0.55599999999999994</v>
      </c>
      <c r="Z104" s="13">
        <f t="shared" si="17"/>
        <v>0.83399999999999996</v>
      </c>
      <c r="AA104" s="13">
        <f t="shared" si="23"/>
        <v>-3</v>
      </c>
    </row>
    <row r="105" spans="1:27" x14ac:dyDescent="0.25">
      <c r="A105" s="40">
        <v>45917.90320601852</v>
      </c>
      <c r="B105" s="41">
        <v>443073342</v>
      </c>
      <c r="C105" s="42" t="s">
        <v>36</v>
      </c>
      <c r="D105" s="42" t="s">
        <v>39</v>
      </c>
      <c r="E105" s="42" t="s">
        <v>38</v>
      </c>
      <c r="F105" s="43">
        <v>3672.34</v>
      </c>
      <c r="G105" s="43">
        <v>3674.6</v>
      </c>
      <c r="H105" s="43">
        <v>3669.1</v>
      </c>
      <c r="I105" s="42" t="s">
        <v>198</v>
      </c>
      <c r="J105" s="43">
        <v>3674.72</v>
      </c>
      <c r="K105" s="43">
        <v>0</v>
      </c>
      <c r="L105" s="43">
        <v>0</v>
      </c>
      <c r="M105" s="44">
        <v>-2.38</v>
      </c>
      <c r="N105" s="10" t="str">
        <f t="shared" si="18"/>
        <v>L</v>
      </c>
      <c r="O105" s="11">
        <f t="shared" si="19"/>
        <v>45917</v>
      </c>
      <c r="P105" s="12" t="str">
        <f t="shared" si="20"/>
        <v>21</v>
      </c>
      <c r="Q105" s="13" t="str">
        <f>VLOOKUP($B105,Deals_Demo!$H:$N,7,0)</f>
        <v>strategy_10_demo</v>
      </c>
      <c r="R105" s="13" t="str">
        <f t="shared" si="21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2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15"/>
        <v>-0.23799999999999999</v>
      </c>
      <c r="Y105" s="13">
        <f t="shared" si="16"/>
        <v>-0.47599999999999998</v>
      </c>
      <c r="Z105" s="13">
        <f t="shared" si="17"/>
        <v>-0.71399999999999997</v>
      </c>
      <c r="AA105" s="13">
        <f t="shared" si="23"/>
        <v>-3</v>
      </c>
    </row>
    <row r="106" spans="1:27" x14ac:dyDescent="0.25">
      <c r="A106" s="35">
        <v>45917.903668981482</v>
      </c>
      <c r="B106" s="36">
        <v>443074337</v>
      </c>
      <c r="C106" s="37" t="s">
        <v>36</v>
      </c>
      <c r="D106" s="37" t="s">
        <v>39</v>
      </c>
      <c r="E106" s="37" t="s">
        <v>38</v>
      </c>
      <c r="F106" s="38">
        <v>3672.12</v>
      </c>
      <c r="G106" s="38">
        <v>3675.09</v>
      </c>
      <c r="H106" s="38">
        <v>3670.59</v>
      </c>
      <c r="I106" s="37" t="s">
        <v>199</v>
      </c>
      <c r="J106" s="38">
        <v>3670.42</v>
      </c>
      <c r="K106" s="38">
        <v>0</v>
      </c>
      <c r="L106" s="38">
        <v>0</v>
      </c>
      <c r="M106" s="39">
        <v>1.7</v>
      </c>
      <c r="N106" s="10" t="str">
        <f t="shared" si="18"/>
        <v>W</v>
      </c>
      <c r="O106" s="11">
        <f t="shared" si="19"/>
        <v>45917</v>
      </c>
      <c r="P106" s="12" t="str">
        <f t="shared" si="20"/>
        <v>21</v>
      </c>
      <c r="Q106" s="13" t="str">
        <f>VLOOKUP($B106,Deals_Demo!$H:$N,7,0)</f>
        <v>strategy_12_demo</v>
      </c>
      <c r="R106" s="13" t="str">
        <f t="shared" si="21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2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15"/>
        <v>0.17</v>
      </c>
      <c r="Y106" s="13">
        <f t="shared" si="16"/>
        <v>0.34</v>
      </c>
      <c r="Z106" s="13">
        <f t="shared" si="17"/>
        <v>0.51</v>
      </c>
      <c r="AA106" s="13">
        <f t="shared" si="23"/>
        <v>-3</v>
      </c>
    </row>
    <row r="107" spans="1:27" x14ac:dyDescent="0.25">
      <c r="A107" s="40">
        <v>45917.903668981482</v>
      </c>
      <c r="B107" s="41">
        <v>443074338</v>
      </c>
      <c r="C107" s="42" t="s">
        <v>36</v>
      </c>
      <c r="D107" s="42" t="s">
        <v>39</v>
      </c>
      <c r="E107" s="42" t="s">
        <v>38</v>
      </c>
      <c r="F107" s="43">
        <v>3672.37</v>
      </c>
      <c r="G107" s="43">
        <v>3671.86</v>
      </c>
      <c r="H107" s="43">
        <v>3668.62</v>
      </c>
      <c r="I107" s="42" t="s">
        <v>200</v>
      </c>
      <c r="J107" s="43">
        <v>3668.56</v>
      </c>
      <c r="K107" s="43">
        <v>0</v>
      </c>
      <c r="L107" s="43">
        <v>0</v>
      </c>
      <c r="M107" s="44">
        <v>3.81</v>
      </c>
      <c r="N107" s="10" t="str">
        <f t="shared" si="18"/>
        <v>W</v>
      </c>
      <c r="O107" s="11">
        <f t="shared" si="19"/>
        <v>45917</v>
      </c>
      <c r="P107" s="12" t="str">
        <f t="shared" si="20"/>
        <v>21</v>
      </c>
      <c r="Q107" s="13" t="str">
        <f>VLOOKUP($B107,Deals_Demo!$H:$N,7,0)</f>
        <v>strategy_11_demo</v>
      </c>
      <c r="R107" s="13" t="str">
        <f t="shared" si="21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2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15"/>
        <v>0.38100000000000001</v>
      </c>
      <c r="Y107" s="13">
        <f t="shared" si="16"/>
        <v>0.76200000000000001</v>
      </c>
      <c r="Z107" s="13">
        <f t="shared" si="17"/>
        <v>1.143</v>
      </c>
      <c r="AA107" s="13">
        <f t="shared" si="23"/>
        <v>3.81</v>
      </c>
    </row>
    <row r="108" spans="1:27" x14ac:dyDescent="0.25">
      <c r="A108" s="35">
        <v>45917.903668981482</v>
      </c>
      <c r="B108" s="36">
        <v>443074340</v>
      </c>
      <c r="C108" s="37" t="s">
        <v>36</v>
      </c>
      <c r="D108" s="37" t="s">
        <v>39</v>
      </c>
      <c r="E108" s="37" t="s">
        <v>38</v>
      </c>
      <c r="F108" s="38">
        <v>3672.46</v>
      </c>
      <c r="G108" s="38">
        <v>3672</v>
      </c>
      <c r="H108" s="38">
        <v>3669.12</v>
      </c>
      <c r="I108" s="37" t="s">
        <v>201</v>
      </c>
      <c r="J108" s="38">
        <v>3668.89</v>
      </c>
      <c r="K108" s="38">
        <v>0</v>
      </c>
      <c r="L108" s="38">
        <v>0</v>
      </c>
      <c r="M108" s="39">
        <v>3.57</v>
      </c>
      <c r="N108" s="10" t="str">
        <f t="shared" si="18"/>
        <v>W</v>
      </c>
      <c r="O108" s="11">
        <f t="shared" si="19"/>
        <v>45917</v>
      </c>
      <c r="P108" s="12" t="str">
        <f t="shared" si="20"/>
        <v>21</v>
      </c>
      <c r="Q108" s="13" t="str">
        <f>VLOOKUP($B108,Deals_Demo!$H:$N,7,0)</f>
        <v>strategy_09_demo</v>
      </c>
      <c r="R108" s="13" t="str">
        <f t="shared" si="21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2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15"/>
        <v>0.35699999999999998</v>
      </c>
      <c r="Y108" s="13">
        <f t="shared" si="16"/>
        <v>0.71399999999999997</v>
      </c>
      <c r="Z108" s="13">
        <f t="shared" si="17"/>
        <v>1.071</v>
      </c>
      <c r="AA108" s="13">
        <f t="shared" si="23"/>
        <v>3.57</v>
      </c>
    </row>
    <row r="109" spans="1:27" x14ac:dyDescent="0.25">
      <c r="A109" s="40">
        <v>45917.903668981482</v>
      </c>
      <c r="B109" s="41">
        <v>443074341</v>
      </c>
      <c r="C109" s="42" t="s">
        <v>36</v>
      </c>
      <c r="D109" s="42" t="s">
        <v>39</v>
      </c>
      <c r="E109" s="42" t="s">
        <v>38</v>
      </c>
      <c r="F109" s="43">
        <v>3672.64</v>
      </c>
      <c r="G109" s="43">
        <v>3671.83</v>
      </c>
      <c r="H109" s="43">
        <v>3669.12</v>
      </c>
      <c r="I109" s="42" t="s">
        <v>201</v>
      </c>
      <c r="J109" s="43">
        <v>3668.89</v>
      </c>
      <c r="K109" s="43">
        <v>0</v>
      </c>
      <c r="L109" s="43">
        <v>0</v>
      </c>
      <c r="M109" s="44">
        <v>3.75</v>
      </c>
      <c r="N109" s="10" t="str">
        <f t="shared" si="18"/>
        <v>W</v>
      </c>
      <c r="O109" s="11">
        <f t="shared" si="19"/>
        <v>45917</v>
      </c>
      <c r="P109" s="12" t="str">
        <f t="shared" si="20"/>
        <v>21</v>
      </c>
      <c r="Q109" s="13" t="str">
        <f>VLOOKUP($B109,Deals_Demo!$H:$N,7,0)</f>
        <v>strategy_10_demo</v>
      </c>
      <c r="R109" s="13" t="str">
        <f t="shared" si="21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2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15"/>
        <v>0.375</v>
      </c>
      <c r="Y109" s="13">
        <f t="shared" si="16"/>
        <v>0.75</v>
      </c>
      <c r="Z109" s="13">
        <f t="shared" si="17"/>
        <v>1.125</v>
      </c>
      <c r="AA109" s="13">
        <f t="shared" si="23"/>
        <v>3.75</v>
      </c>
    </row>
    <row r="110" spans="1:27" x14ac:dyDescent="0.25">
      <c r="A110" s="35">
        <v>45917.90828703704</v>
      </c>
      <c r="B110" s="36">
        <v>443083370</v>
      </c>
      <c r="C110" s="37" t="s">
        <v>36</v>
      </c>
      <c r="D110" s="37" t="s">
        <v>39</v>
      </c>
      <c r="E110" s="37" t="s">
        <v>38</v>
      </c>
      <c r="F110" s="38">
        <v>3662.49</v>
      </c>
      <c r="G110" s="38">
        <v>3665.68</v>
      </c>
      <c r="H110" s="38">
        <v>3661.18</v>
      </c>
      <c r="I110" s="37" t="s">
        <v>202</v>
      </c>
      <c r="J110" s="38">
        <v>3660.9</v>
      </c>
      <c r="K110" s="38">
        <v>0</v>
      </c>
      <c r="L110" s="38">
        <v>0</v>
      </c>
      <c r="M110" s="39">
        <v>1.59</v>
      </c>
      <c r="N110" s="10" t="str">
        <f t="shared" si="18"/>
        <v>W</v>
      </c>
      <c r="O110" s="11">
        <f t="shared" si="19"/>
        <v>45917</v>
      </c>
      <c r="P110" s="12" t="str">
        <f t="shared" si="20"/>
        <v>21</v>
      </c>
      <c r="Q110" s="13" t="str">
        <f>VLOOKUP($B110,Deals_Demo!$H:$N,7,0)</f>
        <v>strategy_12_demo</v>
      </c>
      <c r="R110" s="13" t="str">
        <f t="shared" si="21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2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15"/>
        <v>0.15900000000000003</v>
      </c>
      <c r="Y110" s="13">
        <f t="shared" si="16"/>
        <v>0.31800000000000006</v>
      </c>
      <c r="Z110" s="13">
        <f t="shared" si="17"/>
        <v>0.47699999999999998</v>
      </c>
      <c r="AA110" s="13">
        <f t="shared" si="23"/>
        <v>-3</v>
      </c>
    </row>
    <row r="111" spans="1:27" x14ac:dyDescent="0.25">
      <c r="A111" s="40">
        <v>45917.90829861111</v>
      </c>
      <c r="B111" s="41">
        <v>443083372</v>
      </c>
      <c r="C111" s="42" t="s">
        <v>36</v>
      </c>
      <c r="D111" s="42" t="s">
        <v>39</v>
      </c>
      <c r="E111" s="42" t="s">
        <v>38</v>
      </c>
      <c r="F111" s="43">
        <v>3662.54</v>
      </c>
      <c r="G111" s="43">
        <v>3662.58</v>
      </c>
      <c r="H111" s="43">
        <v>3659.49</v>
      </c>
      <c r="I111" s="42" t="s">
        <v>203</v>
      </c>
      <c r="J111" s="43">
        <v>3663.04</v>
      </c>
      <c r="K111" s="43">
        <v>0</v>
      </c>
      <c r="L111" s="43">
        <v>0</v>
      </c>
      <c r="M111" s="44">
        <v>-0.5</v>
      </c>
      <c r="N111" s="10" t="str">
        <f t="shared" si="18"/>
        <v>L</v>
      </c>
      <c r="O111" s="11">
        <f t="shared" si="19"/>
        <v>45917</v>
      </c>
      <c r="P111" s="12" t="str">
        <f t="shared" si="20"/>
        <v>21</v>
      </c>
      <c r="Q111" s="13" t="str">
        <f>VLOOKUP($B111,Deals_Demo!$H:$N,7,0)</f>
        <v>strategy_09_demo</v>
      </c>
      <c r="R111" s="13" t="str">
        <f t="shared" si="21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2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15"/>
        <v>-0.05</v>
      </c>
      <c r="Y111" s="13">
        <f t="shared" si="16"/>
        <v>-0.1</v>
      </c>
      <c r="Z111" s="13">
        <f t="shared" si="17"/>
        <v>-0.15</v>
      </c>
      <c r="AA111" s="13">
        <f t="shared" si="23"/>
        <v>-3</v>
      </c>
    </row>
    <row r="112" spans="1:27" x14ac:dyDescent="0.25">
      <c r="A112" s="35">
        <v>45917.90829861111</v>
      </c>
      <c r="B112" s="36">
        <v>443083379</v>
      </c>
      <c r="C112" s="37" t="s">
        <v>36</v>
      </c>
      <c r="D112" s="37" t="s">
        <v>39</v>
      </c>
      <c r="E112" s="37" t="s">
        <v>38</v>
      </c>
      <c r="F112" s="38">
        <v>3662.82</v>
      </c>
      <c r="G112" s="38">
        <v>3662.58</v>
      </c>
      <c r="H112" s="38">
        <v>3659.49</v>
      </c>
      <c r="I112" s="37" t="s">
        <v>203</v>
      </c>
      <c r="J112" s="38">
        <v>3663.04</v>
      </c>
      <c r="K112" s="38">
        <v>0</v>
      </c>
      <c r="L112" s="38">
        <v>0</v>
      </c>
      <c r="M112" s="39">
        <v>-0.22</v>
      </c>
      <c r="N112" s="10" t="str">
        <f t="shared" si="18"/>
        <v>L</v>
      </c>
      <c r="O112" s="11">
        <f t="shared" si="19"/>
        <v>45917</v>
      </c>
      <c r="P112" s="12" t="str">
        <f t="shared" si="20"/>
        <v>21</v>
      </c>
      <c r="Q112" s="13" t="str">
        <f>VLOOKUP($B112,Deals_Demo!$H:$N,7,0)</f>
        <v>strategy_10_demo</v>
      </c>
      <c r="R112" s="13" t="str">
        <f t="shared" si="21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2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15"/>
        <v>-2.2000000000000002E-2</v>
      </c>
      <c r="Y112" s="13">
        <f t="shared" si="16"/>
        <v>-4.4000000000000004E-2</v>
      </c>
      <c r="Z112" s="13">
        <f t="shared" si="17"/>
        <v>-6.6000000000000003E-2</v>
      </c>
      <c r="AA112" s="13">
        <f t="shared" si="23"/>
        <v>-3</v>
      </c>
    </row>
    <row r="113" spans="1:27" x14ac:dyDescent="0.25">
      <c r="A113" s="40">
        <v>45917.90829861111</v>
      </c>
      <c r="B113" s="41">
        <v>443083386</v>
      </c>
      <c r="C113" s="42" t="s">
        <v>36</v>
      </c>
      <c r="D113" s="42" t="s">
        <v>39</v>
      </c>
      <c r="E113" s="42" t="s">
        <v>38</v>
      </c>
      <c r="F113" s="43">
        <v>3662.82</v>
      </c>
      <c r="G113" s="43">
        <v>3662.68</v>
      </c>
      <c r="H113" s="43">
        <v>3658.99</v>
      </c>
      <c r="I113" s="42" t="s">
        <v>203</v>
      </c>
      <c r="J113" s="43">
        <v>3663.04</v>
      </c>
      <c r="K113" s="43">
        <v>0</v>
      </c>
      <c r="L113" s="43">
        <v>0</v>
      </c>
      <c r="M113" s="44">
        <v>-0.22</v>
      </c>
      <c r="N113" s="10" t="str">
        <f t="shared" si="18"/>
        <v>L</v>
      </c>
      <c r="O113" s="11">
        <f t="shared" si="19"/>
        <v>45917</v>
      </c>
      <c r="P113" s="12" t="str">
        <f t="shared" si="20"/>
        <v>21</v>
      </c>
      <c r="Q113" s="13" t="str">
        <f>VLOOKUP($B113,Deals_Demo!$H:$N,7,0)</f>
        <v>strategy_11_demo</v>
      </c>
      <c r="R113" s="13" t="str">
        <f t="shared" si="21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2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15"/>
        <v>-2.2000000000000002E-2</v>
      </c>
      <c r="Y113" s="13">
        <f t="shared" si="16"/>
        <v>-4.4000000000000004E-2</v>
      </c>
      <c r="Z113" s="13">
        <f t="shared" si="17"/>
        <v>-6.6000000000000003E-2</v>
      </c>
      <c r="AA113" s="13">
        <f t="shared" si="23"/>
        <v>-3</v>
      </c>
    </row>
    <row r="114" spans="1:27" x14ac:dyDescent="0.25">
      <c r="A114" s="35">
        <v>45917.908634259256</v>
      </c>
      <c r="B114" s="36">
        <v>443083702</v>
      </c>
      <c r="C114" s="37" t="s">
        <v>36</v>
      </c>
      <c r="D114" s="37" t="s">
        <v>39</v>
      </c>
      <c r="E114" s="37" t="s">
        <v>38</v>
      </c>
      <c r="F114" s="38">
        <v>3662.76</v>
      </c>
      <c r="G114" s="38">
        <v>3665.89</v>
      </c>
      <c r="H114" s="38">
        <v>3661.39</v>
      </c>
      <c r="I114" s="37" t="s">
        <v>204</v>
      </c>
      <c r="J114" s="38">
        <v>3661.36</v>
      </c>
      <c r="K114" s="38">
        <v>0</v>
      </c>
      <c r="L114" s="38">
        <v>0</v>
      </c>
      <c r="M114" s="39">
        <v>1.4</v>
      </c>
      <c r="N114" s="10" t="str">
        <f t="shared" si="18"/>
        <v>W</v>
      </c>
      <c r="O114" s="11">
        <f t="shared" si="19"/>
        <v>45917</v>
      </c>
      <c r="P114" s="12" t="str">
        <f t="shared" si="20"/>
        <v>21</v>
      </c>
      <c r="Q114" s="13" t="str">
        <f>VLOOKUP($B114,Deals_Demo!$H:$N,7,0)</f>
        <v>strategy_12_demo</v>
      </c>
      <c r="R114" s="13" t="str">
        <f t="shared" si="21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2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15"/>
        <v>0.13999999999999999</v>
      </c>
      <c r="Y114" s="13">
        <f t="shared" si="16"/>
        <v>0.27999999999999997</v>
      </c>
      <c r="Z114" s="13">
        <f t="shared" si="17"/>
        <v>0.42</v>
      </c>
      <c r="AA114" s="13">
        <f t="shared" si="23"/>
        <v>-3</v>
      </c>
    </row>
    <row r="115" spans="1:27" x14ac:dyDescent="0.25">
      <c r="A115" s="40">
        <v>45917.908645833333</v>
      </c>
      <c r="B115" s="41">
        <v>443083704</v>
      </c>
      <c r="C115" s="42" t="s">
        <v>36</v>
      </c>
      <c r="D115" s="42" t="s">
        <v>39</v>
      </c>
      <c r="E115" s="42" t="s">
        <v>38</v>
      </c>
      <c r="F115" s="43">
        <v>3662.8</v>
      </c>
      <c r="G115" s="43">
        <v>3665.26</v>
      </c>
      <c r="H115" s="43">
        <v>3659.76</v>
      </c>
      <c r="I115" s="42" t="s">
        <v>205</v>
      </c>
      <c r="J115" s="43">
        <v>3659.68</v>
      </c>
      <c r="K115" s="43">
        <v>0</v>
      </c>
      <c r="L115" s="43">
        <v>0</v>
      </c>
      <c r="M115" s="44">
        <v>3.12</v>
      </c>
      <c r="N115" s="10" t="str">
        <f t="shared" si="18"/>
        <v>W</v>
      </c>
      <c r="O115" s="11">
        <f t="shared" si="19"/>
        <v>45917</v>
      </c>
      <c r="P115" s="12" t="str">
        <f t="shared" si="20"/>
        <v>21</v>
      </c>
      <c r="Q115" s="13" t="str">
        <f>VLOOKUP($B115,Deals_Demo!$H:$N,7,0)</f>
        <v>strategy_10_demo</v>
      </c>
      <c r="R115" s="13" t="str">
        <f t="shared" si="21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2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15"/>
        <v>0.31200000000000006</v>
      </c>
      <c r="Y115" s="13">
        <f t="shared" si="16"/>
        <v>0.62400000000000011</v>
      </c>
      <c r="Z115" s="13">
        <f t="shared" si="17"/>
        <v>0.93599999999999994</v>
      </c>
      <c r="AA115" s="13">
        <f t="shared" si="23"/>
        <v>3.12</v>
      </c>
    </row>
    <row r="116" spans="1:27" x14ac:dyDescent="0.25">
      <c r="A116" s="35">
        <v>45917.908645833333</v>
      </c>
      <c r="B116" s="36">
        <v>443083705</v>
      </c>
      <c r="C116" s="37" t="s">
        <v>36</v>
      </c>
      <c r="D116" s="37" t="s">
        <v>39</v>
      </c>
      <c r="E116" s="37" t="s">
        <v>38</v>
      </c>
      <c r="F116" s="38">
        <v>3662.78</v>
      </c>
      <c r="G116" s="38">
        <v>3661.7</v>
      </c>
      <c r="H116" s="38">
        <v>3659.26</v>
      </c>
      <c r="I116" s="37" t="s">
        <v>206</v>
      </c>
      <c r="J116" s="38">
        <v>3659.11</v>
      </c>
      <c r="K116" s="38">
        <v>0</v>
      </c>
      <c r="L116" s="38">
        <v>0</v>
      </c>
      <c r="M116" s="39">
        <v>3.67</v>
      </c>
      <c r="N116" s="10" t="str">
        <f t="shared" si="18"/>
        <v>W</v>
      </c>
      <c r="O116" s="11">
        <f t="shared" si="19"/>
        <v>45917</v>
      </c>
      <c r="P116" s="12" t="str">
        <f t="shared" si="20"/>
        <v>21</v>
      </c>
      <c r="Q116" s="13" t="str">
        <f>VLOOKUP($B116,Deals_Demo!$H:$N,7,0)</f>
        <v>strategy_11_demo</v>
      </c>
      <c r="R116" s="13" t="str">
        <f t="shared" si="21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2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15"/>
        <v>0.36699999999999999</v>
      </c>
      <c r="Y116" s="13">
        <f t="shared" si="16"/>
        <v>0.73399999999999999</v>
      </c>
      <c r="Z116" s="13">
        <f t="shared" si="17"/>
        <v>1.101</v>
      </c>
      <c r="AA116" s="13">
        <f t="shared" si="23"/>
        <v>3.67</v>
      </c>
    </row>
    <row r="117" spans="1:27" x14ac:dyDescent="0.25">
      <c r="A117" s="40">
        <v>45917.908645833333</v>
      </c>
      <c r="B117" s="41">
        <v>443083707</v>
      </c>
      <c r="C117" s="42" t="s">
        <v>36</v>
      </c>
      <c r="D117" s="42" t="s">
        <v>39</v>
      </c>
      <c r="E117" s="42" t="s">
        <v>38</v>
      </c>
      <c r="F117" s="43">
        <v>3662.73</v>
      </c>
      <c r="G117" s="43">
        <v>3665.76</v>
      </c>
      <c r="H117" s="43">
        <v>3659.76</v>
      </c>
      <c r="I117" s="42" t="s">
        <v>205</v>
      </c>
      <c r="J117" s="43">
        <v>3659.68</v>
      </c>
      <c r="K117" s="43">
        <v>0</v>
      </c>
      <c r="L117" s="43">
        <v>0</v>
      </c>
      <c r="M117" s="44">
        <v>3.05</v>
      </c>
      <c r="N117" s="10" t="str">
        <f t="shared" si="18"/>
        <v>W</v>
      </c>
      <c r="O117" s="11">
        <f t="shared" si="19"/>
        <v>45917</v>
      </c>
      <c r="P117" s="12" t="str">
        <f t="shared" si="20"/>
        <v>21</v>
      </c>
      <c r="Q117" s="13" t="str">
        <f>VLOOKUP($B117,Deals_Demo!$H:$N,7,0)</f>
        <v>strategy_09_demo</v>
      </c>
      <c r="R117" s="13" t="str">
        <f t="shared" si="21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2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15"/>
        <v>0.30499999999999999</v>
      </c>
      <c r="Y117" s="13">
        <f t="shared" si="16"/>
        <v>0.61</v>
      </c>
      <c r="Z117" s="13">
        <f t="shared" si="17"/>
        <v>0.91499999999999992</v>
      </c>
      <c r="AA117" s="13">
        <f t="shared" si="23"/>
        <v>3.05</v>
      </c>
    </row>
    <row r="118" spans="1:27" x14ac:dyDescent="0.25">
      <c r="A118" s="35">
        <v>45917.913958333331</v>
      </c>
      <c r="B118" s="36">
        <v>443094434</v>
      </c>
      <c r="C118" s="37" t="s">
        <v>36</v>
      </c>
      <c r="D118" s="37" t="s">
        <v>39</v>
      </c>
      <c r="E118" s="37" t="s">
        <v>38</v>
      </c>
      <c r="F118" s="38">
        <v>3650.16</v>
      </c>
      <c r="G118" s="38">
        <v>3653.76</v>
      </c>
      <c r="H118" s="38">
        <v>3647.26</v>
      </c>
      <c r="I118" s="37" t="s">
        <v>207</v>
      </c>
      <c r="J118" s="38">
        <v>3647.25</v>
      </c>
      <c r="K118" s="38">
        <v>0</v>
      </c>
      <c r="L118" s="38">
        <v>0</v>
      </c>
      <c r="M118" s="39">
        <v>2.91</v>
      </c>
      <c r="N118" s="10" t="str">
        <f t="shared" si="18"/>
        <v>W</v>
      </c>
      <c r="O118" s="11">
        <f t="shared" si="19"/>
        <v>45917</v>
      </c>
      <c r="P118" s="12" t="str">
        <f t="shared" si="20"/>
        <v>21</v>
      </c>
      <c r="Q118" s="13" t="str">
        <f>VLOOKUP($B118,Deals_Demo!$H:$N,7,0)</f>
        <v>strategy_11_demo</v>
      </c>
      <c r="R118" s="13" t="str">
        <f t="shared" si="21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2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15"/>
        <v>0.29100000000000004</v>
      </c>
      <c r="Y118" s="13">
        <f t="shared" si="16"/>
        <v>0.58200000000000007</v>
      </c>
      <c r="Z118" s="13">
        <f t="shared" si="17"/>
        <v>0.873</v>
      </c>
      <c r="AA118" s="13">
        <f t="shared" si="23"/>
        <v>2.91</v>
      </c>
    </row>
    <row r="119" spans="1:27" x14ac:dyDescent="0.25">
      <c r="A119" s="40">
        <v>45917.913969907408</v>
      </c>
      <c r="B119" s="41">
        <v>443094439</v>
      </c>
      <c r="C119" s="42" t="s">
        <v>36</v>
      </c>
      <c r="D119" s="42" t="s">
        <v>39</v>
      </c>
      <c r="E119" s="42" t="s">
        <v>38</v>
      </c>
      <c r="F119" s="43">
        <v>3650.19</v>
      </c>
      <c r="G119" s="43">
        <v>3652.66</v>
      </c>
      <c r="H119" s="43">
        <v>3647.16</v>
      </c>
      <c r="I119" s="42" t="s">
        <v>207</v>
      </c>
      <c r="J119" s="43">
        <v>3647.13</v>
      </c>
      <c r="K119" s="43">
        <v>0</v>
      </c>
      <c r="L119" s="43">
        <v>0</v>
      </c>
      <c r="M119" s="44">
        <v>3.06</v>
      </c>
      <c r="N119" s="10" t="str">
        <f t="shared" si="18"/>
        <v>W</v>
      </c>
      <c r="O119" s="11">
        <f t="shared" si="19"/>
        <v>45917</v>
      </c>
      <c r="P119" s="12" t="str">
        <f t="shared" si="20"/>
        <v>21</v>
      </c>
      <c r="Q119" s="13" t="str">
        <f>VLOOKUP($B119,Deals_Demo!$H:$N,7,0)</f>
        <v>strategy_10_demo</v>
      </c>
      <c r="R119" s="13" t="str">
        <f t="shared" si="21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2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15"/>
        <v>0.30600000000000005</v>
      </c>
      <c r="Y119" s="13">
        <f t="shared" si="16"/>
        <v>0.6120000000000001</v>
      </c>
      <c r="Z119" s="13">
        <f t="shared" si="17"/>
        <v>0.91799999999999993</v>
      </c>
      <c r="AA119" s="13">
        <f t="shared" si="23"/>
        <v>3.06</v>
      </c>
    </row>
    <row r="120" spans="1:27" x14ac:dyDescent="0.25">
      <c r="A120" s="35">
        <v>45917.913969907408</v>
      </c>
      <c r="B120" s="36">
        <v>443094442</v>
      </c>
      <c r="C120" s="37" t="s">
        <v>36</v>
      </c>
      <c r="D120" s="37" t="s">
        <v>39</v>
      </c>
      <c r="E120" s="37" t="s">
        <v>38</v>
      </c>
      <c r="F120" s="38">
        <v>3650.19</v>
      </c>
      <c r="G120" s="38">
        <v>3653.16</v>
      </c>
      <c r="H120" s="38">
        <v>3647.16</v>
      </c>
      <c r="I120" s="37" t="s">
        <v>207</v>
      </c>
      <c r="J120" s="38">
        <v>3647.13</v>
      </c>
      <c r="K120" s="38">
        <v>0</v>
      </c>
      <c r="L120" s="38">
        <v>0</v>
      </c>
      <c r="M120" s="39">
        <v>3.06</v>
      </c>
      <c r="N120" s="10" t="str">
        <f t="shared" si="18"/>
        <v>W</v>
      </c>
      <c r="O120" s="11">
        <f t="shared" si="19"/>
        <v>45917</v>
      </c>
      <c r="P120" s="12" t="str">
        <f t="shared" si="20"/>
        <v>21</v>
      </c>
      <c r="Q120" s="13" t="str">
        <f>VLOOKUP($B120,Deals_Demo!$H:$N,7,0)</f>
        <v>strategy_09_demo</v>
      </c>
      <c r="R120" s="13" t="str">
        <f t="shared" si="21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2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15"/>
        <v>0.30600000000000005</v>
      </c>
      <c r="Y120" s="13">
        <f t="shared" si="16"/>
        <v>0.6120000000000001</v>
      </c>
      <c r="Z120" s="13">
        <f t="shared" si="17"/>
        <v>0.91799999999999993</v>
      </c>
      <c r="AA120" s="13">
        <f t="shared" si="23"/>
        <v>3.06</v>
      </c>
    </row>
    <row r="121" spans="1:27" x14ac:dyDescent="0.25">
      <c r="A121" s="40">
        <v>45917.913969907408</v>
      </c>
      <c r="B121" s="41">
        <v>443094444</v>
      </c>
      <c r="C121" s="42" t="s">
        <v>36</v>
      </c>
      <c r="D121" s="42" t="s">
        <v>39</v>
      </c>
      <c r="E121" s="42" t="s">
        <v>38</v>
      </c>
      <c r="F121" s="43">
        <v>3650.14</v>
      </c>
      <c r="G121" s="43">
        <v>3653.16</v>
      </c>
      <c r="H121" s="43">
        <v>3648.66</v>
      </c>
      <c r="I121" s="42" t="s">
        <v>208</v>
      </c>
      <c r="J121" s="43">
        <v>3648.5</v>
      </c>
      <c r="K121" s="43">
        <v>0</v>
      </c>
      <c r="L121" s="43">
        <v>0</v>
      </c>
      <c r="M121" s="44">
        <v>1.64</v>
      </c>
      <c r="N121" s="10" t="str">
        <f t="shared" si="18"/>
        <v>W</v>
      </c>
      <c r="O121" s="11">
        <f t="shared" si="19"/>
        <v>45917</v>
      </c>
      <c r="P121" s="12" t="str">
        <f t="shared" si="20"/>
        <v>21</v>
      </c>
      <c r="Q121" s="13" t="str">
        <f>VLOOKUP($B121,Deals_Demo!$H:$N,7,0)</f>
        <v>strategy_12_demo</v>
      </c>
      <c r="R121" s="13" t="str">
        <f t="shared" si="21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2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15"/>
        <v>0.16400000000000001</v>
      </c>
      <c r="Y121" s="13">
        <f t="shared" si="16"/>
        <v>0.32800000000000001</v>
      </c>
      <c r="Z121" s="13">
        <f t="shared" si="17"/>
        <v>0.49199999999999994</v>
      </c>
      <c r="AA121" s="13">
        <f t="shared" si="23"/>
        <v>-3</v>
      </c>
    </row>
    <row r="122" spans="1:27" x14ac:dyDescent="0.25">
      <c r="A122" s="35">
        <v>45917.915694444448</v>
      </c>
      <c r="B122" s="36">
        <v>443096807</v>
      </c>
      <c r="C122" s="37" t="s">
        <v>36</v>
      </c>
      <c r="D122" s="37" t="s">
        <v>39</v>
      </c>
      <c r="E122" s="37" t="s">
        <v>38</v>
      </c>
      <c r="F122" s="38">
        <v>3649.84</v>
      </c>
      <c r="G122" s="38">
        <v>3653.06</v>
      </c>
      <c r="H122" s="38">
        <v>3648.56</v>
      </c>
      <c r="I122" s="37" t="s">
        <v>209</v>
      </c>
      <c r="J122" s="38">
        <v>3653.08</v>
      </c>
      <c r="K122" s="38">
        <v>0</v>
      </c>
      <c r="L122" s="38">
        <v>0</v>
      </c>
      <c r="M122" s="39">
        <v>-3.24</v>
      </c>
      <c r="N122" s="10" t="str">
        <f t="shared" si="18"/>
        <v>L</v>
      </c>
      <c r="O122" s="11">
        <f t="shared" si="19"/>
        <v>45917</v>
      </c>
      <c r="P122" s="12" t="str">
        <f t="shared" si="20"/>
        <v>21</v>
      </c>
      <c r="Q122" s="13" t="str">
        <f>VLOOKUP($B122,Deals_Demo!$H:$N,7,0)</f>
        <v>strategy_12_demo</v>
      </c>
      <c r="R122" s="13" t="str">
        <f t="shared" si="21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2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15"/>
        <v>-0.32400000000000007</v>
      </c>
      <c r="Y122" s="13">
        <f t="shared" si="16"/>
        <v>-0.64800000000000013</v>
      </c>
      <c r="Z122" s="13">
        <f t="shared" si="17"/>
        <v>-0.97199999999999998</v>
      </c>
      <c r="AA122" s="13">
        <f t="shared" si="23"/>
        <v>-3</v>
      </c>
    </row>
    <row r="123" spans="1:27" x14ac:dyDescent="0.25">
      <c r="A123" s="40">
        <v>45917.915706018517</v>
      </c>
      <c r="B123" s="41">
        <v>443096811</v>
      </c>
      <c r="C123" s="42" t="s">
        <v>36</v>
      </c>
      <c r="D123" s="42" t="s">
        <v>39</v>
      </c>
      <c r="E123" s="42" t="s">
        <v>38</v>
      </c>
      <c r="F123" s="43">
        <v>3649.77</v>
      </c>
      <c r="G123" s="43">
        <v>3652.34</v>
      </c>
      <c r="H123" s="43">
        <v>3646.84</v>
      </c>
      <c r="I123" s="42" t="s">
        <v>210</v>
      </c>
      <c r="J123" s="43">
        <v>3652.45</v>
      </c>
      <c r="K123" s="43">
        <v>0</v>
      </c>
      <c r="L123" s="43">
        <v>0</v>
      </c>
      <c r="M123" s="44">
        <v>-2.68</v>
      </c>
      <c r="N123" s="10" t="str">
        <f t="shared" si="18"/>
        <v>L</v>
      </c>
      <c r="O123" s="11">
        <f t="shared" si="19"/>
        <v>45917</v>
      </c>
      <c r="P123" s="12" t="str">
        <f t="shared" si="20"/>
        <v>21</v>
      </c>
      <c r="Q123" s="13" t="str">
        <f>VLOOKUP($B123,Deals_Demo!$H:$N,7,0)</f>
        <v>strategy_10_demo</v>
      </c>
      <c r="R123" s="13" t="str">
        <f t="shared" si="21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2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15"/>
        <v>-0.26800000000000002</v>
      </c>
      <c r="Y123" s="13">
        <f t="shared" si="16"/>
        <v>-0.53600000000000003</v>
      </c>
      <c r="Z123" s="13">
        <f t="shared" si="17"/>
        <v>-0.80400000000000005</v>
      </c>
      <c r="AA123" s="13">
        <f t="shared" si="23"/>
        <v>-3</v>
      </c>
    </row>
    <row r="124" spans="1:27" x14ac:dyDescent="0.25">
      <c r="A124" s="35">
        <v>45917.915706018517</v>
      </c>
      <c r="B124" s="36">
        <v>443096813</v>
      </c>
      <c r="C124" s="37" t="s">
        <v>36</v>
      </c>
      <c r="D124" s="37" t="s">
        <v>39</v>
      </c>
      <c r="E124" s="37" t="s">
        <v>38</v>
      </c>
      <c r="F124" s="38">
        <v>3649.95</v>
      </c>
      <c r="G124" s="38">
        <v>3652.84</v>
      </c>
      <c r="H124" s="38">
        <v>3646.34</v>
      </c>
      <c r="I124" s="37" t="s">
        <v>210</v>
      </c>
      <c r="J124" s="38">
        <v>3652.94</v>
      </c>
      <c r="K124" s="38">
        <v>0</v>
      </c>
      <c r="L124" s="38">
        <v>0</v>
      </c>
      <c r="M124" s="39">
        <v>-2.99</v>
      </c>
      <c r="N124" s="10" t="str">
        <f t="shared" si="18"/>
        <v>L</v>
      </c>
      <c r="O124" s="11">
        <f t="shared" si="19"/>
        <v>45917</v>
      </c>
      <c r="P124" s="12" t="str">
        <f t="shared" si="20"/>
        <v>21</v>
      </c>
      <c r="Q124" s="13" t="str">
        <f>VLOOKUP($B124,Deals_Demo!$H:$N,7,0)</f>
        <v>strategy_11_demo</v>
      </c>
      <c r="R124" s="13" t="str">
        <f t="shared" si="21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2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15"/>
        <v>-0.29900000000000004</v>
      </c>
      <c r="Y124" s="13">
        <f t="shared" si="16"/>
        <v>-0.59800000000000009</v>
      </c>
      <c r="Z124" s="13">
        <f t="shared" si="17"/>
        <v>-0.89700000000000002</v>
      </c>
      <c r="AA124" s="13">
        <f t="shared" si="23"/>
        <v>-3</v>
      </c>
    </row>
    <row r="125" spans="1:27" x14ac:dyDescent="0.25">
      <c r="A125" s="40">
        <v>45917.915706018517</v>
      </c>
      <c r="B125" s="41">
        <v>443096816</v>
      </c>
      <c r="C125" s="42" t="s">
        <v>36</v>
      </c>
      <c r="D125" s="42" t="s">
        <v>39</v>
      </c>
      <c r="E125" s="42" t="s">
        <v>38</v>
      </c>
      <c r="F125" s="43">
        <v>3651.08</v>
      </c>
      <c r="G125" s="43">
        <v>3652.84</v>
      </c>
      <c r="H125" s="43">
        <v>3646.84</v>
      </c>
      <c r="I125" s="42" t="s">
        <v>210</v>
      </c>
      <c r="J125" s="43">
        <v>3652.94</v>
      </c>
      <c r="K125" s="43">
        <v>0</v>
      </c>
      <c r="L125" s="43">
        <v>0</v>
      </c>
      <c r="M125" s="44">
        <v>-1.86</v>
      </c>
      <c r="N125" s="10" t="str">
        <f t="shared" si="18"/>
        <v>L</v>
      </c>
      <c r="O125" s="11">
        <f t="shared" si="19"/>
        <v>45917</v>
      </c>
      <c r="P125" s="12" t="str">
        <f t="shared" si="20"/>
        <v>21</v>
      </c>
      <c r="Q125" s="13" t="str">
        <f>VLOOKUP($B125,Deals_Demo!$H:$N,7,0)</f>
        <v>strategy_09_demo</v>
      </c>
      <c r="R125" s="13" t="str">
        <f t="shared" si="21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2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15"/>
        <v>-0.18600000000000003</v>
      </c>
      <c r="Y125" s="13">
        <f t="shared" si="16"/>
        <v>-0.37200000000000005</v>
      </c>
      <c r="Z125" s="13">
        <f t="shared" si="17"/>
        <v>-0.55800000000000005</v>
      </c>
      <c r="AA125" s="13">
        <f t="shared" si="23"/>
        <v>-3</v>
      </c>
    </row>
    <row r="126" spans="1:27" x14ac:dyDescent="0.25">
      <c r="A126" s="35">
        <v>45917.916041666664</v>
      </c>
      <c r="B126" s="36">
        <v>443097191</v>
      </c>
      <c r="C126" s="37" t="s">
        <v>36</v>
      </c>
      <c r="D126" s="37" t="s">
        <v>39</v>
      </c>
      <c r="E126" s="37" t="s">
        <v>38</v>
      </c>
      <c r="F126" s="38">
        <v>3650.47</v>
      </c>
      <c r="G126" s="38">
        <v>3653.55</v>
      </c>
      <c r="H126" s="38">
        <v>3649.05</v>
      </c>
      <c r="I126" s="37" t="s">
        <v>211</v>
      </c>
      <c r="J126" s="38">
        <v>3648.73</v>
      </c>
      <c r="K126" s="38">
        <v>0</v>
      </c>
      <c r="L126" s="38">
        <v>0</v>
      </c>
      <c r="M126" s="39">
        <v>1.74</v>
      </c>
      <c r="N126" s="10" t="str">
        <f t="shared" si="18"/>
        <v>W</v>
      </c>
      <c r="O126" s="11">
        <f t="shared" si="19"/>
        <v>45917</v>
      </c>
      <c r="P126" s="12" t="str">
        <f t="shared" si="20"/>
        <v>21</v>
      </c>
      <c r="Q126" s="13" t="str">
        <f>VLOOKUP($B126,Deals_Demo!$H:$N,7,0)</f>
        <v>strategy_12_demo</v>
      </c>
      <c r="R126" s="13" t="str">
        <f t="shared" si="21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2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15"/>
        <v>0.17400000000000002</v>
      </c>
      <c r="Y126" s="13">
        <f t="shared" si="16"/>
        <v>0.34800000000000003</v>
      </c>
      <c r="Z126" s="13">
        <f t="shared" si="17"/>
        <v>0.52200000000000002</v>
      </c>
      <c r="AA126" s="13">
        <f t="shared" si="23"/>
        <v>-3</v>
      </c>
    </row>
    <row r="127" spans="1:27" x14ac:dyDescent="0.25">
      <c r="A127" s="40">
        <v>45917.91605324074</v>
      </c>
      <c r="B127" s="41">
        <v>443097195</v>
      </c>
      <c r="C127" s="42" t="s">
        <v>36</v>
      </c>
      <c r="D127" s="42" t="s">
        <v>39</v>
      </c>
      <c r="E127" s="42" t="s">
        <v>38</v>
      </c>
      <c r="F127" s="43">
        <v>3650.4</v>
      </c>
      <c r="G127" s="43">
        <v>3652.97</v>
      </c>
      <c r="H127" s="43">
        <v>3647.47</v>
      </c>
      <c r="I127" s="42" t="s">
        <v>212</v>
      </c>
      <c r="J127" s="43">
        <v>3647.43</v>
      </c>
      <c r="K127" s="43">
        <v>0</v>
      </c>
      <c r="L127" s="43">
        <v>0</v>
      </c>
      <c r="M127" s="44">
        <v>2.97</v>
      </c>
      <c r="N127" s="10" t="str">
        <f t="shared" si="18"/>
        <v>W</v>
      </c>
      <c r="O127" s="11">
        <f t="shared" si="19"/>
        <v>45917</v>
      </c>
      <c r="P127" s="12" t="str">
        <f t="shared" si="20"/>
        <v>21</v>
      </c>
      <c r="Q127" s="13" t="str">
        <f>VLOOKUP($B127,Deals_Demo!$H:$N,7,0)</f>
        <v>strategy_10_demo</v>
      </c>
      <c r="R127" s="13" t="str">
        <f t="shared" si="21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2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15"/>
        <v>0.29700000000000004</v>
      </c>
      <c r="Y127" s="13">
        <f t="shared" si="16"/>
        <v>0.59400000000000008</v>
      </c>
      <c r="Z127" s="13">
        <f t="shared" si="17"/>
        <v>0.89100000000000001</v>
      </c>
      <c r="AA127" s="13">
        <f t="shared" si="23"/>
        <v>2.97</v>
      </c>
    </row>
    <row r="128" spans="1:27" x14ac:dyDescent="0.25">
      <c r="A128" s="35">
        <v>45917.91605324074</v>
      </c>
      <c r="B128" s="36">
        <v>443097198</v>
      </c>
      <c r="C128" s="37" t="s">
        <v>36</v>
      </c>
      <c r="D128" s="37" t="s">
        <v>39</v>
      </c>
      <c r="E128" s="37" t="s">
        <v>38</v>
      </c>
      <c r="F128" s="38">
        <v>3649.95</v>
      </c>
      <c r="G128" s="38">
        <v>3653.47</v>
      </c>
      <c r="H128" s="38">
        <v>3647.47</v>
      </c>
      <c r="I128" s="37" t="s">
        <v>212</v>
      </c>
      <c r="J128" s="38">
        <v>3647.43</v>
      </c>
      <c r="K128" s="38">
        <v>0</v>
      </c>
      <c r="L128" s="38">
        <v>0</v>
      </c>
      <c r="M128" s="39">
        <v>2.52</v>
      </c>
      <c r="N128" s="10" t="str">
        <f t="shared" si="18"/>
        <v>W</v>
      </c>
      <c r="O128" s="11">
        <f t="shared" si="19"/>
        <v>45917</v>
      </c>
      <c r="P128" s="12" t="str">
        <f t="shared" si="20"/>
        <v>21</v>
      </c>
      <c r="Q128" s="13" t="str">
        <f>VLOOKUP($B128,Deals_Demo!$H:$N,7,0)</f>
        <v>strategy_09_demo</v>
      </c>
      <c r="R128" s="13" t="str">
        <f t="shared" si="21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2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15"/>
        <v>0.252</v>
      </c>
      <c r="Y128" s="13">
        <f t="shared" si="16"/>
        <v>0.504</v>
      </c>
      <c r="Z128" s="13">
        <f t="shared" si="17"/>
        <v>0.75600000000000001</v>
      </c>
      <c r="AA128" s="13">
        <f t="shared" si="23"/>
        <v>-3</v>
      </c>
    </row>
    <row r="129" spans="1:27" x14ac:dyDescent="0.25">
      <c r="A129" s="40">
        <v>45917.91605324074</v>
      </c>
      <c r="B129" s="41">
        <v>443097201</v>
      </c>
      <c r="C129" s="42" t="s">
        <v>36</v>
      </c>
      <c r="D129" s="42" t="s">
        <v>39</v>
      </c>
      <c r="E129" s="42" t="s">
        <v>38</v>
      </c>
      <c r="F129" s="43">
        <v>3649.74</v>
      </c>
      <c r="G129" s="43">
        <v>3653.47</v>
      </c>
      <c r="H129" s="43">
        <v>3646.97</v>
      </c>
      <c r="I129" s="42" t="s">
        <v>213</v>
      </c>
      <c r="J129" s="43">
        <v>3646.67</v>
      </c>
      <c r="K129" s="43">
        <v>0</v>
      </c>
      <c r="L129" s="43">
        <v>0</v>
      </c>
      <c r="M129" s="44">
        <v>3.07</v>
      </c>
      <c r="N129" s="10" t="str">
        <f t="shared" si="18"/>
        <v>W</v>
      </c>
      <c r="O129" s="11">
        <f t="shared" si="19"/>
        <v>45917</v>
      </c>
      <c r="P129" s="12" t="str">
        <f t="shared" si="20"/>
        <v>21</v>
      </c>
      <c r="Q129" s="13" t="str">
        <f>VLOOKUP($B129,Deals_Demo!$H:$N,7,0)</f>
        <v>strategy_11_demo</v>
      </c>
      <c r="R129" s="13" t="str">
        <f t="shared" si="21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2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15"/>
        <v>0.307</v>
      </c>
      <c r="Y129" s="13">
        <f t="shared" si="16"/>
        <v>0.61399999999999999</v>
      </c>
      <c r="Z129" s="13">
        <f t="shared" si="17"/>
        <v>0.92099999999999993</v>
      </c>
      <c r="AA129" s="13">
        <f t="shared" si="23"/>
        <v>3.07</v>
      </c>
    </row>
    <row r="130" spans="1:27" x14ac:dyDescent="0.25">
      <c r="A130" s="35">
        <v>45917.918124999997</v>
      </c>
      <c r="B130" s="36">
        <v>443099678</v>
      </c>
      <c r="C130" s="37" t="s">
        <v>36</v>
      </c>
      <c r="D130" s="37" t="s">
        <v>39</v>
      </c>
      <c r="E130" s="37" t="s">
        <v>38</v>
      </c>
      <c r="F130" s="38">
        <v>3649.95</v>
      </c>
      <c r="G130" s="38">
        <v>3653.13</v>
      </c>
      <c r="H130" s="38">
        <v>3648.63</v>
      </c>
      <c r="I130" s="37" t="s">
        <v>214</v>
      </c>
      <c r="J130" s="38">
        <v>3653.23</v>
      </c>
      <c r="K130" s="38">
        <v>0</v>
      </c>
      <c r="L130" s="38">
        <v>0</v>
      </c>
      <c r="M130" s="39">
        <v>-3.28</v>
      </c>
      <c r="N130" s="10" t="str">
        <f t="shared" si="18"/>
        <v>L</v>
      </c>
      <c r="O130" s="11">
        <f t="shared" si="19"/>
        <v>45917</v>
      </c>
      <c r="P130" s="12" t="str">
        <f t="shared" si="20"/>
        <v>22</v>
      </c>
      <c r="Q130" s="13" t="str">
        <f>VLOOKUP($B130,Deals_Demo!$H:$N,7,0)</f>
        <v>strategy_12_demo</v>
      </c>
      <c r="R130" s="13" t="str">
        <f t="shared" si="21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2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15"/>
        <v>-0.32800000000000001</v>
      </c>
      <c r="Y130" s="13">
        <f t="shared" si="16"/>
        <v>-0.65600000000000003</v>
      </c>
      <c r="Z130" s="13">
        <f t="shared" si="17"/>
        <v>-0.98399999999999987</v>
      </c>
      <c r="AA130" s="13">
        <f t="shared" si="23"/>
        <v>-3</v>
      </c>
    </row>
    <row r="131" spans="1:27" x14ac:dyDescent="0.25">
      <c r="A131" s="40">
        <v>45917.918136574073</v>
      </c>
      <c r="B131" s="41">
        <v>443099681</v>
      </c>
      <c r="C131" s="42" t="s">
        <v>36</v>
      </c>
      <c r="D131" s="42" t="s">
        <v>39</v>
      </c>
      <c r="E131" s="42" t="s">
        <v>38</v>
      </c>
      <c r="F131" s="43">
        <v>3649.89</v>
      </c>
      <c r="G131" s="43">
        <v>3653.11</v>
      </c>
      <c r="H131" s="43">
        <v>3647.11</v>
      </c>
      <c r="I131" s="42" t="s">
        <v>214</v>
      </c>
      <c r="J131" s="43">
        <v>3653.23</v>
      </c>
      <c r="K131" s="43">
        <v>0</v>
      </c>
      <c r="L131" s="43">
        <v>0</v>
      </c>
      <c r="M131" s="44">
        <v>-3.34</v>
      </c>
      <c r="N131" s="10" t="str">
        <f t="shared" si="18"/>
        <v>L</v>
      </c>
      <c r="O131" s="11">
        <f t="shared" si="19"/>
        <v>45917</v>
      </c>
      <c r="P131" s="12" t="str">
        <f t="shared" si="20"/>
        <v>22</v>
      </c>
      <c r="Q131" s="13" t="str">
        <f>VLOOKUP($B131,Deals_Demo!$H:$N,7,0)</f>
        <v>strategy_09_demo</v>
      </c>
      <c r="R131" s="13" t="str">
        <f t="shared" si="21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2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24">$M131*0.1</f>
        <v>-0.33400000000000002</v>
      </c>
      <c r="Y131" s="13">
        <f t="shared" ref="Y131:Y194" si="25">$M131*0.2</f>
        <v>-0.66800000000000004</v>
      </c>
      <c r="Z131" s="13">
        <f t="shared" ref="Z131:Z194" si="26">$M131*0.3</f>
        <v>-1.002</v>
      </c>
      <c r="AA131" s="13">
        <f t="shared" si="23"/>
        <v>-3</v>
      </c>
    </row>
    <row r="132" spans="1:27" x14ac:dyDescent="0.25">
      <c r="A132" s="35">
        <v>45917.918136574073</v>
      </c>
      <c r="B132" s="36">
        <v>443099682</v>
      </c>
      <c r="C132" s="37" t="s">
        <v>36</v>
      </c>
      <c r="D132" s="37" t="s">
        <v>39</v>
      </c>
      <c r="E132" s="37" t="s">
        <v>38</v>
      </c>
      <c r="F132" s="38">
        <v>3650.06</v>
      </c>
      <c r="G132" s="38">
        <v>3653.11</v>
      </c>
      <c r="H132" s="38">
        <v>3646.61</v>
      </c>
      <c r="I132" s="37" t="s">
        <v>214</v>
      </c>
      <c r="J132" s="38">
        <v>3653.23</v>
      </c>
      <c r="K132" s="38">
        <v>0</v>
      </c>
      <c r="L132" s="38">
        <v>0</v>
      </c>
      <c r="M132" s="39">
        <v>-3.17</v>
      </c>
      <c r="N132" s="10" t="str">
        <f t="shared" si="18"/>
        <v>L</v>
      </c>
      <c r="O132" s="11">
        <f t="shared" si="19"/>
        <v>45917</v>
      </c>
      <c r="P132" s="12" t="str">
        <f t="shared" si="20"/>
        <v>22</v>
      </c>
      <c r="Q132" s="13" t="str">
        <f>VLOOKUP($B132,Deals_Demo!$H:$N,7,0)</f>
        <v>strategy_11_demo</v>
      </c>
      <c r="R132" s="13" t="str">
        <f t="shared" si="21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2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24"/>
        <v>-0.317</v>
      </c>
      <c r="Y132" s="13">
        <f t="shared" si="25"/>
        <v>-0.63400000000000001</v>
      </c>
      <c r="Z132" s="13">
        <f t="shared" si="26"/>
        <v>-0.95099999999999996</v>
      </c>
      <c r="AA132" s="13">
        <f t="shared" si="23"/>
        <v>-3</v>
      </c>
    </row>
    <row r="133" spans="1:27" x14ac:dyDescent="0.25">
      <c r="A133" s="40">
        <v>45917.918136574073</v>
      </c>
      <c r="B133" s="41">
        <v>443099684</v>
      </c>
      <c r="C133" s="42" t="s">
        <v>36</v>
      </c>
      <c r="D133" s="42" t="s">
        <v>39</v>
      </c>
      <c r="E133" s="42" t="s">
        <v>38</v>
      </c>
      <c r="F133" s="43">
        <v>3650.13</v>
      </c>
      <c r="G133" s="43">
        <v>3652.61</v>
      </c>
      <c r="H133" s="43">
        <v>3647.11</v>
      </c>
      <c r="I133" s="42" t="s">
        <v>215</v>
      </c>
      <c r="J133" s="43">
        <v>3652.67</v>
      </c>
      <c r="K133" s="43">
        <v>0</v>
      </c>
      <c r="L133" s="43">
        <v>0</v>
      </c>
      <c r="M133" s="44">
        <v>-2.54</v>
      </c>
      <c r="N133" s="10" t="str">
        <f t="shared" ref="N133:N196" si="27">IF(M133&gt;0,"W",IF(M133&lt;0,"L","BE"))</f>
        <v>L</v>
      </c>
      <c r="O133" s="11">
        <f t="shared" ref="O133:O196" si="28">INT(LEFT(A133,10))</f>
        <v>45917</v>
      </c>
      <c r="P133" s="12" t="str">
        <f t="shared" ref="P133:P196" si="29">TEXT(A133,"hh")</f>
        <v>22</v>
      </c>
      <c r="Q133" s="13" t="str">
        <f>VLOOKUP($B133,Deals_Demo!$H:$N,7,0)</f>
        <v>strategy_10_demo</v>
      </c>
      <c r="R133" s="13" t="str">
        <f t="shared" ref="R133:R196" si="30">TEXT(O133,"ddd")</f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ref="U133:U196" si="31">TEXT(T133,"yyyy-mm-dd")</f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24"/>
        <v>-0.254</v>
      </c>
      <c r="Y133" s="13">
        <f t="shared" si="25"/>
        <v>-0.50800000000000001</v>
      </c>
      <c r="Z133" s="13">
        <f t="shared" si="26"/>
        <v>-0.76200000000000001</v>
      </c>
      <c r="AA133" s="13">
        <f t="shared" ref="AA133:AA196" si="32">IF(M133&lt;2.9,-3,M133)</f>
        <v>-3</v>
      </c>
    </row>
    <row r="134" spans="1:27" x14ac:dyDescent="0.25">
      <c r="A134" s="35">
        <v>45917.918356481481</v>
      </c>
      <c r="B134" s="36">
        <v>443099924</v>
      </c>
      <c r="C134" s="37" t="s">
        <v>36</v>
      </c>
      <c r="D134" s="37" t="s">
        <v>39</v>
      </c>
      <c r="E134" s="37" t="s">
        <v>38</v>
      </c>
      <c r="F134" s="38">
        <v>3652.6</v>
      </c>
      <c r="G134" s="38">
        <v>3655.66</v>
      </c>
      <c r="H134" s="38">
        <v>3649.16</v>
      </c>
      <c r="I134" s="37" t="s">
        <v>216</v>
      </c>
      <c r="J134" s="38">
        <v>3655.91</v>
      </c>
      <c r="K134" s="38">
        <v>0</v>
      </c>
      <c r="L134" s="38">
        <v>0</v>
      </c>
      <c r="M134" s="39">
        <v>-3.31</v>
      </c>
      <c r="N134" s="10" t="str">
        <f t="shared" si="27"/>
        <v>L</v>
      </c>
      <c r="O134" s="11">
        <f t="shared" si="28"/>
        <v>45917</v>
      </c>
      <c r="P134" s="12" t="str">
        <f t="shared" si="29"/>
        <v>22</v>
      </c>
      <c r="Q134" s="13" t="str">
        <f>VLOOKUP($B134,Deals_Demo!$H:$N,7,0)</f>
        <v>strategy_08_demo</v>
      </c>
      <c r="R134" s="13" t="str">
        <f t="shared" si="30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31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24"/>
        <v>-0.33100000000000002</v>
      </c>
      <c r="Y134" s="13">
        <f t="shared" si="25"/>
        <v>-0.66200000000000003</v>
      </c>
      <c r="Z134" s="13">
        <f t="shared" si="26"/>
        <v>-0.99299999999999999</v>
      </c>
      <c r="AA134" s="13">
        <f t="shared" si="32"/>
        <v>-3</v>
      </c>
    </row>
    <row r="135" spans="1:27" x14ac:dyDescent="0.25">
      <c r="A135" s="40">
        <v>45917.924259259256</v>
      </c>
      <c r="B135" s="41">
        <v>443105099</v>
      </c>
      <c r="C135" s="42" t="s">
        <v>36</v>
      </c>
      <c r="D135" s="42" t="s">
        <v>39</v>
      </c>
      <c r="E135" s="42" t="s">
        <v>38</v>
      </c>
      <c r="F135" s="43">
        <v>3658.42</v>
      </c>
      <c r="G135" s="43">
        <v>3661.04</v>
      </c>
      <c r="H135" s="43">
        <v>3654.54</v>
      </c>
      <c r="I135" s="42" t="s">
        <v>217</v>
      </c>
      <c r="J135" s="43">
        <v>3654.28</v>
      </c>
      <c r="K135" s="43">
        <v>0</v>
      </c>
      <c r="L135" s="43">
        <v>0</v>
      </c>
      <c r="M135" s="44">
        <v>4.1399999999999997</v>
      </c>
      <c r="N135" s="10" t="str">
        <f t="shared" si="27"/>
        <v>W</v>
      </c>
      <c r="O135" s="11">
        <f t="shared" si="28"/>
        <v>45917</v>
      </c>
      <c r="P135" s="12" t="str">
        <f t="shared" si="29"/>
        <v>22</v>
      </c>
      <c r="Q135" s="13" t="str">
        <f>VLOOKUP($B135,Deals_Demo!$H:$N,7,0)</f>
        <v>strategy_08_demo</v>
      </c>
      <c r="R135" s="13" t="str">
        <f t="shared" si="30"/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si="31"/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24"/>
        <v>0.41399999999999998</v>
      </c>
      <c r="Y135" s="13">
        <f t="shared" si="25"/>
        <v>0.82799999999999996</v>
      </c>
      <c r="Z135" s="13">
        <f t="shared" si="26"/>
        <v>1.2419999999999998</v>
      </c>
      <c r="AA135" s="13">
        <f t="shared" si="32"/>
        <v>4.1399999999999997</v>
      </c>
    </row>
    <row r="136" spans="1:27" x14ac:dyDescent="0.25">
      <c r="A136" s="35">
        <v>45917.930092592593</v>
      </c>
      <c r="B136" s="36">
        <v>443109666</v>
      </c>
      <c r="C136" s="37" t="s">
        <v>36</v>
      </c>
      <c r="D136" s="37" t="s">
        <v>39</v>
      </c>
      <c r="E136" s="37" t="s">
        <v>38</v>
      </c>
      <c r="F136" s="38">
        <v>3653.5</v>
      </c>
      <c r="G136" s="38">
        <v>3656.5</v>
      </c>
      <c r="H136" s="38">
        <v>3650</v>
      </c>
      <c r="I136" s="37" t="s">
        <v>218</v>
      </c>
      <c r="J136" s="38">
        <v>3656.86</v>
      </c>
      <c r="K136" s="38">
        <v>0</v>
      </c>
      <c r="L136" s="38">
        <v>0</v>
      </c>
      <c r="M136" s="39">
        <v>-3.36</v>
      </c>
      <c r="N136" s="10" t="str">
        <f t="shared" si="27"/>
        <v>L</v>
      </c>
      <c r="O136" s="11">
        <f t="shared" si="28"/>
        <v>45917</v>
      </c>
      <c r="P136" s="12" t="str">
        <f t="shared" si="29"/>
        <v>22</v>
      </c>
      <c r="Q136" s="13" t="str">
        <f>VLOOKUP($B136,Deals_Demo!$H:$N,7,0)</f>
        <v>strategy_08_demo</v>
      </c>
      <c r="R136" s="13" t="str">
        <f t="shared" si="30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1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24"/>
        <v>-0.33600000000000002</v>
      </c>
      <c r="Y136" s="13">
        <f t="shared" si="25"/>
        <v>-0.67200000000000004</v>
      </c>
      <c r="Z136" s="13">
        <f t="shared" si="26"/>
        <v>-1.008</v>
      </c>
      <c r="AA136" s="13">
        <f t="shared" si="32"/>
        <v>-3</v>
      </c>
    </row>
    <row r="137" spans="1:27" x14ac:dyDescent="0.25">
      <c r="A137" s="40">
        <v>45917.939467592594</v>
      </c>
      <c r="B137" s="41">
        <v>443116392</v>
      </c>
      <c r="C137" s="42" t="s">
        <v>36</v>
      </c>
      <c r="D137" s="42" t="s">
        <v>39</v>
      </c>
      <c r="E137" s="42" t="s">
        <v>38</v>
      </c>
      <c r="F137" s="43">
        <v>3660.15</v>
      </c>
      <c r="G137" s="43">
        <v>3663.04</v>
      </c>
      <c r="H137" s="43">
        <v>3656.54</v>
      </c>
      <c r="I137" s="42" t="s">
        <v>283</v>
      </c>
      <c r="J137" s="43">
        <v>3663.17</v>
      </c>
      <c r="K137" s="43">
        <v>0</v>
      </c>
      <c r="L137" s="43">
        <v>0</v>
      </c>
      <c r="M137" s="44">
        <v>-3.02</v>
      </c>
      <c r="N137" s="10" t="str">
        <f t="shared" si="27"/>
        <v>L</v>
      </c>
      <c r="O137" s="11">
        <f t="shared" si="28"/>
        <v>45917</v>
      </c>
      <c r="P137" s="12" t="str">
        <f t="shared" si="29"/>
        <v>22</v>
      </c>
      <c r="Q137" s="13" t="str">
        <f>VLOOKUP($B137,Deals_Demo!$H:$N,7,0)</f>
        <v>strategy_08_demo</v>
      </c>
      <c r="R137" s="13" t="str">
        <f t="shared" si="30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1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24"/>
        <v>-0.30200000000000005</v>
      </c>
      <c r="Y137" s="13">
        <f t="shared" si="25"/>
        <v>-0.60400000000000009</v>
      </c>
      <c r="Z137" s="13">
        <f t="shared" si="26"/>
        <v>-0.90599999999999992</v>
      </c>
      <c r="AA137" s="13">
        <f t="shared" si="32"/>
        <v>-3</v>
      </c>
    </row>
    <row r="138" spans="1:27" x14ac:dyDescent="0.25">
      <c r="A138" s="35">
        <v>45917.939583333333</v>
      </c>
      <c r="B138" s="36">
        <v>443116447</v>
      </c>
      <c r="C138" s="37" t="s">
        <v>36</v>
      </c>
      <c r="D138" s="37" t="s">
        <v>37</v>
      </c>
      <c r="E138" s="37" t="s">
        <v>38</v>
      </c>
      <c r="F138" s="38">
        <v>3661.29</v>
      </c>
      <c r="G138" s="38">
        <v>3658.32</v>
      </c>
      <c r="H138" s="38">
        <v>3664.82</v>
      </c>
      <c r="I138" s="37" t="s">
        <v>284</v>
      </c>
      <c r="J138" s="38">
        <v>3658.31</v>
      </c>
      <c r="K138" s="38">
        <v>0</v>
      </c>
      <c r="L138" s="38">
        <v>0</v>
      </c>
      <c r="M138" s="39">
        <v>-2.98</v>
      </c>
      <c r="N138" s="10" t="str">
        <f t="shared" si="27"/>
        <v>L</v>
      </c>
      <c r="O138" s="11">
        <f t="shared" si="28"/>
        <v>45917</v>
      </c>
      <c r="P138" s="12" t="str">
        <f t="shared" si="29"/>
        <v>22</v>
      </c>
      <c r="Q138" s="13" t="str">
        <f>VLOOKUP($B138,Deals_Demo!$H:$N,7,0)</f>
        <v>strategy_11_demo</v>
      </c>
      <c r="R138" s="13" t="str">
        <f t="shared" si="30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1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24"/>
        <v>-0.29799999999999999</v>
      </c>
      <c r="Y138" s="13">
        <f t="shared" si="25"/>
        <v>-0.59599999999999997</v>
      </c>
      <c r="Z138" s="13">
        <f t="shared" si="26"/>
        <v>-0.89400000000000002</v>
      </c>
      <c r="AA138" s="13">
        <f t="shared" si="32"/>
        <v>-3</v>
      </c>
    </row>
    <row r="139" spans="1:27" x14ac:dyDescent="0.25">
      <c r="A139" s="40">
        <v>45917.939583333333</v>
      </c>
      <c r="B139" s="41">
        <v>443116451</v>
      </c>
      <c r="C139" s="42" t="s">
        <v>36</v>
      </c>
      <c r="D139" s="42" t="s">
        <v>37</v>
      </c>
      <c r="E139" s="42" t="s">
        <v>38</v>
      </c>
      <c r="F139" s="43">
        <v>3661.23</v>
      </c>
      <c r="G139" s="43">
        <v>3658.79</v>
      </c>
      <c r="H139" s="43">
        <v>3664.29</v>
      </c>
      <c r="I139" s="42" t="s">
        <v>284</v>
      </c>
      <c r="J139" s="43">
        <v>3658.72</v>
      </c>
      <c r="K139" s="43">
        <v>0</v>
      </c>
      <c r="L139" s="43">
        <v>0</v>
      </c>
      <c r="M139" s="44">
        <v>-2.5099999999999998</v>
      </c>
      <c r="N139" s="10" t="str">
        <f t="shared" si="27"/>
        <v>L</v>
      </c>
      <c r="O139" s="11">
        <f t="shared" si="28"/>
        <v>45917</v>
      </c>
      <c r="P139" s="12" t="str">
        <f t="shared" si="29"/>
        <v>22</v>
      </c>
      <c r="Q139" s="13" t="str">
        <f>VLOOKUP($B139,Deals_Demo!$H:$N,7,0)</f>
        <v>strategy_10_demo</v>
      </c>
      <c r="R139" s="13" t="str">
        <f t="shared" si="30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1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24"/>
        <v>-0.251</v>
      </c>
      <c r="Y139" s="13">
        <f t="shared" si="25"/>
        <v>-0.502</v>
      </c>
      <c r="Z139" s="13">
        <f t="shared" si="26"/>
        <v>-0.75299999999999989</v>
      </c>
      <c r="AA139" s="13">
        <f t="shared" si="32"/>
        <v>-3</v>
      </c>
    </row>
    <row r="140" spans="1:27" x14ac:dyDescent="0.25">
      <c r="A140" s="35">
        <v>45917.939583333333</v>
      </c>
      <c r="B140" s="36">
        <v>443116453</v>
      </c>
      <c r="C140" s="37" t="s">
        <v>36</v>
      </c>
      <c r="D140" s="37" t="s">
        <v>37</v>
      </c>
      <c r="E140" s="37" t="s">
        <v>38</v>
      </c>
      <c r="F140" s="38">
        <v>3661.03</v>
      </c>
      <c r="G140" s="38">
        <v>3658.29</v>
      </c>
      <c r="H140" s="38">
        <v>3664.29</v>
      </c>
      <c r="I140" s="37" t="s">
        <v>285</v>
      </c>
      <c r="J140" s="38">
        <v>3658.12</v>
      </c>
      <c r="K140" s="38">
        <v>0</v>
      </c>
      <c r="L140" s="38">
        <v>0</v>
      </c>
      <c r="M140" s="39">
        <v>-2.91</v>
      </c>
      <c r="N140" s="10" t="str">
        <f t="shared" si="27"/>
        <v>L</v>
      </c>
      <c r="O140" s="11">
        <f t="shared" si="28"/>
        <v>45917</v>
      </c>
      <c r="P140" s="12" t="str">
        <f t="shared" si="29"/>
        <v>22</v>
      </c>
      <c r="Q140" s="13" t="str">
        <f>VLOOKUP($B140,Deals_Demo!$H:$N,7,0)</f>
        <v>strategy_09_demo</v>
      </c>
      <c r="R140" s="13" t="str">
        <f t="shared" si="30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1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24"/>
        <v>-0.29100000000000004</v>
      </c>
      <c r="Y140" s="13">
        <f t="shared" si="25"/>
        <v>-0.58200000000000007</v>
      </c>
      <c r="Z140" s="13">
        <f t="shared" si="26"/>
        <v>-0.873</v>
      </c>
      <c r="AA140" s="13">
        <f t="shared" si="32"/>
        <v>-3</v>
      </c>
    </row>
    <row r="141" spans="1:27" x14ac:dyDescent="0.25">
      <c r="A141" s="40">
        <v>45917.939583333333</v>
      </c>
      <c r="B141" s="41">
        <v>443116454</v>
      </c>
      <c r="C141" s="42" t="s">
        <v>36</v>
      </c>
      <c r="D141" s="42" t="s">
        <v>37</v>
      </c>
      <c r="E141" s="42" t="s">
        <v>38</v>
      </c>
      <c r="F141" s="43">
        <v>3661.14</v>
      </c>
      <c r="G141" s="43">
        <v>3658.29</v>
      </c>
      <c r="H141" s="43">
        <v>3662.79</v>
      </c>
      <c r="I141" s="42" t="s">
        <v>285</v>
      </c>
      <c r="J141" s="43">
        <v>3658.12</v>
      </c>
      <c r="K141" s="43">
        <v>0</v>
      </c>
      <c r="L141" s="43">
        <v>0</v>
      </c>
      <c r="M141" s="44">
        <v>-3.02</v>
      </c>
      <c r="N141" s="10" t="str">
        <f t="shared" si="27"/>
        <v>L</v>
      </c>
      <c r="O141" s="11">
        <f t="shared" si="28"/>
        <v>45917</v>
      </c>
      <c r="P141" s="12" t="str">
        <f t="shared" si="29"/>
        <v>22</v>
      </c>
      <c r="Q141" s="13" t="str">
        <f>VLOOKUP($B141,Deals_Demo!$H:$N,7,0)</f>
        <v>strategy_12_demo</v>
      </c>
      <c r="R141" s="13" t="str">
        <f t="shared" si="30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1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24"/>
        <v>-0.30200000000000005</v>
      </c>
      <c r="Y141" s="13">
        <f t="shared" si="25"/>
        <v>-0.60400000000000009</v>
      </c>
      <c r="Z141" s="13">
        <f t="shared" si="26"/>
        <v>-0.90599999999999992</v>
      </c>
      <c r="AA141" s="13">
        <f t="shared" si="32"/>
        <v>-3</v>
      </c>
    </row>
    <row r="142" spans="1:27" x14ac:dyDescent="0.25">
      <c r="A142" s="35">
        <v>45917.942939814813</v>
      </c>
      <c r="B142" s="36">
        <v>443118670</v>
      </c>
      <c r="C142" s="37" t="s">
        <v>36</v>
      </c>
      <c r="D142" s="37" t="s">
        <v>39</v>
      </c>
      <c r="E142" s="37" t="s">
        <v>38</v>
      </c>
      <c r="F142" s="38">
        <v>3661.22</v>
      </c>
      <c r="G142" s="38">
        <v>3664.2</v>
      </c>
      <c r="H142" s="38">
        <v>3657.7</v>
      </c>
      <c r="I142" s="37" t="s">
        <v>286</v>
      </c>
      <c r="J142" s="38">
        <v>3657.6</v>
      </c>
      <c r="K142" s="38">
        <v>0</v>
      </c>
      <c r="L142" s="38">
        <v>0</v>
      </c>
      <c r="M142" s="39">
        <v>3.62</v>
      </c>
      <c r="N142" s="10" t="str">
        <f t="shared" si="27"/>
        <v>W</v>
      </c>
      <c r="O142" s="11">
        <f t="shared" si="28"/>
        <v>45917</v>
      </c>
      <c r="P142" s="12" t="str">
        <f t="shared" si="29"/>
        <v>22</v>
      </c>
      <c r="Q142" s="13" t="str">
        <f>VLOOKUP($B142,Deals_Demo!$H:$N,7,0)</f>
        <v>strategy_08_demo</v>
      </c>
      <c r="R142" s="13" t="str">
        <f t="shared" si="30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1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24"/>
        <v>0.36200000000000004</v>
      </c>
      <c r="Y142" s="13">
        <f t="shared" si="25"/>
        <v>0.72400000000000009</v>
      </c>
      <c r="Z142" s="13">
        <f t="shared" si="26"/>
        <v>1.0860000000000001</v>
      </c>
      <c r="AA142" s="13">
        <f t="shared" si="32"/>
        <v>3.62</v>
      </c>
    </row>
    <row r="143" spans="1:27" x14ac:dyDescent="0.25">
      <c r="A143" s="40">
        <v>45917.953703703701</v>
      </c>
      <c r="B143" s="41">
        <v>443124351</v>
      </c>
      <c r="C143" s="42" t="s">
        <v>36</v>
      </c>
      <c r="D143" s="42" t="s">
        <v>39</v>
      </c>
      <c r="E143" s="42" t="s">
        <v>38</v>
      </c>
      <c r="F143" s="43">
        <v>3658.02</v>
      </c>
      <c r="G143" s="43">
        <v>3661.07</v>
      </c>
      <c r="H143" s="43">
        <v>3656.57</v>
      </c>
      <c r="I143" s="42" t="s">
        <v>287</v>
      </c>
      <c r="J143" s="43">
        <v>3661.08</v>
      </c>
      <c r="K143" s="43">
        <v>0</v>
      </c>
      <c r="L143" s="43">
        <v>0</v>
      </c>
      <c r="M143" s="44">
        <v>-3.06</v>
      </c>
      <c r="N143" s="10" t="str">
        <f t="shared" si="27"/>
        <v>L</v>
      </c>
      <c r="O143" s="11">
        <f t="shared" si="28"/>
        <v>45917</v>
      </c>
      <c r="P143" s="12" t="str">
        <f t="shared" si="29"/>
        <v>22</v>
      </c>
      <c r="Q143" s="13" t="str">
        <f>VLOOKUP($B143,Deals_Demo!$H:$N,7,0)</f>
        <v>strategy_12_demo</v>
      </c>
      <c r="R143" s="13" t="str">
        <f t="shared" si="30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1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24"/>
        <v>-0.30600000000000005</v>
      </c>
      <c r="Y143" s="13">
        <f t="shared" si="25"/>
        <v>-0.6120000000000001</v>
      </c>
      <c r="Z143" s="13">
        <f t="shared" si="26"/>
        <v>-0.91799999999999993</v>
      </c>
      <c r="AA143" s="13">
        <f t="shared" si="32"/>
        <v>-3</v>
      </c>
    </row>
    <row r="144" spans="1:27" x14ac:dyDescent="0.25">
      <c r="A144" s="35">
        <v>45917.953703703701</v>
      </c>
      <c r="B144" s="36">
        <v>443124352</v>
      </c>
      <c r="C144" s="37" t="s">
        <v>36</v>
      </c>
      <c r="D144" s="37" t="s">
        <v>39</v>
      </c>
      <c r="E144" s="37" t="s">
        <v>38</v>
      </c>
      <c r="F144" s="38">
        <v>3658.06</v>
      </c>
      <c r="G144" s="38">
        <v>3661.02</v>
      </c>
      <c r="H144" s="38">
        <v>3655.02</v>
      </c>
      <c r="I144" s="37" t="s">
        <v>288</v>
      </c>
      <c r="J144" s="38">
        <v>3661.02</v>
      </c>
      <c r="K144" s="38">
        <v>0</v>
      </c>
      <c r="L144" s="38">
        <v>0</v>
      </c>
      <c r="M144" s="39">
        <v>-2.96</v>
      </c>
      <c r="N144" s="10" t="str">
        <f t="shared" si="27"/>
        <v>L</v>
      </c>
      <c r="O144" s="11">
        <f t="shared" si="28"/>
        <v>45917</v>
      </c>
      <c r="P144" s="12" t="str">
        <f t="shared" si="29"/>
        <v>22</v>
      </c>
      <c r="Q144" s="13" t="str">
        <f>VLOOKUP($B144,Deals_Demo!$H:$N,7,0)</f>
        <v>strategy_09_demo</v>
      </c>
      <c r="R144" s="13" t="str">
        <f t="shared" si="30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1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24"/>
        <v>-0.29599999999999999</v>
      </c>
      <c r="Y144" s="13">
        <f t="shared" si="25"/>
        <v>-0.59199999999999997</v>
      </c>
      <c r="Z144" s="13">
        <f t="shared" si="26"/>
        <v>-0.88800000000000001</v>
      </c>
      <c r="AA144" s="13">
        <f t="shared" si="32"/>
        <v>-3</v>
      </c>
    </row>
    <row r="145" spans="1:27" x14ac:dyDescent="0.25">
      <c r="A145" s="40">
        <v>45917.953703703701</v>
      </c>
      <c r="B145" s="41">
        <v>443124353</v>
      </c>
      <c r="C145" s="42" t="s">
        <v>36</v>
      </c>
      <c r="D145" s="42" t="s">
        <v>39</v>
      </c>
      <c r="E145" s="42" t="s">
        <v>38</v>
      </c>
      <c r="F145" s="43">
        <v>3658.1</v>
      </c>
      <c r="G145" s="43">
        <v>3661.02</v>
      </c>
      <c r="H145" s="43">
        <v>3654.52</v>
      </c>
      <c r="I145" s="42" t="s">
        <v>288</v>
      </c>
      <c r="J145" s="43">
        <v>3661.02</v>
      </c>
      <c r="K145" s="43">
        <v>0</v>
      </c>
      <c r="L145" s="43">
        <v>0</v>
      </c>
      <c r="M145" s="44">
        <v>-2.92</v>
      </c>
      <c r="N145" s="10" t="str">
        <f t="shared" si="27"/>
        <v>L</v>
      </c>
      <c r="O145" s="11">
        <f t="shared" si="28"/>
        <v>45917</v>
      </c>
      <c r="P145" s="12" t="str">
        <f t="shared" si="29"/>
        <v>22</v>
      </c>
      <c r="Q145" s="13" t="str">
        <f>VLOOKUP($B145,Deals_Demo!$H:$N,7,0)</f>
        <v>strategy_11_demo</v>
      </c>
      <c r="R145" s="13" t="str">
        <f t="shared" si="30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1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24"/>
        <v>-0.29199999999999998</v>
      </c>
      <c r="Y145" s="13">
        <f t="shared" si="25"/>
        <v>-0.58399999999999996</v>
      </c>
      <c r="Z145" s="13">
        <f t="shared" si="26"/>
        <v>-0.876</v>
      </c>
      <c r="AA145" s="13">
        <f t="shared" si="32"/>
        <v>-3</v>
      </c>
    </row>
    <row r="146" spans="1:27" x14ac:dyDescent="0.25">
      <c r="A146" s="35">
        <v>45917.953703703701</v>
      </c>
      <c r="B146" s="36">
        <v>443124354</v>
      </c>
      <c r="C146" s="37" t="s">
        <v>36</v>
      </c>
      <c r="D146" s="37" t="s">
        <v>39</v>
      </c>
      <c r="E146" s="37" t="s">
        <v>38</v>
      </c>
      <c r="F146" s="38">
        <v>3658.13</v>
      </c>
      <c r="G146" s="38">
        <v>3660.52</v>
      </c>
      <c r="H146" s="38">
        <v>3655.02</v>
      </c>
      <c r="I146" s="37" t="s">
        <v>289</v>
      </c>
      <c r="J146" s="38">
        <v>3660.62</v>
      </c>
      <c r="K146" s="38">
        <v>0</v>
      </c>
      <c r="L146" s="38">
        <v>0</v>
      </c>
      <c r="M146" s="39">
        <v>-2.4900000000000002</v>
      </c>
      <c r="N146" s="10" t="str">
        <f t="shared" si="27"/>
        <v>L</v>
      </c>
      <c r="O146" s="11">
        <f t="shared" si="28"/>
        <v>45917</v>
      </c>
      <c r="P146" s="12" t="str">
        <f t="shared" si="29"/>
        <v>22</v>
      </c>
      <c r="Q146" s="13" t="str">
        <f>VLOOKUP($B146,Deals_Demo!$H:$N,7,0)</f>
        <v>strategy_10_demo</v>
      </c>
      <c r="R146" s="13" t="str">
        <f t="shared" si="30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1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24"/>
        <v>-0.24900000000000003</v>
      </c>
      <c r="Y146" s="13">
        <f t="shared" si="25"/>
        <v>-0.49800000000000005</v>
      </c>
      <c r="Z146" s="13">
        <f t="shared" si="26"/>
        <v>-0.747</v>
      </c>
      <c r="AA146" s="13">
        <f t="shared" si="32"/>
        <v>-3</v>
      </c>
    </row>
    <row r="147" spans="1:27" x14ac:dyDescent="0.25">
      <c r="A147" s="40">
        <v>45917.954282407409</v>
      </c>
      <c r="B147" s="41">
        <v>443124689</v>
      </c>
      <c r="C147" s="42" t="s">
        <v>36</v>
      </c>
      <c r="D147" s="42" t="s">
        <v>39</v>
      </c>
      <c r="E147" s="42" t="s">
        <v>38</v>
      </c>
      <c r="F147" s="43">
        <v>3659.01</v>
      </c>
      <c r="G147" s="43">
        <v>3662.01</v>
      </c>
      <c r="H147" s="43">
        <v>3655.51</v>
      </c>
      <c r="I147" s="42" t="s">
        <v>290</v>
      </c>
      <c r="J147" s="43">
        <v>3655.39</v>
      </c>
      <c r="K147" s="43">
        <v>0</v>
      </c>
      <c r="L147" s="43">
        <v>0</v>
      </c>
      <c r="M147" s="44">
        <v>3.62</v>
      </c>
      <c r="N147" s="10" t="str">
        <f t="shared" si="27"/>
        <v>W</v>
      </c>
      <c r="O147" s="11">
        <f t="shared" si="28"/>
        <v>45917</v>
      </c>
      <c r="P147" s="12" t="str">
        <f t="shared" si="29"/>
        <v>22</v>
      </c>
      <c r="Q147" s="13" t="str">
        <f>VLOOKUP($B147,Deals_Demo!$H:$N,7,0)</f>
        <v>strategy_08_demo</v>
      </c>
      <c r="R147" s="13" t="str">
        <f t="shared" si="30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1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24"/>
        <v>0.36200000000000004</v>
      </c>
      <c r="Y147" s="13">
        <f t="shared" si="25"/>
        <v>0.72400000000000009</v>
      </c>
      <c r="Z147" s="13">
        <f t="shared" si="26"/>
        <v>1.0860000000000001</v>
      </c>
      <c r="AA147" s="13">
        <f t="shared" si="32"/>
        <v>3.62</v>
      </c>
    </row>
    <row r="148" spans="1:27" x14ac:dyDescent="0.25">
      <c r="A148" s="35">
        <v>45917.971053240741</v>
      </c>
      <c r="B148" s="36">
        <v>443131211</v>
      </c>
      <c r="C148" s="37" t="s">
        <v>36</v>
      </c>
      <c r="D148" s="37" t="s">
        <v>39</v>
      </c>
      <c r="E148" s="37" t="s">
        <v>38</v>
      </c>
      <c r="F148" s="38">
        <v>3658.56</v>
      </c>
      <c r="G148" s="38">
        <v>3658.62</v>
      </c>
      <c r="H148" s="38">
        <v>3657.12</v>
      </c>
      <c r="I148" s="37" t="s">
        <v>291</v>
      </c>
      <c r="J148" s="38">
        <v>3656.95</v>
      </c>
      <c r="K148" s="38">
        <v>0</v>
      </c>
      <c r="L148" s="38">
        <v>0</v>
      </c>
      <c r="M148" s="39">
        <v>1.61</v>
      </c>
      <c r="N148" s="10" t="str">
        <f t="shared" si="27"/>
        <v>W</v>
      </c>
      <c r="O148" s="11">
        <f t="shared" si="28"/>
        <v>45917</v>
      </c>
      <c r="P148" s="12" t="str">
        <f t="shared" si="29"/>
        <v>23</v>
      </c>
      <c r="Q148" s="13" t="str">
        <f>VLOOKUP($B148,Deals_Demo!$H:$N,7,0)</f>
        <v>strategy_12_demo</v>
      </c>
      <c r="R148" s="13" t="str">
        <f t="shared" si="30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1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24"/>
        <v>0.16100000000000003</v>
      </c>
      <c r="Y148" s="13">
        <f t="shared" si="25"/>
        <v>0.32200000000000006</v>
      </c>
      <c r="Z148" s="13">
        <f t="shared" si="26"/>
        <v>0.48299999999999998</v>
      </c>
      <c r="AA148" s="13">
        <f t="shared" si="32"/>
        <v>-3</v>
      </c>
    </row>
    <row r="149" spans="1:27" x14ac:dyDescent="0.25">
      <c r="A149" s="40">
        <v>45917.971064814818</v>
      </c>
      <c r="B149" s="41">
        <v>443131214</v>
      </c>
      <c r="C149" s="42" t="s">
        <v>36</v>
      </c>
      <c r="D149" s="42" t="s">
        <v>39</v>
      </c>
      <c r="E149" s="42" t="s">
        <v>38</v>
      </c>
      <c r="F149" s="43">
        <v>3658.56</v>
      </c>
      <c r="G149" s="43">
        <v>3658.27</v>
      </c>
      <c r="H149" s="43">
        <v>3655.56</v>
      </c>
      <c r="I149" s="42" t="s">
        <v>292</v>
      </c>
      <c r="J149" s="43">
        <v>3658.27</v>
      </c>
      <c r="K149" s="43">
        <v>0</v>
      </c>
      <c r="L149" s="43">
        <v>0</v>
      </c>
      <c r="M149" s="44">
        <v>0.28999999999999998</v>
      </c>
      <c r="N149" s="10" t="str">
        <f t="shared" si="27"/>
        <v>W</v>
      </c>
      <c r="O149" s="11">
        <f t="shared" si="28"/>
        <v>45917</v>
      </c>
      <c r="P149" s="12" t="str">
        <f t="shared" si="29"/>
        <v>23</v>
      </c>
      <c r="Q149" s="13" t="str">
        <f>VLOOKUP($B149,Deals_Demo!$H:$N,7,0)</f>
        <v>strategy_10_demo</v>
      </c>
      <c r="R149" s="13" t="str">
        <f t="shared" si="30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1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24"/>
        <v>2.8999999999999998E-2</v>
      </c>
      <c r="Y149" s="13">
        <f t="shared" si="25"/>
        <v>5.7999999999999996E-2</v>
      </c>
      <c r="Z149" s="13">
        <f t="shared" si="26"/>
        <v>8.6999999999999994E-2</v>
      </c>
      <c r="AA149" s="13">
        <f t="shared" si="32"/>
        <v>-3</v>
      </c>
    </row>
    <row r="150" spans="1:27" x14ac:dyDescent="0.25">
      <c r="A150" s="35">
        <v>45917.971064814818</v>
      </c>
      <c r="B150" s="36">
        <v>443131215</v>
      </c>
      <c r="C150" s="37" t="s">
        <v>36</v>
      </c>
      <c r="D150" s="37" t="s">
        <v>39</v>
      </c>
      <c r="E150" s="37" t="s">
        <v>38</v>
      </c>
      <c r="F150" s="38">
        <v>3658.54</v>
      </c>
      <c r="G150" s="38">
        <v>3658.27</v>
      </c>
      <c r="H150" s="38">
        <v>3655.06</v>
      </c>
      <c r="I150" s="37" t="s">
        <v>292</v>
      </c>
      <c r="J150" s="38">
        <v>3658.27</v>
      </c>
      <c r="K150" s="38">
        <v>0</v>
      </c>
      <c r="L150" s="38">
        <v>0</v>
      </c>
      <c r="M150" s="39">
        <v>0.27</v>
      </c>
      <c r="N150" s="10" t="str">
        <f t="shared" si="27"/>
        <v>W</v>
      </c>
      <c r="O150" s="11">
        <f t="shared" si="28"/>
        <v>45917</v>
      </c>
      <c r="P150" s="12" t="str">
        <f t="shared" si="29"/>
        <v>23</v>
      </c>
      <c r="Q150" s="13" t="str">
        <f>VLOOKUP($B150,Deals_Demo!$H:$N,7,0)</f>
        <v>strategy_11_demo</v>
      </c>
      <c r="R150" s="13" t="str">
        <f t="shared" si="30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1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24"/>
        <v>2.7000000000000003E-2</v>
      </c>
      <c r="Y150" s="13">
        <f t="shared" si="25"/>
        <v>5.4000000000000006E-2</v>
      </c>
      <c r="Z150" s="13">
        <f t="shared" si="26"/>
        <v>8.1000000000000003E-2</v>
      </c>
      <c r="AA150" s="13">
        <f t="shared" si="32"/>
        <v>-3</v>
      </c>
    </row>
    <row r="151" spans="1:27" x14ac:dyDescent="0.25">
      <c r="A151" s="40">
        <v>45917.971064814818</v>
      </c>
      <c r="B151" s="41">
        <v>443131216</v>
      </c>
      <c r="C151" s="42" t="s">
        <v>36</v>
      </c>
      <c r="D151" s="42" t="s">
        <v>39</v>
      </c>
      <c r="E151" s="42" t="s">
        <v>38</v>
      </c>
      <c r="F151" s="43">
        <v>3658.6</v>
      </c>
      <c r="G151" s="43">
        <v>3658.27</v>
      </c>
      <c r="H151" s="43">
        <v>3655.56</v>
      </c>
      <c r="I151" s="42" t="s">
        <v>292</v>
      </c>
      <c r="J151" s="43">
        <v>3658.27</v>
      </c>
      <c r="K151" s="43">
        <v>0</v>
      </c>
      <c r="L151" s="43">
        <v>0</v>
      </c>
      <c r="M151" s="44">
        <v>0.33</v>
      </c>
      <c r="N151" s="10" t="str">
        <f t="shared" si="27"/>
        <v>W</v>
      </c>
      <c r="O151" s="11">
        <f t="shared" si="28"/>
        <v>45917</v>
      </c>
      <c r="P151" s="12" t="str">
        <f t="shared" si="29"/>
        <v>23</v>
      </c>
      <c r="Q151" s="13" t="str">
        <f>VLOOKUP($B151,Deals_Demo!$H:$N,7,0)</f>
        <v>strategy_09_demo</v>
      </c>
      <c r="R151" s="13" t="str">
        <f t="shared" si="30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1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24"/>
        <v>3.3000000000000002E-2</v>
      </c>
      <c r="Y151" s="13">
        <f t="shared" si="25"/>
        <v>6.6000000000000003E-2</v>
      </c>
      <c r="Z151" s="13">
        <f t="shared" si="26"/>
        <v>9.9000000000000005E-2</v>
      </c>
      <c r="AA151" s="13">
        <f t="shared" si="32"/>
        <v>-3</v>
      </c>
    </row>
    <row r="152" spans="1:27" x14ac:dyDescent="0.25">
      <c r="A152" s="35">
        <v>45917.975219907406</v>
      </c>
      <c r="B152" s="36">
        <v>443132270</v>
      </c>
      <c r="C152" s="37" t="s">
        <v>36</v>
      </c>
      <c r="D152" s="37" t="s">
        <v>39</v>
      </c>
      <c r="E152" s="37" t="s">
        <v>38</v>
      </c>
      <c r="F152" s="38">
        <v>3657.97</v>
      </c>
      <c r="G152" s="38">
        <v>3661.01</v>
      </c>
      <c r="H152" s="38">
        <v>3656.51</v>
      </c>
      <c r="I152" s="37" t="s">
        <v>290</v>
      </c>
      <c r="J152" s="38">
        <v>3655.39</v>
      </c>
      <c r="K152" s="38">
        <v>0</v>
      </c>
      <c r="L152" s="38">
        <v>0</v>
      </c>
      <c r="M152" s="39">
        <v>2.58</v>
      </c>
      <c r="N152" s="10" t="str">
        <f t="shared" si="27"/>
        <v>W</v>
      </c>
      <c r="O152" s="11">
        <f t="shared" si="28"/>
        <v>45917</v>
      </c>
      <c r="P152" s="12" t="str">
        <f t="shared" si="29"/>
        <v>23</v>
      </c>
      <c r="Q152" s="13" t="str">
        <f>VLOOKUP($B152,Deals_Demo!$H:$N,7,0)</f>
        <v>strategy_12_demo</v>
      </c>
      <c r="R152" s="13" t="str">
        <f t="shared" si="30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1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24"/>
        <v>0.25800000000000001</v>
      </c>
      <c r="Y152" s="13">
        <f t="shared" si="25"/>
        <v>0.51600000000000001</v>
      </c>
      <c r="Z152" s="13">
        <f t="shared" si="26"/>
        <v>0.77400000000000002</v>
      </c>
      <c r="AA152" s="13">
        <f t="shared" si="32"/>
        <v>-3</v>
      </c>
    </row>
    <row r="153" spans="1:27" x14ac:dyDescent="0.25">
      <c r="A153" s="40">
        <v>45917.975335648145</v>
      </c>
      <c r="B153" s="41">
        <v>443132277</v>
      </c>
      <c r="C153" s="42" t="s">
        <v>36</v>
      </c>
      <c r="D153" s="42" t="s">
        <v>39</v>
      </c>
      <c r="E153" s="42" t="s">
        <v>38</v>
      </c>
      <c r="F153" s="43">
        <v>3657.95</v>
      </c>
      <c r="G153" s="43">
        <v>3658.65</v>
      </c>
      <c r="H153" s="43">
        <v>3654.45</v>
      </c>
      <c r="I153" s="42" t="s">
        <v>293</v>
      </c>
      <c r="J153" s="43">
        <v>3658.67</v>
      </c>
      <c r="K153" s="43">
        <v>0</v>
      </c>
      <c r="L153" s="43">
        <v>0</v>
      </c>
      <c r="M153" s="44">
        <v>-0.72</v>
      </c>
      <c r="N153" s="10" t="str">
        <f t="shared" si="27"/>
        <v>L</v>
      </c>
      <c r="O153" s="11">
        <f t="shared" si="28"/>
        <v>45917</v>
      </c>
      <c r="P153" s="12" t="str">
        <f t="shared" si="29"/>
        <v>23</v>
      </c>
      <c r="Q153" s="13" t="str">
        <f>VLOOKUP($B153,Deals_Demo!$H:$N,7,0)</f>
        <v>strategy_11_demo</v>
      </c>
      <c r="R153" s="13" t="str">
        <f t="shared" si="30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1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24"/>
        <v>-7.1999999999999995E-2</v>
      </c>
      <c r="Y153" s="13">
        <f t="shared" si="25"/>
        <v>-0.14399999999999999</v>
      </c>
      <c r="Z153" s="13">
        <f t="shared" si="26"/>
        <v>-0.216</v>
      </c>
      <c r="AA153" s="13">
        <f t="shared" si="32"/>
        <v>-3</v>
      </c>
    </row>
    <row r="154" spans="1:27" x14ac:dyDescent="0.25">
      <c r="A154" s="35">
        <v>45917.975347222222</v>
      </c>
      <c r="B154" s="36">
        <v>443132279</v>
      </c>
      <c r="C154" s="37" t="s">
        <v>36</v>
      </c>
      <c r="D154" s="37" t="s">
        <v>39</v>
      </c>
      <c r="E154" s="37" t="s">
        <v>38</v>
      </c>
      <c r="F154" s="38">
        <v>3657.95</v>
      </c>
      <c r="G154" s="38">
        <v>3660.45</v>
      </c>
      <c r="H154" s="38">
        <v>3654.95</v>
      </c>
      <c r="I154" s="37" t="s">
        <v>294</v>
      </c>
      <c r="J154" s="38">
        <v>3660.45</v>
      </c>
      <c r="K154" s="38">
        <v>0</v>
      </c>
      <c r="L154" s="38">
        <v>0</v>
      </c>
      <c r="M154" s="39">
        <v>-2.5</v>
      </c>
      <c r="N154" s="10" t="str">
        <f t="shared" si="27"/>
        <v>L</v>
      </c>
      <c r="O154" s="11">
        <f t="shared" si="28"/>
        <v>45917</v>
      </c>
      <c r="P154" s="12" t="str">
        <f t="shared" si="29"/>
        <v>23</v>
      </c>
      <c r="Q154" s="13" t="str">
        <f>VLOOKUP($B154,Deals_Demo!$H:$N,7,0)</f>
        <v>strategy_10_demo</v>
      </c>
      <c r="R154" s="13" t="str">
        <f t="shared" si="30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1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24"/>
        <v>-0.25</v>
      </c>
      <c r="Y154" s="13">
        <f t="shared" si="25"/>
        <v>-0.5</v>
      </c>
      <c r="Z154" s="13">
        <f t="shared" si="26"/>
        <v>-0.75</v>
      </c>
      <c r="AA154" s="13">
        <f t="shared" si="32"/>
        <v>-3</v>
      </c>
    </row>
    <row r="155" spans="1:27" x14ac:dyDescent="0.25">
      <c r="A155" s="40">
        <v>45917.975347222222</v>
      </c>
      <c r="B155" s="41">
        <v>443132280</v>
      </c>
      <c r="C155" s="42" t="s">
        <v>36</v>
      </c>
      <c r="D155" s="42" t="s">
        <v>39</v>
      </c>
      <c r="E155" s="42" t="s">
        <v>38</v>
      </c>
      <c r="F155" s="43">
        <v>3657.95</v>
      </c>
      <c r="G155" s="43">
        <v>3658.65</v>
      </c>
      <c r="H155" s="43">
        <v>3654.95</v>
      </c>
      <c r="I155" s="42" t="s">
        <v>293</v>
      </c>
      <c r="J155" s="43">
        <v>3658.67</v>
      </c>
      <c r="K155" s="43">
        <v>0</v>
      </c>
      <c r="L155" s="43">
        <v>0</v>
      </c>
      <c r="M155" s="44">
        <v>-0.72</v>
      </c>
      <c r="N155" s="10" t="str">
        <f t="shared" si="27"/>
        <v>L</v>
      </c>
      <c r="O155" s="11">
        <f t="shared" si="28"/>
        <v>45917</v>
      </c>
      <c r="P155" s="12" t="str">
        <f t="shared" si="29"/>
        <v>23</v>
      </c>
      <c r="Q155" s="13" t="str">
        <f>VLOOKUP($B155,Deals_Demo!$H:$N,7,0)</f>
        <v>strategy_09_demo</v>
      </c>
      <c r="R155" s="13" t="str">
        <f t="shared" si="30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1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24"/>
        <v>-7.1999999999999995E-2</v>
      </c>
      <c r="Y155" s="13">
        <f t="shared" si="25"/>
        <v>-0.14399999999999999</v>
      </c>
      <c r="Z155" s="13">
        <f t="shared" si="26"/>
        <v>-0.216</v>
      </c>
      <c r="AA155" s="13">
        <f t="shared" si="32"/>
        <v>-3</v>
      </c>
    </row>
    <row r="156" spans="1:27" x14ac:dyDescent="0.25">
      <c r="A156" s="35">
        <v>45918.047210648147</v>
      </c>
      <c r="B156" s="36">
        <v>443141588</v>
      </c>
      <c r="C156" s="37" t="s">
        <v>36</v>
      </c>
      <c r="D156" s="37" t="s">
        <v>39</v>
      </c>
      <c r="E156" s="37" t="s">
        <v>38</v>
      </c>
      <c r="F156" s="38">
        <v>3658.06</v>
      </c>
      <c r="G156" s="38">
        <v>3660.82</v>
      </c>
      <c r="H156" s="38">
        <v>3651.82</v>
      </c>
      <c r="I156" s="37" t="s">
        <v>295</v>
      </c>
      <c r="J156" s="38">
        <v>3661.1</v>
      </c>
      <c r="K156" s="38">
        <v>0</v>
      </c>
      <c r="L156" s="38">
        <v>0</v>
      </c>
      <c r="M156" s="39">
        <v>-3.04</v>
      </c>
      <c r="N156" s="10" t="str">
        <f t="shared" si="27"/>
        <v>L</v>
      </c>
      <c r="O156" s="11">
        <f t="shared" si="28"/>
        <v>45918</v>
      </c>
      <c r="P156" s="12" t="str">
        <f t="shared" si="29"/>
        <v>01</v>
      </c>
      <c r="Q156" s="13" t="str">
        <f>VLOOKUP($B156,Deals_Demo!$H:$N,7,0)</f>
        <v>DEMO_strategy_02</v>
      </c>
      <c r="R156" s="13" t="str">
        <f t="shared" si="30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1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24"/>
        <v>-0.30400000000000005</v>
      </c>
      <c r="Y156" s="13">
        <f t="shared" si="25"/>
        <v>-0.6080000000000001</v>
      </c>
      <c r="Z156" s="13">
        <f t="shared" si="26"/>
        <v>-0.91199999999999992</v>
      </c>
      <c r="AA156" s="13">
        <f t="shared" si="32"/>
        <v>-3</v>
      </c>
    </row>
    <row r="157" spans="1:27" x14ac:dyDescent="0.25">
      <c r="A157" s="40">
        <v>45918.047210648147</v>
      </c>
      <c r="B157" s="41">
        <v>443141589</v>
      </c>
      <c r="C157" s="42" t="s">
        <v>36</v>
      </c>
      <c r="D157" s="42" t="s">
        <v>39</v>
      </c>
      <c r="E157" s="42" t="s">
        <v>38</v>
      </c>
      <c r="F157" s="43">
        <v>3658.08</v>
      </c>
      <c r="G157" s="43">
        <v>3660.82</v>
      </c>
      <c r="H157" s="42"/>
      <c r="I157" s="42" t="s">
        <v>295</v>
      </c>
      <c r="J157" s="43">
        <v>3661.1</v>
      </c>
      <c r="K157" s="43">
        <v>0</v>
      </c>
      <c r="L157" s="43">
        <v>0</v>
      </c>
      <c r="M157" s="44">
        <v>-3.02</v>
      </c>
      <c r="N157" s="10" t="str">
        <f t="shared" si="27"/>
        <v>L</v>
      </c>
      <c r="O157" s="11">
        <f t="shared" si="28"/>
        <v>45918</v>
      </c>
      <c r="P157" s="12" t="str">
        <f t="shared" si="29"/>
        <v>01</v>
      </c>
      <c r="Q157" s="13" t="str">
        <f>VLOOKUP($B157,Deals_Demo!$H:$N,7,0)</f>
        <v>DEMO_strategy_01</v>
      </c>
      <c r="R157" s="13" t="str">
        <f t="shared" si="30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1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24"/>
        <v>-0.30200000000000005</v>
      </c>
      <c r="Y157" s="13">
        <f t="shared" si="25"/>
        <v>-0.60400000000000009</v>
      </c>
      <c r="Z157" s="13">
        <f t="shared" si="26"/>
        <v>-0.90599999999999992</v>
      </c>
      <c r="AA157" s="13">
        <f t="shared" si="32"/>
        <v>-3</v>
      </c>
    </row>
    <row r="158" spans="1:27" x14ac:dyDescent="0.25">
      <c r="A158" s="35">
        <v>45918.04859953704</v>
      </c>
      <c r="B158" s="36">
        <v>443141856</v>
      </c>
      <c r="C158" s="37" t="s">
        <v>36</v>
      </c>
      <c r="D158" s="37" t="s">
        <v>39</v>
      </c>
      <c r="E158" s="37" t="s">
        <v>38</v>
      </c>
      <c r="F158" s="38">
        <v>3658.55</v>
      </c>
      <c r="G158" s="38">
        <v>3661.55</v>
      </c>
      <c r="H158" s="38">
        <v>3654.05</v>
      </c>
      <c r="I158" s="37" t="s">
        <v>296</v>
      </c>
      <c r="J158" s="38">
        <v>3661.61</v>
      </c>
      <c r="K158" s="38">
        <v>0</v>
      </c>
      <c r="L158" s="38">
        <v>0</v>
      </c>
      <c r="M158" s="39">
        <v>-3.06</v>
      </c>
      <c r="N158" s="10" t="str">
        <f t="shared" si="27"/>
        <v>L</v>
      </c>
      <c r="O158" s="11">
        <f t="shared" si="28"/>
        <v>45918</v>
      </c>
      <c r="P158" s="12" t="str">
        <f t="shared" si="29"/>
        <v>01</v>
      </c>
      <c r="Q158" s="13" t="str">
        <f>VLOOKUP($B158,Deals_Demo!$H:$N,7,0)</f>
        <v>DEMO_strategy_03</v>
      </c>
      <c r="R158" s="13" t="str">
        <f t="shared" si="30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1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24"/>
        <v>-0.30600000000000005</v>
      </c>
      <c r="Y158" s="13">
        <f t="shared" si="25"/>
        <v>-0.6120000000000001</v>
      </c>
      <c r="Z158" s="13">
        <f t="shared" si="26"/>
        <v>-0.91799999999999993</v>
      </c>
      <c r="AA158" s="13">
        <f t="shared" si="32"/>
        <v>-3</v>
      </c>
    </row>
    <row r="159" spans="1:27" x14ac:dyDescent="0.25">
      <c r="A159" s="40">
        <v>45918.054618055554</v>
      </c>
      <c r="B159" s="41">
        <v>443143294</v>
      </c>
      <c r="C159" s="42" t="s">
        <v>36</v>
      </c>
      <c r="D159" s="42" t="s">
        <v>37</v>
      </c>
      <c r="E159" s="42" t="s">
        <v>38</v>
      </c>
      <c r="F159" s="43">
        <v>3663.41</v>
      </c>
      <c r="G159" s="43">
        <v>3663.33</v>
      </c>
      <c r="H159" s="43">
        <v>3664.89</v>
      </c>
      <c r="I159" s="42" t="s">
        <v>297</v>
      </c>
      <c r="J159" s="43">
        <v>3665.01</v>
      </c>
      <c r="K159" s="43">
        <v>0</v>
      </c>
      <c r="L159" s="43">
        <v>0</v>
      </c>
      <c r="M159" s="44">
        <v>1.6</v>
      </c>
      <c r="N159" s="10" t="str">
        <f t="shared" si="27"/>
        <v>W</v>
      </c>
      <c r="O159" s="11">
        <f t="shared" si="28"/>
        <v>45918</v>
      </c>
      <c r="P159" s="12" t="str">
        <f t="shared" si="29"/>
        <v>01</v>
      </c>
      <c r="Q159" s="13" t="str">
        <f>VLOOKUP($B159,Deals_Demo!$H:$N,7,0)</f>
        <v>strategy_12_demo</v>
      </c>
      <c r="R159" s="13" t="str">
        <f t="shared" si="30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1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24"/>
        <v>0.16000000000000003</v>
      </c>
      <c r="Y159" s="13">
        <f t="shared" si="25"/>
        <v>0.32000000000000006</v>
      </c>
      <c r="Z159" s="13">
        <f t="shared" si="26"/>
        <v>0.48</v>
      </c>
      <c r="AA159" s="13">
        <f t="shared" si="32"/>
        <v>-3</v>
      </c>
    </row>
    <row r="160" spans="1:27" x14ac:dyDescent="0.25">
      <c r="A160" s="35">
        <v>45918.054618055554</v>
      </c>
      <c r="B160" s="36">
        <v>443143295</v>
      </c>
      <c r="C160" s="37" t="s">
        <v>36</v>
      </c>
      <c r="D160" s="37" t="s">
        <v>37</v>
      </c>
      <c r="E160" s="37" t="s">
        <v>38</v>
      </c>
      <c r="F160" s="38">
        <v>3663.42</v>
      </c>
      <c r="G160" s="38">
        <v>3663.75</v>
      </c>
      <c r="H160" s="38">
        <v>3666.91</v>
      </c>
      <c r="I160" s="37" t="s">
        <v>298</v>
      </c>
      <c r="J160" s="38">
        <v>3663.75</v>
      </c>
      <c r="K160" s="38">
        <v>0</v>
      </c>
      <c r="L160" s="38">
        <v>0</v>
      </c>
      <c r="M160" s="39">
        <v>0.33</v>
      </c>
      <c r="N160" s="10" t="str">
        <f t="shared" si="27"/>
        <v>W</v>
      </c>
      <c r="O160" s="11">
        <f t="shared" si="28"/>
        <v>45918</v>
      </c>
      <c r="P160" s="12" t="str">
        <f t="shared" si="29"/>
        <v>01</v>
      </c>
      <c r="Q160" s="13" t="str">
        <f>VLOOKUP($B160,Deals_Demo!$H:$N,7,0)</f>
        <v>strategy_11_demo</v>
      </c>
      <c r="R160" s="13" t="str">
        <f t="shared" si="30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1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24"/>
        <v>3.3000000000000002E-2</v>
      </c>
      <c r="Y160" s="13">
        <f t="shared" si="25"/>
        <v>6.6000000000000003E-2</v>
      </c>
      <c r="Z160" s="13">
        <f t="shared" si="26"/>
        <v>9.9000000000000005E-2</v>
      </c>
      <c r="AA160" s="13">
        <f t="shared" si="32"/>
        <v>-3</v>
      </c>
    </row>
    <row r="161" spans="1:27" x14ac:dyDescent="0.25">
      <c r="A161" s="40">
        <v>45918.054629629631</v>
      </c>
      <c r="B161" s="41">
        <v>443143296</v>
      </c>
      <c r="C161" s="42" t="s">
        <v>36</v>
      </c>
      <c r="D161" s="42" t="s">
        <v>37</v>
      </c>
      <c r="E161" s="42" t="s">
        <v>38</v>
      </c>
      <c r="F161" s="43">
        <v>3663.42</v>
      </c>
      <c r="G161" s="43">
        <v>3663.75</v>
      </c>
      <c r="H161" s="43">
        <v>3666.41</v>
      </c>
      <c r="I161" s="42" t="s">
        <v>298</v>
      </c>
      <c r="J161" s="43">
        <v>3663.75</v>
      </c>
      <c r="K161" s="43">
        <v>0</v>
      </c>
      <c r="L161" s="43">
        <v>0</v>
      </c>
      <c r="M161" s="44">
        <v>0.33</v>
      </c>
      <c r="N161" s="10" t="str">
        <f t="shared" si="27"/>
        <v>W</v>
      </c>
      <c r="O161" s="11">
        <f t="shared" si="28"/>
        <v>45918</v>
      </c>
      <c r="P161" s="12" t="str">
        <f t="shared" si="29"/>
        <v>01</v>
      </c>
      <c r="Q161" s="13" t="str">
        <f>VLOOKUP($B161,Deals_Demo!$H:$N,7,0)</f>
        <v>strategy_10_demo</v>
      </c>
      <c r="R161" s="13" t="str">
        <f t="shared" si="30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1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24"/>
        <v>3.3000000000000002E-2</v>
      </c>
      <c r="Y161" s="13">
        <f t="shared" si="25"/>
        <v>6.6000000000000003E-2</v>
      </c>
      <c r="Z161" s="13">
        <f t="shared" si="26"/>
        <v>9.9000000000000005E-2</v>
      </c>
      <c r="AA161" s="13">
        <f t="shared" si="32"/>
        <v>-3</v>
      </c>
    </row>
    <row r="162" spans="1:27" x14ac:dyDescent="0.25">
      <c r="A162" s="35">
        <v>45918.054629629631</v>
      </c>
      <c r="B162" s="36">
        <v>443143297</v>
      </c>
      <c r="C162" s="37" t="s">
        <v>36</v>
      </c>
      <c r="D162" s="37" t="s">
        <v>37</v>
      </c>
      <c r="E162" s="37" t="s">
        <v>38</v>
      </c>
      <c r="F162" s="38">
        <v>3663.42</v>
      </c>
      <c r="G162" s="38">
        <v>3663.76</v>
      </c>
      <c r="H162" s="38">
        <v>3666.41</v>
      </c>
      <c r="I162" s="37" t="s">
        <v>299</v>
      </c>
      <c r="J162" s="38">
        <v>3663.76</v>
      </c>
      <c r="K162" s="38">
        <v>0</v>
      </c>
      <c r="L162" s="38">
        <v>0</v>
      </c>
      <c r="M162" s="39">
        <v>0.34</v>
      </c>
      <c r="N162" s="10" t="str">
        <f t="shared" si="27"/>
        <v>W</v>
      </c>
      <c r="O162" s="11">
        <f t="shared" si="28"/>
        <v>45918</v>
      </c>
      <c r="P162" s="12" t="str">
        <f t="shared" si="29"/>
        <v>01</v>
      </c>
      <c r="Q162" s="13" t="str">
        <f>VLOOKUP($B162,Deals_Demo!$H:$N,7,0)</f>
        <v>strategy_09_demo</v>
      </c>
      <c r="R162" s="13" t="str">
        <f t="shared" si="30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1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24"/>
        <v>3.4000000000000002E-2</v>
      </c>
      <c r="Y162" s="13">
        <f t="shared" si="25"/>
        <v>6.8000000000000005E-2</v>
      </c>
      <c r="Z162" s="13">
        <f t="shared" si="26"/>
        <v>0.10200000000000001</v>
      </c>
      <c r="AA162" s="13">
        <f t="shared" si="32"/>
        <v>-3</v>
      </c>
    </row>
    <row r="163" spans="1:27" x14ac:dyDescent="0.25">
      <c r="A163" s="40">
        <v>45918.061215277776</v>
      </c>
      <c r="B163" s="41">
        <v>443144330</v>
      </c>
      <c r="C163" s="42" t="s">
        <v>36</v>
      </c>
      <c r="D163" s="42" t="s">
        <v>37</v>
      </c>
      <c r="E163" s="42" t="s">
        <v>38</v>
      </c>
      <c r="F163" s="43">
        <v>3664.18</v>
      </c>
      <c r="G163" s="43">
        <v>3661.18</v>
      </c>
      <c r="H163" s="43">
        <v>3665.68</v>
      </c>
      <c r="I163" s="42" t="s">
        <v>300</v>
      </c>
      <c r="J163" s="43">
        <v>3661.17</v>
      </c>
      <c r="K163" s="43">
        <v>0</v>
      </c>
      <c r="L163" s="43">
        <v>0</v>
      </c>
      <c r="M163" s="44">
        <v>-3.01</v>
      </c>
      <c r="N163" s="10" t="str">
        <f t="shared" si="27"/>
        <v>L</v>
      </c>
      <c r="O163" s="11">
        <f t="shared" si="28"/>
        <v>45918</v>
      </c>
      <c r="P163" s="12" t="str">
        <f t="shared" si="29"/>
        <v>01</v>
      </c>
      <c r="Q163" s="13" t="str">
        <f>VLOOKUP($B163,Deals_Demo!$H:$N,7,0)</f>
        <v>strategy_12_demo</v>
      </c>
      <c r="R163" s="13" t="str">
        <f t="shared" si="30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1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24"/>
        <v>-0.30099999999999999</v>
      </c>
      <c r="Y163" s="13">
        <f t="shared" si="25"/>
        <v>-0.60199999999999998</v>
      </c>
      <c r="Z163" s="13">
        <f t="shared" si="26"/>
        <v>-0.90299999999999991</v>
      </c>
      <c r="AA163" s="13">
        <f t="shared" si="32"/>
        <v>-3</v>
      </c>
    </row>
    <row r="164" spans="1:27" x14ac:dyDescent="0.25">
      <c r="A164" s="35">
        <v>45918.061678240738</v>
      </c>
      <c r="B164" s="36">
        <v>443144361</v>
      </c>
      <c r="C164" s="37" t="s">
        <v>36</v>
      </c>
      <c r="D164" s="37" t="s">
        <v>37</v>
      </c>
      <c r="E164" s="37" t="s">
        <v>38</v>
      </c>
      <c r="F164" s="38">
        <v>3664.02</v>
      </c>
      <c r="G164" s="38">
        <v>3661.52</v>
      </c>
      <c r="H164" s="38">
        <v>3667.02</v>
      </c>
      <c r="I164" s="37" t="s">
        <v>301</v>
      </c>
      <c r="J164" s="38">
        <v>3661.51</v>
      </c>
      <c r="K164" s="38">
        <v>0</v>
      </c>
      <c r="L164" s="38">
        <v>0</v>
      </c>
      <c r="M164" s="39">
        <v>-2.5099999999999998</v>
      </c>
      <c r="N164" s="10" t="str">
        <f t="shared" si="27"/>
        <v>L</v>
      </c>
      <c r="O164" s="11">
        <f t="shared" si="28"/>
        <v>45918</v>
      </c>
      <c r="P164" s="12" t="str">
        <f t="shared" si="29"/>
        <v>01</v>
      </c>
      <c r="Q164" s="13" t="str">
        <f>VLOOKUP($B164,Deals_Demo!$H:$N,7,0)</f>
        <v>strategy_10_demo</v>
      </c>
      <c r="R164" s="13" t="str">
        <f t="shared" si="30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1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24"/>
        <v>-0.251</v>
      </c>
      <c r="Y164" s="13">
        <f t="shared" si="25"/>
        <v>-0.502</v>
      </c>
      <c r="Z164" s="13">
        <f t="shared" si="26"/>
        <v>-0.75299999999999989</v>
      </c>
      <c r="AA164" s="13">
        <f t="shared" si="32"/>
        <v>-3</v>
      </c>
    </row>
    <row r="165" spans="1:27" x14ac:dyDescent="0.25">
      <c r="A165" s="40">
        <v>45918.061678240738</v>
      </c>
      <c r="B165" s="41">
        <v>443144362</v>
      </c>
      <c r="C165" s="42" t="s">
        <v>36</v>
      </c>
      <c r="D165" s="42" t="s">
        <v>37</v>
      </c>
      <c r="E165" s="42" t="s">
        <v>38</v>
      </c>
      <c r="F165" s="43">
        <v>3664.02</v>
      </c>
      <c r="G165" s="43">
        <v>3665.43</v>
      </c>
      <c r="H165" s="43">
        <v>3667.02</v>
      </c>
      <c r="I165" s="42" t="s">
        <v>302</v>
      </c>
      <c r="J165" s="43">
        <v>3667.05</v>
      </c>
      <c r="K165" s="43">
        <v>0</v>
      </c>
      <c r="L165" s="43">
        <v>0</v>
      </c>
      <c r="M165" s="44">
        <v>3.03</v>
      </c>
      <c r="N165" s="10" t="str">
        <f t="shared" si="27"/>
        <v>W</v>
      </c>
      <c r="O165" s="11">
        <f t="shared" si="28"/>
        <v>45918</v>
      </c>
      <c r="P165" s="12" t="str">
        <f t="shared" si="29"/>
        <v>01</v>
      </c>
      <c r="Q165" s="13" t="str">
        <f>VLOOKUP($B165,Deals_Demo!$H:$N,7,0)</f>
        <v>strategy_09_demo</v>
      </c>
      <c r="R165" s="13" t="str">
        <f t="shared" si="30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1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24"/>
        <v>0.30299999999999999</v>
      </c>
      <c r="Y165" s="13">
        <f t="shared" si="25"/>
        <v>0.60599999999999998</v>
      </c>
      <c r="Z165" s="13">
        <f t="shared" si="26"/>
        <v>0.90899999999999992</v>
      </c>
      <c r="AA165" s="13">
        <f t="shared" si="32"/>
        <v>3.03</v>
      </c>
    </row>
    <row r="166" spans="1:27" x14ac:dyDescent="0.25">
      <c r="A166" s="35">
        <v>45918.061689814815</v>
      </c>
      <c r="B166" s="36">
        <v>443144363</v>
      </c>
      <c r="C166" s="37" t="s">
        <v>36</v>
      </c>
      <c r="D166" s="37" t="s">
        <v>37</v>
      </c>
      <c r="E166" s="37" t="s">
        <v>38</v>
      </c>
      <c r="F166" s="38">
        <v>3664.02</v>
      </c>
      <c r="G166" s="38">
        <v>3666.18</v>
      </c>
      <c r="H166" s="38">
        <v>3667.52</v>
      </c>
      <c r="I166" s="37" t="s">
        <v>303</v>
      </c>
      <c r="J166" s="38">
        <v>3667.52</v>
      </c>
      <c r="K166" s="38">
        <v>0</v>
      </c>
      <c r="L166" s="38">
        <v>0</v>
      </c>
      <c r="M166" s="39">
        <v>3.5</v>
      </c>
      <c r="N166" s="10" t="str">
        <f t="shared" si="27"/>
        <v>W</v>
      </c>
      <c r="O166" s="11">
        <f t="shared" si="28"/>
        <v>45918</v>
      </c>
      <c r="P166" s="12" t="str">
        <f t="shared" si="29"/>
        <v>01</v>
      </c>
      <c r="Q166" s="13" t="str">
        <f>VLOOKUP($B166,Deals_Demo!$H:$N,7,0)</f>
        <v>strategy_11_demo</v>
      </c>
      <c r="R166" s="13" t="str">
        <f t="shared" si="30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1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24"/>
        <v>0.35000000000000003</v>
      </c>
      <c r="Y166" s="13">
        <f t="shared" si="25"/>
        <v>0.70000000000000007</v>
      </c>
      <c r="Z166" s="13">
        <f t="shared" si="26"/>
        <v>1.05</v>
      </c>
      <c r="AA166" s="13">
        <f t="shared" si="32"/>
        <v>3.5</v>
      </c>
    </row>
    <row r="167" spans="1:27" x14ac:dyDescent="0.25">
      <c r="A167" s="40">
        <v>45918.068055555559</v>
      </c>
      <c r="B167" s="41">
        <v>443146056</v>
      </c>
      <c r="C167" s="42" t="s">
        <v>36</v>
      </c>
      <c r="D167" s="42" t="s">
        <v>39</v>
      </c>
      <c r="E167" s="42" t="s">
        <v>38</v>
      </c>
      <c r="F167" s="43">
        <v>3662.13</v>
      </c>
      <c r="G167" s="43">
        <v>3665.13</v>
      </c>
      <c r="H167" s="43">
        <v>3656.13</v>
      </c>
      <c r="I167" s="42" t="s">
        <v>304</v>
      </c>
      <c r="J167" s="43">
        <v>3665.41</v>
      </c>
      <c r="K167" s="43">
        <v>0</v>
      </c>
      <c r="L167" s="43">
        <v>0</v>
      </c>
      <c r="M167" s="44">
        <v>-3.28</v>
      </c>
      <c r="N167" s="10" t="str">
        <f t="shared" si="27"/>
        <v>L</v>
      </c>
      <c r="O167" s="11">
        <f t="shared" si="28"/>
        <v>45918</v>
      </c>
      <c r="P167" s="12" t="str">
        <f t="shared" si="29"/>
        <v>01</v>
      </c>
      <c r="Q167" s="13" t="str">
        <f>VLOOKUP($B167,Deals_Demo!$H:$N,7,0)</f>
        <v>DEMO_strategy_02</v>
      </c>
      <c r="R167" s="13" t="str">
        <f t="shared" si="30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1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24"/>
        <v>-0.32800000000000001</v>
      </c>
      <c r="Y167" s="13">
        <f t="shared" si="25"/>
        <v>-0.65600000000000003</v>
      </c>
      <c r="Z167" s="13">
        <f t="shared" si="26"/>
        <v>-0.98399999999999987</v>
      </c>
      <c r="AA167" s="13">
        <f t="shared" si="32"/>
        <v>-3</v>
      </c>
    </row>
    <row r="168" spans="1:27" x14ac:dyDescent="0.25">
      <c r="A168" s="35">
        <v>45918.068055555559</v>
      </c>
      <c r="B168" s="36">
        <v>443146058</v>
      </c>
      <c r="C168" s="37" t="s">
        <v>36</v>
      </c>
      <c r="D168" s="37" t="s">
        <v>39</v>
      </c>
      <c r="E168" s="37" t="s">
        <v>38</v>
      </c>
      <c r="F168" s="38">
        <v>3662.17</v>
      </c>
      <c r="G168" s="38">
        <v>3665.13</v>
      </c>
      <c r="H168" s="37"/>
      <c r="I168" s="37" t="s">
        <v>304</v>
      </c>
      <c r="J168" s="38">
        <v>3665.41</v>
      </c>
      <c r="K168" s="38">
        <v>0</v>
      </c>
      <c r="L168" s="38">
        <v>0</v>
      </c>
      <c r="M168" s="39">
        <v>-3.24</v>
      </c>
      <c r="N168" s="10" t="str">
        <f t="shared" si="27"/>
        <v>L</v>
      </c>
      <c r="O168" s="11">
        <f t="shared" si="28"/>
        <v>45918</v>
      </c>
      <c r="P168" s="12" t="str">
        <f t="shared" si="29"/>
        <v>01</v>
      </c>
      <c r="Q168" s="13" t="str">
        <f>VLOOKUP($B168,Deals_Demo!$H:$N,7,0)</f>
        <v>DEMO_strategy_01</v>
      </c>
      <c r="R168" s="13" t="str">
        <f t="shared" si="30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1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24"/>
        <v>-0.32400000000000007</v>
      </c>
      <c r="Y168" s="13">
        <f t="shared" si="25"/>
        <v>-0.64800000000000013</v>
      </c>
      <c r="Z168" s="13">
        <f t="shared" si="26"/>
        <v>-0.97199999999999998</v>
      </c>
      <c r="AA168" s="13">
        <f t="shared" si="32"/>
        <v>-3</v>
      </c>
    </row>
    <row r="169" spans="1:27" x14ac:dyDescent="0.25">
      <c r="A169" s="40">
        <v>45918.069432870368</v>
      </c>
      <c r="B169" s="41">
        <v>443146223</v>
      </c>
      <c r="C169" s="42" t="s">
        <v>36</v>
      </c>
      <c r="D169" s="42" t="s">
        <v>39</v>
      </c>
      <c r="E169" s="42" t="s">
        <v>38</v>
      </c>
      <c r="F169" s="43">
        <v>3661.89</v>
      </c>
      <c r="G169" s="43">
        <v>3664.89</v>
      </c>
      <c r="H169" s="43">
        <v>3657.39</v>
      </c>
      <c r="I169" s="42" t="s">
        <v>305</v>
      </c>
      <c r="J169" s="43">
        <v>3664.89</v>
      </c>
      <c r="K169" s="43">
        <v>0</v>
      </c>
      <c r="L169" s="43">
        <v>0</v>
      </c>
      <c r="M169" s="44">
        <v>-3</v>
      </c>
      <c r="N169" s="10" t="str">
        <f t="shared" si="27"/>
        <v>L</v>
      </c>
      <c r="O169" s="11">
        <f t="shared" si="28"/>
        <v>45918</v>
      </c>
      <c r="P169" s="12" t="str">
        <f t="shared" si="29"/>
        <v>01</v>
      </c>
      <c r="Q169" s="13" t="str">
        <f>VLOOKUP($B169,Deals_Demo!$H:$N,7,0)</f>
        <v>DEMO_strategy_03</v>
      </c>
      <c r="R169" s="13" t="str">
        <f t="shared" si="30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1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24"/>
        <v>-0.30000000000000004</v>
      </c>
      <c r="Y169" s="13">
        <f t="shared" si="25"/>
        <v>-0.60000000000000009</v>
      </c>
      <c r="Z169" s="13">
        <f t="shared" si="26"/>
        <v>-0.89999999999999991</v>
      </c>
      <c r="AA169" s="13">
        <f t="shared" si="32"/>
        <v>-3</v>
      </c>
    </row>
    <row r="170" spans="1:27" x14ac:dyDescent="0.25">
      <c r="A170" s="35">
        <v>45918.08829861111</v>
      </c>
      <c r="B170" s="36">
        <v>443150580</v>
      </c>
      <c r="C170" s="37" t="s">
        <v>36</v>
      </c>
      <c r="D170" s="37" t="s">
        <v>37</v>
      </c>
      <c r="E170" s="37" t="s">
        <v>38</v>
      </c>
      <c r="F170" s="38">
        <v>3664.57</v>
      </c>
      <c r="G170" s="38">
        <v>3661.43</v>
      </c>
      <c r="H170" s="38">
        <v>3665.93</v>
      </c>
      <c r="I170" s="37" t="s">
        <v>306</v>
      </c>
      <c r="J170" s="38">
        <v>3665.93</v>
      </c>
      <c r="K170" s="38">
        <v>0</v>
      </c>
      <c r="L170" s="38">
        <v>0</v>
      </c>
      <c r="M170" s="39">
        <v>1.36</v>
      </c>
      <c r="N170" s="10" t="str">
        <f t="shared" si="27"/>
        <v>W</v>
      </c>
      <c r="O170" s="11">
        <f t="shared" si="28"/>
        <v>45918</v>
      </c>
      <c r="P170" s="12" t="str">
        <f t="shared" si="29"/>
        <v>02</v>
      </c>
      <c r="Q170" s="13" t="str">
        <f>VLOOKUP($B170,Deals_Demo!$H:$N,7,0)</f>
        <v>strategy_12_demo</v>
      </c>
      <c r="R170" s="13" t="str">
        <f t="shared" si="30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1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24"/>
        <v>0.13600000000000001</v>
      </c>
      <c r="Y170" s="13">
        <f t="shared" si="25"/>
        <v>0.27200000000000002</v>
      </c>
      <c r="Z170" s="13">
        <f t="shared" si="26"/>
        <v>0.40800000000000003</v>
      </c>
      <c r="AA170" s="13">
        <f t="shared" si="32"/>
        <v>-3</v>
      </c>
    </row>
    <row r="171" spans="1:27" x14ac:dyDescent="0.25">
      <c r="A171" s="40">
        <v>45918.08829861111</v>
      </c>
      <c r="B171" s="41">
        <v>443150581</v>
      </c>
      <c r="C171" s="42" t="s">
        <v>36</v>
      </c>
      <c r="D171" s="42" t="s">
        <v>37</v>
      </c>
      <c r="E171" s="42" t="s">
        <v>38</v>
      </c>
      <c r="F171" s="43">
        <v>3664.57</v>
      </c>
      <c r="G171" s="43">
        <v>3666.27</v>
      </c>
      <c r="H171" s="43">
        <v>3667.57</v>
      </c>
      <c r="I171" s="42" t="s">
        <v>307</v>
      </c>
      <c r="J171" s="43">
        <v>3667.59</v>
      </c>
      <c r="K171" s="43">
        <v>0</v>
      </c>
      <c r="L171" s="43">
        <v>0</v>
      </c>
      <c r="M171" s="44">
        <v>3.02</v>
      </c>
      <c r="N171" s="10" t="str">
        <f t="shared" si="27"/>
        <v>W</v>
      </c>
      <c r="O171" s="11">
        <f t="shared" si="28"/>
        <v>45918</v>
      </c>
      <c r="P171" s="12" t="str">
        <f t="shared" si="29"/>
        <v>02</v>
      </c>
      <c r="Q171" s="13" t="str">
        <f>VLOOKUP($B171,Deals_Demo!$H:$N,7,0)</f>
        <v>strategy_10_demo</v>
      </c>
      <c r="R171" s="13" t="str">
        <f t="shared" si="30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1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24"/>
        <v>0.30200000000000005</v>
      </c>
      <c r="Y171" s="13">
        <f t="shared" si="25"/>
        <v>0.60400000000000009</v>
      </c>
      <c r="Z171" s="13">
        <f t="shared" si="26"/>
        <v>0.90599999999999992</v>
      </c>
      <c r="AA171" s="13">
        <f t="shared" si="32"/>
        <v>3.02</v>
      </c>
    </row>
    <row r="172" spans="1:27" x14ac:dyDescent="0.25">
      <c r="A172" s="35">
        <v>45918.096284722225</v>
      </c>
      <c r="B172" s="36">
        <v>443152612</v>
      </c>
      <c r="C172" s="37" t="s">
        <v>36</v>
      </c>
      <c r="D172" s="37" t="s">
        <v>37</v>
      </c>
      <c r="E172" s="37" t="s">
        <v>38</v>
      </c>
      <c r="F172" s="38">
        <v>3667.83</v>
      </c>
      <c r="G172" s="38">
        <v>3664.83</v>
      </c>
      <c r="H172" s="38">
        <v>3669.33</v>
      </c>
      <c r="I172" s="37" t="s">
        <v>308</v>
      </c>
      <c r="J172" s="38">
        <v>3669.58</v>
      </c>
      <c r="K172" s="38">
        <v>0</v>
      </c>
      <c r="L172" s="38">
        <v>0</v>
      </c>
      <c r="M172" s="39">
        <v>1.75</v>
      </c>
      <c r="N172" s="10" t="str">
        <f t="shared" si="27"/>
        <v>W</v>
      </c>
      <c r="O172" s="11">
        <f t="shared" si="28"/>
        <v>45918</v>
      </c>
      <c r="P172" s="12" t="str">
        <f t="shared" si="29"/>
        <v>02</v>
      </c>
      <c r="Q172" s="13" t="str">
        <f>VLOOKUP($B172,Deals_Demo!$H:$N,7,0)</f>
        <v>strategy_12_demo</v>
      </c>
      <c r="R172" s="13" t="str">
        <f t="shared" si="30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1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24"/>
        <v>0.17500000000000002</v>
      </c>
      <c r="Y172" s="13">
        <f t="shared" si="25"/>
        <v>0.35000000000000003</v>
      </c>
      <c r="Z172" s="13">
        <f t="shared" si="26"/>
        <v>0.52500000000000002</v>
      </c>
      <c r="AA172" s="13">
        <f t="shared" si="32"/>
        <v>-3</v>
      </c>
    </row>
    <row r="173" spans="1:27" x14ac:dyDescent="0.25">
      <c r="A173" s="40">
        <v>45918.096284722225</v>
      </c>
      <c r="B173" s="41">
        <v>443152614</v>
      </c>
      <c r="C173" s="42" t="s">
        <v>36</v>
      </c>
      <c r="D173" s="42" t="s">
        <v>37</v>
      </c>
      <c r="E173" s="42" t="s">
        <v>38</v>
      </c>
      <c r="F173" s="43">
        <v>3667.83</v>
      </c>
      <c r="G173" s="43">
        <v>3669.57</v>
      </c>
      <c r="H173" s="43">
        <v>3670.83</v>
      </c>
      <c r="I173" s="42" t="s">
        <v>309</v>
      </c>
      <c r="J173" s="43">
        <v>3671.06</v>
      </c>
      <c r="K173" s="43">
        <v>0</v>
      </c>
      <c r="L173" s="43">
        <v>0</v>
      </c>
      <c r="M173" s="44">
        <v>3.23</v>
      </c>
      <c r="N173" s="10" t="str">
        <f t="shared" si="27"/>
        <v>W</v>
      </c>
      <c r="O173" s="11">
        <f t="shared" si="28"/>
        <v>45918</v>
      </c>
      <c r="P173" s="12" t="str">
        <f t="shared" si="29"/>
        <v>02</v>
      </c>
      <c r="Q173" s="13" t="str">
        <f>VLOOKUP($B173,Deals_Demo!$H:$N,7,0)</f>
        <v>strategy_10_demo</v>
      </c>
      <c r="R173" s="13" t="str">
        <f t="shared" si="30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1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24"/>
        <v>0.32300000000000001</v>
      </c>
      <c r="Y173" s="13">
        <f t="shared" si="25"/>
        <v>0.64600000000000002</v>
      </c>
      <c r="Z173" s="13">
        <f t="shared" si="26"/>
        <v>0.96899999999999997</v>
      </c>
      <c r="AA173" s="13">
        <f t="shared" si="32"/>
        <v>3.23</v>
      </c>
    </row>
    <row r="174" spans="1:27" x14ac:dyDescent="0.25">
      <c r="A174" s="35">
        <v>45918.096284722225</v>
      </c>
      <c r="B174" s="36">
        <v>443152617</v>
      </c>
      <c r="C174" s="37" t="s">
        <v>36</v>
      </c>
      <c r="D174" s="37" t="s">
        <v>37</v>
      </c>
      <c r="E174" s="37" t="s">
        <v>38</v>
      </c>
      <c r="F174" s="38">
        <v>3667.83</v>
      </c>
      <c r="G174" s="38">
        <v>3669.57</v>
      </c>
      <c r="H174" s="38">
        <v>3670.83</v>
      </c>
      <c r="I174" s="37" t="s">
        <v>309</v>
      </c>
      <c r="J174" s="38">
        <v>3671.06</v>
      </c>
      <c r="K174" s="38">
        <v>0</v>
      </c>
      <c r="L174" s="38">
        <v>0</v>
      </c>
      <c r="M174" s="39">
        <v>3.23</v>
      </c>
      <c r="N174" s="10" t="str">
        <f t="shared" si="27"/>
        <v>W</v>
      </c>
      <c r="O174" s="11">
        <f t="shared" si="28"/>
        <v>45918</v>
      </c>
      <c r="P174" s="12" t="str">
        <f t="shared" si="29"/>
        <v>02</v>
      </c>
      <c r="Q174" s="13" t="str">
        <f>VLOOKUP($B174,Deals_Demo!$H:$N,7,0)</f>
        <v>strategy_09_demo</v>
      </c>
      <c r="R174" s="13" t="str">
        <f t="shared" si="30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1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24"/>
        <v>0.32300000000000001</v>
      </c>
      <c r="Y174" s="13">
        <f t="shared" si="25"/>
        <v>0.64600000000000002</v>
      </c>
      <c r="Z174" s="13">
        <f t="shared" si="26"/>
        <v>0.96899999999999997</v>
      </c>
      <c r="AA174" s="13">
        <f t="shared" si="32"/>
        <v>3.23</v>
      </c>
    </row>
    <row r="175" spans="1:27" x14ac:dyDescent="0.25">
      <c r="A175" s="40">
        <v>45918.096296296295</v>
      </c>
      <c r="B175" s="41">
        <v>443152618</v>
      </c>
      <c r="C175" s="42" t="s">
        <v>36</v>
      </c>
      <c r="D175" s="42" t="s">
        <v>37</v>
      </c>
      <c r="E175" s="42" t="s">
        <v>38</v>
      </c>
      <c r="F175" s="43">
        <v>3667.73</v>
      </c>
      <c r="G175" s="43">
        <v>3669.68</v>
      </c>
      <c r="H175" s="43">
        <v>3671.33</v>
      </c>
      <c r="I175" s="42" t="s">
        <v>310</v>
      </c>
      <c r="J175" s="43">
        <v>3671.97</v>
      </c>
      <c r="K175" s="43">
        <v>0</v>
      </c>
      <c r="L175" s="43">
        <v>0</v>
      </c>
      <c r="M175" s="44">
        <v>4.24</v>
      </c>
      <c r="N175" s="10" t="str">
        <f t="shared" si="27"/>
        <v>W</v>
      </c>
      <c r="O175" s="11">
        <f t="shared" si="28"/>
        <v>45918</v>
      </c>
      <c r="P175" s="12" t="str">
        <f t="shared" si="29"/>
        <v>02</v>
      </c>
      <c r="Q175" s="13" t="str">
        <f>VLOOKUP($B175,Deals_Demo!$H:$N,7,0)</f>
        <v>strategy_11_demo</v>
      </c>
      <c r="R175" s="13" t="str">
        <f t="shared" si="30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1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24"/>
        <v>0.42400000000000004</v>
      </c>
      <c r="Y175" s="13">
        <f t="shared" si="25"/>
        <v>0.84800000000000009</v>
      </c>
      <c r="Z175" s="13">
        <f t="shared" si="26"/>
        <v>1.272</v>
      </c>
      <c r="AA175" s="13">
        <f t="shared" si="32"/>
        <v>4.24</v>
      </c>
    </row>
    <row r="176" spans="1:27" x14ac:dyDescent="0.25">
      <c r="A176" s="35">
        <v>45918.103113425925</v>
      </c>
      <c r="B176" s="36">
        <v>443154231</v>
      </c>
      <c r="C176" s="37" t="s">
        <v>36</v>
      </c>
      <c r="D176" s="37" t="s">
        <v>37</v>
      </c>
      <c r="E176" s="37" t="s">
        <v>38</v>
      </c>
      <c r="F176" s="38">
        <v>3670.2</v>
      </c>
      <c r="G176" s="38">
        <v>3667.26</v>
      </c>
      <c r="H176" s="38">
        <v>3671.76</v>
      </c>
      <c r="I176" s="37" t="s">
        <v>311</v>
      </c>
      <c r="J176" s="38">
        <v>3667.25</v>
      </c>
      <c r="K176" s="38">
        <v>0</v>
      </c>
      <c r="L176" s="38">
        <v>0</v>
      </c>
      <c r="M176" s="39">
        <v>-2.95</v>
      </c>
      <c r="N176" s="10" t="str">
        <f t="shared" si="27"/>
        <v>L</v>
      </c>
      <c r="O176" s="11">
        <f t="shared" si="28"/>
        <v>45918</v>
      </c>
      <c r="P176" s="12" t="str">
        <f t="shared" si="29"/>
        <v>02</v>
      </c>
      <c r="Q176" s="13" t="str">
        <f>VLOOKUP($B176,Deals_Demo!$H:$N,7,0)</f>
        <v>strategy_12_demo</v>
      </c>
      <c r="R176" s="13" t="str">
        <f t="shared" si="30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1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24"/>
        <v>-0.29500000000000004</v>
      </c>
      <c r="Y176" s="13">
        <f t="shared" si="25"/>
        <v>-0.59000000000000008</v>
      </c>
      <c r="Z176" s="13">
        <f t="shared" si="26"/>
        <v>-0.88500000000000001</v>
      </c>
      <c r="AA176" s="13">
        <f t="shared" si="32"/>
        <v>-3</v>
      </c>
    </row>
    <row r="177" spans="1:27" x14ac:dyDescent="0.25">
      <c r="A177" s="40">
        <v>45918.103113425925</v>
      </c>
      <c r="B177" s="41">
        <v>443154232</v>
      </c>
      <c r="C177" s="42" t="s">
        <v>36</v>
      </c>
      <c r="D177" s="42" t="s">
        <v>37</v>
      </c>
      <c r="E177" s="42" t="s">
        <v>38</v>
      </c>
      <c r="F177" s="43">
        <v>3670.23</v>
      </c>
      <c r="G177" s="43">
        <v>3667.2</v>
      </c>
      <c r="H177" s="43">
        <v>3673.7</v>
      </c>
      <c r="I177" s="42" t="s">
        <v>312</v>
      </c>
      <c r="J177" s="43">
        <v>3667.12</v>
      </c>
      <c r="K177" s="43">
        <v>0</v>
      </c>
      <c r="L177" s="43">
        <v>0</v>
      </c>
      <c r="M177" s="44">
        <v>-3.11</v>
      </c>
      <c r="N177" s="10" t="str">
        <f t="shared" si="27"/>
        <v>L</v>
      </c>
      <c r="O177" s="11">
        <f t="shared" si="28"/>
        <v>45918</v>
      </c>
      <c r="P177" s="12" t="str">
        <f t="shared" si="29"/>
        <v>02</v>
      </c>
      <c r="Q177" s="13" t="str">
        <f>VLOOKUP($B177,Deals_Demo!$H:$N,7,0)</f>
        <v>strategy_11_demo</v>
      </c>
      <c r="R177" s="13" t="str">
        <f t="shared" si="30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1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24"/>
        <v>-0.311</v>
      </c>
      <c r="Y177" s="13">
        <f t="shared" si="25"/>
        <v>-0.622</v>
      </c>
      <c r="Z177" s="13">
        <f t="shared" si="26"/>
        <v>-0.93299999999999994</v>
      </c>
      <c r="AA177" s="13">
        <f t="shared" si="32"/>
        <v>-3</v>
      </c>
    </row>
    <row r="178" spans="1:27" x14ac:dyDescent="0.25">
      <c r="A178" s="35">
        <v>45918.103113425925</v>
      </c>
      <c r="B178" s="36">
        <v>443154234</v>
      </c>
      <c r="C178" s="37" t="s">
        <v>36</v>
      </c>
      <c r="D178" s="37" t="s">
        <v>37</v>
      </c>
      <c r="E178" s="37" t="s">
        <v>38</v>
      </c>
      <c r="F178" s="38">
        <v>3670.25</v>
      </c>
      <c r="G178" s="38">
        <v>3667.2</v>
      </c>
      <c r="H178" s="38">
        <v>3673.2</v>
      </c>
      <c r="I178" s="37" t="s">
        <v>312</v>
      </c>
      <c r="J178" s="38">
        <v>3667.12</v>
      </c>
      <c r="K178" s="38">
        <v>0</v>
      </c>
      <c r="L178" s="38">
        <v>0</v>
      </c>
      <c r="M178" s="39">
        <v>-3.13</v>
      </c>
      <c r="N178" s="10" t="str">
        <f t="shared" si="27"/>
        <v>L</v>
      </c>
      <c r="O178" s="11">
        <f t="shared" si="28"/>
        <v>45918</v>
      </c>
      <c r="P178" s="12" t="str">
        <f t="shared" si="29"/>
        <v>02</v>
      </c>
      <c r="Q178" s="13" t="str">
        <f>VLOOKUP($B178,Deals_Demo!$H:$N,7,0)</f>
        <v>strategy_09_demo</v>
      </c>
      <c r="R178" s="13" t="str">
        <f t="shared" si="30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1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24"/>
        <v>-0.313</v>
      </c>
      <c r="Y178" s="13">
        <f t="shared" si="25"/>
        <v>-0.626</v>
      </c>
      <c r="Z178" s="13">
        <f t="shared" si="26"/>
        <v>-0.93899999999999995</v>
      </c>
      <c r="AA178" s="13">
        <f t="shared" si="32"/>
        <v>-3</v>
      </c>
    </row>
    <row r="179" spans="1:27" x14ac:dyDescent="0.25">
      <c r="A179" s="40">
        <v>45918.103125000001</v>
      </c>
      <c r="B179" s="41">
        <v>443154235</v>
      </c>
      <c r="C179" s="42" t="s">
        <v>36</v>
      </c>
      <c r="D179" s="42" t="s">
        <v>37</v>
      </c>
      <c r="E179" s="42" t="s">
        <v>38</v>
      </c>
      <c r="F179" s="43">
        <v>3670.29</v>
      </c>
      <c r="G179" s="43">
        <v>3667.7</v>
      </c>
      <c r="H179" s="43">
        <v>3673.2</v>
      </c>
      <c r="I179" s="42" t="s">
        <v>313</v>
      </c>
      <c r="J179" s="43">
        <v>3667.66</v>
      </c>
      <c r="K179" s="43">
        <v>0</v>
      </c>
      <c r="L179" s="43">
        <v>0</v>
      </c>
      <c r="M179" s="44">
        <v>-2.63</v>
      </c>
      <c r="N179" s="10" t="str">
        <f t="shared" si="27"/>
        <v>L</v>
      </c>
      <c r="O179" s="11">
        <f t="shared" si="28"/>
        <v>45918</v>
      </c>
      <c r="P179" s="12" t="str">
        <f t="shared" si="29"/>
        <v>02</v>
      </c>
      <c r="Q179" s="13" t="str">
        <f>VLOOKUP($B179,Deals_Demo!$H:$N,7,0)</f>
        <v>strategy_10_demo</v>
      </c>
      <c r="R179" s="13" t="str">
        <f t="shared" si="30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1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24"/>
        <v>-0.26300000000000001</v>
      </c>
      <c r="Y179" s="13">
        <f t="shared" si="25"/>
        <v>-0.52600000000000002</v>
      </c>
      <c r="Z179" s="13">
        <f t="shared" si="26"/>
        <v>-0.78899999999999992</v>
      </c>
      <c r="AA179" s="13">
        <f t="shared" si="32"/>
        <v>-3</v>
      </c>
    </row>
    <row r="180" spans="1:27" x14ac:dyDescent="0.25">
      <c r="A180" s="35">
        <v>45918.10496527778</v>
      </c>
      <c r="B180" s="36">
        <v>443154980</v>
      </c>
      <c r="C180" s="37" t="s">
        <v>36</v>
      </c>
      <c r="D180" s="37" t="s">
        <v>37</v>
      </c>
      <c r="E180" s="37" t="s">
        <v>38</v>
      </c>
      <c r="F180" s="38">
        <v>3670.27</v>
      </c>
      <c r="G180" s="38">
        <v>3667.3</v>
      </c>
      <c r="H180" s="38">
        <v>3673.8</v>
      </c>
      <c r="I180" s="37" t="s">
        <v>311</v>
      </c>
      <c r="J180" s="38">
        <v>3667.25</v>
      </c>
      <c r="K180" s="38">
        <v>0</v>
      </c>
      <c r="L180" s="38">
        <v>0</v>
      </c>
      <c r="M180" s="39">
        <v>-3.02</v>
      </c>
      <c r="N180" s="10" t="str">
        <f t="shared" si="27"/>
        <v>L</v>
      </c>
      <c r="O180" s="11">
        <f t="shared" si="28"/>
        <v>45918</v>
      </c>
      <c r="P180" s="12" t="str">
        <f t="shared" si="29"/>
        <v>02</v>
      </c>
      <c r="Q180" s="13" t="str">
        <f>VLOOKUP($B180,Deals_Demo!$H:$N,7,0)</f>
        <v>strategy_07_demo</v>
      </c>
      <c r="R180" s="13" t="str">
        <f t="shared" si="30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1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24"/>
        <v>-0.30200000000000005</v>
      </c>
      <c r="Y180" s="13">
        <f t="shared" si="25"/>
        <v>-0.60400000000000009</v>
      </c>
      <c r="Z180" s="13">
        <f t="shared" si="26"/>
        <v>-0.90599999999999992</v>
      </c>
      <c r="AA180" s="13">
        <f t="shared" si="32"/>
        <v>-3</v>
      </c>
    </row>
    <row r="181" spans="1:27" x14ac:dyDescent="0.25">
      <c r="A181" s="40">
        <v>45918.10496527778</v>
      </c>
      <c r="B181" s="41">
        <v>443154981</v>
      </c>
      <c r="C181" s="42" t="s">
        <v>36</v>
      </c>
      <c r="D181" s="42" t="s">
        <v>37</v>
      </c>
      <c r="E181" s="42" t="s">
        <v>38</v>
      </c>
      <c r="F181" s="43">
        <v>3670.27</v>
      </c>
      <c r="G181" s="43">
        <v>3667.27</v>
      </c>
      <c r="H181" s="43">
        <v>3673.77</v>
      </c>
      <c r="I181" s="42" t="s">
        <v>311</v>
      </c>
      <c r="J181" s="43">
        <v>3667.25</v>
      </c>
      <c r="K181" s="43">
        <v>0</v>
      </c>
      <c r="L181" s="43">
        <v>0</v>
      </c>
      <c r="M181" s="44">
        <v>-3.02</v>
      </c>
      <c r="N181" s="10" t="str">
        <f t="shared" si="27"/>
        <v>L</v>
      </c>
      <c r="O181" s="11">
        <f t="shared" si="28"/>
        <v>45918</v>
      </c>
      <c r="P181" s="12" t="str">
        <f t="shared" si="29"/>
        <v>02</v>
      </c>
      <c r="Q181" s="13" t="str">
        <f>VLOOKUP($B181,Deals_Demo!$H:$N,7,0)</f>
        <v>strategy_08_demo</v>
      </c>
      <c r="R181" s="13" t="str">
        <f t="shared" si="30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1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24"/>
        <v>-0.30200000000000005</v>
      </c>
      <c r="Y181" s="13">
        <f t="shared" si="25"/>
        <v>-0.60400000000000009</v>
      </c>
      <c r="Z181" s="13">
        <f t="shared" si="26"/>
        <v>-0.90599999999999992</v>
      </c>
      <c r="AA181" s="13">
        <f t="shared" si="32"/>
        <v>-3</v>
      </c>
    </row>
    <row r="182" spans="1:27" x14ac:dyDescent="0.25">
      <c r="A182" s="35">
        <v>45918.12903935185</v>
      </c>
      <c r="B182" s="36">
        <v>443160702</v>
      </c>
      <c r="C182" s="37" t="s">
        <v>36</v>
      </c>
      <c r="D182" s="37" t="s">
        <v>39</v>
      </c>
      <c r="E182" s="37" t="s">
        <v>38</v>
      </c>
      <c r="F182" s="38">
        <v>3667.49</v>
      </c>
      <c r="G182" s="38">
        <v>3670.49</v>
      </c>
      <c r="H182" s="38">
        <v>3665.99</v>
      </c>
      <c r="I182" s="37" t="s">
        <v>314</v>
      </c>
      <c r="J182" s="38">
        <v>3665.75</v>
      </c>
      <c r="K182" s="38">
        <v>0</v>
      </c>
      <c r="L182" s="38">
        <v>0</v>
      </c>
      <c r="M182" s="39">
        <v>1.74</v>
      </c>
      <c r="N182" s="10" t="str">
        <f t="shared" si="27"/>
        <v>W</v>
      </c>
      <c r="O182" s="11">
        <f t="shared" si="28"/>
        <v>45918</v>
      </c>
      <c r="P182" s="12" t="str">
        <f t="shared" si="29"/>
        <v>03</v>
      </c>
      <c r="Q182" s="13" t="str">
        <f>VLOOKUP($B182,Deals_Demo!$H:$N,7,0)</f>
        <v>strategy_12_demo</v>
      </c>
      <c r="R182" s="13" t="str">
        <f t="shared" si="30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1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24"/>
        <v>0.17400000000000002</v>
      </c>
      <c r="Y182" s="13">
        <f t="shared" si="25"/>
        <v>0.34800000000000003</v>
      </c>
      <c r="Z182" s="13">
        <f t="shared" si="26"/>
        <v>0.52200000000000002</v>
      </c>
      <c r="AA182" s="13">
        <f t="shared" si="32"/>
        <v>-3</v>
      </c>
    </row>
    <row r="183" spans="1:27" x14ac:dyDescent="0.25">
      <c r="A183" s="40">
        <v>45918.12903935185</v>
      </c>
      <c r="B183" s="41">
        <v>443160704</v>
      </c>
      <c r="C183" s="42" t="s">
        <v>36</v>
      </c>
      <c r="D183" s="42" t="s">
        <v>39</v>
      </c>
      <c r="E183" s="42" t="s">
        <v>38</v>
      </c>
      <c r="F183" s="43">
        <v>3667.49</v>
      </c>
      <c r="G183" s="43">
        <v>3665.95</v>
      </c>
      <c r="H183" s="43">
        <v>3663.99</v>
      </c>
      <c r="I183" s="42" t="s">
        <v>315</v>
      </c>
      <c r="J183" s="43">
        <v>3663.99</v>
      </c>
      <c r="K183" s="43">
        <v>0</v>
      </c>
      <c r="L183" s="43">
        <v>0</v>
      </c>
      <c r="M183" s="44">
        <v>3.5</v>
      </c>
      <c r="N183" s="10" t="str">
        <f t="shared" si="27"/>
        <v>W</v>
      </c>
      <c r="O183" s="11">
        <f t="shared" si="28"/>
        <v>45918</v>
      </c>
      <c r="P183" s="12" t="str">
        <f t="shared" si="29"/>
        <v>03</v>
      </c>
      <c r="Q183" s="13" t="str">
        <f>VLOOKUP($B183,Deals_Demo!$H:$N,7,0)</f>
        <v>strategy_11_demo</v>
      </c>
      <c r="R183" s="13" t="str">
        <f t="shared" si="30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1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24"/>
        <v>0.35000000000000003</v>
      </c>
      <c r="Y183" s="13">
        <f t="shared" si="25"/>
        <v>0.70000000000000007</v>
      </c>
      <c r="Z183" s="13">
        <f t="shared" si="26"/>
        <v>1.05</v>
      </c>
      <c r="AA183" s="13">
        <f t="shared" si="32"/>
        <v>3.5</v>
      </c>
    </row>
    <row r="184" spans="1:27" x14ac:dyDescent="0.25">
      <c r="A184" s="35">
        <v>45918.12903935185</v>
      </c>
      <c r="B184" s="36">
        <v>443160705</v>
      </c>
      <c r="C184" s="37" t="s">
        <v>36</v>
      </c>
      <c r="D184" s="37" t="s">
        <v>39</v>
      </c>
      <c r="E184" s="37" t="s">
        <v>38</v>
      </c>
      <c r="F184" s="38">
        <v>3667.49</v>
      </c>
      <c r="G184" s="38">
        <v>3666.1</v>
      </c>
      <c r="H184" s="38">
        <v>3664.49</v>
      </c>
      <c r="I184" s="37" t="s">
        <v>316</v>
      </c>
      <c r="J184" s="38">
        <v>3664.43</v>
      </c>
      <c r="K184" s="38">
        <v>0</v>
      </c>
      <c r="L184" s="38">
        <v>0</v>
      </c>
      <c r="M184" s="39">
        <v>3.06</v>
      </c>
      <c r="N184" s="10" t="str">
        <f t="shared" si="27"/>
        <v>W</v>
      </c>
      <c r="O184" s="11">
        <f t="shared" si="28"/>
        <v>45918</v>
      </c>
      <c r="P184" s="12" t="str">
        <f t="shared" si="29"/>
        <v>03</v>
      </c>
      <c r="Q184" s="13" t="str">
        <f>VLOOKUP($B184,Deals_Demo!$H:$N,7,0)</f>
        <v>strategy_10_demo</v>
      </c>
      <c r="R184" s="13" t="str">
        <f t="shared" si="30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1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24"/>
        <v>0.30600000000000005</v>
      </c>
      <c r="Y184" s="13">
        <f t="shared" si="25"/>
        <v>0.6120000000000001</v>
      </c>
      <c r="Z184" s="13">
        <f t="shared" si="26"/>
        <v>0.91799999999999993</v>
      </c>
      <c r="AA184" s="13">
        <f t="shared" si="32"/>
        <v>3.06</v>
      </c>
    </row>
    <row r="185" spans="1:27" x14ac:dyDescent="0.25">
      <c r="A185" s="40">
        <v>45918.129050925927</v>
      </c>
      <c r="B185" s="41">
        <v>443160706</v>
      </c>
      <c r="C185" s="42" t="s">
        <v>36</v>
      </c>
      <c r="D185" s="42" t="s">
        <v>39</v>
      </c>
      <c r="E185" s="42" t="s">
        <v>38</v>
      </c>
      <c r="F185" s="43">
        <v>3667.49</v>
      </c>
      <c r="G185" s="43">
        <v>3666.1</v>
      </c>
      <c r="H185" s="43">
        <v>3664.49</v>
      </c>
      <c r="I185" s="42" t="s">
        <v>316</v>
      </c>
      <c r="J185" s="43">
        <v>3664.43</v>
      </c>
      <c r="K185" s="43">
        <v>0</v>
      </c>
      <c r="L185" s="43">
        <v>0</v>
      </c>
      <c r="M185" s="44">
        <v>3.06</v>
      </c>
      <c r="N185" s="10" t="str">
        <f t="shared" si="27"/>
        <v>W</v>
      </c>
      <c r="O185" s="11">
        <f t="shared" si="28"/>
        <v>45918</v>
      </c>
      <c r="P185" s="12" t="str">
        <f t="shared" si="29"/>
        <v>03</v>
      </c>
      <c r="Q185" s="13" t="str">
        <f>VLOOKUP($B185,Deals_Demo!$H:$N,7,0)</f>
        <v>strategy_09_demo</v>
      </c>
      <c r="R185" s="13" t="str">
        <f t="shared" si="30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1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24"/>
        <v>0.30600000000000005</v>
      </c>
      <c r="Y185" s="13">
        <f t="shared" si="25"/>
        <v>0.6120000000000001</v>
      </c>
      <c r="Z185" s="13">
        <f t="shared" si="26"/>
        <v>0.91799999999999993</v>
      </c>
      <c r="AA185" s="13">
        <f t="shared" si="32"/>
        <v>3.06</v>
      </c>
    </row>
    <row r="186" spans="1:27" x14ac:dyDescent="0.25">
      <c r="A186" s="35">
        <v>45918.133784722224</v>
      </c>
      <c r="B186" s="36">
        <v>443162800</v>
      </c>
      <c r="C186" s="37" t="s">
        <v>36</v>
      </c>
      <c r="D186" s="37" t="s">
        <v>39</v>
      </c>
      <c r="E186" s="37" t="s">
        <v>38</v>
      </c>
      <c r="F186" s="38">
        <v>3664.49</v>
      </c>
      <c r="G186" s="38">
        <v>3667.49</v>
      </c>
      <c r="H186" s="38">
        <v>3662.99</v>
      </c>
      <c r="I186" s="37" t="s">
        <v>317</v>
      </c>
      <c r="J186" s="38">
        <v>3662.99</v>
      </c>
      <c r="K186" s="38">
        <v>0</v>
      </c>
      <c r="L186" s="38">
        <v>0</v>
      </c>
      <c r="M186" s="39">
        <v>1.5</v>
      </c>
      <c r="N186" s="10" t="str">
        <f t="shared" si="27"/>
        <v>W</v>
      </c>
      <c r="O186" s="11">
        <f t="shared" si="28"/>
        <v>45918</v>
      </c>
      <c r="P186" s="12" t="str">
        <f t="shared" si="29"/>
        <v>03</v>
      </c>
      <c r="Q186" s="13" t="str">
        <f>VLOOKUP($B186,Deals_Demo!$H:$N,7,0)</f>
        <v>strategy_12_demo</v>
      </c>
      <c r="R186" s="13" t="str">
        <f t="shared" si="30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1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24"/>
        <v>0.15000000000000002</v>
      </c>
      <c r="Y186" s="13">
        <f t="shared" si="25"/>
        <v>0.30000000000000004</v>
      </c>
      <c r="Z186" s="13">
        <f t="shared" si="26"/>
        <v>0.44999999999999996</v>
      </c>
      <c r="AA186" s="13">
        <f t="shared" si="32"/>
        <v>-3</v>
      </c>
    </row>
    <row r="187" spans="1:27" x14ac:dyDescent="0.25">
      <c r="A187" s="40">
        <v>45918.133784722224</v>
      </c>
      <c r="B187" s="41">
        <v>443162801</v>
      </c>
      <c r="C187" s="42" t="s">
        <v>36</v>
      </c>
      <c r="D187" s="42" t="s">
        <v>39</v>
      </c>
      <c r="E187" s="42" t="s">
        <v>38</v>
      </c>
      <c r="F187" s="43">
        <v>3664.32</v>
      </c>
      <c r="G187" s="43">
        <v>3663.69</v>
      </c>
      <c r="H187" s="43">
        <v>3661.49</v>
      </c>
      <c r="I187" s="42" t="s">
        <v>318</v>
      </c>
      <c r="J187" s="43">
        <v>3663.76</v>
      </c>
      <c r="K187" s="43">
        <v>0</v>
      </c>
      <c r="L187" s="43">
        <v>0</v>
      </c>
      <c r="M187" s="44">
        <v>0.56000000000000005</v>
      </c>
      <c r="N187" s="10" t="str">
        <f t="shared" si="27"/>
        <v>W</v>
      </c>
      <c r="O187" s="11">
        <f t="shared" si="28"/>
        <v>45918</v>
      </c>
      <c r="P187" s="12" t="str">
        <f t="shared" si="29"/>
        <v>03</v>
      </c>
      <c r="Q187" s="13" t="str">
        <f>VLOOKUP($B187,Deals_Demo!$H:$N,7,0)</f>
        <v>strategy_10_demo</v>
      </c>
      <c r="R187" s="13" t="str">
        <f t="shared" si="30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1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24"/>
        <v>5.6000000000000008E-2</v>
      </c>
      <c r="Y187" s="13">
        <f t="shared" si="25"/>
        <v>0.11200000000000002</v>
      </c>
      <c r="Z187" s="13">
        <f t="shared" si="26"/>
        <v>0.16800000000000001</v>
      </c>
      <c r="AA187" s="13">
        <f t="shared" si="32"/>
        <v>-3</v>
      </c>
    </row>
    <row r="188" spans="1:27" x14ac:dyDescent="0.25">
      <c r="A188" s="35">
        <v>45918.133784722224</v>
      </c>
      <c r="B188" s="36">
        <v>443162804</v>
      </c>
      <c r="C188" s="37" t="s">
        <v>36</v>
      </c>
      <c r="D188" s="37" t="s">
        <v>39</v>
      </c>
      <c r="E188" s="37" t="s">
        <v>38</v>
      </c>
      <c r="F188" s="38">
        <v>3664.55</v>
      </c>
      <c r="G188" s="38">
        <v>3663.69</v>
      </c>
      <c r="H188" s="38">
        <v>3661.49</v>
      </c>
      <c r="I188" s="37" t="s">
        <v>318</v>
      </c>
      <c r="J188" s="38">
        <v>3663.76</v>
      </c>
      <c r="K188" s="38">
        <v>0</v>
      </c>
      <c r="L188" s="38">
        <v>0</v>
      </c>
      <c r="M188" s="39">
        <v>0.79</v>
      </c>
      <c r="N188" s="10" t="str">
        <f t="shared" si="27"/>
        <v>W</v>
      </c>
      <c r="O188" s="11">
        <f t="shared" si="28"/>
        <v>45918</v>
      </c>
      <c r="P188" s="12" t="str">
        <f t="shared" si="29"/>
        <v>03</v>
      </c>
      <c r="Q188" s="13" t="str">
        <f>VLOOKUP($B188,Deals_Demo!$H:$N,7,0)</f>
        <v>strategy_09_demo</v>
      </c>
      <c r="R188" s="13" t="str">
        <f t="shared" si="30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1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24"/>
        <v>7.9000000000000015E-2</v>
      </c>
      <c r="Y188" s="13">
        <f t="shared" si="25"/>
        <v>0.15800000000000003</v>
      </c>
      <c r="Z188" s="13">
        <f t="shared" si="26"/>
        <v>0.23699999999999999</v>
      </c>
      <c r="AA188" s="13">
        <f t="shared" si="32"/>
        <v>-3</v>
      </c>
    </row>
    <row r="189" spans="1:27" x14ac:dyDescent="0.25">
      <c r="A189" s="40">
        <v>45918.133796296293</v>
      </c>
      <c r="B189" s="41">
        <v>443162805</v>
      </c>
      <c r="C189" s="42" t="s">
        <v>36</v>
      </c>
      <c r="D189" s="42" t="s">
        <v>39</v>
      </c>
      <c r="E189" s="42" t="s">
        <v>38</v>
      </c>
      <c r="F189" s="43">
        <v>3664.44</v>
      </c>
      <c r="G189" s="43">
        <v>3663.69</v>
      </c>
      <c r="H189" s="43">
        <v>3660.99</v>
      </c>
      <c r="I189" s="42" t="s">
        <v>318</v>
      </c>
      <c r="J189" s="43">
        <v>3663.76</v>
      </c>
      <c r="K189" s="43">
        <v>0</v>
      </c>
      <c r="L189" s="43">
        <v>0</v>
      </c>
      <c r="M189" s="44">
        <v>0.68</v>
      </c>
      <c r="N189" s="10" t="str">
        <f t="shared" si="27"/>
        <v>W</v>
      </c>
      <c r="O189" s="11">
        <f t="shared" si="28"/>
        <v>45918</v>
      </c>
      <c r="P189" s="12" t="str">
        <f t="shared" si="29"/>
        <v>03</v>
      </c>
      <c r="Q189" s="13" t="str">
        <f>VLOOKUP($B189,Deals_Demo!$H:$N,7,0)</f>
        <v>strategy_11_demo</v>
      </c>
      <c r="R189" s="13" t="str">
        <f t="shared" si="30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1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24"/>
        <v>6.8000000000000005E-2</v>
      </c>
      <c r="Y189" s="13">
        <f t="shared" si="25"/>
        <v>0.13600000000000001</v>
      </c>
      <c r="Z189" s="13">
        <f t="shared" si="26"/>
        <v>0.20400000000000001</v>
      </c>
      <c r="AA189" s="13">
        <f t="shared" si="32"/>
        <v>-3</v>
      </c>
    </row>
    <row r="190" spans="1:27" x14ac:dyDescent="0.25">
      <c r="A190" s="35">
        <v>45918.141423611109</v>
      </c>
      <c r="B190" s="36">
        <v>443163800</v>
      </c>
      <c r="C190" s="37" t="s">
        <v>36</v>
      </c>
      <c r="D190" s="37" t="s">
        <v>39</v>
      </c>
      <c r="E190" s="37" t="s">
        <v>38</v>
      </c>
      <c r="F190" s="38">
        <v>3663.48</v>
      </c>
      <c r="G190" s="38">
        <v>3663.27</v>
      </c>
      <c r="H190" s="38">
        <v>3661.92</v>
      </c>
      <c r="I190" s="37" t="s">
        <v>319</v>
      </c>
      <c r="J190" s="38">
        <v>3661.91</v>
      </c>
      <c r="K190" s="38">
        <v>0</v>
      </c>
      <c r="L190" s="38">
        <v>0</v>
      </c>
      <c r="M190" s="39">
        <v>1.57</v>
      </c>
      <c r="N190" s="10" t="str">
        <f t="shared" si="27"/>
        <v>W</v>
      </c>
      <c r="O190" s="11">
        <f t="shared" si="28"/>
        <v>45918</v>
      </c>
      <c r="P190" s="12" t="str">
        <f t="shared" si="29"/>
        <v>03</v>
      </c>
      <c r="Q190" s="13" t="str">
        <f>VLOOKUP($B190,Deals_Demo!$H:$N,7,0)</f>
        <v>strategy_12_demo</v>
      </c>
      <c r="R190" s="13" t="str">
        <f t="shared" si="30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1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24"/>
        <v>0.15700000000000003</v>
      </c>
      <c r="Y190" s="13">
        <f t="shared" si="25"/>
        <v>0.31400000000000006</v>
      </c>
      <c r="Z190" s="13">
        <f t="shared" si="26"/>
        <v>0.47099999999999997</v>
      </c>
      <c r="AA190" s="13">
        <f t="shared" si="32"/>
        <v>-3</v>
      </c>
    </row>
    <row r="191" spans="1:27" x14ac:dyDescent="0.25">
      <c r="A191" s="40">
        <v>45918.141539351855</v>
      </c>
      <c r="B191" s="41">
        <v>443163826</v>
      </c>
      <c r="C191" s="42" t="s">
        <v>36</v>
      </c>
      <c r="D191" s="42" t="s">
        <v>39</v>
      </c>
      <c r="E191" s="42" t="s">
        <v>38</v>
      </c>
      <c r="F191" s="43">
        <v>3663.65</v>
      </c>
      <c r="G191" s="43">
        <v>3663.22</v>
      </c>
      <c r="H191" s="43">
        <v>3660.65</v>
      </c>
      <c r="I191" s="42" t="s">
        <v>320</v>
      </c>
      <c r="J191" s="43">
        <v>3663.22</v>
      </c>
      <c r="K191" s="43">
        <v>0</v>
      </c>
      <c r="L191" s="43">
        <v>0</v>
      </c>
      <c r="M191" s="44">
        <v>0.43</v>
      </c>
      <c r="N191" s="10" t="str">
        <f t="shared" si="27"/>
        <v>W</v>
      </c>
      <c r="O191" s="11">
        <f t="shared" si="28"/>
        <v>45918</v>
      </c>
      <c r="P191" s="12" t="str">
        <f t="shared" si="29"/>
        <v>03</v>
      </c>
      <c r="Q191" s="13" t="str">
        <f>VLOOKUP($B191,Deals_Demo!$H:$N,7,0)</f>
        <v>strategy_10_demo</v>
      </c>
      <c r="R191" s="13" t="str">
        <f t="shared" si="30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1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24"/>
        <v>4.3000000000000003E-2</v>
      </c>
      <c r="Y191" s="13">
        <f t="shared" si="25"/>
        <v>8.6000000000000007E-2</v>
      </c>
      <c r="Z191" s="13">
        <f t="shared" si="26"/>
        <v>0.129</v>
      </c>
      <c r="AA191" s="13">
        <f t="shared" si="32"/>
        <v>-3</v>
      </c>
    </row>
    <row r="192" spans="1:27" x14ac:dyDescent="0.25">
      <c r="A192" s="35">
        <v>45918.141539351855</v>
      </c>
      <c r="B192" s="36">
        <v>443163827</v>
      </c>
      <c r="C192" s="37" t="s">
        <v>36</v>
      </c>
      <c r="D192" s="37" t="s">
        <v>39</v>
      </c>
      <c r="E192" s="37" t="s">
        <v>38</v>
      </c>
      <c r="F192" s="38">
        <v>3663.65</v>
      </c>
      <c r="G192" s="38">
        <v>3663.22</v>
      </c>
      <c r="H192" s="38">
        <v>3660.65</v>
      </c>
      <c r="I192" s="37" t="s">
        <v>320</v>
      </c>
      <c r="J192" s="38">
        <v>3663.22</v>
      </c>
      <c r="K192" s="38">
        <v>0</v>
      </c>
      <c r="L192" s="38">
        <v>0</v>
      </c>
      <c r="M192" s="39">
        <v>0.43</v>
      </c>
      <c r="N192" s="10" t="str">
        <f t="shared" si="27"/>
        <v>W</v>
      </c>
      <c r="O192" s="11">
        <f t="shared" si="28"/>
        <v>45918</v>
      </c>
      <c r="P192" s="12" t="str">
        <f t="shared" si="29"/>
        <v>03</v>
      </c>
      <c r="Q192" s="13" t="str">
        <f>VLOOKUP($B192,Deals_Demo!$H:$N,7,0)</f>
        <v>strategy_09_demo</v>
      </c>
      <c r="R192" s="13" t="str">
        <f t="shared" si="30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1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24"/>
        <v>4.3000000000000003E-2</v>
      </c>
      <c r="Y192" s="13">
        <f t="shared" si="25"/>
        <v>8.6000000000000007E-2</v>
      </c>
      <c r="Z192" s="13">
        <f t="shared" si="26"/>
        <v>0.129</v>
      </c>
      <c r="AA192" s="13">
        <f t="shared" si="32"/>
        <v>-3</v>
      </c>
    </row>
    <row r="193" spans="1:27" x14ac:dyDescent="0.25">
      <c r="A193" s="40">
        <v>45918.141539351855</v>
      </c>
      <c r="B193" s="41">
        <v>443163828</v>
      </c>
      <c r="C193" s="42" t="s">
        <v>36</v>
      </c>
      <c r="D193" s="42" t="s">
        <v>39</v>
      </c>
      <c r="E193" s="42" t="s">
        <v>38</v>
      </c>
      <c r="F193" s="43">
        <v>3663.64</v>
      </c>
      <c r="G193" s="43">
        <v>3663.19</v>
      </c>
      <c r="H193" s="43">
        <v>3660.15</v>
      </c>
      <c r="I193" s="42" t="s">
        <v>320</v>
      </c>
      <c r="J193" s="43">
        <v>3663.22</v>
      </c>
      <c r="K193" s="43">
        <v>0</v>
      </c>
      <c r="L193" s="43">
        <v>0</v>
      </c>
      <c r="M193" s="44">
        <v>0.42</v>
      </c>
      <c r="N193" s="10" t="str">
        <f t="shared" si="27"/>
        <v>W</v>
      </c>
      <c r="O193" s="11">
        <f t="shared" si="28"/>
        <v>45918</v>
      </c>
      <c r="P193" s="12" t="str">
        <f t="shared" si="29"/>
        <v>03</v>
      </c>
      <c r="Q193" s="13" t="str">
        <f>VLOOKUP($B193,Deals_Demo!$H:$N,7,0)</f>
        <v>strategy_11_demo</v>
      </c>
      <c r="R193" s="13" t="str">
        <f t="shared" si="30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1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24"/>
        <v>4.2000000000000003E-2</v>
      </c>
      <c r="Y193" s="13">
        <f t="shared" si="25"/>
        <v>8.4000000000000005E-2</v>
      </c>
      <c r="Z193" s="13">
        <f t="shared" si="26"/>
        <v>0.126</v>
      </c>
      <c r="AA193" s="13">
        <f t="shared" si="32"/>
        <v>-3</v>
      </c>
    </row>
    <row r="194" spans="1:27" x14ac:dyDescent="0.25">
      <c r="A194" s="35">
        <v>45918.144548611112</v>
      </c>
      <c r="B194" s="36">
        <v>443164859</v>
      </c>
      <c r="C194" s="37" t="s">
        <v>36</v>
      </c>
      <c r="D194" s="37" t="s">
        <v>39</v>
      </c>
      <c r="E194" s="37" t="s">
        <v>38</v>
      </c>
      <c r="F194" s="38">
        <v>3662.69</v>
      </c>
      <c r="G194" s="38">
        <v>3665.69</v>
      </c>
      <c r="H194" s="38">
        <v>3661.19</v>
      </c>
      <c r="I194" s="37" t="s">
        <v>321</v>
      </c>
      <c r="J194" s="38">
        <v>3661</v>
      </c>
      <c r="K194" s="38">
        <v>0</v>
      </c>
      <c r="L194" s="38">
        <v>0</v>
      </c>
      <c r="M194" s="39">
        <v>1.69</v>
      </c>
      <c r="N194" s="10" t="str">
        <f t="shared" si="27"/>
        <v>W</v>
      </c>
      <c r="O194" s="11">
        <f t="shared" si="28"/>
        <v>45918</v>
      </c>
      <c r="P194" s="12" t="str">
        <f t="shared" si="29"/>
        <v>03</v>
      </c>
      <c r="Q194" s="13" t="str">
        <f>VLOOKUP($B194,Deals_Demo!$H:$N,7,0)</f>
        <v>strategy_12_demo</v>
      </c>
      <c r="R194" s="13" t="str">
        <f t="shared" si="30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1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24"/>
        <v>0.16900000000000001</v>
      </c>
      <c r="Y194" s="13">
        <f t="shared" si="25"/>
        <v>0.33800000000000002</v>
      </c>
      <c r="Z194" s="13">
        <f t="shared" si="26"/>
        <v>0.50700000000000001</v>
      </c>
      <c r="AA194" s="13">
        <f t="shared" si="32"/>
        <v>-3</v>
      </c>
    </row>
    <row r="195" spans="1:27" x14ac:dyDescent="0.25">
      <c r="A195" s="40">
        <v>45918.144548611112</v>
      </c>
      <c r="B195" s="41">
        <v>443164860</v>
      </c>
      <c r="C195" s="42" t="s">
        <v>36</v>
      </c>
      <c r="D195" s="42" t="s">
        <v>39</v>
      </c>
      <c r="E195" s="42" t="s">
        <v>38</v>
      </c>
      <c r="F195" s="43">
        <v>3662.69</v>
      </c>
      <c r="G195" s="43">
        <v>3661.7</v>
      </c>
      <c r="H195" s="43">
        <v>3659.69</v>
      </c>
      <c r="I195" s="42" t="s">
        <v>322</v>
      </c>
      <c r="J195" s="43">
        <v>3659.68</v>
      </c>
      <c r="K195" s="43">
        <v>0</v>
      </c>
      <c r="L195" s="43">
        <v>0</v>
      </c>
      <c r="M195" s="44">
        <v>3.01</v>
      </c>
      <c r="N195" s="10" t="str">
        <f t="shared" si="27"/>
        <v>W</v>
      </c>
      <c r="O195" s="11">
        <f t="shared" si="28"/>
        <v>45918</v>
      </c>
      <c r="P195" s="12" t="str">
        <f t="shared" si="29"/>
        <v>03</v>
      </c>
      <c r="Q195" s="13" t="str">
        <f>VLOOKUP($B195,Deals_Demo!$H:$N,7,0)</f>
        <v>strategy_09_demo</v>
      </c>
      <c r="R195" s="13" t="str">
        <f t="shared" si="30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1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3">$M195*0.1</f>
        <v>0.30099999999999999</v>
      </c>
      <c r="Y195" s="13">
        <f t="shared" ref="Y195:Y258" si="34">$M195*0.2</f>
        <v>0.60199999999999998</v>
      </c>
      <c r="Z195" s="13">
        <f t="shared" ref="Z195:Z258" si="35">$M195*0.3</f>
        <v>0.90299999999999991</v>
      </c>
      <c r="AA195" s="13">
        <f t="shared" si="32"/>
        <v>3.01</v>
      </c>
    </row>
    <row r="196" spans="1:27" x14ac:dyDescent="0.25">
      <c r="A196" s="35">
        <v>45918.144548611112</v>
      </c>
      <c r="B196" s="36">
        <v>443164861</v>
      </c>
      <c r="C196" s="37" t="s">
        <v>36</v>
      </c>
      <c r="D196" s="37" t="s">
        <v>39</v>
      </c>
      <c r="E196" s="37" t="s">
        <v>38</v>
      </c>
      <c r="F196" s="38">
        <v>3662.64</v>
      </c>
      <c r="G196" s="38">
        <v>3661.06</v>
      </c>
      <c r="H196" s="38">
        <v>3659.19</v>
      </c>
      <c r="I196" s="37" t="s">
        <v>323</v>
      </c>
      <c r="J196" s="38">
        <v>3659.17</v>
      </c>
      <c r="K196" s="38">
        <v>0</v>
      </c>
      <c r="L196" s="38">
        <v>0</v>
      </c>
      <c r="M196" s="39">
        <v>3.47</v>
      </c>
      <c r="N196" s="10" t="str">
        <f t="shared" si="27"/>
        <v>W</v>
      </c>
      <c r="O196" s="11">
        <f t="shared" si="28"/>
        <v>45918</v>
      </c>
      <c r="P196" s="12" t="str">
        <f t="shared" si="29"/>
        <v>03</v>
      </c>
      <c r="Q196" s="13" t="str">
        <f>VLOOKUP($B196,Deals_Demo!$H:$N,7,0)</f>
        <v>strategy_11_demo</v>
      </c>
      <c r="R196" s="13" t="str">
        <f t="shared" si="30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1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3"/>
        <v>0.34700000000000003</v>
      </c>
      <c r="Y196" s="13">
        <f t="shared" si="34"/>
        <v>0.69400000000000006</v>
      </c>
      <c r="Z196" s="13">
        <f t="shared" si="35"/>
        <v>1.0409999999999999</v>
      </c>
      <c r="AA196" s="13">
        <f t="shared" si="32"/>
        <v>3.47</v>
      </c>
    </row>
    <row r="197" spans="1:27" x14ac:dyDescent="0.25">
      <c r="A197" s="40">
        <v>45918.144548611112</v>
      </c>
      <c r="B197" s="41">
        <v>443164862</v>
      </c>
      <c r="C197" s="42" t="s">
        <v>36</v>
      </c>
      <c r="D197" s="42" t="s">
        <v>39</v>
      </c>
      <c r="E197" s="42" t="s">
        <v>38</v>
      </c>
      <c r="F197" s="43">
        <v>3662.64</v>
      </c>
      <c r="G197" s="43">
        <v>3661.69</v>
      </c>
      <c r="H197" s="43">
        <v>3659.69</v>
      </c>
      <c r="I197" s="42" t="s">
        <v>322</v>
      </c>
      <c r="J197" s="43">
        <v>3659.68</v>
      </c>
      <c r="K197" s="43">
        <v>0</v>
      </c>
      <c r="L197" s="43">
        <v>0</v>
      </c>
      <c r="M197" s="44">
        <v>2.96</v>
      </c>
      <c r="N197" s="10" t="str">
        <f t="shared" ref="N197:N260" si="36">IF(M197&gt;0,"W",IF(M197&lt;0,"L","BE"))</f>
        <v>W</v>
      </c>
      <c r="O197" s="11">
        <f t="shared" ref="O197:O260" si="37">INT(LEFT(A197,10))</f>
        <v>45918</v>
      </c>
      <c r="P197" s="12" t="str">
        <f t="shared" ref="P197:P260" si="38">TEXT(A197,"hh")</f>
        <v>03</v>
      </c>
      <c r="Q197" s="13" t="str">
        <f>VLOOKUP($B197,Deals_Demo!$H:$N,7,0)</f>
        <v>strategy_10_demo</v>
      </c>
      <c r="R197" s="13" t="str">
        <f t="shared" ref="R197:R260" si="39">TEXT(O197,"ddd")</f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ref="U197:U260" si="40">TEXT(T197,"yyyy-mm-dd")</f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3"/>
        <v>0.29599999999999999</v>
      </c>
      <c r="Y197" s="13">
        <f t="shared" si="34"/>
        <v>0.59199999999999997</v>
      </c>
      <c r="Z197" s="13">
        <f t="shared" si="35"/>
        <v>0.88800000000000001</v>
      </c>
      <c r="AA197" s="13">
        <f t="shared" ref="AA197:AA260" si="41">IF(M197&lt;2.9,-3,M197)</f>
        <v>2.96</v>
      </c>
    </row>
    <row r="198" spans="1:27" x14ac:dyDescent="0.25">
      <c r="A198" s="35">
        <v>45918.146284722221</v>
      </c>
      <c r="B198" s="36">
        <v>443165010</v>
      </c>
      <c r="C198" s="37" t="s">
        <v>36</v>
      </c>
      <c r="D198" s="37" t="s">
        <v>39</v>
      </c>
      <c r="E198" s="37" t="s">
        <v>38</v>
      </c>
      <c r="F198" s="38">
        <v>3663.14</v>
      </c>
      <c r="G198" s="38">
        <v>3662.01</v>
      </c>
      <c r="H198" s="38">
        <v>3659.68</v>
      </c>
      <c r="I198" s="37" t="s">
        <v>322</v>
      </c>
      <c r="J198" s="38">
        <v>3659.68</v>
      </c>
      <c r="K198" s="38">
        <v>0</v>
      </c>
      <c r="L198" s="38">
        <v>0</v>
      </c>
      <c r="M198" s="39">
        <v>3.46</v>
      </c>
      <c r="N198" s="10" t="str">
        <f t="shared" si="36"/>
        <v>W</v>
      </c>
      <c r="O198" s="11">
        <f t="shared" si="37"/>
        <v>45918</v>
      </c>
      <c r="P198" s="12" t="str">
        <f t="shared" si="38"/>
        <v>03</v>
      </c>
      <c r="Q198" s="13" t="str">
        <f>VLOOKUP($B198,Deals_Demo!$H:$N,7,0)</f>
        <v>strategy_07_demo</v>
      </c>
      <c r="R198" s="13" t="str">
        <f t="shared" si="39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40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3"/>
        <v>0.34600000000000003</v>
      </c>
      <c r="Y198" s="13">
        <f t="shared" si="34"/>
        <v>0.69200000000000006</v>
      </c>
      <c r="Z198" s="13">
        <f t="shared" si="35"/>
        <v>1.038</v>
      </c>
      <c r="AA198" s="13">
        <f t="shared" si="41"/>
        <v>3.46</v>
      </c>
    </row>
    <row r="199" spans="1:27" x14ac:dyDescent="0.25">
      <c r="A199" s="40">
        <v>45918.146284722221</v>
      </c>
      <c r="B199" s="41">
        <v>443165011</v>
      </c>
      <c r="C199" s="42" t="s">
        <v>36</v>
      </c>
      <c r="D199" s="42" t="s">
        <v>39</v>
      </c>
      <c r="E199" s="42" t="s">
        <v>38</v>
      </c>
      <c r="F199" s="43">
        <v>3663.14</v>
      </c>
      <c r="G199" s="43">
        <v>3662.01</v>
      </c>
      <c r="H199" s="43">
        <v>3659.68</v>
      </c>
      <c r="I199" s="42" t="s">
        <v>322</v>
      </c>
      <c r="J199" s="43">
        <v>3659.68</v>
      </c>
      <c r="K199" s="43">
        <v>0</v>
      </c>
      <c r="L199" s="43">
        <v>0</v>
      </c>
      <c r="M199" s="44">
        <v>3.46</v>
      </c>
      <c r="N199" s="10" t="str">
        <f t="shared" si="36"/>
        <v>W</v>
      </c>
      <c r="O199" s="11">
        <f t="shared" si="37"/>
        <v>45918</v>
      </c>
      <c r="P199" s="12" t="str">
        <f t="shared" si="38"/>
        <v>03</v>
      </c>
      <c r="Q199" s="13" t="str">
        <f>VLOOKUP($B199,Deals_Demo!$H:$N,7,0)</f>
        <v>strategy_08_demo</v>
      </c>
      <c r="R199" s="13" t="str">
        <f t="shared" si="39"/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si="40"/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3"/>
        <v>0.34600000000000003</v>
      </c>
      <c r="Y199" s="13">
        <f t="shared" si="34"/>
        <v>0.69200000000000006</v>
      </c>
      <c r="Z199" s="13">
        <f t="shared" si="35"/>
        <v>1.038</v>
      </c>
      <c r="AA199" s="13">
        <f t="shared" si="41"/>
        <v>3.46</v>
      </c>
    </row>
    <row r="200" spans="1:27" x14ac:dyDescent="0.25">
      <c r="A200" s="35">
        <v>45918.155659722222</v>
      </c>
      <c r="B200" s="36">
        <v>443167731</v>
      </c>
      <c r="C200" s="37" t="s">
        <v>36</v>
      </c>
      <c r="D200" s="37" t="s">
        <v>39</v>
      </c>
      <c r="E200" s="37" t="s">
        <v>38</v>
      </c>
      <c r="F200" s="38">
        <v>3659.56</v>
      </c>
      <c r="G200" s="38">
        <v>3662.56</v>
      </c>
      <c r="H200" s="38">
        <v>3658.06</v>
      </c>
      <c r="I200" s="37" t="s">
        <v>324</v>
      </c>
      <c r="J200" s="38">
        <v>3662.65</v>
      </c>
      <c r="K200" s="38">
        <v>0</v>
      </c>
      <c r="L200" s="38">
        <v>0</v>
      </c>
      <c r="M200" s="39">
        <v>-3.09</v>
      </c>
      <c r="N200" s="10" t="str">
        <f t="shared" si="36"/>
        <v>L</v>
      </c>
      <c r="O200" s="11">
        <f t="shared" si="37"/>
        <v>45918</v>
      </c>
      <c r="P200" s="12" t="str">
        <f t="shared" si="38"/>
        <v>03</v>
      </c>
      <c r="Q200" s="13" t="str">
        <f>VLOOKUP($B200,Deals_Demo!$H:$N,7,0)</f>
        <v>strategy_12_demo</v>
      </c>
      <c r="R200" s="13" t="str">
        <f t="shared" si="39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0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3"/>
        <v>-0.309</v>
      </c>
      <c r="Y200" s="13">
        <f t="shared" si="34"/>
        <v>-0.61799999999999999</v>
      </c>
      <c r="Z200" s="13">
        <f t="shared" si="35"/>
        <v>-0.92699999999999994</v>
      </c>
      <c r="AA200" s="13">
        <f t="shared" si="41"/>
        <v>-3</v>
      </c>
    </row>
    <row r="201" spans="1:27" x14ac:dyDescent="0.25">
      <c r="A201" s="40">
        <v>45918.155659722222</v>
      </c>
      <c r="B201" s="41">
        <v>443167732</v>
      </c>
      <c r="C201" s="42" t="s">
        <v>36</v>
      </c>
      <c r="D201" s="42" t="s">
        <v>39</v>
      </c>
      <c r="E201" s="42" t="s">
        <v>38</v>
      </c>
      <c r="F201" s="43">
        <v>3659.56</v>
      </c>
      <c r="G201" s="43">
        <v>3662.06</v>
      </c>
      <c r="H201" s="43">
        <v>3656.56</v>
      </c>
      <c r="I201" s="42" t="s">
        <v>325</v>
      </c>
      <c r="J201" s="43">
        <v>3662.11</v>
      </c>
      <c r="K201" s="43">
        <v>0</v>
      </c>
      <c r="L201" s="43">
        <v>0</v>
      </c>
      <c r="M201" s="44">
        <v>-2.5499999999999998</v>
      </c>
      <c r="N201" s="10" t="str">
        <f t="shared" si="36"/>
        <v>L</v>
      </c>
      <c r="O201" s="11">
        <f t="shared" si="37"/>
        <v>45918</v>
      </c>
      <c r="P201" s="12" t="str">
        <f t="shared" si="38"/>
        <v>03</v>
      </c>
      <c r="Q201" s="13" t="str">
        <f>VLOOKUP($B201,Deals_Demo!$H:$N,7,0)</f>
        <v>strategy_10_demo</v>
      </c>
      <c r="R201" s="13" t="str">
        <f t="shared" si="39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0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3"/>
        <v>-0.255</v>
      </c>
      <c r="Y201" s="13">
        <f t="shared" si="34"/>
        <v>-0.51</v>
      </c>
      <c r="Z201" s="13">
        <f t="shared" si="35"/>
        <v>-0.7649999999999999</v>
      </c>
      <c r="AA201" s="13">
        <f t="shared" si="41"/>
        <v>-3</v>
      </c>
    </row>
    <row r="202" spans="1:27" x14ac:dyDescent="0.25">
      <c r="A202" s="35">
        <v>45918.155659722222</v>
      </c>
      <c r="B202" s="36">
        <v>443167733</v>
      </c>
      <c r="C202" s="37" t="s">
        <v>36</v>
      </c>
      <c r="D202" s="37" t="s">
        <v>39</v>
      </c>
      <c r="E202" s="37" t="s">
        <v>38</v>
      </c>
      <c r="F202" s="38">
        <v>3659.56</v>
      </c>
      <c r="G202" s="38">
        <v>3662.56</v>
      </c>
      <c r="H202" s="38">
        <v>3656.56</v>
      </c>
      <c r="I202" s="37" t="s">
        <v>324</v>
      </c>
      <c r="J202" s="38">
        <v>3662.65</v>
      </c>
      <c r="K202" s="38">
        <v>0</v>
      </c>
      <c r="L202" s="38">
        <v>0</v>
      </c>
      <c r="M202" s="39">
        <v>-3.09</v>
      </c>
      <c r="N202" s="10" t="str">
        <f t="shared" si="36"/>
        <v>L</v>
      </c>
      <c r="O202" s="11">
        <f t="shared" si="37"/>
        <v>45918</v>
      </c>
      <c r="P202" s="12" t="str">
        <f t="shared" si="38"/>
        <v>03</v>
      </c>
      <c r="Q202" s="13" t="str">
        <f>VLOOKUP($B202,Deals_Demo!$H:$N,7,0)</f>
        <v>strategy_09_demo</v>
      </c>
      <c r="R202" s="13" t="str">
        <f t="shared" si="39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0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3"/>
        <v>-0.309</v>
      </c>
      <c r="Y202" s="13">
        <f t="shared" si="34"/>
        <v>-0.61799999999999999</v>
      </c>
      <c r="Z202" s="13">
        <f t="shared" si="35"/>
        <v>-0.92699999999999994</v>
      </c>
      <c r="AA202" s="13">
        <f t="shared" si="41"/>
        <v>-3</v>
      </c>
    </row>
    <row r="203" spans="1:27" x14ac:dyDescent="0.25">
      <c r="A203" s="40">
        <v>45918.155659722222</v>
      </c>
      <c r="B203" s="41">
        <v>443167734</v>
      </c>
      <c r="C203" s="42" t="s">
        <v>36</v>
      </c>
      <c r="D203" s="42" t="s">
        <v>39</v>
      </c>
      <c r="E203" s="42" t="s">
        <v>38</v>
      </c>
      <c r="F203" s="43">
        <v>3659.56</v>
      </c>
      <c r="G203" s="43">
        <v>3662.56</v>
      </c>
      <c r="H203" s="43">
        <v>3656.06</v>
      </c>
      <c r="I203" s="42" t="s">
        <v>324</v>
      </c>
      <c r="J203" s="43">
        <v>3662.65</v>
      </c>
      <c r="K203" s="43">
        <v>0</v>
      </c>
      <c r="L203" s="43">
        <v>0</v>
      </c>
      <c r="M203" s="44">
        <v>-3.09</v>
      </c>
      <c r="N203" s="10" t="str">
        <f t="shared" si="36"/>
        <v>L</v>
      </c>
      <c r="O203" s="11">
        <f t="shared" si="37"/>
        <v>45918</v>
      </c>
      <c r="P203" s="12" t="str">
        <f t="shared" si="38"/>
        <v>03</v>
      </c>
      <c r="Q203" s="13" t="str">
        <f>VLOOKUP($B203,Deals_Demo!$H:$N,7,0)</f>
        <v>strategy_11_demo</v>
      </c>
      <c r="R203" s="13" t="str">
        <f t="shared" si="39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0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3"/>
        <v>-0.309</v>
      </c>
      <c r="Y203" s="13">
        <f t="shared" si="34"/>
        <v>-0.61799999999999999</v>
      </c>
      <c r="Z203" s="13">
        <f t="shared" si="35"/>
        <v>-0.92699999999999994</v>
      </c>
      <c r="AA203" s="13">
        <f t="shared" si="41"/>
        <v>-3</v>
      </c>
    </row>
    <row r="204" spans="1:27" x14ac:dyDescent="0.25">
      <c r="A204" s="35">
        <v>45918.156469907408</v>
      </c>
      <c r="B204" s="36">
        <v>443167890</v>
      </c>
      <c r="C204" s="37" t="s">
        <v>36</v>
      </c>
      <c r="D204" s="37" t="s">
        <v>39</v>
      </c>
      <c r="E204" s="37" t="s">
        <v>38</v>
      </c>
      <c r="F204" s="38">
        <v>3660.2</v>
      </c>
      <c r="G204" s="38">
        <v>3663.2</v>
      </c>
      <c r="H204" s="38">
        <v>3656.7</v>
      </c>
      <c r="I204" s="37" t="s">
        <v>326</v>
      </c>
      <c r="J204" s="38">
        <v>3663.25</v>
      </c>
      <c r="K204" s="38">
        <v>0</v>
      </c>
      <c r="L204" s="38">
        <v>0</v>
      </c>
      <c r="M204" s="39">
        <v>-3.05</v>
      </c>
      <c r="N204" s="10" t="str">
        <f t="shared" si="36"/>
        <v>L</v>
      </c>
      <c r="O204" s="11">
        <f t="shared" si="37"/>
        <v>45918</v>
      </c>
      <c r="P204" s="12" t="str">
        <f t="shared" si="38"/>
        <v>03</v>
      </c>
      <c r="Q204" s="13" t="str">
        <f>VLOOKUP($B204,Deals_Demo!$H:$N,7,0)</f>
        <v>strategy_08_demo</v>
      </c>
      <c r="R204" s="13" t="str">
        <f t="shared" si="39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0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3"/>
        <v>-0.30499999999999999</v>
      </c>
      <c r="Y204" s="13">
        <f t="shared" si="34"/>
        <v>-0.61</v>
      </c>
      <c r="Z204" s="13">
        <f t="shared" si="35"/>
        <v>-0.91499999999999992</v>
      </c>
      <c r="AA204" s="13">
        <f t="shared" si="41"/>
        <v>-3</v>
      </c>
    </row>
    <row r="205" spans="1:27" x14ac:dyDescent="0.25">
      <c r="A205" s="40">
        <v>45918.16815972222</v>
      </c>
      <c r="B205" s="41">
        <v>443173042</v>
      </c>
      <c r="C205" s="42" t="s">
        <v>36</v>
      </c>
      <c r="D205" s="42" t="s">
        <v>37</v>
      </c>
      <c r="E205" s="42" t="s">
        <v>38</v>
      </c>
      <c r="F205" s="43">
        <v>3666</v>
      </c>
      <c r="G205" s="43">
        <v>3662.99</v>
      </c>
      <c r="H205" s="43">
        <v>3667.49</v>
      </c>
      <c r="I205" s="42" t="s">
        <v>327</v>
      </c>
      <c r="J205" s="43">
        <v>3662.99</v>
      </c>
      <c r="K205" s="43">
        <v>0</v>
      </c>
      <c r="L205" s="43">
        <v>0</v>
      </c>
      <c r="M205" s="44">
        <v>-3.01</v>
      </c>
      <c r="N205" s="10" t="str">
        <f t="shared" si="36"/>
        <v>L</v>
      </c>
      <c r="O205" s="11">
        <f t="shared" si="37"/>
        <v>45918</v>
      </c>
      <c r="P205" s="12" t="str">
        <f t="shared" si="38"/>
        <v>04</v>
      </c>
      <c r="Q205" s="13" t="str">
        <f>VLOOKUP($B205,Deals_Demo!$H:$N,7,0)</f>
        <v>strategy_12_demo</v>
      </c>
      <c r="R205" s="13" t="str">
        <f t="shared" si="39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0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3"/>
        <v>-0.30099999999999999</v>
      </c>
      <c r="Y205" s="13">
        <f t="shared" si="34"/>
        <v>-0.60199999999999998</v>
      </c>
      <c r="Z205" s="13">
        <f t="shared" si="35"/>
        <v>-0.90299999999999991</v>
      </c>
      <c r="AA205" s="13">
        <f t="shared" si="41"/>
        <v>-3</v>
      </c>
    </row>
    <row r="206" spans="1:27" x14ac:dyDescent="0.25">
      <c r="A206" s="35">
        <v>45918.16815972222</v>
      </c>
      <c r="B206" s="36">
        <v>443173043</v>
      </c>
      <c r="C206" s="37" t="s">
        <v>36</v>
      </c>
      <c r="D206" s="37" t="s">
        <v>37</v>
      </c>
      <c r="E206" s="37" t="s">
        <v>38</v>
      </c>
      <c r="F206" s="38">
        <v>3665.97</v>
      </c>
      <c r="G206" s="38">
        <v>3662.97</v>
      </c>
      <c r="H206" s="38">
        <v>3668.97</v>
      </c>
      <c r="I206" s="37" t="s">
        <v>328</v>
      </c>
      <c r="J206" s="38">
        <v>3662.97</v>
      </c>
      <c r="K206" s="38">
        <v>0</v>
      </c>
      <c r="L206" s="38">
        <v>0</v>
      </c>
      <c r="M206" s="39">
        <v>-3</v>
      </c>
      <c r="N206" s="10" t="str">
        <f t="shared" si="36"/>
        <v>L</v>
      </c>
      <c r="O206" s="11">
        <f t="shared" si="37"/>
        <v>45918</v>
      </c>
      <c r="P206" s="12" t="str">
        <f t="shared" si="38"/>
        <v>04</v>
      </c>
      <c r="Q206" s="13" t="str">
        <f>VLOOKUP($B206,Deals_Demo!$H:$N,7,0)</f>
        <v>strategy_09_demo</v>
      </c>
      <c r="R206" s="13" t="str">
        <f t="shared" si="39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0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3"/>
        <v>-0.30000000000000004</v>
      </c>
      <c r="Y206" s="13">
        <f t="shared" si="34"/>
        <v>-0.60000000000000009</v>
      </c>
      <c r="Z206" s="13">
        <f t="shared" si="35"/>
        <v>-0.89999999999999991</v>
      </c>
      <c r="AA206" s="13">
        <f t="shared" si="41"/>
        <v>-3</v>
      </c>
    </row>
    <row r="207" spans="1:27" x14ac:dyDescent="0.25">
      <c r="A207" s="40">
        <v>45918.16815972222</v>
      </c>
      <c r="B207" s="41">
        <v>443173044</v>
      </c>
      <c r="C207" s="42" t="s">
        <v>36</v>
      </c>
      <c r="D207" s="42" t="s">
        <v>37</v>
      </c>
      <c r="E207" s="42" t="s">
        <v>38</v>
      </c>
      <c r="F207" s="43">
        <v>3665.9</v>
      </c>
      <c r="G207" s="43">
        <v>3663.47</v>
      </c>
      <c r="H207" s="43">
        <v>3668.97</v>
      </c>
      <c r="I207" s="42" t="s">
        <v>329</v>
      </c>
      <c r="J207" s="43">
        <v>3663.42</v>
      </c>
      <c r="K207" s="43">
        <v>0</v>
      </c>
      <c r="L207" s="43">
        <v>0</v>
      </c>
      <c r="M207" s="44">
        <v>-2.48</v>
      </c>
      <c r="N207" s="10" t="str">
        <f t="shared" si="36"/>
        <v>L</v>
      </c>
      <c r="O207" s="11">
        <f t="shared" si="37"/>
        <v>45918</v>
      </c>
      <c r="P207" s="12" t="str">
        <f t="shared" si="38"/>
        <v>04</v>
      </c>
      <c r="Q207" s="13" t="str">
        <f>VLOOKUP($B207,Deals_Demo!$H:$N,7,0)</f>
        <v>strategy_10_demo</v>
      </c>
      <c r="R207" s="13" t="str">
        <f t="shared" si="39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0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3"/>
        <v>-0.248</v>
      </c>
      <c r="Y207" s="13">
        <f t="shared" si="34"/>
        <v>-0.496</v>
      </c>
      <c r="Z207" s="13">
        <f t="shared" si="35"/>
        <v>-0.74399999999999999</v>
      </c>
      <c r="AA207" s="13">
        <f t="shared" si="41"/>
        <v>-3</v>
      </c>
    </row>
    <row r="208" spans="1:27" x14ac:dyDescent="0.25">
      <c r="A208" s="35">
        <v>45918.16815972222</v>
      </c>
      <c r="B208" s="36">
        <v>443173045</v>
      </c>
      <c r="C208" s="37" t="s">
        <v>36</v>
      </c>
      <c r="D208" s="37" t="s">
        <v>37</v>
      </c>
      <c r="E208" s="37" t="s">
        <v>38</v>
      </c>
      <c r="F208" s="38">
        <v>3665.88</v>
      </c>
      <c r="G208" s="38">
        <v>3662.97</v>
      </c>
      <c r="H208" s="38">
        <v>3669.47</v>
      </c>
      <c r="I208" s="37" t="s">
        <v>328</v>
      </c>
      <c r="J208" s="38">
        <v>3662.97</v>
      </c>
      <c r="K208" s="38">
        <v>0</v>
      </c>
      <c r="L208" s="38">
        <v>0</v>
      </c>
      <c r="M208" s="39">
        <v>-2.91</v>
      </c>
      <c r="N208" s="10" t="str">
        <f t="shared" si="36"/>
        <v>L</v>
      </c>
      <c r="O208" s="11">
        <f t="shared" si="37"/>
        <v>45918</v>
      </c>
      <c r="P208" s="12" t="str">
        <f t="shared" si="38"/>
        <v>04</v>
      </c>
      <c r="Q208" s="13" t="str">
        <f>VLOOKUP($B208,Deals_Demo!$H:$N,7,0)</f>
        <v>strategy_11_demo</v>
      </c>
      <c r="R208" s="13" t="str">
        <f t="shared" si="39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0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3"/>
        <v>-0.29100000000000004</v>
      </c>
      <c r="Y208" s="13">
        <f t="shared" si="34"/>
        <v>-0.58200000000000007</v>
      </c>
      <c r="Z208" s="13">
        <f t="shared" si="35"/>
        <v>-0.873</v>
      </c>
      <c r="AA208" s="13">
        <f t="shared" si="41"/>
        <v>-3</v>
      </c>
    </row>
    <row r="209" spans="1:27" x14ac:dyDescent="0.25">
      <c r="A209" s="40">
        <v>45918.169432870367</v>
      </c>
      <c r="B209" s="41">
        <v>443174155</v>
      </c>
      <c r="C209" s="42" t="s">
        <v>36</v>
      </c>
      <c r="D209" s="42" t="s">
        <v>39</v>
      </c>
      <c r="E209" s="42" t="s">
        <v>38</v>
      </c>
      <c r="F209" s="43">
        <v>3662.55</v>
      </c>
      <c r="G209" s="43">
        <v>3660.57</v>
      </c>
      <c r="H209" s="43">
        <v>3656.57</v>
      </c>
      <c r="I209" s="42" t="s">
        <v>330</v>
      </c>
      <c r="J209" s="43">
        <v>3656.56</v>
      </c>
      <c r="K209" s="43">
        <v>0</v>
      </c>
      <c r="L209" s="43">
        <v>0</v>
      </c>
      <c r="M209" s="44">
        <v>5.99</v>
      </c>
      <c r="N209" s="10" t="str">
        <f t="shared" si="36"/>
        <v>W</v>
      </c>
      <c r="O209" s="11">
        <f t="shared" si="37"/>
        <v>45918</v>
      </c>
      <c r="P209" s="12" t="str">
        <f t="shared" si="38"/>
        <v>04</v>
      </c>
      <c r="Q209" s="13" t="str">
        <f>VLOOKUP($B209,Deals_Demo!$H:$N,7,0)</f>
        <v>DEMO_strategy_02</v>
      </c>
      <c r="R209" s="13" t="str">
        <f t="shared" si="39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0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3"/>
        <v>0.59900000000000009</v>
      </c>
      <c r="Y209" s="13">
        <f t="shared" si="34"/>
        <v>1.1980000000000002</v>
      </c>
      <c r="Z209" s="13">
        <f t="shared" si="35"/>
        <v>1.7969999999999999</v>
      </c>
      <c r="AA209" s="13">
        <f t="shared" si="41"/>
        <v>5.99</v>
      </c>
    </row>
    <row r="210" spans="1:27" x14ac:dyDescent="0.25">
      <c r="A210" s="35">
        <v>45918.169432870367</v>
      </c>
      <c r="B210" s="36">
        <v>443174180</v>
      </c>
      <c r="C210" s="37" t="s">
        <v>36</v>
      </c>
      <c r="D210" s="37" t="s">
        <v>39</v>
      </c>
      <c r="E210" s="37" t="s">
        <v>38</v>
      </c>
      <c r="F210" s="38">
        <v>3662.41</v>
      </c>
      <c r="G210" s="38">
        <v>3660.23</v>
      </c>
      <c r="H210" s="37"/>
      <c r="I210" s="37" t="s">
        <v>331</v>
      </c>
      <c r="J210" s="38">
        <v>3660.27</v>
      </c>
      <c r="K210" s="38">
        <v>0</v>
      </c>
      <c r="L210" s="38">
        <v>0</v>
      </c>
      <c r="M210" s="39">
        <v>2.14</v>
      </c>
      <c r="N210" s="10" t="str">
        <f t="shared" si="36"/>
        <v>W</v>
      </c>
      <c r="O210" s="11">
        <f t="shared" si="37"/>
        <v>45918</v>
      </c>
      <c r="P210" s="12" t="str">
        <f t="shared" si="38"/>
        <v>04</v>
      </c>
      <c r="Q210" s="13" t="str">
        <f>VLOOKUP($B210,Deals_Demo!$H:$N,7,0)</f>
        <v>DEMO_strategy_01</v>
      </c>
      <c r="R210" s="13" t="str">
        <f t="shared" si="39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0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3"/>
        <v>0.21400000000000002</v>
      </c>
      <c r="Y210" s="13">
        <f t="shared" si="34"/>
        <v>0.42800000000000005</v>
      </c>
      <c r="Z210" s="13">
        <f t="shared" si="35"/>
        <v>0.64200000000000002</v>
      </c>
      <c r="AA210" s="13">
        <f t="shared" si="41"/>
        <v>-3</v>
      </c>
    </row>
    <row r="211" spans="1:27" x14ac:dyDescent="0.25">
      <c r="A211" s="40">
        <v>45918.169456018521</v>
      </c>
      <c r="B211" s="41">
        <v>443174338</v>
      </c>
      <c r="C211" s="42" t="s">
        <v>36</v>
      </c>
      <c r="D211" s="42" t="s">
        <v>39</v>
      </c>
      <c r="E211" s="42" t="s">
        <v>38</v>
      </c>
      <c r="F211" s="43">
        <v>3661.92</v>
      </c>
      <c r="G211" s="43">
        <v>3662.81</v>
      </c>
      <c r="H211" s="43">
        <v>3657.36</v>
      </c>
      <c r="I211" s="42" t="s">
        <v>332</v>
      </c>
      <c r="J211" s="43">
        <v>3657.3</v>
      </c>
      <c r="K211" s="43">
        <v>0</v>
      </c>
      <c r="L211" s="43">
        <v>0</v>
      </c>
      <c r="M211" s="44">
        <v>4.62</v>
      </c>
      <c r="N211" s="10" t="str">
        <f t="shared" si="36"/>
        <v>W</v>
      </c>
      <c r="O211" s="11">
        <f t="shared" si="37"/>
        <v>45918</v>
      </c>
      <c r="P211" s="12" t="str">
        <f t="shared" si="38"/>
        <v>04</v>
      </c>
      <c r="Q211" s="13" t="str">
        <f>VLOOKUP($B211,Deals_Demo!$H:$N,7,0)</f>
        <v>DEMO_strategy_03</v>
      </c>
      <c r="R211" s="13" t="str">
        <f t="shared" si="39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0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3"/>
        <v>0.46200000000000002</v>
      </c>
      <c r="Y211" s="13">
        <f t="shared" si="34"/>
        <v>0.92400000000000004</v>
      </c>
      <c r="Z211" s="13">
        <f t="shared" si="35"/>
        <v>1.3859999999999999</v>
      </c>
      <c r="AA211" s="13">
        <f t="shared" si="41"/>
        <v>4.62</v>
      </c>
    </row>
    <row r="212" spans="1:27" x14ac:dyDescent="0.25">
      <c r="A212" s="35">
        <v>45918.175219907411</v>
      </c>
      <c r="B212" s="36">
        <v>443176844</v>
      </c>
      <c r="C212" s="37" t="s">
        <v>36</v>
      </c>
      <c r="D212" s="37" t="s">
        <v>39</v>
      </c>
      <c r="E212" s="37" t="s">
        <v>38</v>
      </c>
      <c r="F212" s="38">
        <v>3658.85</v>
      </c>
      <c r="G212" s="38">
        <v>3661.85</v>
      </c>
      <c r="H212" s="38">
        <v>3657.35</v>
      </c>
      <c r="I212" s="37" t="s">
        <v>333</v>
      </c>
      <c r="J212" s="38">
        <v>3657.29</v>
      </c>
      <c r="K212" s="38">
        <v>0</v>
      </c>
      <c r="L212" s="38">
        <v>0</v>
      </c>
      <c r="M212" s="39">
        <v>1.56</v>
      </c>
      <c r="N212" s="10" t="str">
        <f t="shared" si="36"/>
        <v>W</v>
      </c>
      <c r="O212" s="11">
        <f t="shared" si="37"/>
        <v>45918</v>
      </c>
      <c r="P212" s="12" t="str">
        <f t="shared" si="38"/>
        <v>04</v>
      </c>
      <c r="Q212" s="13" t="str">
        <f>VLOOKUP($B212,Deals_Demo!$H:$N,7,0)</f>
        <v>strategy_12_demo</v>
      </c>
      <c r="R212" s="13" t="str">
        <f t="shared" si="39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0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3"/>
        <v>0.15600000000000003</v>
      </c>
      <c r="Y212" s="13">
        <f t="shared" si="34"/>
        <v>0.31200000000000006</v>
      </c>
      <c r="Z212" s="13">
        <f t="shared" si="35"/>
        <v>0.46799999999999997</v>
      </c>
      <c r="AA212" s="13">
        <f t="shared" si="41"/>
        <v>-3</v>
      </c>
    </row>
    <row r="213" spans="1:27" x14ac:dyDescent="0.25">
      <c r="A213" s="40">
        <v>45918.175219907411</v>
      </c>
      <c r="B213" s="41">
        <v>443176846</v>
      </c>
      <c r="C213" s="42" t="s">
        <v>36</v>
      </c>
      <c r="D213" s="42" t="s">
        <v>39</v>
      </c>
      <c r="E213" s="42" t="s">
        <v>38</v>
      </c>
      <c r="F213" s="43">
        <v>3658.85</v>
      </c>
      <c r="G213" s="43">
        <v>3658.62</v>
      </c>
      <c r="H213" s="43">
        <v>3655.85</v>
      </c>
      <c r="I213" s="42" t="s">
        <v>334</v>
      </c>
      <c r="J213" s="43">
        <v>3655.61</v>
      </c>
      <c r="K213" s="43">
        <v>0</v>
      </c>
      <c r="L213" s="43">
        <v>0</v>
      </c>
      <c r="M213" s="44">
        <v>3.24</v>
      </c>
      <c r="N213" s="10" t="str">
        <f t="shared" si="36"/>
        <v>W</v>
      </c>
      <c r="O213" s="11">
        <f t="shared" si="37"/>
        <v>45918</v>
      </c>
      <c r="P213" s="12" t="str">
        <f t="shared" si="38"/>
        <v>04</v>
      </c>
      <c r="Q213" s="13" t="str">
        <f>VLOOKUP($B213,Deals_Demo!$H:$N,7,0)</f>
        <v>strategy_09_demo</v>
      </c>
      <c r="R213" s="13" t="str">
        <f t="shared" si="39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0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3"/>
        <v>0.32400000000000007</v>
      </c>
      <c r="Y213" s="13">
        <f t="shared" si="34"/>
        <v>0.64800000000000013</v>
      </c>
      <c r="Z213" s="13">
        <f t="shared" si="35"/>
        <v>0.97199999999999998</v>
      </c>
      <c r="AA213" s="13">
        <f t="shared" si="41"/>
        <v>3.24</v>
      </c>
    </row>
    <row r="214" spans="1:27" x14ac:dyDescent="0.25">
      <c r="A214" s="35">
        <v>45918.175219907411</v>
      </c>
      <c r="B214" s="36">
        <v>443176847</v>
      </c>
      <c r="C214" s="37" t="s">
        <v>36</v>
      </c>
      <c r="D214" s="37" t="s">
        <v>39</v>
      </c>
      <c r="E214" s="37" t="s">
        <v>38</v>
      </c>
      <c r="F214" s="38">
        <v>3658.86</v>
      </c>
      <c r="G214" s="38">
        <v>3661.35</v>
      </c>
      <c r="H214" s="38">
        <v>3655.85</v>
      </c>
      <c r="I214" s="37" t="s">
        <v>335</v>
      </c>
      <c r="J214" s="38">
        <v>3661.43</v>
      </c>
      <c r="K214" s="38">
        <v>0</v>
      </c>
      <c r="L214" s="38">
        <v>0</v>
      </c>
      <c r="M214" s="39">
        <v>-2.57</v>
      </c>
      <c r="N214" s="10" t="str">
        <f t="shared" si="36"/>
        <v>L</v>
      </c>
      <c r="O214" s="11">
        <f t="shared" si="37"/>
        <v>45918</v>
      </c>
      <c r="P214" s="12" t="str">
        <f t="shared" si="38"/>
        <v>04</v>
      </c>
      <c r="Q214" s="13" t="str">
        <f>VLOOKUP($B214,Deals_Demo!$H:$N,7,0)</f>
        <v>strategy_10_demo</v>
      </c>
      <c r="R214" s="13" t="str">
        <f t="shared" si="39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0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3"/>
        <v>-0.25700000000000001</v>
      </c>
      <c r="Y214" s="13">
        <f t="shared" si="34"/>
        <v>-0.51400000000000001</v>
      </c>
      <c r="Z214" s="13">
        <f t="shared" si="35"/>
        <v>-0.77099999999999991</v>
      </c>
      <c r="AA214" s="13">
        <f t="shared" si="41"/>
        <v>-3</v>
      </c>
    </row>
    <row r="215" spans="1:27" x14ac:dyDescent="0.25">
      <c r="A215" s="40">
        <v>45918.175219907411</v>
      </c>
      <c r="B215" s="41">
        <v>443176848</v>
      </c>
      <c r="C215" s="42" t="s">
        <v>36</v>
      </c>
      <c r="D215" s="42" t="s">
        <v>39</v>
      </c>
      <c r="E215" s="42" t="s">
        <v>38</v>
      </c>
      <c r="F215" s="43">
        <v>3658.86</v>
      </c>
      <c r="G215" s="43">
        <v>3657.66</v>
      </c>
      <c r="H215" s="43">
        <v>3655.35</v>
      </c>
      <c r="I215" s="42" t="s">
        <v>336</v>
      </c>
      <c r="J215" s="43">
        <v>3655.34</v>
      </c>
      <c r="K215" s="43">
        <v>0</v>
      </c>
      <c r="L215" s="43">
        <v>0</v>
      </c>
      <c r="M215" s="44">
        <v>3.52</v>
      </c>
      <c r="N215" s="10" t="str">
        <f t="shared" si="36"/>
        <v>W</v>
      </c>
      <c r="O215" s="11">
        <f t="shared" si="37"/>
        <v>45918</v>
      </c>
      <c r="P215" s="12" t="str">
        <f t="shared" si="38"/>
        <v>04</v>
      </c>
      <c r="Q215" s="13" t="str">
        <f>VLOOKUP($B215,Deals_Demo!$H:$N,7,0)</f>
        <v>strategy_11_demo</v>
      </c>
      <c r="R215" s="13" t="str">
        <f t="shared" si="39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0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3"/>
        <v>0.35200000000000004</v>
      </c>
      <c r="Y215" s="13">
        <f t="shared" si="34"/>
        <v>0.70400000000000007</v>
      </c>
      <c r="Z215" s="13">
        <f t="shared" si="35"/>
        <v>1.056</v>
      </c>
      <c r="AA215" s="13">
        <f t="shared" si="41"/>
        <v>3.52</v>
      </c>
    </row>
    <row r="216" spans="1:27" x14ac:dyDescent="0.25">
      <c r="A216" s="35">
        <v>45918.184131944443</v>
      </c>
      <c r="B216" s="36">
        <v>443179581</v>
      </c>
      <c r="C216" s="37" t="s">
        <v>36</v>
      </c>
      <c r="D216" s="37" t="s">
        <v>39</v>
      </c>
      <c r="E216" s="37" t="s">
        <v>38</v>
      </c>
      <c r="F216" s="38">
        <v>3654.67</v>
      </c>
      <c r="G216" s="38">
        <v>3657.77</v>
      </c>
      <c r="H216" s="38">
        <v>3653.27</v>
      </c>
      <c r="I216" s="37" t="s">
        <v>337</v>
      </c>
      <c r="J216" s="38">
        <v>3657.9</v>
      </c>
      <c r="K216" s="38">
        <v>0</v>
      </c>
      <c r="L216" s="38">
        <v>0</v>
      </c>
      <c r="M216" s="39">
        <v>-3.23</v>
      </c>
      <c r="N216" s="10" t="str">
        <f t="shared" si="36"/>
        <v>L</v>
      </c>
      <c r="O216" s="11">
        <f t="shared" si="37"/>
        <v>45918</v>
      </c>
      <c r="P216" s="12" t="str">
        <f t="shared" si="38"/>
        <v>04</v>
      </c>
      <c r="Q216" s="13" t="str">
        <f>VLOOKUP($B216,Deals_Demo!$H:$N,7,0)</f>
        <v>strategy_12_demo</v>
      </c>
      <c r="R216" s="13" t="str">
        <f t="shared" si="39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0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3"/>
        <v>-0.32300000000000001</v>
      </c>
      <c r="Y216" s="13">
        <f t="shared" si="34"/>
        <v>-0.64600000000000002</v>
      </c>
      <c r="Z216" s="13">
        <f t="shared" si="35"/>
        <v>-0.96899999999999997</v>
      </c>
      <c r="AA216" s="13">
        <f t="shared" si="41"/>
        <v>-3</v>
      </c>
    </row>
    <row r="217" spans="1:27" x14ac:dyDescent="0.25">
      <c r="A217" s="40">
        <v>45918.184131944443</v>
      </c>
      <c r="B217" s="41">
        <v>443179582</v>
      </c>
      <c r="C217" s="42" t="s">
        <v>36</v>
      </c>
      <c r="D217" s="42" t="s">
        <v>39</v>
      </c>
      <c r="E217" s="42" t="s">
        <v>38</v>
      </c>
      <c r="F217" s="43">
        <v>3654.69</v>
      </c>
      <c r="G217" s="43">
        <v>3657.67</v>
      </c>
      <c r="H217" s="43">
        <v>3651.17</v>
      </c>
      <c r="I217" s="42" t="s">
        <v>337</v>
      </c>
      <c r="J217" s="43">
        <v>3657.9</v>
      </c>
      <c r="K217" s="43">
        <v>0</v>
      </c>
      <c r="L217" s="43">
        <v>0</v>
      </c>
      <c r="M217" s="44">
        <v>-3.21</v>
      </c>
      <c r="N217" s="10" t="str">
        <f t="shared" si="36"/>
        <v>L</v>
      </c>
      <c r="O217" s="11">
        <f t="shared" si="37"/>
        <v>45918</v>
      </c>
      <c r="P217" s="12" t="str">
        <f t="shared" si="38"/>
        <v>04</v>
      </c>
      <c r="Q217" s="13" t="str">
        <f>VLOOKUP($B217,Deals_Demo!$H:$N,7,0)</f>
        <v>strategy_11_demo</v>
      </c>
      <c r="R217" s="13" t="str">
        <f t="shared" si="39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0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3"/>
        <v>-0.32100000000000001</v>
      </c>
      <c r="Y217" s="13">
        <f t="shared" si="34"/>
        <v>-0.64200000000000002</v>
      </c>
      <c r="Z217" s="13">
        <f t="shared" si="35"/>
        <v>-0.96299999999999997</v>
      </c>
      <c r="AA217" s="13">
        <f t="shared" si="41"/>
        <v>-3</v>
      </c>
    </row>
    <row r="218" spans="1:27" x14ac:dyDescent="0.25">
      <c r="A218" s="35">
        <v>45918.184131944443</v>
      </c>
      <c r="B218" s="36">
        <v>443179584</v>
      </c>
      <c r="C218" s="37" t="s">
        <v>36</v>
      </c>
      <c r="D218" s="37" t="s">
        <v>39</v>
      </c>
      <c r="E218" s="37" t="s">
        <v>38</v>
      </c>
      <c r="F218" s="38">
        <v>3654.71</v>
      </c>
      <c r="G218" s="38">
        <v>3657.67</v>
      </c>
      <c r="H218" s="38">
        <v>3651.67</v>
      </c>
      <c r="I218" s="37" t="s">
        <v>337</v>
      </c>
      <c r="J218" s="38">
        <v>3657.9</v>
      </c>
      <c r="K218" s="38">
        <v>0</v>
      </c>
      <c r="L218" s="38">
        <v>0</v>
      </c>
      <c r="M218" s="39">
        <v>-3.19</v>
      </c>
      <c r="N218" s="10" t="str">
        <f t="shared" si="36"/>
        <v>L</v>
      </c>
      <c r="O218" s="11">
        <f t="shared" si="37"/>
        <v>45918</v>
      </c>
      <c r="P218" s="12" t="str">
        <f t="shared" si="38"/>
        <v>04</v>
      </c>
      <c r="Q218" s="13" t="str">
        <f>VLOOKUP($B218,Deals_Demo!$H:$N,7,0)</f>
        <v>strategy_09_demo</v>
      </c>
      <c r="R218" s="13" t="str">
        <f t="shared" si="39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0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3"/>
        <v>-0.31900000000000001</v>
      </c>
      <c r="Y218" s="13">
        <f t="shared" si="34"/>
        <v>-0.63800000000000001</v>
      </c>
      <c r="Z218" s="13">
        <f t="shared" si="35"/>
        <v>-0.95699999999999996</v>
      </c>
      <c r="AA218" s="13">
        <f t="shared" si="41"/>
        <v>-3</v>
      </c>
    </row>
    <row r="219" spans="1:27" x14ac:dyDescent="0.25">
      <c r="A219" s="40">
        <v>45918.184131944443</v>
      </c>
      <c r="B219" s="41">
        <v>443179586</v>
      </c>
      <c r="C219" s="42" t="s">
        <v>36</v>
      </c>
      <c r="D219" s="42" t="s">
        <v>39</v>
      </c>
      <c r="E219" s="42" t="s">
        <v>38</v>
      </c>
      <c r="F219" s="43">
        <v>3654.71</v>
      </c>
      <c r="G219" s="43">
        <v>3657.17</v>
      </c>
      <c r="H219" s="43">
        <v>3651.67</v>
      </c>
      <c r="I219" s="42" t="s">
        <v>338</v>
      </c>
      <c r="J219" s="43">
        <v>3657.24</v>
      </c>
      <c r="K219" s="43">
        <v>0</v>
      </c>
      <c r="L219" s="43">
        <v>0</v>
      </c>
      <c r="M219" s="44">
        <v>-2.5299999999999998</v>
      </c>
      <c r="N219" s="10" t="str">
        <f t="shared" si="36"/>
        <v>L</v>
      </c>
      <c r="O219" s="11">
        <f t="shared" si="37"/>
        <v>45918</v>
      </c>
      <c r="P219" s="12" t="str">
        <f t="shared" si="38"/>
        <v>04</v>
      </c>
      <c r="Q219" s="13" t="str">
        <f>VLOOKUP($B219,Deals_Demo!$H:$N,7,0)</f>
        <v>strategy_10_demo</v>
      </c>
      <c r="R219" s="13" t="str">
        <f t="shared" si="39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0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3"/>
        <v>-0.253</v>
      </c>
      <c r="Y219" s="13">
        <f t="shared" si="34"/>
        <v>-0.50600000000000001</v>
      </c>
      <c r="Z219" s="13">
        <f t="shared" si="35"/>
        <v>-0.7589999999999999</v>
      </c>
      <c r="AA219" s="13">
        <f t="shared" si="41"/>
        <v>-3</v>
      </c>
    </row>
    <row r="220" spans="1:27" x14ac:dyDescent="0.25">
      <c r="A220" s="35">
        <v>45918.184710648151</v>
      </c>
      <c r="B220" s="36">
        <v>443179681</v>
      </c>
      <c r="C220" s="37" t="s">
        <v>36</v>
      </c>
      <c r="D220" s="37" t="s">
        <v>39</v>
      </c>
      <c r="E220" s="37" t="s">
        <v>38</v>
      </c>
      <c r="F220" s="38">
        <v>3655.8</v>
      </c>
      <c r="G220" s="38">
        <v>3655</v>
      </c>
      <c r="H220" s="38">
        <v>3652.34</v>
      </c>
      <c r="I220" s="37" t="s">
        <v>339</v>
      </c>
      <c r="J220" s="38">
        <v>3655</v>
      </c>
      <c r="K220" s="38">
        <v>0</v>
      </c>
      <c r="L220" s="38">
        <v>0</v>
      </c>
      <c r="M220" s="39">
        <v>0.8</v>
      </c>
      <c r="N220" s="10" t="str">
        <f t="shared" si="36"/>
        <v>W</v>
      </c>
      <c r="O220" s="11">
        <f t="shared" si="37"/>
        <v>45918</v>
      </c>
      <c r="P220" s="12" t="str">
        <f t="shared" si="38"/>
        <v>04</v>
      </c>
      <c r="Q220" s="13" t="str">
        <f>VLOOKUP($B220,Deals_Demo!$H:$N,7,0)</f>
        <v>strategy_08_demo</v>
      </c>
      <c r="R220" s="13" t="str">
        <f t="shared" si="39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0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3"/>
        <v>8.0000000000000016E-2</v>
      </c>
      <c r="Y220" s="13">
        <f t="shared" si="34"/>
        <v>0.16000000000000003</v>
      </c>
      <c r="Z220" s="13">
        <f t="shared" si="35"/>
        <v>0.24</v>
      </c>
      <c r="AA220" s="13">
        <f t="shared" si="41"/>
        <v>-3</v>
      </c>
    </row>
    <row r="221" spans="1:27" x14ac:dyDescent="0.25">
      <c r="A221" s="40">
        <v>45918.186793981484</v>
      </c>
      <c r="B221" s="41">
        <v>443180410</v>
      </c>
      <c r="C221" s="42" t="s">
        <v>36</v>
      </c>
      <c r="D221" s="42" t="s">
        <v>39</v>
      </c>
      <c r="E221" s="42" t="s">
        <v>38</v>
      </c>
      <c r="F221" s="43">
        <v>3655.94</v>
      </c>
      <c r="G221" s="43">
        <v>3658.94</v>
      </c>
      <c r="H221" s="43">
        <v>3654.44</v>
      </c>
      <c r="I221" s="42" t="s">
        <v>340</v>
      </c>
      <c r="J221" s="43">
        <v>3654.37</v>
      </c>
      <c r="K221" s="43">
        <v>0</v>
      </c>
      <c r="L221" s="43">
        <v>0</v>
      </c>
      <c r="M221" s="44">
        <v>1.57</v>
      </c>
      <c r="N221" s="10" t="str">
        <f t="shared" si="36"/>
        <v>W</v>
      </c>
      <c r="O221" s="11">
        <f t="shared" si="37"/>
        <v>45918</v>
      </c>
      <c r="P221" s="12" t="str">
        <f t="shared" si="38"/>
        <v>04</v>
      </c>
      <c r="Q221" s="13" t="str">
        <f>VLOOKUP($B221,Deals_Demo!$H:$N,7,0)</f>
        <v>strategy_12_demo</v>
      </c>
      <c r="R221" s="13" t="str">
        <f t="shared" si="39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0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3"/>
        <v>0.15700000000000003</v>
      </c>
      <c r="Y221" s="13">
        <f t="shared" si="34"/>
        <v>0.31400000000000006</v>
      </c>
      <c r="Z221" s="13">
        <f t="shared" si="35"/>
        <v>0.47099999999999997</v>
      </c>
      <c r="AA221" s="13">
        <f t="shared" si="41"/>
        <v>-3</v>
      </c>
    </row>
    <row r="222" spans="1:27" x14ac:dyDescent="0.25">
      <c r="A222" s="35">
        <v>45918.186793981484</v>
      </c>
      <c r="B222" s="36">
        <v>443180411</v>
      </c>
      <c r="C222" s="37" t="s">
        <v>36</v>
      </c>
      <c r="D222" s="37" t="s">
        <v>39</v>
      </c>
      <c r="E222" s="37" t="s">
        <v>38</v>
      </c>
      <c r="F222" s="38">
        <v>3655.94</v>
      </c>
      <c r="G222" s="38">
        <v>3654.69</v>
      </c>
      <c r="H222" s="38">
        <v>3652.94</v>
      </c>
      <c r="I222" s="37" t="s">
        <v>341</v>
      </c>
      <c r="J222" s="38">
        <v>3652.87</v>
      </c>
      <c r="K222" s="38">
        <v>0</v>
      </c>
      <c r="L222" s="38">
        <v>0</v>
      </c>
      <c r="M222" s="39">
        <v>3.07</v>
      </c>
      <c r="N222" s="10" t="str">
        <f t="shared" si="36"/>
        <v>W</v>
      </c>
      <c r="O222" s="11">
        <f t="shared" si="37"/>
        <v>45918</v>
      </c>
      <c r="P222" s="12" t="str">
        <f t="shared" si="38"/>
        <v>04</v>
      </c>
      <c r="Q222" s="13" t="str">
        <f>VLOOKUP($B222,Deals_Demo!$H:$N,7,0)</f>
        <v>strategy_09_demo</v>
      </c>
      <c r="R222" s="13" t="str">
        <f t="shared" si="39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0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3"/>
        <v>0.307</v>
      </c>
      <c r="Y222" s="13">
        <f t="shared" si="34"/>
        <v>0.61399999999999999</v>
      </c>
      <c r="Z222" s="13">
        <f t="shared" si="35"/>
        <v>0.92099999999999993</v>
      </c>
      <c r="AA222" s="13">
        <f t="shared" si="41"/>
        <v>3.07</v>
      </c>
    </row>
    <row r="223" spans="1:27" x14ac:dyDescent="0.25">
      <c r="A223" s="40">
        <v>45918.186793981484</v>
      </c>
      <c r="B223" s="41">
        <v>443180412</v>
      </c>
      <c r="C223" s="42" t="s">
        <v>36</v>
      </c>
      <c r="D223" s="42" t="s">
        <v>39</v>
      </c>
      <c r="E223" s="42" t="s">
        <v>38</v>
      </c>
      <c r="F223" s="43">
        <v>3655.94</v>
      </c>
      <c r="G223" s="43">
        <v>3654.7</v>
      </c>
      <c r="H223" s="43">
        <v>3652.44</v>
      </c>
      <c r="I223" s="42" t="s">
        <v>342</v>
      </c>
      <c r="J223" s="43">
        <v>3654.71</v>
      </c>
      <c r="K223" s="43">
        <v>0</v>
      </c>
      <c r="L223" s="43">
        <v>0</v>
      </c>
      <c r="M223" s="44">
        <v>1.23</v>
      </c>
      <c r="N223" s="10" t="str">
        <f t="shared" si="36"/>
        <v>W</v>
      </c>
      <c r="O223" s="11">
        <f t="shared" si="37"/>
        <v>45918</v>
      </c>
      <c r="P223" s="12" t="str">
        <f t="shared" si="38"/>
        <v>04</v>
      </c>
      <c r="Q223" s="13" t="str">
        <f>VLOOKUP($B223,Deals_Demo!$H:$N,7,0)</f>
        <v>strategy_11_demo</v>
      </c>
      <c r="R223" s="13" t="str">
        <f t="shared" si="39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0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3"/>
        <v>0.123</v>
      </c>
      <c r="Y223" s="13">
        <f t="shared" si="34"/>
        <v>0.246</v>
      </c>
      <c r="Z223" s="13">
        <f t="shared" si="35"/>
        <v>0.36899999999999999</v>
      </c>
      <c r="AA223" s="13">
        <f t="shared" si="41"/>
        <v>-3</v>
      </c>
    </row>
    <row r="224" spans="1:27" x14ac:dyDescent="0.25">
      <c r="A224" s="35">
        <v>45918.186793981484</v>
      </c>
      <c r="B224" s="36">
        <v>443180413</v>
      </c>
      <c r="C224" s="37" t="s">
        <v>36</v>
      </c>
      <c r="D224" s="37" t="s">
        <v>39</v>
      </c>
      <c r="E224" s="37" t="s">
        <v>38</v>
      </c>
      <c r="F224" s="38">
        <v>3655.98</v>
      </c>
      <c r="G224" s="38">
        <v>3654.69</v>
      </c>
      <c r="H224" s="38">
        <v>3652.94</v>
      </c>
      <c r="I224" s="37" t="s">
        <v>341</v>
      </c>
      <c r="J224" s="38">
        <v>3652.87</v>
      </c>
      <c r="K224" s="38">
        <v>0</v>
      </c>
      <c r="L224" s="38">
        <v>0</v>
      </c>
      <c r="M224" s="39">
        <v>3.11</v>
      </c>
      <c r="N224" s="10" t="str">
        <f t="shared" si="36"/>
        <v>W</v>
      </c>
      <c r="O224" s="11">
        <f t="shared" si="37"/>
        <v>45918</v>
      </c>
      <c r="P224" s="12" t="str">
        <f t="shared" si="38"/>
        <v>04</v>
      </c>
      <c r="Q224" s="13" t="str">
        <f>VLOOKUP($B224,Deals_Demo!$H:$N,7,0)</f>
        <v>strategy_10_demo</v>
      </c>
      <c r="R224" s="13" t="str">
        <f t="shared" si="39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0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3"/>
        <v>0.311</v>
      </c>
      <c r="Y224" s="13">
        <f t="shared" si="34"/>
        <v>0.622</v>
      </c>
      <c r="Z224" s="13">
        <f t="shared" si="35"/>
        <v>0.93299999999999994</v>
      </c>
      <c r="AA224" s="13">
        <f t="shared" si="41"/>
        <v>3.11</v>
      </c>
    </row>
    <row r="225" spans="1:27" x14ac:dyDescent="0.25">
      <c r="A225" s="40">
        <v>45918.189918981479</v>
      </c>
      <c r="B225" s="41">
        <v>443181766</v>
      </c>
      <c r="C225" s="42" t="s">
        <v>36</v>
      </c>
      <c r="D225" s="42" t="s">
        <v>39</v>
      </c>
      <c r="E225" s="42" t="s">
        <v>38</v>
      </c>
      <c r="F225" s="43">
        <v>3654.48</v>
      </c>
      <c r="G225" s="43">
        <v>3657.46</v>
      </c>
      <c r="H225" s="43">
        <v>3652.96</v>
      </c>
      <c r="I225" s="42" t="s">
        <v>343</v>
      </c>
      <c r="J225" s="43">
        <v>3652.8</v>
      </c>
      <c r="K225" s="43">
        <v>0</v>
      </c>
      <c r="L225" s="43">
        <v>0</v>
      </c>
      <c r="M225" s="44">
        <v>1.68</v>
      </c>
      <c r="N225" s="10" t="str">
        <f t="shared" si="36"/>
        <v>W</v>
      </c>
      <c r="O225" s="11">
        <f t="shared" si="37"/>
        <v>45918</v>
      </c>
      <c r="P225" s="12" t="str">
        <f t="shared" si="38"/>
        <v>04</v>
      </c>
      <c r="Q225" s="13" t="str">
        <f>VLOOKUP($B225,Deals_Demo!$H:$N,7,0)</f>
        <v>strategy_12_demo</v>
      </c>
      <c r="R225" s="13" t="str">
        <f t="shared" si="39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0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3"/>
        <v>0.16800000000000001</v>
      </c>
      <c r="Y225" s="13">
        <f t="shared" si="34"/>
        <v>0.33600000000000002</v>
      </c>
      <c r="Z225" s="13">
        <f t="shared" si="35"/>
        <v>0.504</v>
      </c>
      <c r="AA225" s="13">
        <f t="shared" si="41"/>
        <v>-3</v>
      </c>
    </row>
    <row r="226" spans="1:27" x14ac:dyDescent="0.25">
      <c r="A226" s="35">
        <v>45918.189918981479</v>
      </c>
      <c r="B226" s="36">
        <v>443181767</v>
      </c>
      <c r="C226" s="37" t="s">
        <v>36</v>
      </c>
      <c r="D226" s="37" t="s">
        <v>39</v>
      </c>
      <c r="E226" s="37" t="s">
        <v>38</v>
      </c>
      <c r="F226" s="38">
        <v>3654.44</v>
      </c>
      <c r="G226" s="38">
        <v>3656.98</v>
      </c>
      <c r="H226" s="38">
        <v>3651.48</v>
      </c>
      <c r="I226" s="37" t="s">
        <v>344</v>
      </c>
      <c r="J226" s="38">
        <v>3657.14</v>
      </c>
      <c r="K226" s="38">
        <v>0</v>
      </c>
      <c r="L226" s="38">
        <v>0</v>
      </c>
      <c r="M226" s="39">
        <v>-2.7</v>
      </c>
      <c r="N226" s="10" t="str">
        <f t="shared" si="36"/>
        <v>L</v>
      </c>
      <c r="O226" s="11">
        <f t="shared" si="37"/>
        <v>45918</v>
      </c>
      <c r="P226" s="12" t="str">
        <f t="shared" si="38"/>
        <v>04</v>
      </c>
      <c r="Q226" s="13" t="str">
        <f>VLOOKUP($B226,Deals_Demo!$H:$N,7,0)</f>
        <v>strategy_10_demo</v>
      </c>
      <c r="R226" s="13" t="str">
        <f t="shared" si="39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0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3"/>
        <v>-0.27</v>
      </c>
      <c r="Y226" s="13">
        <f t="shared" si="34"/>
        <v>-0.54</v>
      </c>
      <c r="Z226" s="13">
        <f t="shared" si="35"/>
        <v>-0.81</v>
      </c>
      <c r="AA226" s="13">
        <f t="shared" si="41"/>
        <v>-3</v>
      </c>
    </row>
    <row r="227" spans="1:27" x14ac:dyDescent="0.25">
      <c r="A227" s="40">
        <v>45918.189918981479</v>
      </c>
      <c r="B227" s="41">
        <v>443181769</v>
      </c>
      <c r="C227" s="42" t="s">
        <v>36</v>
      </c>
      <c r="D227" s="42" t="s">
        <v>39</v>
      </c>
      <c r="E227" s="42" t="s">
        <v>38</v>
      </c>
      <c r="F227" s="43">
        <v>3654.45</v>
      </c>
      <c r="G227" s="43">
        <v>3657.48</v>
      </c>
      <c r="H227" s="43">
        <v>3650.98</v>
      </c>
      <c r="I227" s="42" t="s">
        <v>345</v>
      </c>
      <c r="J227" s="43">
        <v>3657.48</v>
      </c>
      <c r="K227" s="43">
        <v>0</v>
      </c>
      <c r="L227" s="43">
        <v>0</v>
      </c>
      <c r="M227" s="44">
        <v>-3.03</v>
      </c>
      <c r="N227" s="10" t="str">
        <f t="shared" si="36"/>
        <v>L</v>
      </c>
      <c r="O227" s="11">
        <f t="shared" si="37"/>
        <v>45918</v>
      </c>
      <c r="P227" s="12" t="str">
        <f t="shared" si="38"/>
        <v>04</v>
      </c>
      <c r="Q227" s="13" t="str">
        <f>VLOOKUP($B227,Deals_Demo!$H:$N,7,0)</f>
        <v>strategy_11_demo</v>
      </c>
      <c r="R227" s="13" t="str">
        <f t="shared" si="39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0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3"/>
        <v>-0.30299999999999999</v>
      </c>
      <c r="Y227" s="13">
        <f t="shared" si="34"/>
        <v>-0.60599999999999998</v>
      </c>
      <c r="Z227" s="13">
        <f t="shared" si="35"/>
        <v>-0.90899999999999992</v>
      </c>
      <c r="AA227" s="13">
        <f t="shared" si="41"/>
        <v>-3</v>
      </c>
    </row>
    <row r="228" spans="1:27" x14ac:dyDescent="0.25">
      <c r="A228" s="35">
        <v>45918.189918981479</v>
      </c>
      <c r="B228" s="36">
        <v>443181770</v>
      </c>
      <c r="C228" s="37" t="s">
        <v>36</v>
      </c>
      <c r="D228" s="37" t="s">
        <v>39</v>
      </c>
      <c r="E228" s="37" t="s">
        <v>38</v>
      </c>
      <c r="F228" s="38">
        <v>3654.45</v>
      </c>
      <c r="G228" s="38">
        <v>3657.48</v>
      </c>
      <c r="H228" s="38">
        <v>3651.48</v>
      </c>
      <c r="I228" s="37" t="s">
        <v>345</v>
      </c>
      <c r="J228" s="38">
        <v>3657.48</v>
      </c>
      <c r="K228" s="38">
        <v>0</v>
      </c>
      <c r="L228" s="38">
        <v>0</v>
      </c>
      <c r="M228" s="39">
        <v>-3.03</v>
      </c>
      <c r="N228" s="10" t="str">
        <f t="shared" si="36"/>
        <v>L</v>
      </c>
      <c r="O228" s="11">
        <f t="shared" si="37"/>
        <v>45918</v>
      </c>
      <c r="P228" s="12" t="str">
        <f t="shared" si="38"/>
        <v>04</v>
      </c>
      <c r="Q228" s="13" t="str">
        <f>VLOOKUP($B228,Deals_Demo!$H:$N,7,0)</f>
        <v>strategy_09_demo</v>
      </c>
      <c r="R228" s="13" t="str">
        <f t="shared" si="39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0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3"/>
        <v>-0.30299999999999999</v>
      </c>
      <c r="Y228" s="13">
        <f t="shared" si="34"/>
        <v>-0.60599999999999998</v>
      </c>
      <c r="Z228" s="13">
        <f t="shared" si="35"/>
        <v>-0.90899999999999992</v>
      </c>
      <c r="AA228" s="13">
        <f t="shared" si="41"/>
        <v>-3</v>
      </c>
    </row>
    <row r="229" spans="1:27" x14ac:dyDescent="0.25">
      <c r="A229" s="40">
        <v>45918.190266203703</v>
      </c>
      <c r="B229" s="41">
        <v>443181911</v>
      </c>
      <c r="C229" s="42" t="s">
        <v>36</v>
      </c>
      <c r="D229" s="42" t="s">
        <v>39</v>
      </c>
      <c r="E229" s="42" t="s">
        <v>38</v>
      </c>
      <c r="F229" s="43">
        <v>3655.2</v>
      </c>
      <c r="G229" s="43">
        <v>3658.18</v>
      </c>
      <c r="H229" s="43">
        <v>3651.68</v>
      </c>
      <c r="I229" s="42" t="s">
        <v>346</v>
      </c>
      <c r="J229" s="43">
        <v>3658.3</v>
      </c>
      <c r="K229" s="43">
        <v>0</v>
      </c>
      <c r="L229" s="43">
        <v>0</v>
      </c>
      <c r="M229" s="44">
        <v>-3.1</v>
      </c>
      <c r="N229" s="10" t="str">
        <f t="shared" si="36"/>
        <v>L</v>
      </c>
      <c r="O229" s="11">
        <f t="shared" si="37"/>
        <v>45918</v>
      </c>
      <c r="P229" s="12" t="str">
        <f t="shared" si="38"/>
        <v>04</v>
      </c>
      <c r="Q229" s="13" t="str">
        <f>VLOOKUP($B229,Deals_Demo!$H:$N,7,0)</f>
        <v>strategy_08_demo</v>
      </c>
      <c r="R229" s="13" t="str">
        <f t="shared" si="39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0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3"/>
        <v>-0.31000000000000005</v>
      </c>
      <c r="Y229" s="13">
        <f t="shared" si="34"/>
        <v>-0.62000000000000011</v>
      </c>
      <c r="Z229" s="13">
        <f t="shared" si="35"/>
        <v>-0.92999999999999994</v>
      </c>
      <c r="AA229" s="13">
        <f t="shared" si="41"/>
        <v>-3</v>
      </c>
    </row>
    <row r="230" spans="1:27" x14ac:dyDescent="0.25">
      <c r="A230" s="35">
        <v>45918.193391203706</v>
      </c>
      <c r="B230" s="36">
        <v>443182825</v>
      </c>
      <c r="C230" s="37" t="s">
        <v>36</v>
      </c>
      <c r="D230" s="37" t="s">
        <v>39</v>
      </c>
      <c r="E230" s="37" t="s">
        <v>38</v>
      </c>
      <c r="F230" s="38">
        <v>3654.48</v>
      </c>
      <c r="G230" s="38">
        <v>3657.29</v>
      </c>
      <c r="H230" s="38">
        <v>3652.79</v>
      </c>
      <c r="I230" s="37" t="s">
        <v>345</v>
      </c>
      <c r="J230" s="38">
        <v>3657.46</v>
      </c>
      <c r="K230" s="38">
        <v>0</v>
      </c>
      <c r="L230" s="38">
        <v>0</v>
      </c>
      <c r="M230" s="39">
        <v>-2.98</v>
      </c>
      <c r="N230" s="10" t="str">
        <f t="shared" si="36"/>
        <v>L</v>
      </c>
      <c r="O230" s="11">
        <f t="shared" si="37"/>
        <v>45918</v>
      </c>
      <c r="P230" s="12" t="str">
        <f t="shared" si="38"/>
        <v>04</v>
      </c>
      <c r="Q230" s="13" t="str">
        <f>VLOOKUP($B230,Deals_Demo!$H:$N,7,0)</f>
        <v>strategy_12_demo</v>
      </c>
      <c r="R230" s="13" t="str">
        <f t="shared" si="39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0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3"/>
        <v>-0.29799999999999999</v>
      </c>
      <c r="Y230" s="13">
        <f t="shared" si="34"/>
        <v>-0.59599999999999997</v>
      </c>
      <c r="Z230" s="13">
        <f t="shared" si="35"/>
        <v>-0.89400000000000002</v>
      </c>
      <c r="AA230" s="13">
        <f t="shared" si="41"/>
        <v>-3</v>
      </c>
    </row>
    <row r="231" spans="1:27" x14ac:dyDescent="0.25">
      <c r="A231" s="40">
        <v>45918.196168981478</v>
      </c>
      <c r="B231" s="41">
        <v>443184013</v>
      </c>
      <c r="C231" s="42" t="s">
        <v>36</v>
      </c>
      <c r="D231" s="42" t="s">
        <v>39</v>
      </c>
      <c r="E231" s="42" t="s">
        <v>38</v>
      </c>
      <c r="F231" s="43">
        <v>3655.35</v>
      </c>
      <c r="G231" s="43">
        <v>3658.35</v>
      </c>
      <c r="H231" s="43">
        <v>3651.85</v>
      </c>
      <c r="I231" s="42" t="s">
        <v>347</v>
      </c>
      <c r="J231" s="43">
        <v>3658.35</v>
      </c>
      <c r="K231" s="43">
        <v>0</v>
      </c>
      <c r="L231" s="43">
        <v>0</v>
      </c>
      <c r="M231" s="44">
        <v>-3</v>
      </c>
      <c r="N231" s="10" t="str">
        <f t="shared" si="36"/>
        <v>L</v>
      </c>
      <c r="O231" s="11">
        <f t="shared" si="37"/>
        <v>45918</v>
      </c>
      <c r="P231" s="12" t="str">
        <f t="shared" si="38"/>
        <v>04</v>
      </c>
      <c r="Q231" s="13" t="str">
        <f>VLOOKUP($B231,Deals_Demo!$H:$N,7,0)</f>
        <v>strategy_08_demo</v>
      </c>
      <c r="R231" s="13" t="str">
        <f t="shared" si="39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0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3"/>
        <v>-0.30000000000000004</v>
      </c>
      <c r="Y231" s="13">
        <f t="shared" si="34"/>
        <v>-0.60000000000000009</v>
      </c>
      <c r="Z231" s="13">
        <f t="shared" si="35"/>
        <v>-0.89999999999999991</v>
      </c>
      <c r="AA231" s="13">
        <f t="shared" si="41"/>
        <v>-3</v>
      </c>
    </row>
    <row r="232" spans="1:27" x14ac:dyDescent="0.25">
      <c r="A232" s="35">
        <v>45918.208784722221</v>
      </c>
      <c r="B232" s="36">
        <v>443186621</v>
      </c>
      <c r="C232" s="37" t="s">
        <v>36</v>
      </c>
      <c r="D232" s="37" t="s">
        <v>39</v>
      </c>
      <c r="E232" s="37" t="s">
        <v>38</v>
      </c>
      <c r="F232" s="38">
        <v>3655.81</v>
      </c>
      <c r="G232" s="38">
        <v>3658.82</v>
      </c>
      <c r="H232" s="38">
        <v>3652.32</v>
      </c>
      <c r="I232" s="37" t="s">
        <v>348</v>
      </c>
      <c r="J232" s="38">
        <v>3658.88</v>
      </c>
      <c r="K232" s="38">
        <v>0</v>
      </c>
      <c r="L232" s="38">
        <v>0</v>
      </c>
      <c r="M232" s="39">
        <v>-3.07</v>
      </c>
      <c r="N232" s="10" t="str">
        <f t="shared" si="36"/>
        <v>L</v>
      </c>
      <c r="O232" s="11">
        <f t="shared" si="37"/>
        <v>45918</v>
      </c>
      <c r="P232" s="12" t="str">
        <f t="shared" si="38"/>
        <v>05</v>
      </c>
      <c r="Q232" s="13" t="str">
        <f>VLOOKUP($B232,Deals_Demo!$H:$N,7,0)</f>
        <v>strategy_07_demo</v>
      </c>
      <c r="R232" s="13" t="str">
        <f t="shared" si="39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0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3"/>
        <v>-0.307</v>
      </c>
      <c r="Y232" s="13">
        <f t="shared" si="34"/>
        <v>-0.61399999999999999</v>
      </c>
      <c r="Z232" s="13">
        <f t="shared" si="35"/>
        <v>-0.92099999999999993</v>
      </c>
      <c r="AA232" s="13">
        <f t="shared" si="41"/>
        <v>-3</v>
      </c>
    </row>
    <row r="233" spans="1:27" x14ac:dyDescent="0.25">
      <c r="A233" s="40">
        <v>45918.211215277777</v>
      </c>
      <c r="B233" s="41">
        <v>443186951</v>
      </c>
      <c r="C233" s="42" t="s">
        <v>36</v>
      </c>
      <c r="D233" s="42" t="s">
        <v>37</v>
      </c>
      <c r="E233" s="42" t="s">
        <v>38</v>
      </c>
      <c r="F233" s="43">
        <v>3656.76</v>
      </c>
      <c r="G233" s="43">
        <v>3656.54</v>
      </c>
      <c r="H233" s="43">
        <v>3658.28</v>
      </c>
      <c r="I233" s="42" t="s">
        <v>349</v>
      </c>
      <c r="J233" s="43">
        <v>3658.3</v>
      </c>
      <c r="K233" s="43">
        <v>0</v>
      </c>
      <c r="L233" s="43">
        <v>0</v>
      </c>
      <c r="M233" s="44">
        <v>1.54</v>
      </c>
      <c r="N233" s="10" t="str">
        <f t="shared" si="36"/>
        <v>W</v>
      </c>
      <c r="O233" s="11">
        <f t="shared" si="37"/>
        <v>45918</v>
      </c>
      <c r="P233" s="12" t="str">
        <f t="shared" si="38"/>
        <v>05</v>
      </c>
      <c r="Q233" s="13" t="str">
        <f>VLOOKUP($B233,Deals_Demo!$H:$N,7,0)</f>
        <v>strategy_12_demo</v>
      </c>
      <c r="R233" s="13" t="str">
        <f t="shared" si="39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0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3"/>
        <v>0.15400000000000003</v>
      </c>
      <c r="Y233" s="13">
        <f t="shared" si="34"/>
        <v>0.30800000000000005</v>
      </c>
      <c r="Z233" s="13">
        <f t="shared" si="35"/>
        <v>0.46199999999999997</v>
      </c>
      <c r="AA233" s="13">
        <f t="shared" si="41"/>
        <v>-3</v>
      </c>
    </row>
    <row r="234" spans="1:27" x14ac:dyDescent="0.25">
      <c r="A234" s="35">
        <v>45918.211215277777</v>
      </c>
      <c r="B234" s="36">
        <v>443186953</v>
      </c>
      <c r="C234" s="37" t="s">
        <v>36</v>
      </c>
      <c r="D234" s="37" t="s">
        <v>37</v>
      </c>
      <c r="E234" s="37" t="s">
        <v>38</v>
      </c>
      <c r="F234" s="38">
        <v>3656.76</v>
      </c>
      <c r="G234" s="38">
        <v>3657.09</v>
      </c>
      <c r="H234" s="38">
        <v>3659.76</v>
      </c>
      <c r="I234" s="37" t="s">
        <v>350</v>
      </c>
      <c r="J234" s="38">
        <v>3659.76</v>
      </c>
      <c r="K234" s="38">
        <v>0</v>
      </c>
      <c r="L234" s="38">
        <v>0</v>
      </c>
      <c r="M234" s="39">
        <v>3</v>
      </c>
      <c r="N234" s="10" t="str">
        <f t="shared" si="36"/>
        <v>W</v>
      </c>
      <c r="O234" s="11">
        <f t="shared" si="37"/>
        <v>45918</v>
      </c>
      <c r="P234" s="12" t="str">
        <f t="shared" si="38"/>
        <v>05</v>
      </c>
      <c r="Q234" s="13" t="str">
        <f>VLOOKUP($B234,Deals_Demo!$H:$N,7,0)</f>
        <v>strategy_10_demo</v>
      </c>
      <c r="R234" s="13" t="str">
        <f t="shared" si="39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0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3"/>
        <v>0.30000000000000004</v>
      </c>
      <c r="Y234" s="13">
        <f t="shared" si="34"/>
        <v>0.60000000000000009</v>
      </c>
      <c r="Z234" s="13">
        <f t="shared" si="35"/>
        <v>0.89999999999999991</v>
      </c>
      <c r="AA234" s="13">
        <f t="shared" si="41"/>
        <v>3</v>
      </c>
    </row>
    <row r="235" spans="1:27" x14ac:dyDescent="0.25">
      <c r="A235" s="40">
        <v>45918.211215277777</v>
      </c>
      <c r="B235" s="41">
        <v>443186954</v>
      </c>
      <c r="C235" s="42" t="s">
        <v>36</v>
      </c>
      <c r="D235" s="42" t="s">
        <v>37</v>
      </c>
      <c r="E235" s="42" t="s">
        <v>38</v>
      </c>
      <c r="F235" s="43">
        <v>3656.76</v>
      </c>
      <c r="G235" s="43">
        <v>3657.09</v>
      </c>
      <c r="H235" s="43">
        <v>3659.76</v>
      </c>
      <c r="I235" s="42" t="s">
        <v>350</v>
      </c>
      <c r="J235" s="43">
        <v>3659.76</v>
      </c>
      <c r="K235" s="43">
        <v>0</v>
      </c>
      <c r="L235" s="43">
        <v>0</v>
      </c>
      <c r="M235" s="44">
        <v>3</v>
      </c>
      <c r="N235" s="10" t="str">
        <f t="shared" si="36"/>
        <v>W</v>
      </c>
      <c r="O235" s="11">
        <f t="shared" si="37"/>
        <v>45918</v>
      </c>
      <c r="P235" s="12" t="str">
        <f t="shared" si="38"/>
        <v>05</v>
      </c>
      <c r="Q235" s="13" t="str">
        <f>VLOOKUP($B235,Deals_Demo!$H:$N,7,0)</f>
        <v>strategy_09_demo</v>
      </c>
      <c r="R235" s="13" t="str">
        <f t="shared" si="39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0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3"/>
        <v>0.30000000000000004</v>
      </c>
      <c r="Y235" s="13">
        <f t="shared" si="34"/>
        <v>0.60000000000000009</v>
      </c>
      <c r="Z235" s="13">
        <f t="shared" si="35"/>
        <v>0.89999999999999991</v>
      </c>
      <c r="AA235" s="13">
        <f t="shared" si="41"/>
        <v>3</v>
      </c>
    </row>
    <row r="236" spans="1:27" x14ac:dyDescent="0.25">
      <c r="A236" s="35">
        <v>45918.211215277777</v>
      </c>
      <c r="B236" s="36">
        <v>443186955</v>
      </c>
      <c r="C236" s="37" t="s">
        <v>36</v>
      </c>
      <c r="D236" s="37" t="s">
        <v>37</v>
      </c>
      <c r="E236" s="37" t="s">
        <v>38</v>
      </c>
      <c r="F236" s="38">
        <v>3656.78</v>
      </c>
      <c r="G236" s="38">
        <v>3657.66</v>
      </c>
      <c r="H236" s="38">
        <v>3660.26</v>
      </c>
      <c r="I236" s="37" t="s">
        <v>351</v>
      </c>
      <c r="J236" s="38">
        <v>3660.27</v>
      </c>
      <c r="K236" s="38">
        <v>0</v>
      </c>
      <c r="L236" s="38">
        <v>0</v>
      </c>
      <c r="M236" s="39">
        <v>3.49</v>
      </c>
      <c r="N236" s="10" t="str">
        <f t="shared" si="36"/>
        <v>W</v>
      </c>
      <c r="O236" s="11">
        <f t="shared" si="37"/>
        <v>45918</v>
      </c>
      <c r="P236" s="12" t="str">
        <f t="shared" si="38"/>
        <v>05</v>
      </c>
      <c r="Q236" s="13" t="str">
        <f>VLOOKUP($B236,Deals_Demo!$H:$N,7,0)</f>
        <v>strategy_11_demo</v>
      </c>
      <c r="R236" s="13" t="str">
        <f t="shared" si="39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0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3"/>
        <v>0.34900000000000003</v>
      </c>
      <c r="Y236" s="13">
        <f t="shared" si="34"/>
        <v>0.69800000000000006</v>
      </c>
      <c r="Z236" s="13">
        <f t="shared" si="35"/>
        <v>1.0469999999999999</v>
      </c>
      <c r="AA236" s="13">
        <f t="shared" si="41"/>
        <v>3.49</v>
      </c>
    </row>
    <row r="237" spans="1:27" x14ac:dyDescent="0.25">
      <c r="A237" s="40">
        <v>45918.219884259262</v>
      </c>
      <c r="B237" s="41">
        <v>443189685</v>
      </c>
      <c r="C237" s="42" t="s">
        <v>36</v>
      </c>
      <c r="D237" s="42" t="s">
        <v>37</v>
      </c>
      <c r="E237" s="42" t="s">
        <v>38</v>
      </c>
      <c r="F237" s="43">
        <v>3661.86</v>
      </c>
      <c r="G237" s="43">
        <v>3658.86</v>
      </c>
      <c r="H237" s="43">
        <v>3663.36</v>
      </c>
      <c r="I237" s="42" t="s">
        <v>352</v>
      </c>
      <c r="J237" s="43">
        <v>3663.39</v>
      </c>
      <c r="K237" s="43">
        <v>0</v>
      </c>
      <c r="L237" s="43">
        <v>0</v>
      </c>
      <c r="M237" s="44">
        <v>1.53</v>
      </c>
      <c r="N237" s="10" t="str">
        <f t="shared" si="36"/>
        <v>W</v>
      </c>
      <c r="O237" s="11">
        <f t="shared" si="37"/>
        <v>45918</v>
      </c>
      <c r="P237" s="12" t="str">
        <f t="shared" si="38"/>
        <v>05</v>
      </c>
      <c r="Q237" s="13" t="str">
        <f>VLOOKUP($B237,Deals_Demo!$H:$N,7,0)</f>
        <v>strategy_12_demo</v>
      </c>
      <c r="R237" s="13" t="str">
        <f t="shared" si="39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0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3"/>
        <v>0.15300000000000002</v>
      </c>
      <c r="Y237" s="13">
        <f t="shared" si="34"/>
        <v>0.30600000000000005</v>
      </c>
      <c r="Z237" s="13">
        <f t="shared" si="35"/>
        <v>0.45899999999999996</v>
      </c>
      <c r="AA237" s="13">
        <f t="shared" si="41"/>
        <v>-3</v>
      </c>
    </row>
    <row r="238" spans="1:27" x14ac:dyDescent="0.25">
      <c r="A238" s="35">
        <v>45918.219895833332</v>
      </c>
      <c r="B238" s="36">
        <v>443189686</v>
      </c>
      <c r="C238" s="37" t="s">
        <v>36</v>
      </c>
      <c r="D238" s="37" t="s">
        <v>37</v>
      </c>
      <c r="E238" s="37" t="s">
        <v>38</v>
      </c>
      <c r="F238" s="38">
        <v>3661.86</v>
      </c>
      <c r="G238" s="38">
        <v>3662.21</v>
      </c>
      <c r="H238" s="38">
        <v>3664.86</v>
      </c>
      <c r="I238" s="37" t="s">
        <v>353</v>
      </c>
      <c r="J238" s="38">
        <v>3662.19</v>
      </c>
      <c r="K238" s="38">
        <v>0</v>
      </c>
      <c r="L238" s="38">
        <v>0</v>
      </c>
      <c r="M238" s="39">
        <v>0.33</v>
      </c>
      <c r="N238" s="10" t="str">
        <f t="shared" si="36"/>
        <v>W</v>
      </c>
      <c r="O238" s="11">
        <f t="shared" si="37"/>
        <v>45918</v>
      </c>
      <c r="P238" s="12" t="str">
        <f t="shared" si="38"/>
        <v>05</v>
      </c>
      <c r="Q238" s="13" t="str">
        <f>VLOOKUP($B238,Deals_Demo!$H:$N,7,0)</f>
        <v>strategy_10_demo</v>
      </c>
      <c r="R238" s="13" t="str">
        <f t="shared" si="39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0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3"/>
        <v>3.3000000000000002E-2</v>
      </c>
      <c r="Y238" s="13">
        <f t="shared" si="34"/>
        <v>6.6000000000000003E-2</v>
      </c>
      <c r="Z238" s="13">
        <f t="shared" si="35"/>
        <v>9.9000000000000005E-2</v>
      </c>
      <c r="AA238" s="13">
        <f t="shared" si="41"/>
        <v>-3</v>
      </c>
    </row>
    <row r="239" spans="1:27" x14ac:dyDescent="0.25">
      <c r="A239" s="40">
        <v>45918.219895833332</v>
      </c>
      <c r="B239" s="41">
        <v>443189687</v>
      </c>
      <c r="C239" s="42" t="s">
        <v>36</v>
      </c>
      <c r="D239" s="42" t="s">
        <v>37</v>
      </c>
      <c r="E239" s="42" t="s">
        <v>38</v>
      </c>
      <c r="F239" s="43">
        <v>3661.86</v>
      </c>
      <c r="G239" s="43">
        <v>3662.21</v>
      </c>
      <c r="H239" s="43">
        <v>3665.36</v>
      </c>
      <c r="I239" s="42" t="s">
        <v>353</v>
      </c>
      <c r="J239" s="43">
        <v>3662.19</v>
      </c>
      <c r="K239" s="43">
        <v>0</v>
      </c>
      <c r="L239" s="43">
        <v>0</v>
      </c>
      <c r="M239" s="44">
        <v>0.33</v>
      </c>
      <c r="N239" s="10" t="str">
        <f t="shared" si="36"/>
        <v>W</v>
      </c>
      <c r="O239" s="11">
        <f t="shared" si="37"/>
        <v>45918</v>
      </c>
      <c r="P239" s="12" t="str">
        <f t="shared" si="38"/>
        <v>05</v>
      </c>
      <c r="Q239" s="13" t="str">
        <f>VLOOKUP($B239,Deals_Demo!$H:$N,7,0)</f>
        <v>strategy_11_demo</v>
      </c>
      <c r="R239" s="13" t="str">
        <f t="shared" si="39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0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3"/>
        <v>3.3000000000000002E-2</v>
      </c>
      <c r="Y239" s="13">
        <f t="shared" si="34"/>
        <v>6.6000000000000003E-2</v>
      </c>
      <c r="Z239" s="13">
        <f t="shared" si="35"/>
        <v>9.9000000000000005E-2</v>
      </c>
      <c r="AA239" s="13">
        <f t="shared" si="41"/>
        <v>-3</v>
      </c>
    </row>
    <row r="240" spans="1:27" x14ac:dyDescent="0.25">
      <c r="A240" s="35">
        <v>45918.219895833332</v>
      </c>
      <c r="B240" s="36">
        <v>443189692</v>
      </c>
      <c r="C240" s="37" t="s">
        <v>36</v>
      </c>
      <c r="D240" s="37" t="s">
        <v>37</v>
      </c>
      <c r="E240" s="37" t="s">
        <v>38</v>
      </c>
      <c r="F240" s="38">
        <v>3661.84</v>
      </c>
      <c r="G240" s="38">
        <v>3662.2</v>
      </c>
      <c r="H240" s="38">
        <v>3664.86</v>
      </c>
      <c r="I240" s="37" t="s">
        <v>353</v>
      </c>
      <c r="J240" s="38">
        <v>3662.19</v>
      </c>
      <c r="K240" s="38">
        <v>0</v>
      </c>
      <c r="L240" s="38">
        <v>0</v>
      </c>
      <c r="M240" s="39">
        <v>0.35</v>
      </c>
      <c r="N240" s="10" t="str">
        <f t="shared" si="36"/>
        <v>W</v>
      </c>
      <c r="O240" s="11">
        <f t="shared" si="37"/>
        <v>45918</v>
      </c>
      <c r="P240" s="12" t="str">
        <f t="shared" si="38"/>
        <v>05</v>
      </c>
      <c r="Q240" s="13" t="str">
        <f>VLOOKUP($B240,Deals_Demo!$H:$N,7,0)</f>
        <v>strategy_09_demo</v>
      </c>
      <c r="R240" s="13" t="str">
        <f t="shared" si="39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0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3"/>
        <v>3.4999999999999996E-2</v>
      </c>
      <c r="Y240" s="13">
        <f t="shared" si="34"/>
        <v>6.9999999999999993E-2</v>
      </c>
      <c r="Z240" s="13">
        <f t="shared" si="35"/>
        <v>0.105</v>
      </c>
      <c r="AA240" s="13">
        <f t="shared" si="41"/>
        <v>-3</v>
      </c>
    </row>
    <row r="241" spans="1:27" x14ac:dyDescent="0.25">
      <c r="A241" s="40">
        <v>45918.227986111109</v>
      </c>
      <c r="B241" s="41">
        <v>443190570</v>
      </c>
      <c r="C241" s="42" t="s">
        <v>36</v>
      </c>
      <c r="D241" s="42" t="s">
        <v>37</v>
      </c>
      <c r="E241" s="42" t="s">
        <v>38</v>
      </c>
      <c r="F241" s="43">
        <v>3662.57</v>
      </c>
      <c r="G241" s="43">
        <v>3661.91</v>
      </c>
      <c r="H241" s="43">
        <v>3664.07</v>
      </c>
      <c r="I241" s="42" t="s">
        <v>354</v>
      </c>
      <c r="J241" s="43">
        <v>3664.08</v>
      </c>
      <c r="K241" s="43">
        <v>0</v>
      </c>
      <c r="L241" s="43">
        <v>0</v>
      </c>
      <c r="M241" s="44">
        <v>1.51</v>
      </c>
      <c r="N241" s="10" t="str">
        <f t="shared" si="36"/>
        <v>W</v>
      </c>
      <c r="O241" s="11">
        <f t="shared" si="37"/>
        <v>45918</v>
      </c>
      <c r="P241" s="12" t="str">
        <f t="shared" si="38"/>
        <v>05</v>
      </c>
      <c r="Q241" s="13" t="str">
        <f>VLOOKUP($B241,Deals_Demo!$H:$N,7,0)</f>
        <v>strategy_12_demo</v>
      </c>
      <c r="R241" s="13" t="str">
        <f t="shared" si="39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0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3"/>
        <v>0.15100000000000002</v>
      </c>
      <c r="Y241" s="13">
        <f t="shared" si="34"/>
        <v>0.30200000000000005</v>
      </c>
      <c r="Z241" s="13">
        <f t="shared" si="35"/>
        <v>0.45299999999999996</v>
      </c>
      <c r="AA241" s="13">
        <f t="shared" si="41"/>
        <v>-3</v>
      </c>
    </row>
    <row r="242" spans="1:27" x14ac:dyDescent="0.25">
      <c r="A242" s="35">
        <v>45918.228564814817</v>
      </c>
      <c r="B242" s="36">
        <v>443190634</v>
      </c>
      <c r="C242" s="37" t="s">
        <v>36</v>
      </c>
      <c r="D242" s="37" t="s">
        <v>37</v>
      </c>
      <c r="E242" s="37" t="s">
        <v>38</v>
      </c>
      <c r="F242" s="38">
        <v>3662.52</v>
      </c>
      <c r="G242" s="38">
        <v>3662.49</v>
      </c>
      <c r="H242" s="38">
        <v>3665.51</v>
      </c>
      <c r="I242" s="37" t="s">
        <v>355</v>
      </c>
      <c r="J242" s="38">
        <v>3662.46</v>
      </c>
      <c r="K242" s="38">
        <v>0</v>
      </c>
      <c r="L242" s="38">
        <v>0</v>
      </c>
      <c r="M242" s="39">
        <v>-0.06</v>
      </c>
      <c r="N242" s="10" t="str">
        <f t="shared" si="36"/>
        <v>L</v>
      </c>
      <c r="O242" s="11">
        <f t="shared" si="37"/>
        <v>45918</v>
      </c>
      <c r="P242" s="12" t="str">
        <f t="shared" si="38"/>
        <v>05</v>
      </c>
      <c r="Q242" s="13" t="str">
        <f>VLOOKUP($B242,Deals_Demo!$H:$N,7,0)</f>
        <v>strategy_09_demo</v>
      </c>
      <c r="R242" s="13" t="str">
        <f t="shared" si="39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0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3"/>
        <v>-6.0000000000000001E-3</v>
      </c>
      <c r="Y242" s="13">
        <f t="shared" si="34"/>
        <v>-1.2E-2</v>
      </c>
      <c r="Z242" s="13">
        <f t="shared" si="35"/>
        <v>-1.7999999999999999E-2</v>
      </c>
      <c r="AA242" s="13">
        <f t="shared" si="41"/>
        <v>-3</v>
      </c>
    </row>
    <row r="243" spans="1:27" x14ac:dyDescent="0.25">
      <c r="A243" s="40">
        <v>45918.228576388887</v>
      </c>
      <c r="B243" s="41">
        <v>443190635</v>
      </c>
      <c r="C243" s="42" t="s">
        <v>36</v>
      </c>
      <c r="D243" s="42" t="s">
        <v>37</v>
      </c>
      <c r="E243" s="42" t="s">
        <v>38</v>
      </c>
      <c r="F243" s="43">
        <v>3662.52</v>
      </c>
      <c r="G243" s="43">
        <v>3662.49</v>
      </c>
      <c r="H243" s="43">
        <v>3666.02</v>
      </c>
      <c r="I243" s="42" t="s">
        <v>355</v>
      </c>
      <c r="J243" s="43">
        <v>3662.46</v>
      </c>
      <c r="K243" s="43">
        <v>0</v>
      </c>
      <c r="L243" s="43">
        <v>0</v>
      </c>
      <c r="M243" s="44">
        <v>-0.06</v>
      </c>
      <c r="N243" s="10" t="str">
        <f t="shared" si="36"/>
        <v>L</v>
      </c>
      <c r="O243" s="11">
        <f t="shared" si="37"/>
        <v>45918</v>
      </c>
      <c r="P243" s="12" t="str">
        <f t="shared" si="38"/>
        <v>05</v>
      </c>
      <c r="Q243" s="13" t="str">
        <f>VLOOKUP($B243,Deals_Demo!$H:$N,7,0)</f>
        <v>strategy_11_demo</v>
      </c>
      <c r="R243" s="13" t="str">
        <f t="shared" si="39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0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3"/>
        <v>-6.0000000000000001E-3</v>
      </c>
      <c r="Y243" s="13">
        <f t="shared" si="34"/>
        <v>-1.2E-2</v>
      </c>
      <c r="Z243" s="13">
        <f t="shared" si="35"/>
        <v>-1.7999999999999999E-2</v>
      </c>
      <c r="AA243" s="13">
        <f t="shared" si="41"/>
        <v>-3</v>
      </c>
    </row>
    <row r="244" spans="1:27" x14ac:dyDescent="0.25">
      <c r="A244" s="35">
        <v>45918.228576388887</v>
      </c>
      <c r="B244" s="36">
        <v>443190636</v>
      </c>
      <c r="C244" s="37" t="s">
        <v>36</v>
      </c>
      <c r="D244" s="37" t="s">
        <v>37</v>
      </c>
      <c r="E244" s="37" t="s">
        <v>38</v>
      </c>
      <c r="F244" s="38">
        <v>3662.52</v>
      </c>
      <c r="G244" s="38">
        <v>3660.02</v>
      </c>
      <c r="H244" s="38">
        <v>3665.52</v>
      </c>
      <c r="I244" s="37" t="s">
        <v>356</v>
      </c>
      <c r="J244" s="38">
        <v>3660.02</v>
      </c>
      <c r="K244" s="38">
        <v>0</v>
      </c>
      <c r="L244" s="38">
        <v>0</v>
      </c>
      <c r="M244" s="39">
        <v>-2.5</v>
      </c>
      <c r="N244" s="10" t="str">
        <f t="shared" si="36"/>
        <v>L</v>
      </c>
      <c r="O244" s="11">
        <f t="shared" si="37"/>
        <v>45918</v>
      </c>
      <c r="P244" s="12" t="str">
        <f t="shared" si="38"/>
        <v>05</v>
      </c>
      <c r="Q244" s="13" t="str">
        <f>VLOOKUP($B244,Deals_Demo!$H:$N,7,0)</f>
        <v>strategy_10_demo</v>
      </c>
      <c r="R244" s="13" t="str">
        <f t="shared" si="39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0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3"/>
        <v>-0.25</v>
      </c>
      <c r="Y244" s="13">
        <f t="shared" si="34"/>
        <v>-0.5</v>
      </c>
      <c r="Z244" s="13">
        <f t="shared" si="35"/>
        <v>-0.75</v>
      </c>
      <c r="AA244" s="13">
        <f t="shared" si="41"/>
        <v>-3</v>
      </c>
    </row>
    <row r="245" spans="1:27" x14ac:dyDescent="0.25">
      <c r="A245" s="40">
        <v>45918.231342592589</v>
      </c>
      <c r="B245" s="41">
        <v>443191208</v>
      </c>
      <c r="C245" s="42" t="s">
        <v>36</v>
      </c>
      <c r="D245" s="42" t="s">
        <v>37</v>
      </c>
      <c r="E245" s="42" t="s">
        <v>38</v>
      </c>
      <c r="F245" s="43">
        <v>3662.6</v>
      </c>
      <c r="G245" s="43">
        <v>3664.51</v>
      </c>
      <c r="H245" s="43">
        <v>3666.1</v>
      </c>
      <c r="I245" s="42" t="s">
        <v>357</v>
      </c>
      <c r="J245" s="43">
        <v>3664.28</v>
      </c>
      <c r="K245" s="43">
        <v>0</v>
      </c>
      <c r="L245" s="43">
        <v>0</v>
      </c>
      <c r="M245" s="44">
        <v>1.68</v>
      </c>
      <c r="N245" s="10" t="str">
        <f t="shared" si="36"/>
        <v>W</v>
      </c>
      <c r="O245" s="11">
        <f t="shared" si="37"/>
        <v>45918</v>
      </c>
      <c r="P245" s="12" t="str">
        <f t="shared" si="38"/>
        <v>05</v>
      </c>
      <c r="Q245" s="13" t="str">
        <f>VLOOKUP($B245,Deals_Demo!$H:$N,7,0)</f>
        <v>strategy_07_demo</v>
      </c>
      <c r="R245" s="13" t="str">
        <f t="shared" si="39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0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3"/>
        <v>0.16800000000000001</v>
      </c>
      <c r="Y245" s="13">
        <f t="shared" si="34"/>
        <v>0.33600000000000002</v>
      </c>
      <c r="Z245" s="13">
        <f t="shared" si="35"/>
        <v>0.504</v>
      </c>
      <c r="AA245" s="13">
        <f t="shared" si="41"/>
        <v>-3</v>
      </c>
    </row>
    <row r="246" spans="1:27" x14ac:dyDescent="0.25">
      <c r="A246" s="35">
        <v>45918.231354166666</v>
      </c>
      <c r="B246" s="36">
        <v>443191209</v>
      </c>
      <c r="C246" s="37" t="s">
        <v>36</v>
      </c>
      <c r="D246" s="37" t="s">
        <v>37</v>
      </c>
      <c r="E246" s="37" t="s">
        <v>38</v>
      </c>
      <c r="F246" s="38">
        <v>3662.6</v>
      </c>
      <c r="G246" s="38">
        <v>3664.51</v>
      </c>
      <c r="H246" s="38">
        <v>3666.1</v>
      </c>
      <c r="I246" s="37" t="s">
        <v>357</v>
      </c>
      <c r="J246" s="38">
        <v>3664.28</v>
      </c>
      <c r="K246" s="38">
        <v>0</v>
      </c>
      <c r="L246" s="38">
        <v>0</v>
      </c>
      <c r="M246" s="39">
        <v>1.68</v>
      </c>
      <c r="N246" s="10" t="str">
        <f t="shared" si="36"/>
        <v>W</v>
      </c>
      <c r="O246" s="11">
        <f t="shared" si="37"/>
        <v>45918</v>
      </c>
      <c r="P246" s="12" t="str">
        <f t="shared" si="38"/>
        <v>05</v>
      </c>
      <c r="Q246" s="13" t="str">
        <f>VLOOKUP($B246,Deals_Demo!$H:$N,7,0)</f>
        <v>strategy_08_demo</v>
      </c>
      <c r="R246" s="13" t="str">
        <f t="shared" si="39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0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3"/>
        <v>0.16800000000000001</v>
      </c>
      <c r="Y246" s="13">
        <f t="shared" si="34"/>
        <v>0.33600000000000002</v>
      </c>
      <c r="Z246" s="13">
        <f t="shared" si="35"/>
        <v>0.504</v>
      </c>
      <c r="AA246" s="13">
        <f t="shared" si="41"/>
        <v>-3</v>
      </c>
    </row>
    <row r="247" spans="1:27" x14ac:dyDescent="0.25">
      <c r="A247" s="40">
        <v>45918.244537037041</v>
      </c>
      <c r="B247" s="41">
        <v>443194416</v>
      </c>
      <c r="C247" s="42" t="s">
        <v>36</v>
      </c>
      <c r="D247" s="42" t="s">
        <v>37</v>
      </c>
      <c r="E247" s="42" t="s">
        <v>38</v>
      </c>
      <c r="F247" s="43">
        <v>3664.23</v>
      </c>
      <c r="G247" s="43">
        <v>3664.27</v>
      </c>
      <c r="H247" s="43">
        <v>3665.73</v>
      </c>
      <c r="I247" s="42" t="s">
        <v>358</v>
      </c>
      <c r="J247" s="43">
        <v>3665.82</v>
      </c>
      <c r="K247" s="43">
        <v>0</v>
      </c>
      <c r="L247" s="43">
        <v>0</v>
      </c>
      <c r="M247" s="44">
        <v>1.59</v>
      </c>
      <c r="N247" s="10" t="str">
        <f t="shared" si="36"/>
        <v>W</v>
      </c>
      <c r="O247" s="11">
        <f t="shared" si="37"/>
        <v>45918</v>
      </c>
      <c r="P247" s="12" t="str">
        <f t="shared" si="38"/>
        <v>05</v>
      </c>
      <c r="Q247" s="13" t="str">
        <f>VLOOKUP($B247,Deals_Demo!$H:$N,7,0)</f>
        <v>strategy_12_demo</v>
      </c>
      <c r="R247" s="13" t="str">
        <f t="shared" si="39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0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3"/>
        <v>0.15900000000000003</v>
      </c>
      <c r="Y247" s="13">
        <f t="shared" si="34"/>
        <v>0.31800000000000006</v>
      </c>
      <c r="Z247" s="13">
        <f t="shared" si="35"/>
        <v>0.47699999999999998</v>
      </c>
      <c r="AA247" s="13">
        <f t="shared" si="41"/>
        <v>-3</v>
      </c>
    </row>
    <row r="248" spans="1:27" x14ac:dyDescent="0.25">
      <c r="A248" s="35">
        <v>45918.24454861111</v>
      </c>
      <c r="B248" s="36">
        <v>443194417</v>
      </c>
      <c r="C248" s="37" t="s">
        <v>36</v>
      </c>
      <c r="D248" s="37" t="s">
        <v>37</v>
      </c>
      <c r="E248" s="37" t="s">
        <v>38</v>
      </c>
      <c r="F248" s="38">
        <v>3664.23</v>
      </c>
      <c r="G248" s="38">
        <v>3664.81</v>
      </c>
      <c r="H248" s="38">
        <v>3667.23</v>
      </c>
      <c r="I248" s="37" t="s">
        <v>359</v>
      </c>
      <c r="J248" s="38">
        <v>3664.72</v>
      </c>
      <c r="K248" s="38">
        <v>0</v>
      </c>
      <c r="L248" s="38">
        <v>0</v>
      </c>
      <c r="M248" s="39">
        <v>0.49</v>
      </c>
      <c r="N248" s="10" t="str">
        <f t="shared" si="36"/>
        <v>W</v>
      </c>
      <c r="O248" s="11">
        <f t="shared" si="37"/>
        <v>45918</v>
      </c>
      <c r="P248" s="12" t="str">
        <f t="shared" si="38"/>
        <v>05</v>
      </c>
      <c r="Q248" s="13" t="str">
        <f>VLOOKUP($B248,Deals_Demo!$H:$N,7,0)</f>
        <v>strategy_10_demo</v>
      </c>
      <c r="R248" s="13" t="str">
        <f t="shared" si="39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0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3"/>
        <v>4.9000000000000002E-2</v>
      </c>
      <c r="Y248" s="13">
        <f t="shared" si="34"/>
        <v>9.8000000000000004E-2</v>
      </c>
      <c r="Z248" s="13">
        <f t="shared" si="35"/>
        <v>0.14699999999999999</v>
      </c>
      <c r="AA248" s="13">
        <f t="shared" si="41"/>
        <v>-3</v>
      </c>
    </row>
    <row r="249" spans="1:27" x14ac:dyDescent="0.25">
      <c r="A249" s="40">
        <v>45918.24454861111</v>
      </c>
      <c r="B249" s="41">
        <v>443194418</v>
      </c>
      <c r="C249" s="42" t="s">
        <v>36</v>
      </c>
      <c r="D249" s="42" t="s">
        <v>37</v>
      </c>
      <c r="E249" s="42" t="s">
        <v>38</v>
      </c>
      <c r="F249" s="43">
        <v>3664.23</v>
      </c>
      <c r="G249" s="43">
        <v>3664.81</v>
      </c>
      <c r="H249" s="43">
        <v>3667.73</v>
      </c>
      <c r="I249" s="42" t="s">
        <v>359</v>
      </c>
      <c r="J249" s="43">
        <v>3664.72</v>
      </c>
      <c r="K249" s="43">
        <v>0</v>
      </c>
      <c r="L249" s="43">
        <v>0</v>
      </c>
      <c r="M249" s="44">
        <v>0.49</v>
      </c>
      <c r="N249" s="10" t="str">
        <f t="shared" si="36"/>
        <v>W</v>
      </c>
      <c r="O249" s="11">
        <f t="shared" si="37"/>
        <v>45918</v>
      </c>
      <c r="P249" s="12" t="str">
        <f t="shared" si="38"/>
        <v>05</v>
      </c>
      <c r="Q249" s="13" t="str">
        <f>VLOOKUP($B249,Deals_Demo!$H:$N,7,0)</f>
        <v>strategy_11_demo</v>
      </c>
      <c r="R249" s="13" t="str">
        <f t="shared" si="39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0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3"/>
        <v>4.9000000000000002E-2</v>
      </c>
      <c r="Y249" s="13">
        <f t="shared" si="34"/>
        <v>9.8000000000000004E-2</v>
      </c>
      <c r="Z249" s="13">
        <f t="shared" si="35"/>
        <v>0.14699999999999999</v>
      </c>
      <c r="AA249" s="13">
        <f t="shared" si="41"/>
        <v>-3</v>
      </c>
    </row>
    <row r="250" spans="1:27" x14ac:dyDescent="0.25">
      <c r="A250" s="35">
        <v>45918.24454861111</v>
      </c>
      <c r="B250" s="36">
        <v>443194419</v>
      </c>
      <c r="C250" s="37" t="s">
        <v>36</v>
      </c>
      <c r="D250" s="37" t="s">
        <v>37</v>
      </c>
      <c r="E250" s="37" t="s">
        <v>38</v>
      </c>
      <c r="F250" s="38">
        <v>3664.23</v>
      </c>
      <c r="G250" s="38">
        <v>3664.81</v>
      </c>
      <c r="H250" s="38">
        <v>3667.23</v>
      </c>
      <c r="I250" s="37" t="s">
        <v>359</v>
      </c>
      <c r="J250" s="38">
        <v>3664.72</v>
      </c>
      <c r="K250" s="38">
        <v>0</v>
      </c>
      <c r="L250" s="38">
        <v>0</v>
      </c>
      <c r="M250" s="39">
        <v>0.49</v>
      </c>
      <c r="N250" s="10" t="str">
        <f t="shared" si="36"/>
        <v>W</v>
      </c>
      <c r="O250" s="11">
        <f t="shared" si="37"/>
        <v>45918</v>
      </c>
      <c r="P250" s="12" t="str">
        <f t="shared" si="38"/>
        <v>05</v>
      </c>
      <c r="Q250" s="13" t="str">
        <f>VLOOKUP($B250,Deals_Demo!$H:$N,7,0)</f>
        <v>strategy_09_demo</v>
      </c>
      <c r="R250" s="13" t="str">
        <f t="shared" si="39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0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3"/>
        <v>4.9000000000000002E-2</v>
      </c>
      <c r="Y250" s="13">
        <f t="shared" si="34"/>
        <v>9.8000000000000004E-2</v>
      </c>
      <c r="Z250" s="13">
        <f t="shared" si="35"/>
        <v>0.14699999999999999</v>
      </c>
      <c r="AA250" s="13">
        <f t="shared" si="41"/>
        <v>-3</v>
      </c>
    </row>
    <row r="251" spans="1:27" x14ac:dyDescent="0.25">
      <c r="A251" s="40">
        <v>45918.24962962963</v>
      </c>
      <c r="B251" s="41">
        <v>443195368</v>
      </c>
      <c r="C251" s="42" t="s">
        <v>36</v>
      </c>
      <c r="D251" s="42" t="s">
        <v>37</v>
      </c>
      <c r="E251" s="42" t="s">
        <v>38</v>
      </c>
      <c r="F251" s="43">
        <v>3665.06</v>
      </c>
      <c r="G251" s="43">
        <v>3662.06</v>
      </c>
      <c r="H251" s="43">
        <v>3666.56</v>
      </c>
      <c r="I251" s="42" t="s">
        <v>360</v>
      </c>
      <c r="J251" s="43">
        <v>3662.06</v>
      </c>
      <c r="K251" s="43">
        <v>0</v>
      </c>
      <c r="L251" s="43">
        <v>0</v>
      </c>
      <c r="M251" s="44">
        <v>-3</v>
      </c>
      <c r="N251" s="10" t="str">
        <f t="shared" si="36"/>
        <v>L</v>
      </c>
      <c r="O251" s="11">
        <f t="shared" si="37"/>
        <v>45918</v>
      </c>
      <c r="P251" s="12" t="str">
        <f t="shared" si="38"/>
        <v>05</v>
      </c>
      <c r="Q251" s="13" t="str">
        <f>VLOOKUP($B251,Deals_Demo!$H:$N,7,0)</f>
        <v>strategy_12_demo</v>
      </c>
      <c r="R251" s="13" t="str">
        <f t="shared" si="39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0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3"/>
        <v>-0.30000000000000004</v>
      </c>
      <c r="Y251" s="13">
        <f t="shared" si="34"/>
        <v>-0.60000000000000009</v>
      </c>
      <c r="Z251" s="13">
        <f t="shared" si="35"/>
        <v>-0.89999999999999991</v>
      </c>
      <c r="AA251" s="13">
        <f t="shared" si="41"/>
        <v>-3</v>
      </c>
    </row>
    <row r="252" spans="1:27" x14ac:dyDescent="0.25">
      <c r="A252" s="35">
        <v>45918.250902777778</v>
      </c>
      <c r="B252" s="36">
        <v>443195725</v>
      </c>
      <c r="C252" s="37" t="s">
        <v>36</v>
      </c>
      <c r="D252" s="37" t="s">
        <v>37</v>
      </c>
      <c r="E252" s="37" t="s">
        <v>38</v>
      </c>
      <c r="F252" s="38">
        <v>3664.98</v>
      </c>
      <c r="G252" s="38">
        <v>3662.01</v>
      </c>
      <c r="H252" s="38">
        <v>3668.01</v>
      </c>
      <c r="I252" s="37" t="s">
        <v>361</v>
      </c>
      <c r="J252" s="38">
        <v>3662.01</v>
      </c>
      <c r="K252" s="38">
        <v>0</v>
      </c>
      <c r="L252" s="38">
        <v>0</v>
      </c>
      <c r="M252" s="39">
        <v>-2.97</v>
      </c>
      <c r="N252" s="10" t="str">
        <f t="shared" si="36"/>
        <v>L</v>
      </c>
      <c r="O252" s="11">
        <f t="shared" si="37"/>
        <v>45918</v>
      </c>
      <c r="P252" s="12" t="str">
        <f t="shared" si="38"/>
        <v>06</v>
      </c>
      <c r="Q252" s="13" t="str">
        <f>VLOOKUP($B252,Deals_Demo!$H:$N,7,0)</f>
        <v>strategy_09_demo</v>
      </c>
      <c r="R252" s="13" t="str">
        <f t="shared" si="39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0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3"/>
        <v>-0.29700000000000004</v>
      </c>
      <c r="Y252" s="13">
        <f t="shared" si="34"/>
        <v>-0.59400000000000008</v>
      </c>
      <c r="Z252" s="13">
        <f t="shared" si="35"/>
        <v>-0.89100000000000001</v>
      </c>
      <c r="AA252" s="13">
        <f t="shared" si="41"/>
        <v>-3</v>
      </c>
    </row>
    <row r="253" spans="1:27" x14ac:dyDescent="0.25">
      <c r="A253" s="40">
        <v>45918.250914351855</v>
      </c>
      <c r="B253" s="41">
        <v>443195726</v>
      </c>
      <c r="C253" s="42" t="s">
        <v>36</v>
      </c>
      <c r="D253" s="42" t="s">
        <v>37</v>
      </c>
      <c r="E253" s="42" t="s">
        <v>38</v>
      </c>
      <c r="F253" s="43">
        <v>3665.04</v>
      </c>
      <c r="G253" s="43">
        <v>3662.48</v>
      </c>
      <c r="H253" s="43">
        <v>3667.98</v>
      </c>
      <c r="I253" s="42" t="s">
        <v>362</v>
      </c>
      <c r="J253" s="43">
        <v>3662.48</v>
      </c>
      <c r="K253" s="43">
        <v>0</v>
      </c>
      <c r="L253" s="43">
        <v>0</v>
      </c>
      <c r="M253" s="44">
        <v>-2.56</v>
      </c>
      <c r="N253" s="10" t="str">
        <f t="shared" si="36"/>
        <v>L</v>
      </c>
      <c r="O253" s="11">
        <f t="shared" si="37"/>
        <v>45918</v>
      </c>
      <c r="P253" s="12" t="str">
        <f t="shared" si="38"/>
        <v>06</v>
      </c>
      <c r="Q253" s="13" t="str">
        <f>VLOOKUP($B253,Deals_Demo!$H:$N,7,0)</f>
        <v>strategy_10_demo</v>
      </c>
      <c r="R253" s="13" t="str">
        <f t="shared" si="39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0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3"/>
        <v>-0.25600000000000001</v>
      </c>
      <c r="Y253" s="13">
        <f t="shared" si="34"/>
        <v>-0.51200000000000001</v>
      </c>
      <c r="Z253" s="13">
        <f t="shared" si="35"/>
        <v>-0.76800000000000002</v>
      </c>
      <c r="AA253" s="13">
        <f t="shared" si="41"/>
        <v>-3</v>
      </c>
    </row>
    <row r="254" spans="1:27" x14ac:dyDescent="0.25">
      <c r="A254" s="35">
        <v>45918.250914351855</v>
      </c>
      <c r="B254" s="36">
        <v>443195729</v>
      </c>
      <c r="C254" s="37" t="s">
        <v>36</v>
      </c>
      <c r="D254" s="37" t="s">
        <v>37</v>
      </c>
      <c r="E254" s="37" t="s">
        <v>38</v>
      </c>
      <c r="F254" s="38">
        <v>3665.05</v>
      </c>
      <c r="G254" s="38">
        <v>3661.98</v>
      </c>
      <c r="H254" s="38">
        <v>3668.48</v>
      </c>
      <c r="I254" s="37" t="s">
        <v>361</v>
      </c>
      <c r="J254" s="38">
        <v>3661.96</v>
      </c>
      <c r="K254" s="38">
        <v>0</v>
      </c>
      <c r="L254" s="38">
        <v>0</v>
      </c>
      <c r="M254" s="39">
        <v>-3.09</v>
      </c>
      <c r="N254" s="10" t="str">
        <f t="shared" si="36"/>
        <v>L</v>
      </c>
      <c r="O254" s="11">
        <f t="shared" si="37"/>
        <v>45918</v>
      </c>
      <c r="P254" s="12" t="str">
        <f t="shared" si="38"/>
        <v>06</v>
      </c>
      <c r="Q254" s="13" t="str">
        <f>VLOOKUP($B254,Deals_Demo!$H:$N,7,0)</f>
        <v>strategy_11_demo</v>
      </c>
      <c r="R254" s="13" t="str">
        <f t="shared" si="39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0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3"/>
        <v>-0.309</v>
      </c>
      <c r="Y254" s="13">
        <f t="shared" si="34"/>
        <v>-0.61799999999999999</v>
      </c>
      <c r="Z254" s="13">
        <f t="shared" si="35"/>
        <v>-0.92699999999999994</v>
      </c>
      <c r="AA254" s="13">
        <f t="shared" si="41"/>
        <v>-3</v>
      </c>
    </row>
    <row r="255" spans="1:27" x14ac:dyDescent="0.25">
      <c r="A255" s="40">
        <v>45918.251018518517</v>
      </c>
      <c r="B255" s="41">
        <v>443195777</v>
      </c>
      <c r="C255" s="42" t="s">
        <v>36</v>
      </c>
      <c r="D255" s="42" t="s">
        <v>37</v>
      </c>
      <c r="E255" s="42" t="s">
        <v>38</v>
      </c>
      <c r="F255" s="43">
        <v>3664.52</v>
      </c>
      <c r="G255" s="43">
        <v>3661.5</v>
      </c>
      <c r="H255" s="43">
        <v>3668</v>
      </c>
      <c r="I255" s="42" t="s">
        <v>363</v>
      </c>
      <c r="J255" s="43">
        <v>3661.49</v>
      </c>
      <c r="K255" s="43">
        <v>0</v>
      </c>
      <c r="L255" s="43">
        <v>0</v>
      </c>
      <c r="M255" s="44">
        <v>-3.03</v>
      </c>
      <c r="N255" s="10" t="str">
        <f t="shared" si="36"/>
        <v>L</v>
      </c>
      <c r="O255" s="11">
        <f t="shared" si="37"/>
        <v>45918</v>
      </c>
      <c r="P255" s="12" t="str">
        <f t="shared" si="38"/>
        <v>06</v>
      </c>
      <c r="Q255" s="13" t="str">
        <f>VLOOKUP($B255,Deals_Demo!$H:$N,7,0)</f>
        <v>strategy_08_demo</v>
      </c>
      <c r="R255" s="13" t="str">
        <f t="shared" si="39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0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3"/>
        <v>-0.30299999999999999</v>
      </c>
      <c r="Y255" s="13">
        <f t="shared" si="34"/>
        <v>-0.60599999999999998</v>
      </c>
      <c r="Z255" s="13">
        <f t="shared" si="35"/>
        <v>-0.90899999999999992</v>
      </c>
      <c r="AA255" s="13">
        <f t="shared" si="41"/>
        <v>-3</v>
      </c>
    </row>
    <row r="256" spans="1:27" x14ac:dyDescent="0.25">
      <c r="A256" s="35">
        <v>45918.251030092593</v>
      </c>
      <c r="B256" s="36">
        <v>443195781</v>
      </c>
      <c r="C256" s="37" t="s">
        <v>36</v>
      </c>
      <c r="D256" s="37" t="s">
        <v>37</v>
      </c>
      <c r="E256" s="37" t="s">
        <v>38</v>
      </c>
      <c r="F256" s="38">
        <v>3664.53</v>
      </c>
      <c r="G256" s="38">
        <v>3661.52</v>
      </c>
      <c r="H256" s="38">
        <v>3668.02</v>
      </c>
      <c r="I256" s="37" t="s">
        <v>363</v>
      </c>
      <c r="J256" s="38">
        <v>3661.49</v>
      </c>
      <c r="K256" s="38">
        <v>0</v>
      </c>
      <c r="L256" s="38">
        <v>0</v>
      </c>
      <c r="M256" s="39">
        <v>-3.04</v>
      </c>
      <c r="N256" s="10" t="str">
        <f t="shared" si="36"/>
        <v>L</v>
      </c>
      <c r="O256" s="11">
        <f t="shared" si="37"/>
        <v>45918</v>
      </c>
      <c r="P256" s="12" t="str">
        <f t="shared" si="38"/>
        <v>06</v>
      </c>
      <c r="Q256" s="13" t="str">
        <f>VLOOKUP($B256,Deals_Demo!$H:$N,7,0)</f>
        <v>strategy_07_demo</v>
      </c>
      <c r="R256" s="13" t="str">
        <f t="shared" si="39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0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3"/>
        <v>-0.30400000000000005</v>
      </c>
      <c r="Y256" s="13">
        <f t="shared" si="34"/>
        <v>-0.6080000000000001</v>
      </c>
      <c r="Z256" s="13">
        <f t="shared" si="35"/>
        <v>-0.91199999999999992</v>
      </c>
      <c r="AA256" s="13">
        <f t="shared" si="41"/>
        <v>-3</v>
      </c>
    </row>
    <row r="257" spans="1:27" x14ac:dyDescent="0.25">
      <c r="A257" s="40">
        <v>45918.256805555553</v>
      </c>
      <c r="B257" s="41">
        <v>443197339</v>
      </c>
      <c r="C257" s="42" t="s">
        <v>36</v>
      </c>
      <c r="D257" s="42" t="s">
        <v>39</v>
      </c>
      <c r="E257" s="42" t="s">
        <v>38</v>
      </c>
      <c r="F257" s="43">
        <v>3662.48</v>
      </c>
      <c r="G257" s="43">
        <v>3662.26</v>
      </c>
      <c r="H257" s="43">
        <v>3660.98</v>
      </c>
      <c r="I257" s="42" t="s">
        <v>364</v>
      </c>
      <c r="J257" s="43">
        <v>3662.31</v>
      </c>
      <c r="K257" s="43">
        <v>0</v>
      </c>
      <c r="L257" s="43">
        <v>0</v>
      </c>
      <c r="M257" s="44">
        <v>0.17</v>
      </c>
      <c r="N257" s="10" t="str">
        <f t="shared" si="36"/>
        <v>W</v>
      </c>
      <c r="O257" s="11">
        <f t="shared" si="37"/>
        <v>45918</v>
      </c>
      <c r="P257" s="12" t="str">
        <f t="shared" si="38"/>
        <v>06</v>
      </c>
      <c r="Q257" s="13" t="str">
        <f>VLOOKUP($B257,Deals_Demo!$H:$N,7,0)</f>
        <v>strategy_12_demo</v>
      </c>
      <c r="R257" s="13" t="str">
        <f t="shared" si="39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0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3"/>
        <v>1.7000000000000001E-2</v>
      </c>
      <c r="Y257" s="13">
        <f t="shared" si="34"/>
        <v>3.4000000000000002E-2</v>
      </c>
      <c r="Z257" s="13">
        <f t="shared" si="35"/>
        <v>5.1000000000000004E-2</v>
      </c>
      <c r="AA257" s="13">
        <f t="shared" si="41"/>
        <v>-3</v>
      </c>
    </row>
    <row r="258" spans="1:27" x14ac:dyDescent="0.25">
      <c r="A258" s="35">
        <v>45918.25681712963</v>
      </c>
      <c r="B258" s="36">
        <v>443197342</v>
      </c>
      <c r="C258" s="37" t="s">
        <v>36</v>
      </c>
      <c r="D258" s="37" t="s">
        <v>39</v>
      </c>
      <c r="E258" s="37" t="s">
        <v>38</v>
      </c>
      <c r="F258" s="38">
        <v>3662.58</v>
      </c>
      <c r="G258" s="38">
        <v>3662.26</v>
      </c>
      <c r="H258" s="38">
        <v>3659.48</v>
      </c>
      <c r="I258" s="37" t="s">
        <v>364</v>
      </c>
      <c r="J258" s="38">
        <v>3662.31</v>
      </c>
      <c r="K258" s="38">
        <v>0</v>
      </c>
      <c r="L258" s="38">
        <v>0</v>
      </c>
      <c r="M258" s="39">
        <v>0.27</v>
      </c>
      <c r="N258" s="10" t="str">
        <f t="shared" si="36"/>
        <v>W</v>
      </c>
      <c r="O258" s="11">
        <f t="shared" si="37"/>
        <v>45918</v>
      </c>
      <c r="P258" s="12" t="str">
        <f t="shared" si="38"/>
        <v>06</v>
      </c>
      <c r="Q258" s="13" t="str">
        <f>VLOOKUP($B258,Deals_Demo!$H:$N,7,0)</f>
        <v>strategy_09_demo</v>
      </c>
      <c r="R258" s="13" t="str">
        <f t="shared" si="39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0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3"/>
        <v>2.7000000000000003E-2</v>
      </c>
      <c r="Y258" s="13">
        <f t="shared" si="34"/>
        <v>5.4000000000000006E-2</v>
      </c>
      <c r="Z258" s="13">
        <f t="shared" si="35"/>
        <v>8.1000000000000003E-2</v>
      </c>
      <c r="AA258" s="13">
        <f t="shared" si="41"/>
        <v>-3</v>
      </c>
    </row>
    <row r="259" spans="1:27" x14ac:dyDescent="0.25">
      <c r="A259" s="40">
        <v>45918.25681712963</v>
      </c>
      <c r="B259" s="41">
        <v>443197343</v>
      </c>
      <c r="C259" s="42" t="s">
        <v>36</v>
      </c>
      <c r="D259" s="42" t="s">
        <v>39</v>
      </c>
      <c r="E259" s="42" t="s">
        <v>38</v>
      </c>
      <c r="F259" s="43">
        <v>3662.58</v>
      </c>
      <c r="G259" s="43">
        <v>3662.26</v>
      </c>
      <c r="H259" s="43">
        <v>3659.48</v>
      </c>
      <c r="I259" s="42" t="s">
        <v>364</v>
      </c>
      <c r="J259" s="43">
        <v>3662.31</v>
      </c>
      <c r="K259" s="43">
        <v>0</v>
      </c>
      <c r="L259" s="43">
        <v>0</v>
      </c>
      <c r="M259" s="44">
        <v>0.27</v>
      </c>
      <c r="N259" s="10" t="str">
        <f t="shared" si="36"/>
        <v>W</v>
      </c>
      <c r="O259" s="11">
        <f t="shared" si="37"/>
        <v>45918</v>
      </c>
      <c r="P259" s="12" t="str">
        <f t="shared" si="38"/>
        <v>06</v>
      </c>
      <c r="Q259" s="13" t="str">
        <f>VLOOKUP($B259,Deals_Demo!$H:$N,7,0)</f>
        <v>strategy_10_demo</v>
      </c>
      <c r="R259" s="13" t="str">
        <f t="shared" si="39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0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2">$M259*0.1</f>
        <v>2.7000000000000003E-2</v>
      </c>
      <c r="Y259" s="13">
        <f t="shared" ref="Y259:Y322" si="43">$M259*0.2</f>
        <v>5.4000000000000006E-2</v>
      </c>
      <c r="Z259" s="13">
        <f t="shared" ref="Z259:Z322" si="44">$M259*0.3</f>
        <v>8.1000000000000003E-2</v>
      </c>
      <c r="AA259" s="13">
        <f t="shared" si="41"/>
        <v>-3</v>
      </c>
    </row>
    <row r="260" spans="1:27" x14ac:dyDescent="0.25">
      <c r="A260" s="35">
        <v>45918.25681712963</v>
      </c>
      <c r="B260" s="36">
        <v>443197345</v>
      </c>
      <c r="C260" s="37" t="s">
        <v>36</v>
      </c>
      <c r="D260" s="37" t="s">
        <v>39</v>
      </c>
      <c r="E260" s="37" t="s">
        <v>38</v>
      </c>
      <c r="F260" s="38">
        <v>3662.58</v>
      </c>
      <c r="G260" s="38">
        <v>3662.26</v>
      </c>
      <c r="H260" s="38">
        <v>3658.98</v>
      </c>
      <c r="I260" s="37" t="s">
        <v>364</v>
      </c>
      <c r="J260" s="38">
        <v>3662.31</v>
      </c>
      <c r="K260" s="38">
        <v>0</v>
      </c>
      <c r="L260" s="38">
        <v>0</v>
      </c>
      <c r="M260" s="39">
        <v>0.27</v>
      </c>
      <c r="N260" s="10" t="str">
        <f t="shared" si="36"/>
        <v>W</v>
      </c>
      <c r="O260" s="11">
        <f t="shared" si="37"/>
        <v>45918</v>
      </c>
      <c r="P260" s="12" t="str">
        <f t="shared" si="38"/>
        <v>06</v>
      </c>
      <c r="Q260" s="13" t="str">
        <f>VLOOKUP($B260,Deals_Demo!$H:$N,7,0)</f>
        <v>strategy_11_demo</v>
      </c>
      <c r="R260" s="13" t="str">
        <f t="shared" si="39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0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2"/>
        <v>2.7000000000000003E-2</v>
      </c>
      <c r="Y260" s="13">
        <f t="shared" si="43"/>
        <v>5.4000000000000006E-2</v>
      </c>
      <c r="Z260" s="13">
        <f t="shared" si="44"/>
        <v>8.1000000000000003E-2</v>
      </c>
      <c r="AA260" s="13">
        <f t="shared" si="41"/>
        <v>-3</v>
      </c>
    </row>
    <row r="261" spans="1:27" x14ac:dyDescent="0.25">
      <c r="A261" s="40">
        <v>45918.257384259261</v>
      </c>
      <c r="B261" s="41">
        <v>443197453</v>
      </c>
      <c r="C261" s="42" t="s">
        <v>36</v>
      </c>
      <c r="D261" s="42" t="s">
        <v>37</v>
      </c>
      <c r="E261" s="42" t="s">
        <v>38</v>
      </c>
      <c r="F261" s="43">
        <v>3663.03</v>
      </c>
      <c r="G261" s="43">
        <v>3659.91</v>
      </c>
      <c r="H261" s="43">
        <v>3666.41</v>
      </c>
      <c r="I261" s="42" t="s">
        <v>469</v>
      </c>
      <c r="J261" s="43">
        <v>3659.91</v>
      </c>
      <c r="K261" s="43">
        <v>0</v>
      </c>
      <c r="L261" s="43">
        <v>0</v>
      </c>
      <c r="M261" s="44">
        <v>-3.12</v>
      </c>
      <c r="N261" s="10" t="str">
        <f t="shared" ref="N261:N324" si="45">IF(M261&gt;0,"W",IF(M261&lt;0,"L","BE"))</f>
        <v>L</v>
      </c>
      <c r="O261" s="11">
        <f t="shared" ref="O261:O324" si="46">INT(LEFT(A261,10))</f>
        <v>45918</v>
      </c>
      <c r="P261" s="12" t="str">
        <f t="shared" ref="P261:P324" si="47">TEXT(A261,"hh")</f>
        <v>06</v>
      </c>
      <c r="Q261" s="13" t="str">
        <f>VLOOKUP($B261,Deals_Demo!$H:$N,7,0)</f>
        <v>strategy_08_demo</v>
      </c>
      <c r="R261" s="13" t="str">
        <f t="shared" ref="R261:R324" si="48">TEXT(O261,"ddd")</f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ref="U261:U324" si="49">TEXT(T261,"yyyy-mm-dd")</f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2"/>
        <v>-0.31200000000000006</v>
      </c>
      <c r="Y261" s="13">
        <f t="shared" si="43"/>
        <v>-0.62400000000000011</v>
      </c>
      <c r="Z261" s="13">
        <f t="shared" si="44"/>
        <v>-0.93599999999999994</v>
      </c>
      <c r="AA261" s="13">
        <f t="shared" ref="AA261:AA324" si="50">IF(M261&lt;2.9,-3,M261)</f>
        <v>-3</v>
      </c>
    </row>
    <row r="262" spans="1:27" x14ac:dyDescent="0.25">
      <c r="A262" s="35">
        <v>45918.257395833331</v>
      </c>
      <c r="B262" s="36">
        <v>443197454</v>
      </c>
      <c r="C262" s="37" t="s">
        <v>36</v>
      </c>
      <c r="D262" s="37" t="s">
        <v>37</v>
      </c>
      <c r="E262" s="37" t="s">
        <v>38</v>
      </c>
      <c r="F262" s="38">
        <v>3663.03</v>
      </c>
      <c r="G262" s="38">
        <v>3660.03</v>
      </c>
      <c r="H262" s="38">
        <v>3666.53</v>
      </c>
      <c r="I262" s="37" t="s">
        <v>470</v>
      </c>
      <c r="J262" s="38">
        <v>3660.03</v>
      </c>
      <c r="K262" s="38">
        <v>0</v>
      </c>
      <c r="L262" s="38">
        <v>0</v>
      </c>
      <c r="M262" s="39">
        <v>-3</v>
      </c>
      <c r="N262" s="10" t="str">
        <f t="shared" si="45"/>
        <v>L</v>
      </c>
      <c r="O262" s="11">
        <f t="shared" si="46"/>
        <v>45918</v>
      </c>
      <c r="P262" s="12" t="str">
        <f t="shared" si="47"/>
        <v>06</v>
      </c>
      <c r="Q262" s="13" t="str">
        <f>VLOOKUP($B262,Deals_Demo!$H:$N,7,0)</f>
        <v>strategy_07_demo</v>
      </c>
      <c r="R262" s="13" t="str">
        <f t="shared" si="48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9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2"/>
        <v>-0.30000000000000004</v>
      </c>
      <c r="Y262" s="13">
        <f t="shared" si="43"/>
        <v>-0.60000000000000009</v>
      </c>
      <c r="Z262" s="13">
        <f t="shared" si="44"/>
        <v>-0.89999999999999991</v>
      </c>
      <c r="AA262" s="13">
        <f t="shared" si="50"/>
        <v>-3</v>
      </c>
    </row>
    <row r="263" spans="1:27" x14ac:dyDescent="0.25">
      <c r="A263" s="40">
        <v>45918.267685185187</v>
      </c>
      <c r="B263" s="41">
        <v>443199246</v>
      </c>
      <c r="C263" s="42" t="s">
        <v>36</v>
      </c>
      <c r="D263" s="42" t="s">
        <v>39</v>
      </c>
      <c r="E263" s="42" t="s">
        <v>38</v>
      </c>
      <c r="F263" s="43">
        <v>3661.97</v>
      </c>
      <c r="G263" s="43">
        <v>3661.36</v>
      </c>
      <c r="H263" s="43">
        <v>3658.47</v>
      </c>
      <c r="I263" s="42" t="s">
        <v>471</v>
      </c>
      <c r="J263" s="43">
        <v>3661.36</v>
      </c>
      <c r="K263" s="43">
        <v>0</v>
      </c>
      <c r="L263" s="43">
        <v>0</v>
      </c>
      <c r="M263" s="44">
        <v>0.61</v>
      </c>
      <c r="N263" s="10" t="str">
        <f t="shared" si="45"/>
        <v>W</v>
      </c>
      <c r="O263" s="11">
        <f t="shared" si="46"/>
        <v>45918</v>
      </c>
      <c r="P263" s="12" t="str">
        <f t="shared" si="47"/>
        <v>06</v>
      </c>
      <c r="Q263" s="13" t="str">
        <f>VLOOKUP($B263,Deals_Demo!$H:$N,7,0)</f>
        <v>strategy_11_demo</v>
      </c>
      <c r="R263" s="13" t="str">
        <f t="shared" si="48"/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si="49"/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2"/>
        <v>6.0999999999999999E-2</v>
      </c>
      <c r="Y263" s="13">
        <f t="shared" si="43"/>
        <v>0.122</v>
      </c>
      <c r="Z263" s="13">
        <f t="shared" si="44"/>
        <v>0.183</v>
      </c>
      <c r="AA263" s="13">
        <f t="shared" si="50"/>
        <v>-3</v>
      </c>
    </row>
    <row r="264" spans="1:27" x14ac:dyDescent="0.25">
      <c r="A264" s="35">
        <v>45918.267696759256</v>
      </c>
      <c r="B264" s="36">
        <v>443199248</v>
      </c>
      <c r="C264" s="37" t="s">
        <v>36</v>
      </c>
      <c r="D264" s="37" t="s">
        <v>39</v>
      </c>
      <c r="E264" s="37" t="s">
        <v>38</v>
      </c>
      <c r="F264" s="38">
        <v>3661.97</v>
      </c>
      <c r="G264" s="38">
        <v>3661.36</v>
      </c>
      <c r="H264" s="38">
        <v>3658.97</v>
      </c>
      <c r="I264" s="37" t="s">
        <v>471</v>
      </c>
      <c r="J264" s="38">
        <v>3661.36</v>
      </c>
      <c r="K264" s="38">
        <v>0</v>
      </c>
      <c r="L264" s="38">
        <v>0</v>
      </c>
      <c r="M264" s="39">
        <v>0.61</v>
      </c>
      <c r="N264" s="10" t="str">
        <f t="shared" si="45"/>
        <v>W</v>
      </c>
      <c r="O264" s="11">
        <f t="shared" si="46"/>
        <v>45918</v>
      </c>
      <c r="P264" s="12" t="str">
        <f t="shared" si="47"/>
        <v>06</v>
      </c>
      <c r="Q264" s="13" t="str">
        <f>VLOOKUP($B264,Deals_Demo!$H:$N,7,0)</f>
        <v>strategy_09_demo</v>
      </c>
      <c r="R264" s="13" t="str">
        <f t="shared" si="48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49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2"/>
        <v>6.0999999999999999E-2</v>
      </c>
      <c r="Y264" s="13">
        <f t="shared" si="43"/>
        <v>0.122</v>
      </c>
      <c r="Z264" s="13">
        <f t="shared" si="44"/>
        <v>0.183</v>
      </c>
      <c r="AA264" s="13">
        <f t="shared" si="50"/>
        <v>-3</v>
      </c>
    </row>
    <row r="265" spans="1:27" x14ac:dyDescent="0.25">
      <c r="A265" s="40">
        <v>45918.267696759256</v>
      </c>
      <c r="B265" s="41">
        <v>443199252</v>
      </c>
      <c r="C265" s="42" t="s">
        <v>36</v>
      </c>
      <c r="D265" s="42" t="s">
        <v>39</v>
      </c>
      <c r="E265" s="42" t="s">
        <v>38</v>
      </c>
      <c r="F265" s="43">
        <v>3661.97</v>
      </c>
      <c r="G265" s="43">
        <v>3661.36</v>
      </c>
      <c r="H265" s="43">
        <v>3660.47</v>
      </c>
      <c r="I265" s="42" t="s">
        <v>471</v>
      </c>
      <c r="J265" s="43">
        <v>3661.36</v>
      </c>
      <c r="K265" s="43">
        <v>0</v>
      </c>
      <c r="L265" s="43">
        <v>0</v>
      </c>
      <c r="M265" s="44">
        <v>0.61</v>
      </c>
      <c r="N265" s="10" t="str">
        <f t="shared" si="45"/>
        <v>W</v>
      </c>
      <c r="O265" s="11">
        <f t="shared" si="46"/>
        <v>45918</v>
      </c>
      <c r="P265" s="12" t="str">
        <f t="shared" si="47"/>
        <v>06</v>
      </c>
      <c r="Q265" s="13" t="str">
        <f>VLOOKUP($B265,Deals_Demo!$H:$N,7,0)</f>
        <v>strategy_12_demo</v>
      </c>
      <c r="R265" s="13" t="str">
        <f t="shared" si="48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49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2"/>
        <v>6.0999999999999999E-2</v>
      </c>
      <c r="Y265" s="13">
        <f t="shared" si="43"/>
        <v>0.122</v>
      </c>
      <c r="Z265" s="13">
        <f t="shared" si="44"/>
        <v>0.183</v>
      </c>
      <c r="AA265" s="13">
        <f t="shared" si="50"/>
        <v>-3</v>
      </c>
    </row>
    <row r="266" spans="1:27" x14ac:dyDescent="0.25">
      <c r="A266" s="35">
        <v>45918.267696759256</v>
      </c>
      <c r="B266" s="36">
        <v>443199254</v>
      </c>
      <c r="C266" s="37" t="s">
        <v>36</v>
      </c>
      <c r="D266" s="37" t="s">
        <v>39</v>
      </c>
      <c r="E266" s="37" t="s">
        <v>38</v>
      </c>
      <c r="F266" s="38">
        <v>3661.97</v>
      </c>
      <c r="G266" s="38">
        <v>3661.36</v>
      </c>
      <c r="H266" s="38">
        <v>3658.97</v>
      </c>
      <c r="I266" s="37" t="s">
        <v>471</v>
      </c>
      <c r="J266" s="38">
        <v>3661.36</v>
      </c>
      <c r="K266" s="38">
        <v>0</v>
      </c>
      <c r="L266" s="38">
        <v>0</v>
      </c>
      <c r="M266" s="39">
        <v>0.61</v>
      </c>
      <c r="N266" s="10" t="str">
        <f t="shared" si="45"/>
        <v>W</v>
      </c>
      <c r="O266" s="11">
        <f t="shared" si="46"/>
        <v>45918</v>
      </c>
      <c r="P266" s="12" t="str">
        <f t="shared" si="47"/>
        <v>06</v>
      </c>
      <c r="Q266" s="13" t="str">
        <f>VLOOKUP($B266,Deals_Demo!$H:$N,7,0)</f>
        <v>strategy_10_demo</v>
      </c>
      <c r="R266" s="13" t="str">
        <f t="shared" si="48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49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2"/>
        <v>6.0999999999999999E-2</v>
      </c>
      <c r="Y266" s="13">
        <f t="shared" si="43"/>
        <v>0.122</v>
      </c>
      <c r="Z266" s="13">
        <f t="shared" si="44"/>
        <v>0.183</v>
      </c>
      <c r="AA266" s="13">
        <f t="shared" si="50"/>
        <v>-3</v>
      </c>
    </row>
    <row r="267" spans="1:27" x14ac:dyDescent="0.25">
      <c r="A267" s="40">
        <v>45918.281921296293</v>
      </c>
      <c r="B267" s="41">
        <v>443201861</v>
      </c>
      <c r="C267" s="42" t="s">
        <v>36</v>
      </c>
      <c r="D267" s="42" t="s">
        <v>39</v>
      </c>
      <c r="E267" s="42" t="s">
        <v>38</v>
      </c>
      <c r="F267" s="43">
        <v>3660.95</v>
      </c>
      <c r="G267" s="43">
        <v>3660.15</v>
      </c>
      <c r="H267" s="43">
        <v>3659.45</v>
      </c>
      <c r="I267" s="42" t="s">
        <v>472</v>
      </c>
      <c r="J267" s="43">
        <v>3659.45</v>
      </c>
      <c r="K267" s="43">
        <v>0</v>
      </c>
      <c r="L267" s="43">
        <v>0</v>
      </c>
      <c r="M267" s="44">
        <v>1.5</v>
      </c>
      <c r="N267" s="10" t="str">
        <f t="shared" si="45"/>
        <v>W</v>
      </c>
      <c r="O267" s="11">
        <f t="shared" si="46"/>
        <v>45918</v>
      </c>
      <c r="P267" s="12" t="str">
        <f t="shared" si="47"/>
        <v>06</v>
      </c>
      <c r="Q267" s="13" t="str">
        <f>VLOOKUP($B267,Deals_Demo!$H:$N,7,0)</f>
        <v>strategy_12_demo</v>
      </c>
      <c r="R267" s="13" t="str">
        <f t="shared" si="48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49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2"/>
        <v>0.15000000000000002</v>
      </c>
      <c r="Y267" s="13">
        <f t="shared" si="43"/>
        <v>0.30000000000000004</v>
      </c>
      <c r="Z267" s="13">
        <f t="shared" si="44"/>
        <v>0.44999999999999996</v>
      </c>
      <c r="AA267" s="13">
        <f t="shared" si="50"/>
        <v>-3</v>
      </c>
    </row>
    <row r="268" spans="1:27" x14ac:dyDescent="0.25">
      <c r="A268" s="35">
        <v>45918.281921296293</v>
      </c>
      <c r="B268" s="36">
        <v>443201862</v>
      </c>
      <c r="C268" s="37" t="s">
        <v>36</v>
      </c>
      <c r="D268" s="37" t="s">
        <v>39</v>
      </c>
      <c r="E268" s="37" t="s">
        <v>38</v>
      </c>
      <c r="F268" s="38">
        <v>3661.03</v>
      </c>
      <c r="G268" s="38">
        <v>3658.66</v>
      </c>
      <c r="H268" s="38">
        <v>3657.45</v>
      </c>
      <c r="I268" s="37" t="s">
        <v>473</v>
      </c>
      <c r="J268" s="38">
        <v>3657.43</v>
      </c>
      <c r="K268" s="38">
        <v>0</v>
      </c>
      <c r="L268" s="38">
        <v>0</v>
      </c>
      <c r="M268" s="39">
        <v>3.6</v>
      </c>
      <c r="N268" s="10" t="str">
        <f t="shared" si="45"/>
        <v>W</v>
      </c>
      <c r="O268" s="11">
        <f t="shared" si="46"/>
        <v>45918</v>
      </c>
      <c r="P268" s="12" t="str">
        <f t="shared" si="47"/>
        <v>06</v>
      </c>
      <c r="Q268" s="13" t="str">
        <f>VLOOKUP($B268,Deals_Demo!$H:$N,7,0)</f>
        <v>strategy_11_demo</v>
      </c>
      <c r="R268" s="13" t="str">
        <f t="shared" si="48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49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2"/>
        <v>0.36000000000000004</v>
      </c>
      <c r="Y268" s="13">
        <f t="shared" si="43"/>
        <v>0.72000000000000008</v>
      </c>
      <c r="Z268" s="13">
        <f t="shared" si="44"/>
        <v>1.08</v>
      </c>
      <c r="AA268" s="13">
        <f t="shared" si="50"/>
        <v>3.6</v>
      </c>
    </row>
    <row r="269" spans="1:27" x14ac:dyDescent="0.25">
      <c r="A269" s="40">
        <v>45918.28193287037</v>
      </c>
      <c r="B269" s="41">
        <v>443201863</v>
      </c>
      <c r="C269" s="42" t="s">
        <v>36</v>
      </c>
      <c r="D269" s="42" t="s">
        <v>39</v>
      </c>
      <c r="E269" s="42" t="s">
        <v>38</v>
      </c>
      <c r="F269" s="43">
        <v>3661.03</v>
      </c>
      <c r="G269" s="43">
        <v>3658.76</v>
      </c>
      <c r="H269" s="43">
        <v>3657.95</v>
      </c>
      <c r="I269" s="42" t="s">
        <v>474</v>
      </c>
      <c r="J269" s="43">
        <v>3657.93</v>
      </c>
      <c r="K269" s="43">
        <v>0</v>
      </c>
      <c r="L269" s="43">
        <v>0</v>
      </c>
      <c r="M269" s="44">
        <v>3.1</v>
      </c>
      <c r="N269" s="10" t="str">
        <f t="shared" si="45"/>
        <v>W</v>
      </c>
      <c r="O269" s="11">
        <f t="shared" si="46"/>
        <v>45918</v>
      </c>
      <c r="P269" s="12" t="str">
        <f t="shared" si="47"/>
        <v>06</v>
      </c>
      <c r="Q269" s="13" t="str">
        <f>VLOOKUP($B269,Deals_Demo!$H:$N,7,0)</f>
        <v>strategy_09_demo</v>
      </c>
      <c r="R269" s="13" t="str">
        <f t="shared" si="48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49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2"/>
        <v>0.31000000000000005</v>
      </c>
      <c r="Y269" s="13">
        <f t="shared" si="43"/>
        <v>0.62000000000000011</v>
      </c>
      <c r="Z269" s="13">
        <f t="shared" si="44"/>
        <v>0.92999999999999994</v>
      </c>
      <c r="AA269" s="13">
        <f t="shared" si="50"/>
        <v>3.1</v>
      </c>
    </row>
    <row r="270" spans="1:27" x14ac:dyDescent="0.25">
      <c r="A270" s="35">
        <v>45918.28193287037</v>
      </c>
      <c r="B270" s="36">
        <v>443201864</v>
      </c>
      <c r="C270" s="37" t="s">
        <v>36</v>
      </c>
      <c r="D270" s="37" t="s">
        <v>39</v>
      </c>
      <c r="E270" s="37" t="s">
        <v>38</v>
      </c>
      <c r="F270" s="38">
        <v>3661.03</v>
      </c>
      <c r="G270" s="38">
        <v>3658.76</v>
      </c>
      <c r="H270" s="38">
        <v>3657.95</v>
      </c>
      <c r="I270" s="37" t="s">
        <v>474</v>
      </c>
      <c r="J270" s="38">
        <v>3657.93</v>
      </c>
      <c r="K270" s="38">
        <v>0</v>
      </c>
      <c r="L270" s="38">
        <v>0</v>
      </c>
      <c r="M270" s="39">
        <v>3.1</v>
      </c>
      <c r="N270" s="10" t="str">
        <f t="shared" si="45"/>
        <v>W</v>
      </c>
      <c r="O270" s="11">
        <f t="shared" si="46"/>
        <v>45918</v>
      </c>
      <c r="P270" s="12" t="str">
        <f t="shared" si="47"/>
        <v>06</v>
      </c>
      <c r="Q270" s="13" t="str">
        <f>VLOOKUP($B270,Deals_Demo!$H:$N,7,0)</f>
        <v>strategy_10_demo</v>
      </c>
      <c r="R270" s="13" t="str">
        <f t="shared" si="48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49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2"/>
        <v>0.31000000000000005</v>
      </c>
      <c r="Y270" s="13">
        <f t="shared" si="43"/>
        <v>0.62000000000000011</v>
      </c>
      <c r="Z270" s="13">
        <f t="shared" si="44"/>
        <v>0.92999999999999994</v>
      </c>
      <c r="AA270" s="13">
        <f t="shared" si="50"/>
        <v>3.1</v>
      </c>
    </row>
    <row r="271" spans="1:27" x14ac:dyDescent="0.25">
      <c r="A271" s="40">
        <v>45918.287824074076</v>
      </c>
      <c r="B271" s="41">
        <v>443202901</v>
      </c>
      <c r="C271" s="42" t="s">
        <v>36</v>
      </c>
      <c r="D271" s="42" t="s">
        <v>39</v>
      </c>
      <c r="E271" s="42" t="s">
        <v>38</v>
      </c>
      <c r="F271" s="43">
        <v>3659.49</v>
      </c>
      <c r="G271" s="43">
        <v>3658.78</v>
      </c>
      <c r="H271" s="43">
        <v>3657.99</v>
      </c>
      <c r="I271" s="42" t="s">
        <v>474</v>
      </c>
      <c r="J271" s="43">
        <v>3657.93</v>
      </c>
      <c r="K271" s="43">
        <v>0</v>
      </c>
      <c r="L271" s="43">
        <v>0</v>
      </c>
      <c r="M271" s="44">
        <v>1.56</v>
      </c>
      <c r="N271" s="10" t="str">
        <f t="shared" si="45"/>
        <v>W</v>
      </c>
      <c r="O271" s="11">
        <f t="shared" si="46"/>
        <v>45918</v>
      </c>
      <c r="P271" s="12" t="str">
        <f t="shared" si="47"/>
        <v>06</v>
      </c>
      <c r="Q271" s="13" t="str">
        <f>VLOOKUP($B271,Deals_Demo!$H:$N,7,0)</f>
        <v>strategy_12_demo</v>
      </c>
      <c r="R271" s="13" t="str">
        <f t="shared" si="48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49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2"/>
        <v>0.15600000000000003</v>
      </c>
      <c r="Y271" s="13">
        <f t="shared" si="43"/>
        <v>0.31200000000000006</v>
      </c>
      <c r="Z271" s="13">
        <f t="shared" si="44"/>
        <v>0.46799999999999997</v>
      </c>
      <c r="AA271" s="13">
        <f t="shared" si="50"/>
        <v>-3</v>
      </c>
    </row>
    <row r="272" spans="1:27" x14ac:dyDescent="0.25">
      <c r="A272" s="35">
        <v>45918.296157407407</v>
      </c>
      <c r="B272" s="36">
        <v>443205050</v>
      </c>
      <c r="C272" s="37" t="s">
        <v>36</v>
      </c>
      <c r="D272" s="37" t="s">
        <v>39</v>
      </c>
      <c r="E272" s="37" t="s">
        <v>38</v>
      </c>
      <c r="F272" s="38">
        <v>3657.87</v>
      </c>
      <c r="G272" s="38">
        <v>3656.61</v>
      </c>
      <c r="H272" s="38">
        <v>3654.37</v>
      </c>
      <c r="I272" s="37" t="s">
        <v>475</v>
      </c>
      <c r="J272" s="38">
        <v>3656.61</v>
      </c>
      <c r="K272" s="38">
        <v>0</v>
      </c>
      <c r="L272" s="38">
        <v>0</v>
      </c>
      <c r="M272" s="39">
        <v>1.26</v>
      </c>
      <c r="N272" s="10" t="str">
        <f t="shared" si="45"/>
        <v>W</v>
      </c>
      <c r="O272" s="11">
        <f t="shared" si="46"/>
        <v>45918</v>
      </c>
      <c r="P272" s="12" t="str">
        <f t="shared" si="47"/>
        <v>07</v>
      </c>
      <c r="Q272" s="13" t="str">
        <f>VLOOKUP($B272,Deals_Demo!$H:$N,7,0)</f>
        <v>strategy_11_demo</v>
      </c>
      <c r="R272" s="13" t="str">
        <f t="shared" si="48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49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2"/>
        <v>0.126</v>
      </c>
      <c r="Y272" s="13">
        <f t="shared" si="43"/>
        <v>0.252</v>
      </c>
      <c r="Z272" s="13">
        <f t="shared" si="44"/>
        <v>0.378</v>
      </c>
      <c r="AA272" s="13">
        <f t="shared" si="50"/>
        <v>-3</v>
      </c>
    </row>
    <row r="273" spans="1:27" x14ac:dyDescent="0.25">
      <c r="A273" s="40">
        <v>45918.296157407407</v>
      </c>
      <c r="B273" s="41">
        <v>443205051</v>
      </c>
      <c r="C273" s="42" t="s">
        <v>36</v>
      </c>
      <c r="D273" s="42" t="s">
        <v>39</v>
      </c>
      <c r="E273" s="42" t="s">
        <v>38</v>
      </c>
      <c r="F273" s="43">
        <v>3657.83</v>
      </c>
      <c r="G273" s="43">
        <v>3656.61</v>
      </c>
      <c r="H273" s="43">
        <v>3654.87</v>
      </c>
      <c r="I273" s="42" t="s">
        <v>475</v>
      </c>
      <c r="J273" s="43">
        <v>3656.61</v>
      </c>
      <c r="K273" s="43">
        <v>0</v>
      </c>
      <c r="L273" s="43">
        <v>0</v>
      </c>
      <c r="M273" s="44">
        <v>1.22</v>
      </c>
      <c r="N273" s="10" t="str">
        <f t="shared" si="45"/>
        <v>W</v>
      </c>
      <c r="O273" s="11">
        <f t="shared" si="46"/>
        <v>45918</v>
      </c>
      <c r="P273" s="12" t="str">
        <f t="shared" si="47"/>
        <v>07</v>
      </c>
      <c r="Q273" s="13" t="str">
        <f>VLOOKUP($B273,Deals_Demo!$H:$N,7,0)</f>
        <v>strategy_10_demo</v>
      </c>
      <c r="R273" s="13" t="str">
        <f t="shared" si="48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49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2"/>
        <v>0.122</v>
      </c>
      <c r="Y273" s="13">
        <f t="shared" si="43"/>
        <v>0.24399999999999999</v>
      </c>
      <c r="Z273" s="13">
        <f t="shared" si="44"/>
        <v>0.36599999999999999</v>
      </c>
      <c r="AA273" s="13">
        <f t="shared" si="50"/>
        <v>-3</v>
      </c>
    </row>
    <row r="274" spans="1:27" x14ac:dyDescent="0.25">
      <c r="A274" s="35">
        <v>45918.296168981484</v>
      </c>
      <c r="B274" s="36">
        <v>443205052</v>
      </c>
      <c r="C274" s="37" t="s">
        <v>36</v>
      </c>
      <c r="D274" s="37" t="s">
        <v>39</v>
      </c>
      <c r="E274" s="37" t="s">
        <v>38</v>
      </c>
      <c r="F274" s="38">
        <v>3657.81</v>
      </c>
      <c r="G274" s="38">
        <v>3660.87</v>
      </c>
      <c r="H274" s="38">
        <v>3656.37</v>
      </c>
      <c r="I274" s="37" t="s">
        <v>476</v>
      </c>
      <c r="J274" s="38">
        <v>3656.3</v>
      </c>
      <c r="K274" s="38">
        <v>0</v>
      </c>
      <c r="L274" s="38">
        <v>0</v>
      </c>
      <c r="M274" s="39">
        <v>1.51</v>
      </c>
      <c r="N274" s="10" t="str">
        <f t="shared" si="45"/>
        <v>W</v>
      </c>
      <c r="O274" s="11">
        <f t="shared" si="46"/>
        <v>45918</v>
      </c>
      <c r="P274" s="12" t="str">
        <f t="shared" si="47"/>
        <v>07</v>
      </c>
      <c r="Q274" s="13" t="str">
        <f>VLOOKUP($B274,Deals_Demo!$H:$N,7,0)</f>
        <v>strategy_12_demo</v>
      </c>
      <c r="R274" s="13" t="str">
        <f t="shared" si="48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49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2"/>
        <v>0.15100000000000002</v>
      </c>
      <c r="Y274" s="13">
        <f t="shared" si="43"/>
        <v>0.30200000000000005</v>
      </c>
      <c r="Z274" s="13">
        <f t="shared" si="44"/>
        <v>0.45299999999999996</v>
      </c>
      <c r="AA274" s="13">
        <f t="shared" si="50"/>
        <v>-3</v>
      </c>
    </row>
    <row r="275" spans="1:27" x14ac:dyDescent="0.25">
      <c r="A275" s="40">
        <v>45918.296168981484</v>
      </c>
      <c r="B275" s="41">
        <v>443205054</v>
      </c>
      <c r="C275" s="42" t="s">
        <v>36</v>
      </c>
      <c r="D275" s="42" t="s">
        <v>39</v>
      </c>
      <c r="E275" s="42" t="s">
        <v>38</v>
      </c>
      <c r="F275" s="43">
        <v>3657.81</v>
      </c>
      <c r="G275" s="43">
        <v>3656.61</v>
      </c>
      <c r="H275" s="43">
        <v>3654.87</v>
      </c>
      <c r="I275" s="42" t="s">
        <v>475</v>
      </c>
      <c r="J275" s="43">
        <v>3656.61</v>
      </c>
      <c r="K275" s="43">
        <v>0</v>
      </c>
      <c r="L275" s="43">
        <v>0</v>
      </c>
      <c r="M275" s="44">
        <v>1.2</v>
      </c>
      <c r="N275" s="10" t="str">
        <f t="shared" si="45"/>
        <v>W</v>
      </c>
      <c r="O275" s="11">
        <f t="shared" si="46"/>
        <v>45918</v>
      </c>
      <c r="P275" s="12" t="str">
        <f t="shared" si="47"/>
        <v>07</v>
      </c>
      <c r="Q275" s="13" t="str">
        <f>VLOOKUP($B275,Deals_Demo!$H:$N,7,0)</f>
        <v>strategy_09_demo</v>
      </c>
      <c r="R275" s="13" t="str">
        <f t="shared" si="48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49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2"/>
        <v>0.12</v>
      </c>
      <c r="Y275" s="13">
        <f t="shared" si="43"/>
        <v>0.24</v>
      </c>
      <c r="Z275" s="13">
        <f t="shared" si="44"/>
        <v>0.36</v>
      </c>
      <c r="AA275" s="13">
        <f t="shared" si="50"/>
        <v>-3</v>
      </c>
    </row>
    <row r="276" spans="1:27" x14ac:dyDescent="0.25">
      <c r="A276" s="35">
        <v>45918.296620370369</v>
      </c>
      <c r="B276" s="36">
        <v>443205097</v>
      </c>
      <c r="C276" s="37" t="s">
        <v>36</v>
      </c>
      <c r="D276" s="37" t="s">
        <v>39</v>
      </c>
      <c r="E276" s="37" t="s">
        <v>38</v>
      </c>
      <c r="F276" s="38">
        <v>3658</v>
      </c>
      <c r="G276" s="38">
        <v>3655.96</v>
      </c>
      <c r="H276" s="38">
        <v>3654.5</v>
      </c>
      <c r="I276" s="37" t="s">
        <v>477</v>
      </c>
      <c r="J276" s="38">
        <v>3654.49</v>
      </c>
      <c r="K276" s="38">
        <v>0</v>
      </c>
      <c r="L276" s="38">
        <v>0</v>
      </c>
      <c r="M276" s="39">
        <v>3.51</v>
      </c>
      <c r="N276" s="10" t="str">
        <f t="shared" si="45"/>
        <v>W</v>
      </c>
      <c r="O276" s="11">
        <f t="shared" si="46"/>
        <v>45918</v>
      </c>
      <c r="P276" s="12" t="str">
        <f t="shared" si="47"/>
        <v>07</v>
      </c>
      <c r="Q276" s="13" t="str">
        <f>VLOOKUP($B276,Deals_Demo!$H:$N,7,0)</f>
        <v>strategy_08_demo</v>
      </c>
      <c r="R276" s="13" t="str">
        <f t="shared" si="48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49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2"/>
        <v>0.35099999999999998</v>
      </c>
      <c r="Y276" s="13">
        <f t="shared" si="43"/>
        <v>0.70199999999999996</v>
      </c>
      <c r="Z276" s="13">
        <f t="shared" si="44"/>
        <v>1.0529999999999999</v>
      </c>
      <c r="AA276" s="13">
        <f t="shared" si="50"/>
        <v>3.51</v>
      </c>
    </row>
    <row r="277" spans="1:27" x14ac:dyDescent="0.25">
      <c r="A277" s="40">
        <v>45918.296620370369</v>
      </c>
      <c r="B277" s="41">
        <v>443205098</v>
      </c>
      <c r="C277" s="42" t="s">
        <v>36</v>
      </c>
      <c r="D277" s="42" t="s">
        <v>39</v>
      </c>
      <c r="E277" s="42" t="s">
        <v>38</v>
      </c>
      <c r="F277" s="43">
        <v>3657.97</v>
      </c>
      <c r="G277" s="43">
        <v>3655.96</v>
      </c>
      <c r="H277" s="43">
        <v>3654.5</v>
      </c>
      <c r="I277" s="42" t="s">
        <v>477</v>
      </c>
      <c r="J277" s="43">
        <v>3654.49</v>
      </c>
      <c r="K277" s="43">
        <v>0</v>
      </c>
      <c r="L277" s="43">
        <v>0</v>
      </c>
      <c r="M277" s="44">
        <v>3.48</v>
      </c>
      <c r="N277" s="10" t="str">
        <f t="shared" si="45"/>
        <v>W</v>
      </c>
      <c r="O277" s="11">
        <f t="shared" si="46"/>
        <v>45918</v>
      </c>
      <c r="P277" s="12" t="str">
        <f t="shared" si="47"/>
        <v>07</v>
      </c>
      <c r="Q277" s="13" t="str">
        <f>VLOOKUP($B277,Deals_Demo!$H:$N,7,0)</f>
        <v>strategy_07_demo</v>
      </c>
      <c r="R277" s="13" t="str">
        <f t="shared" si="48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49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2"/>
        <v>0.34800000000000003</v>
      </c>
      <c r="Y277" s="13">
        <f t="shared" si="43"/>
        <v>0.69600000000000006</v>
      </c>
      <c r="Z277" s="13">
        <f t="shared" si="44"/>
        <v>1.044</v>
      </c>
      <c r="AA277" s="13">
        <f t="shared" si="50"/>
        <v>3.48</v>
      </c>
    </row>
    <row r="278" spans="1:27" x14ac:dyDescent="0.25">
      <c r="A278" s="35">
        <v>45918.298587962963</v>
      </c>
      <c r="B278" s="36">
        <v>443205423</v>
      </c>
      <c r="C278" s="37" t="s">
        <v>36</v>
      </c>
      <c r="D278" s="37" t="s">
        <v>39</v>
      </c>
      <c r="E278" s="37" t="s">
        <v>38</v>
      </c>
      <c r="F278" s="38">
        <v>3658.79</v>
      </c>
      <c r="G278" s="38">
        <v>3657.54</v>
      </c>
      <c r="H278" s="38">
        <v>3652.79</v>
      </c>
      <c r="I278" s="37" t="s">
        <v>478</v>
      </c>
      <c r="J278" s="38">
        <v>3657.55</v>
      </c>
      <c r="K278" s="38">
        <v>0</v>
      </c>
      <c r="L278" s="38">
        <v>0</v>
      </c>
      <c r="M278" s="39">
        <v>1.24</v>
      </c>
      <c r="N278" s="10" t="str">
        <f t="shared" si="45"/>
        <v>W</v>
      </c>
      <c r="O278" s="11">
        <f t="shared" si="46"/>
        <v>45918</v>
      </c>
      <c r="P278" s="12" t="str">
        <f t="shared" si="47"/>
        <v>07</v>
      </c>
      <c r="Q278" s="13" t="str">
        <f>VLOOKUP($B278,Deals_Demo!$H:$N,7,0)</f>
        <v>DEMO_strategy_02</v>
      </c>
      <c r="R278" s="13" t="str">
        <f t="shared" si="48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49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2"/>
        <v>0.124</v>
      </c>
      <c r="Y278" s="13">
        <f t="shared" si="43"/>
        <v>0.248</v>
      </c>
      <c r="Z278" s="13">
        <f t="shared" si="44"/>
        <v>0.372</v>
      </c>
      <c r="AA278" s="13">
        <f t="shared" si="50"/>
        <v>-3</v>
      </c>
    </row>
    <row r="279" spans="1:27" x14ac:dyDescent="0.25">
      <c r="A279" s="40">
        <v>45918.29859953704</v>
      </c>
      <c r="B279" s="41">
        <v>443205424</v>
      </c>
      <c r="C279" s="42" t="s">
        <v>36</v>
      </c>
      <c r="D279" s="42" t="s">
        <v>39</v>
      </c>
      <c r="E279" s="42" t="s">
        <v>38</v>
      </c>
      <c r="F279" s="43">
        <v>3658.79</v>
      </c>
      <c r="G279" s="43">
        <v>3657.54</v>
      </c>
      <c r="H279" s="42"/>
      <c r="I279" s="42" t="s">
        <v>478</v>
      </c>
      <c r="J279" s="43">
        <v>3657.55</v>
      </c>
      <c r="K279" s="43">
        <v>0</v>
      </c>
      <c r="L279" s="43">
        <v>0</v>
      </c>
      <c r="M279" s="44">
        <v>1.24</v>
      </c>
      <c r="N279" s="10" t="str">
        <f t="shared" si="45"/>
        <v>W</v>
      </c>
      <c r="O279" s="11">
        <f t="shared" si="46"/>
        <v>45918</v>
      </c>
      <c r="P279" s="12" t="str">
        <f t="shared" si="47"/>
        <v>07</v>
      </c>
      <c r="Q279" s="13" t="str">
        <f>VLOOKUP($B279,Deals_Demo!$H:$N,7,0)</f>
        <v>DEMO_strategy_01</v>
      </c>
      <c r="R279" s="13" t="str">
        <f t="shared" si="48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49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2"/>
        <v>0.124</v>
      </c>
      <c r="Y279" s="13">
        <f t="shared" si="43"/>
        <v>0.248</v>
      </c>
      <c r="Z279" s="13">
        <f t="shared" si="44"/>
        <v>0.372</v>
      </c>
      <c r="AA279" s="13">
        <f t="shared" si="50"/>
        <v>-3</v>
      </c>
    </row>
    <row r="280" spans="1:27" x14ac:dyDescent="0.25">
      <c r="A280" s="35">
        <v>45918.298622685186</v>
      </c>
      <c r="B280" s="36">
        <v>443205427</v>
      </c>
      <c r="C280" s="37" t="s">
        <v>36</v>
      </c>
      <c r="D280" s="37" t="s">
        <v>39</v>
      </c>
      <c r="E280" s="37" t="s">
        <v>38</v>
      </c>
      <c r="F280" s="38">
        <v>3658.74</v>
      </c>
      <c r="G280" s="38">
        <v>3656.92</v>
      </c>
      <c r="H280" s="38">
        <v>3654.24</v>
      </c>
      <c r="I280" s="37" t="s">
        <v>479</v>
      </c>
      <c r="J280" s="38">
        <v>3657.01</v>
      </c>
      <c r="K280" s="38">
        <v>0</v>
      </c>
      <c r="L280" s="38">
        <v>0</v>
      </c>
      <c r="M280" s="39">
        <v>1.73</v>
      </c>
      <c r="N280" s="10" t="str">
        <f t="shared" si="45"/>
        <v>W</v>
      </c>
      <c r="O280" s="11">
        <f t="shared" si="46"/>
        <v>45918</v>
      </c>
      <c r="P280" s="12" t="str">
        <f t="shared" si="47"/>
        <v>07</v>
      </c>
      <c r="Q280" s="13" t="str">
        <f>VLOOKUP($B280,Deals_Demo!$H:$N,7,0)</f>
        <v>DEMO_strategy_03</v>
      </c>
      <c r="R280" s="13" t="str">
        <f t="shared" si="48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49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2"/>
        <v>0.17300000000000001</v>
      </c>
      <c r="Y280" s="13">
        <f t="shared" si="43"/>
        <v>0.34600000000000003</v>
      </c>
      <c r="Z280" s="13">
        <f t="shared" si="44"/>
        <v>0.51900000000000002</v>
      </c>
      <c r="AA280" s="13">
        <f t="shared" si="50"/>
        <v>-3</v>
      </c>
    </row>
    <row r="281" spans="1:27" x14ac:dyDescent="0.25">
      <c r="A281" s="40">
        <v>45918.318611111114</v>
      </c>
      <c r="B281" s="41">
        <v>443208612</v>
      </c>
      <c r="C281" s="42" t="s">
        <v>36</v>
      </c>
      <c r="D281" s="42" t="s">
        <v>39</v>
      </c>
      <c r="E281" s="42" t="s">
        <v>38</v>
      </c>
      <c r="F281" s="43">
        <v>3656.29</v>
      </c>
      <c r="G281" s="43">
        <v>3655.65</v>
      </c>
      <c r="H281" s="43">
        <v>3654.77</v>
      </c>
      <c r="I281" s="42" t="s">
        <v>480</v>
      </c>
      <c r="J281" s="43">
        <v>3654.73</v>
      </c>
      <c r="K281" s="43">
        <v>0</v>
      </c>
      <c r="L281" s="43">
        <v>0</v>
      </c>
      <c r="M281" s="44">
        <v>1.56</v>
      </c>
      <c r="N281" s="10" t="str">
        <f t="shared" si="45"/>
        <v>W</v>
      </c>
      <c r="O281" s="11">
        <f t="shared" si="46"/>
        <v>45918</v>
      </c>
      <c r="P281" s="12" t="str">
        <f t="shared" si="47"/>
        <v>07</v>
      </c>
      <c r="Q281" s="13" t="str">
        <f>VLOOKUP($B281,Deals_Demo!$H:$N,7,0)</f>
        <v>strategy_12_demo</v>
      </c>
      <c r="R281" s="13" t="str">
        <f t="shared" si="48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49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2"/>
        <v>0.15600000000000003</v>
      </c>
      <c r="Y281" s="13">
        <f t="shared" si="43"/>
        <v>0.31200000000000006</v>
      </c>
      <c r="Z281" s="13">
        <f t="shared" si="44"/>
        <v>0.46799999999999997</v>
      </c>
      <c r="AA281" s="13">
        <f t="shared" si="50"/>
        <v>-3</v>
      </c>
    </row>
    <row r="282" spans="1:27" x14ac:dyDescent="0.25">
      <c r="A282" s="35">
        <v>45918.32</v>
      </c>
      <c r="B282" s="36">
        <v>443209177</v>
      </c>
      <c r="C282" s="37" t="s">
        <v>36</v>
      </c>
      <c r="D282" s="37" t="s">
        <v>39</v>
      </c>
      <c r="E282" s="37" t="s">
        <v>38</v>
      </c>
      <c r="F282" s="38">
        <v>3656.23</v>
      </c>
      <c r="G282" s="38">
        <v>3654.2</v>
      </c>
      <c r="H282" s="38">
        <v>3652.73</v>
      </c>
      <c r="I282" s="37" t="s">
        <v>481</v>
      </c>
      <c r="J282" s="38">
        <v>3654.2</v>
      </c>
      <c r="K282" s="38">
        <v>0</v>
      </c>
      <c r="L282" s="38">
        <v>0</v>
      </c>
      <c r="M282" s="39">
        <v>2.0299999999999998</v>
      </c>
      <c r="N282" s="10" t="str">
        <f t="shared" si="45"/>
        <v>W</v>
      </c>
      <c r="O282" s="11">
        <f t="shared" si="46"/>
        <v>45918</v>
      </c>
      <c r="P282" s="12" t="str">
        <f t="shared" si="47"/>
        <v>07</v>
      </c>
      <c r="Q282" s="13" t="str">
        <f>VLOOKUP($B282,Deals_Demo!$H:$N,7,0)</f>
        <v>strategy_11_demo</v>
      </c>
      <c r="R282" s="13" t="str">
        <f t="shared" si="48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49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2"/>
        <v>0.20299999999999999</v>
      </c>
      <c r="Y282" s="13">
        <f t="shared" si="43"/>
        <v>0.40599999999999997</v>
      </c>
      <c r="Z282" s="13">
        <f t="shared" si="44"/>
        <v>0.60899999999999987</v>
      </c>
      <c r="AA282" s="13">
        <f t="shared" si="50"/>
        <v>-3</v>
      </c>
    </row>
    <row r="283" spans="1:27" x14ac:dyDescent="0.25">
      <c r="A283" s="40">
        <v>45918.32</v>
      </c>
      <c r="B283" s="41">
        <v>443209178</v>
      </c>
      <c r="C283" s="42" t="s">
        <v>36</v>
      </c>
      <c r="D283" s="42" t="s">
        <v>39</v>
      </c>
      <c r="E283" s="42" t="s">
        <v>38</v>
      </c>
      <c r="F283" s="43">
        <v>3656.23</v>
      </c>
      <c r="G283" s="43">
        <v>3654.49</v>
      </c>
      <c r="H283" s="43">
        <v>3653.23</v>
      </c>
      <c r="I283" s="42" t="s">
        <v>482</v>
      </c>
      <c r="J283" s="43">
        <v>3653.17</v>
      </c>
      <c r="K283" s="43">
        <v>0</v>
      </c>
      <c r="L283" s="43">
        <v>0</v>
      </c>
      <c r="M283" s="44">
        <v>3.06</v>
      </c>
      <c r="N283" s="10" t="str">
        <f t="shared" si="45"/>
        <v>W</v>
      </c>
      <c r="O283" s="11">
        <f t="shared" si="46"/>
        <v>45918</v>
      </c>
      <c r="P283" s="12" t="str">
        <f t="shared" si="47"/>
        <v>07</v>
      </c>
      <c r="Q283" s="13" t="str">
        <f>VLOOKUP($B283,Deals_Demo!$H:$N,7,0)</f>
        <v>strategy_10_demo</v>
      </c>
      <c r="R283" s="13" t="str">
        <f t="shared" si="48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49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2"/>
        <v>0.30600000000000005</v>
      </c>
      <c r="Y283" s="13">
        <f t="shared" si="43"/>
        <v>0.6120000000000001</v>
      </c>
      <c r="Z283" s="13">
        <f t="shared" si="44"/>
        <v>0.91799999999999993</v>
      </c>
      <c r="AA283" s="13">
        <f t="shared" si="50"/>
        <v>3.06</v>
      </c>
    </row>
    <row r="284" spans="1:27" x14ac:dyDescent="0.25">
      <c r="A284" s="35">
        <v>45918.320011574076</v>
      </c>
      <c r="B284" s="36">
        <v>443209179</v>
      </c>
      <c r="C284" s="37" t="s">
        <v>36</v>
      </c>
      <c r="D284" s="37" t="s">
        <v>39</v>
      </c>
      <c r="E284" s="37" t="s">
        <v>38</v>
      </c>
      <c r="F284" s="38">
        <v>3656.23</v>
      </c>
      <c r="G284" s="38">
        <v>3654.49</v>
      </c>
      <c r="H284" s="38">
        <v>3653.23</v>
      </c>
      <c r="I284" s="37" t="s">
        <v>482</v>
      </c>
      <c r="J284" s="38">
        <v>3653.17</v>
      </c>
      <c r="K284" s="38">
        <v>0</v>
      </c>
      <c r="L284" s="38">
        <v>0</v>
      </c>
      <c r="M284" s="39">
        <v>3.06</v>
      </c>
      <c r="N284" s="10" t="str">
        <f t="shared" si="45"/>
        <v>W</v>
      </c>
      <c r="O284" s="11">
        <f t="shared" si="46"/>
        <v>45918</v>
      </c>
      <c r="P284" s="12" t="str">
        <f t="shared" si="47"/>
        <v>07</v>
      </c>
      <c r="Q284" s="13" t="str">
        <f>VLOOKUP($B284,Deals_Demo!$H:$N,7,0)</f>
        <v>strategy_09_demo</v>
      </c>
      <c r="R284" s="13" t="str">
        <f t="shared" si="48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49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2"/>
        <v>0.30600000000000005</v>
      </c>
      <c r="Y284" s="13">
        <f t="shared" si="43"/>
        <v>0.6120000000000001</v>
      </c>
      <c r="Z284" s="13">
        <f t="shared" si="44"/>
        <v>0.91799999999999993</v>
      </c>
      <c r="AA284" s="13">
        <f t="shared" si="50"/>
        <v>3.06</v>
      </c>
    </row>
    <row r="285" spans="1:27" x14ac:dyDescent="0.25">
      <c r="A285" s="40">
        <v>45918.320821759262</v>
      </c>
      <c r="B285" s="41">
        <v>443209388</v>
      </c>
      <c r="C285" s="42" t="s">
        <v>36</v>
      </c>
      <c r="D285" s="42" t="s">
        <v>39</v>
      </c>
      <c r="E285" s="42" t="s">
        <v>38</v>
      </c>
      <c r="F285" s="43">
        <v>3657.33</v>
      </c>
      <c r="G285" s="43">
        <v>3654.55</v>
      </c>
      <c r="H285" s="43">
        <v>3651.33</v>
      </c>
      <c r="I285" s="42" t="s">
        <v>483</v>
      </c>
      <c r="J285" s="43">
        <v>3654.57</v>
      </c>
      <c r="K285" s="43">
        <v>0</v>
      </c>
      <c r="L285" s="43">
        <v>0</v>
      </c>
      <c r="M285" s="44">
        <v>2.76</v>
      </c>
      <c r="N285" s="10" t="str">
        <f t="shared" si="45"/>
        <v>W</v>
      </c>
      <c r="O285" s="11">
        <f t="shared" si="46"/>
        <v>45918</v>
      </c>
      <c r="P285" s="12" t="str">
        <f t="shared" si="47"/>
        <v>07</v>
      </c>
      <c r="Q285" s="13" t="str">
        <f>VLOOKUP($B285,Deals_Demo!$H:$N,7,0)</f>
        <v>DEMO_strategy_02</v>
      </c>
      <c r="R285" s="13" t="str">
        <f t="shared" si="48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49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2"/>
        <v>0.27599999999999997</v>
      </c>
      <c r="Y285" s="13">
        <f t="shared" si="43"/>
        <v>0.55199999999999994</v>
      </c>
      <c r="Z285" s="13">
        <f t="shared" si="44"/>
        <v>0.82799999999999996</v>
      </c>
      <c r="AA285" s="13">
        <f t="shared" si="50"/>
        <v>-3</v>
      </c>
    </row>
    <row r="286" spans="1:27" x14ac:dyDescent="0.25">
      <c r="A286" s="35">
        <v>45918.320821759262</v>
      </c>
      <c r="B286" s="36">
        <v>443209390</v>
      </c>
      <c r="C286" s="37" t="s">
        <v>36</v>
      </c>
      <c r="D286" s="37" t="s">
        <v>39</v>
      </c>
      <c r="E286" s="37" t="s">
        <v>38</v>
      </c>
      <c r="F286" s="38">
        <v>3657.27</v>
      </c>
      <c r="G286" s="38">
        <v>3654.58</v>
      </c>
      <c r="H286" s="37"/>
      <c r="I286" s="37" t="s">
        <v>483</v>
      </c>
      <c r="J286" s="38">
        <v>3654.65</v>
      </c>
      <c r="K286" s="38">
        <v>0</v>
      </c>
      <c r="L286" s="38">
        <v>0</v>
      </c>
      <c r="M286" s="39">
        <v>2.62</v>
      </c>
      <c r="N286" s="10" t="str">
        <f t="shared" si="45"/>
        <v>W</v>
      </c>
      <c r="O286" s="11">
        <f t="shared" si="46"/>
        <v>45918</v>
      </c>
      <c r="P286" s="12" t="str">
        <f t="shared" si="47"/>
        <v>07</v>
      </c>
      <c r="Q286" s="13" t="str">
        <f>VLOOKUP($B286,Deals_Demo!$H:$N,7,0)</f>
        <v>DEMO_strategy_01</v>
      </c>
      <c r="R286" s="13" t="str">
        <f t="shared" si="48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49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2"/>
        <v>0.26200000000000001</v>
      </c>
      <c r="Y286" s="13">
        <f t="shared" si="43"/>
        <v>0.52400000000000002</v>
      </c>
      <c r="Z286" s="13">
        <f t="shared" si="44"/>
        <v>0.78600000000000003</v>
      </c>
      <c r="AA286" s="13">
        <f t="shared" si="50"/>
        <v>-3</v>
      </c>
    </row>
    <row r="287" spans="1:27" x14ac:dyDescent="0.25">
      <c r="A287" s="40">
        <v>45918.327060185184</v>
      </c>
      <c r="B287" s="41">
        <v>443210955</v>
      </c>
      <c r="C287" s="42" t="s">
        <v>36</v>
      </c>
      <c r="D287" s="42" t="s">
        <v>39</v>
      </c>
      <c r="E287" s="42" t="s">
        <v>38</v>
      </c>
      <c r="F287" s="43">
        <v>3656.79</v>
      </c>
      <c r="G287" s="43">
        <v>3654.7</v>
      </c>
      <c r="H287" s="43">
        <v>3652.28</v>
      </c>
      <c r="I287" s="42" t="s">
        <v>483</v>
      </c>
      <c r="J287" s="43">
        <v>3654.75</v>
      </c>
      <c r="K287" s="43">
        <v>0</v>
      </c>
      <c r="L287" s="43">
        <v>0</v>
      </c>
      <c r="M287" s="44">
        <v>2.04</v>
      </c>
      <c r="N287" s="10" t="str">
        <f t="shared" si="45"/>
        <v>W</v>
      </c>
      <c r="O287" s="11">
        <f t="shared" si="46"/>
        <v>45918</v>
      </c>
      <c r="P287" s="12" t="str">
        <f t="shared" si="47"/>
        <v>07</v>
      </c>
      <c r="Q287" s="13" t="str">
        <f>VLOOKUP($B287,Deals_Demo!$H:$N,7,0)</f>
        <v>DEMO_strategy_03</v>
      </c>
      <c r="R287" s="13" t="str">
        <f t="shared" si="48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49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2"/>
        <v>0.20400000000000001</v>
      </c>
      <c r="Y287" s="13">
        <f t="shared" si="43"/>
        <v>0.40800000000000003</v>
      </c>
      <c r="Z287" s="13">
        <f t="shared" si="44"/>
        <v>0.61199999999999999</v>
      </c>
      <c r="AA287" s="13">
        <f t="shared" si="50"/>
        <v>-3</v>
      </c>
    </row>
    <row r="288" spans="1:27" x14ac:dyDescent="0.25">
      <c r="A288" s="35">
        <v>45918.335509259261</v>
      </c>
      <c r="B288" s="36">
        <v>443213475</v>
      </c>
      <c r="C288" s="37" t="s">
        <v>36</v>
      </c>
      <c r="D288" s="37" t="s">
        <v>39</v>
      </c>
      <c r="E288" s="37" t="s">
        <v>38</v>
      </c>
      <c r="F288" s="38">
        <v>3653.88</v>
      </c>
      <c r="G288" s="38">
        <v>3653.07</v>
      </c>
      <c r="H288" s="38">
        <v>3652.23</v>
      </c>
      <c r="I288" s="37" t="s">
        <v>484</v>
      </c>
      <c r="J288" s="38">
        <v>3652.23</v>
      </c>
      <c r="K288" s="38">
        <v>0</v>
      </c>
      <c r="L288" s="38">
        <v>0</v>
      </c>
      <c r="M288" s="39">
        <v>1.65</v>
      </c>
      <c r="N288" s="10" t="str">
        <f t="shared" si="45"/>
        <v>W</v>
      </c>
      <c r="O288" s="11">
        <f t="shared" si="46"/>
        <v>45918</v>
      </c>
      <c r="P288" s="12" t="str">
        <f t="shared" si="47"/>
        <v>08</v>
      </c>
      <c r="Q288" s="13" t="str">
        <f>VLOOKUP($B288,Deals_Demo!$H:$N,7,0)</f>
        <v>strategy_12_demo</v>
      </c>
      <c r="R288" s="13" t="str">
        <f t="shared" si="48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49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2"/>
        <v>0.16500000000000001</v>
      </c>
      <c r="Y288" s="13">
        <f t="shared" si="43"/>
        <v>0.33</v>
      </c>
      <c r="Z288" s="13">
        <f t="shared" si="44"/>
        <v>0.49499999999999994</v>
      </c>
      <c r="AA288" s="13">
        <f t="shared" si="50"/>
        <v>-3</v>
      </c>
    </row>
    <row r="289" spans="1:27" x14ac:dyDescent="0.25">
      <c r="A289" s="40">
        <v>45918.335509259261</v>
      </c>
      <c r="B289" s="41">
        <v>443213477</v>
      </c>
      <c r="C289" s="42" t="s">
        <v>36</v>
      </c>
      <c r="D289" s="42" t="s">
        <v>39</v>
      </c>
      <c r="E289" s="42" t="s">
        <v>38</v>
      </c>
      <c r="F289" s="43">
        <v>3653.88</v>
      </c>
      <c r="G289" s="43">
        <v>3652.83</v>
      </c>
      <c r="H289" s="43">
        <v>3650.88</v>
      </c>
      <c r="I289" s="42" t="s">
        <v>485</v>
      </c>
      <c r="J289" s="43">
        <v>3653.02</v>
      </c>
      <c r="K289" s="43">
        <v>0</v>
      </c>
      <c r="L289" s="43">
        <v>0</v>
      </c>
      <c r="M289" s="44">
        <v>0.86</v>
      </c>
      <c r="N289" s="10" t="str">
        <f t="shared" si="45"/>
        <v>W</v>
      </c>
      <c r="O289" s="11">
        <f t="shared" si="46"/>
        <v>45918</v>
      </c>
      <c r="P289" s="12" t="str">
        <f t="shared" si="47"/>
        <v>08</v>
      </c>
      <c r="Q289" s="13" t="str">
        <f>VLOOKUP($B289,Deals_Demo!$H:$N,7,0)</f>
        <v>strategy_09_demo</v>
      </c>
      <c r="R289" s="13" t="str">
        <f t="shared" si="48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49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2"/>
        <v>8.6000000000000007E-2</v>
      </c>
      <c r="Y289" s="13">
        <f t="shared" si="43"/>
        <v>0.17200000000000001</v>
      </c>
      <c r="Z289" s="13">
        <f t="shared" si="44"/>
        <v>0.25800000000000001</v>
      </c>
      <c r="AA289" s="13">
        <f t="shared" si="50"/>
        <v>-3</v>
      </c>
    </row>
    <row r="290" spans="1:27" x14ac:dyDescent="0.25">
      <c r="A290" s="35">
        <v>45918.335509259261</v>
      </c>
      <c r="B290" s="36">
        <v>443213478</v>
      </c>
      <c r="C290" s="37" t="s">
        <v>36</v>
      </c>
      <c r="D290" s="37" t="s">
        <v>39</v>
      </c>
      <c r="E290" s="37" t="s">
        <v>38</v>
      </c>
      <c r="F290" s="38">
        <v>3653.88</v>
      </c>
      <c r="G290" s="38">
        <v>3652.84</v>
      </c>
      <c r="H290" s="38">
        <v>3650.88</v>
      </c>
      <c r="I290" s="37" t="s">
        <v>485</v>
      </c>
      <c r="J290" s="38">
        <v>3653.02</v>
      </c>
      <c r="K290" s="38">
        <v>0</v>
      </c>
      <c r="L290" s="38">
        <v>0</v>
      </c>
      <c r="M290" s="39">
        <v>0.86</v>
      </c>
      <c r="N290" s="10" t="str">
        <f t="shared" si="45"/>
        <v>W</v>
      </c>
      <c r="O290" s="11">
        <f t="shared" si="46"/>
        <v>45918</v>
      </c>
      <c r="P290" s="12" t="str">
        <f t="shared" si="47"/>
        <v>08</v>
      </c>
      <c r="Q290" s="13" t="str">
        <f>VLOOKUP($B290,Deals_Demo!$H:$N,7,0)</f>
        <v>strategy_10_demo</v>
      </c>
      <c r="R290" s="13" t="str">
        <f t="shared" si="48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49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2"/>
        <v>8.6000000000000007E-2</v>
      </c>
      <c r="Y290" s="13">
        <f t="shared" si="43"/>
        <v>0.17200000000000001</v>
      </c>
      <c r="Z290" s="13">
        <f t="shared" si="44"/>
        <v>0.25800000000000001</v>
      </c>
      <c r="AA290" s="13">
        <f t="shared" si="50"/>
        <v>-3</v>
      </c>
    </row>
    <row r="291" spans="1:27" x14ac:dyDescent="0.25">
      <c r="A291" s="40">
        <v>45918.335625</v>
      </c>
      <c r="B291" s="41">
        <v>443213728</v>
      </c>
      <c r="C291" s="42" t="s">
        <v>36</v>
      </c>
      <c r="D291" s="42" t="s">
        <v>39</v>
      </c>
      <c r="E291" s="42" t="s">
        <v>38</v>
      </c>
      <c r="F291" s="43">
        <v>3653.88</v>
      </c>
      <c r="G291" s="43">
        <v>3652.83</v>
      </c>
      <c r="H291" s="43">
        <v>3650.38</v>
      </c>
      <c r="I291" s="42" t="s">
        <v>485</v>
      </c>
      <c r="J291" s="43">
        <v>3653.02</v>
      </c>
      <c r="K291" s="43">
        <v>0</v>
      </c>
      <c r="L291" s="43">
        <v>0</v>
      </c>
      <c r="M291" s="44">
        <v>0.86</v>
      </c>
      <c r="N291" s="10" t="str">
        <f t="shared" si="45"/>
        <v>W</v>
      </c>
      <c r="O291" s="11">
        <f t="shared" si="46"/>
        <v>45918</v>
      </c>
      <c r="P291" s="12" t="str">
        <f t="shared" si="47"/>
        <v>08</v>
      </c>
      <c r="Q291" s="13" t="str">
        <f>VLOOKUP($B291,Deals_Demo!$H:$N,7,0)</f>
        <v>strategy_11_demo</v>
      </c>
      <c r="R291" s="13" t="str">
        <f t="shared" si="48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49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2"/>
        <v>8.6000000000000007E-2</v>
      </c>
      <c r="Y291" s="13">
        <f t="shared" si="43"/>
        <v>0.17200000000000001</v>
      </c>
      <c r="Z291" s="13">
        <f t="shared" si="44"/>
        <v>0.25800000000000001</v>
      </c>
      <c r="AA291" s="13">
        <f t="shared" si="50"/>
        <v>-3</v>
      </c>
    </row>
    <row r="292" spans="1:27" x14ac:dyDescent="0.25">
      <c r="A292" s="35">
        <v>45918.336782407408</v>
      </c>
      <c r="B292" s="36">
        <v>443213829</v>
      </c>
      <c r="C292" s="37" t="s">
        <v>36</v>
      </c>
      <c r="D292" s="37" t="s">
        <v>39</v>
      </c>
      <c r="E292" s="37" t="s">
        <v>38</v>
      </c>
      <c r="F292" s="38">
        <v>3653.99</v>
      </c>
      <c r="G292" s="38">
        <v>3656.99</v>
      </c>
      <c r="H292" s="38">
        <v>3650.49</v>
      </c>
      <c r="I292" s="37" t="s">
        <v>486</v>
      </c>
      <c r="J292" s="38">
        <v>3657</v>
      </c>
      <c r="K292" s="38">
        <v>0</v>
      </c>
      <c r="L292" s="38">
        <v>0</v>
      </c>
      <c r="M292" s="39">
        <v>-3.01</v>
      </c>
      <c r="N292" s="10" t="str">
        <f t="shared" si="45"/>
        <v>L</v>
      </c>
      <c r="O292" s="11">
        <f t="shared" si="46"/>
        <v>45918</v>
      </c>
      <c r="P292" s="12" t="str">
        <f t="shared" si="47"/>
        <v>08</v>
      </c>
      <c r="Q292" s="13" t="str">
        <f>VLOOKUP($B292,Deals_Demo!$H:$N,7,0)</f>
        <v>strategy_07_demo</v>
      </c>
      <c r="R292" s="13" t="str">
        <f t="shared" si="48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49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2"/>
        <v>-0.30099999999999999</v>
      </c>
      <c r="Y292" s="13">
        <f t="shared" si="43"/>
        <v>-0.60199999999999998</v>
      </c>
      <c r="Z292" s="13">
        <f t="shared" si="44"/>
        <v>-0.90299999999999991</v>
      </c>
      <c r="AA292" s="13">
        <f t="shared" si="50"/>
        <v>-3</v>
      </c>
    </row>
    <row r="293" spans="1:27" x14ac:dyDescent="0.25">
      <c r="A293" s="40">
        <v>45918.336782407408</v>
      </c>
      <c r="B293" s="41">
        <v>443213830</v>
      </c>
      <c r="C293" s="42" t="s">
        <v>36</v>
      </c>
      <c r="D293" s="42" t="s">
        <v>39</v>
      </c>
      <c r="E293" s="42" t="s">
        <v>38</v>
      </c>
      <c r="F293" s="43">
        <v>3654</v>
      </c>
      <c r="G293" s="43">
        <v>3656.99</v>
      </c>
      <c r="H293" s="43">
        <v>3650.49</v>
      </c>
      <c r="I293" s="42" t="s">
        <v>486</v>
      </c>
      <c r="J293" s="43">
        <v>3657</v>
      </c>
      <c r="K293" s="43">
        <v>0</v>
      </c>
      <c r="L293" s="43">
        <v>0</v>
      </c>
      <c r="M293" s="44">
        <v>-3</v>
      </c>
      <c r="N293" s="10" t="str">
        <f t="shared" si="45"/>
        <v>L</v>
      </c>
      <c r="O293" s="11">
        <f t="shared" si="46"/>
        <v>45918</v>
      </c>
      <c r="P293" s="12" t="str">
        <f t="shared" si="47"/>
        <v>08</v>
      </c>
      <c r="Q293" s="13" t="str">
        <f>VLOOKUP($B293,Deals_Demo!$H:$N,7,0)</f>
        <v>strategy_08_demo</v>
      </c>
      <c r="R293" s="13" t="str">
        <f t="shared" si="48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49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2"/>
        <v>-0.30000000000000004</v>
      </c>
      <c r="Y293" s="13">
        <f t="shared" si="43"/>
        <v>-0.60000000000000009</v>
      </c>
      <c r="Z293" s="13">
        <f t="shared" si="44"/>
        <v>-0.89999999999999991</v>
      </c>
      <c r="AA293" s="13">
        <f t="shared" si="50"/>
        <v>-3</v>
      </c>
    </row>
    <row r="294" spans="1:27" x14ac:dyDescent="0.25">
      <c r="A294" s="35">
        <v>45918.342685185184</v>
      </c>
      <c r="B294" s="36">
        <v>443215676</v>
      </c>
      <c r="C294" s="37" t="s">
        <v>36</v>
      </c>
      <c r="D294" s="37" t="s">
        <v>39</v>
      </c>
      <c r="E294" s="37" t="s">
        <v>38</v>
      </c>
      <c r="F294" s="38">
        <v>3652.63</v>
      </c>
      <c r="G294" s="38">
        <v>3655.13</v>
      </c>
      <c r="H294" s="38">
        <v>3649.63</v>
      </c>
      <c r="I294" s="37" t="s">
        <v>487</v>
      </c>
      <c r="J294" s="38">
        <v>3655.33</v>
      </c>
      <c r="K294" s="38">
        <v>0</v>
      </c>
      <c r="L294" s="38">
        <v>0</v>
      </c>
      <c r="M294" s="39">
        <v>-2.7</v>
      </c>
      <c r="N294" s="10" t="str">
        <f t="shared" si="45"/>
        <v>L</v>
      </c>
      <c r="O294" s="11">
        <f t="shared" si="46"/>
        <v>45918</v>
      </c>
      <c r="P294" s="12" t="str">
        <f t="shared" si="47"/>
        <v>08</v>
      </c>
      <c r="Q294" s="13" t="str">
        <f>VLOOKUP($B294,Deals_Demo!$H:$N,7,0)</f>
        <v>strategy_10_demo</v>
      </c>
      <c r="R294" s="13" t="str">
        <f t="shared" si="48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49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2"/>
        <v>-0.27</v>
      </c>
      <c r="Y294" s="13">
        <f t="shared" si="43"/>
        <v>-0.54</v>
      </c>
      <c r="Z294" s="13">
        <f t="shared" si="44"/>
        <v>-0.81</v>
      </c>
      <c r="AA294" s="13">
        <f t="shared" si="50"/>
        <v>-3</v>
      </c>
    </row>
    <row r="295" spans="1:27" x14ac:dyDescent="0.25">
      <c r="A295" s="40">
        <v>45918.342685185184</v>
      </c>
      <c r="B295" s="41">
        <v>443215678</v>
      </c>
      <c r="C295" s="42" t="s">
        <v>36</v>
      </c>
      <c r="D295" s="42" t="s">
        <v>39</v>
      </c>
      <c r="E295" s="42" t="s">
        <v>38</v>
      </c>
      <c r="F295" s="43">
        <v>3652.6</v>
      </c>
      <c r="G295" s="43">
        <v>3655.63</v>
      </c>
      <c r="H295" s="43">
        <v>3649.13</v>
      </c>
      <c r="I295" s="42" t="s">
        <v>488</v>
      </c>
      <c r="J295" s="43">
        <v>3655.63</v>
      </c>
      <c r="K295" s="43">
        <v>0</v>
      </c>
      <c r="L295" s="43">
        <v>0</v>
      </c>
      <c r="M295" s="44">
        <v>-3.03</v>
      </c>
      <c r="N295" s="10" t="str">
        <f t="shared" si="45"/>
        <v>L</v>
      </c>
      <c r="O295" s="11">
        <f t="shared" si="46"/>
        <v>45918</v>
      </c>
      <c r="P295" s="12" t="str">
        <f t="shared" si="47"/>
        <v>08</v>
      </c>
      <c r="Q295" s="13" t="str">
        <f>VLOOKUP($B295,Deals_Demo!$H:$N,7,0)</f>
        <v>strategy_11_demo</v>
      </c>
      <c r="R295" s="13" t="str">
        <f t="shared" si="48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49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2"/>
        <v>-0.30299999999999999</v>
      </c>
      <c r="Y295" s="13">
        <f t="shared" si="43"/>
        <v>-0.60599999999999998</v>
      </c>
      <c r="Z295" s="13">
        <f t="shared" si="44"/>
        <v>-0.90899999999999992</v>
      </c>
      <c r="AA295" s="13">
        <f t="shared" si="50"/>
        <v>-3</v>
      </c>
    </row>
    <row r="296" spans="1:27" x14ac:dyDescent="0.25">
      <c r="A296" s="35">
        <v>45918.342685185184</v>
      </c>
      <c r="B296" s="36">
        <v>443215679</v>
      </c>
      <c r="C296" s="37" t="s">
        <v>36</v>
      </c>
      <c r="D296" s="37" t="s">
        <v>39</v>
      </c>
      <c r="E296" s="37" t="s">
        <v>38</v>
      </c>
      <c r="F296" s="38">
        <v>3652.6</v>
      </c>
      <c r="G296" s="38">
        <v>3655.63</v>
      </c>
      <c r="H296" s="38">
        <v>3651.13</v>
      </c>
      <c r="I296" s="37" t="s">
        <v>488</v>
      </c>
      <c r="J296" s="38">
        <v>3655.63</v>
      </c>
      <c r="K296" s="38">
        <v>0</v>
      </c>
      <c r="L296" s="38">
        <v>0</v>
      </c>
      <c r="M296" s="39">
        <v>-3.03</v>
      </c>
      <c r="N296" s="10" t="str">
        <f t="shared" si="45"/>
        <v>L</v>
      </c>
      <c r="O296" s="11">
        <f t="shared" si="46"/>
        <v>45918</v>
      </c>
      <c r="P296" s="12" t="str">
        <f t="shared" si="47"/>
        <v>08</v>
      </c>
      <c r="Q296" s="13" t="str">
        <f>VLOOKUP($B296,Deals_Demo!$H:$N,7,0)</f>
        <v>strategy_12_demo</v>
      </c>
      <c r="R296" s="13" t="str">
        <f t="shared" si="48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49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2"/>
        <v>-0.30299999999999999</v>
      </c>
      <c r="Y296" s="13">
        <f t="shared" si="43"/>
        <v>-0.60599999999999998</v>
      </c>
      <c r="Z296" s="13">
        <f t="shared" si="44"/>
        <v>-0.90899999999999992</v>
      </c>
      <c r="AA296" s="13">
        <f t="shared" si="50"/>
        <v>-3</v>
      </c>
    </row>
    <row r="297" spans="1:27" x14ac:dyDescent="0.25">
      <c r="A297" s="40">
        <v>45918.34269675926</v>
      </c>
      <c r="B297" s="41">
        <v>443215680</v>
      </c>
      <c r="C297" s="42" t="s">
        <v>36</v>
      </c>
      <c r="D297" s="42" t="s">
        <v>39</v>
      </c>
      <c r="E297" s="42" t="s">
        <v>38</v>
      </c>
      <c r="F297" s="43">
        <v>3652.56</v>
      </c>
      <c r="G297" s="43">
        <v>3655.6</v>
      </c>
      <c r="H297" s="43">
        <v>3649.6</v>
      </c>
      <c r="I297" s="42" t="s">
        <v>488</v>
      </c>
      <c r="J297" s="43">
        <v>3655.63</v>
      </c>
      <c r="K297" s="43">
        <v>0</v>
      </c>
      <c r="L297" s="43">
        <v>0</v>
      </c>
      <c r="M297" s="44">
        <v>-3.07</v>
      </c>
      <c r="N297" s="10" t="str">
        <f t="shared" si="45"/>
        <v>L</v>
      </c>
      <c r="O297" s="11">
        <f t="shared" si="46"/>
        <v>45918</v>
      </c>
      <c r="P297" s="12" t="str">
        <f t="shared" si="47"/>
        <v>08</v>
      </c>
      <c r="Q297" s="13" t="str">
        <f>VLOOKUP($B297,Deals_Demo!$H:$N,7,0)</f>
        <v>strategy_09_demo</v>
      </c>
      <c r="R297" s="13" t="str">
        <f t="shared" si="48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49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2"/>
        <v>-0.307</v>
      </c>
      <c r="Y297" s="13">
        <f t="shared" si="43"/>
        <v>-0.61399999999999999</v>
      </c>
      <c r="Z297" s="13">
        <f t="shared" si="44"/>
        <v>-0.92099999999999993</v>
      </c>
      <c r="AA297" s="13">
        <f t="shared" si="50"/>
        <v>-3</v>
      </c>
    </row>
    <row r="298" spans="1:27" x14ac:dyDescent="0.25">
      <c r="A298" s="35">
        <v>45918.353564814817</v>
      </c>
      <c r="B298" s="36">
        <v>443219391</v>
      </c>
      <c r="C298" s="37" t="s">
        <v>36</v>
      </c>
      <c r="D298" s="37" t="s">
        <v>37</v>
      </c>
      <c r="E298" s="37" t="s">
        <v>38</v>
      </c>
      <c r="F298" s="38">
        <v>3657.87</v>
      </c>
      <c r="G298" s="38">
        <v>3654.9</v>
      </c>
      <c r="H298" s="38">
        <v>3659.4</v>
      </c>
      <c r="I298" s="37" t="s">
        <v>489</v>
      </c>
      <c r="J298" s="38">
        <v>3654.88</v>
      </c>
      <c r="K298" s="38">
        <v>0</v>
      </c>
      <c r="L298" s="38">
        <v>0</v>
      </c>
      <c r="M298" s="39">
        <v>-2.99</v>
      </c>
      <c r="N298" s="10" t="str">
        <f t="shared" si="45"/>
        <v>L</v>
      </c>
      <c r="O298" s="11">
        <f t="shared" si="46"/>
        <v>45918</v>
      </c>
      <c r="P298" s="12" t="str">
        <f t="shared" si="47"/>
        <v>08</v>
      </c>
      <c r="Q298" s="13" t="str">
        <f>VLOOKUP($B298,Deals_Demo!$H:$N,7,0)</f>
        <v>strategy_12_demo</v>
      </c>
      <c r="R298" s="13" t="str">
        <f t="shared" si="48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49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2"/>
        <v>-0.29900000000000004</v>
      </c>
      <c r="Y298" s="13">
        <f t="shared" si="43"/>
        <v>-0.59800000000000009</v>
      </c>
      <c r="Z298" s="13">
        <f t="shared" si="44"/>
        <v>-0.89700000000000002</v>
      </c>
      <c r="AA298" s="13">
        <f t="shared" si="50"/>
        <v>-3</v>
      </c>
    </row>
    <row r="299" spans="1:27" x14ac:dyDescent="0.25">
      <c r="A299" s="40">
        <v>45918.353564814817</v>
      </c>
      <c r="B299" s="41">
        <v>443219392</v>
      </c>
      <c r="C299" s="42" t="s">
        <v>36</v>
      </c>
      <c r="D299" s="42" t="s">
        <v>37</v>
      </c>
      <c r="E299" s="42" t="s">
        <v>38</v>
      </c>
      <c r="F299" s="43">
        <v>3657.84</v>
      </c>
      <c r="G299" s="43">
        <v>3655.37</v>
      </c>
      <c r="H299" s="43">
        <v>3660.87</v>
      </c>
      <c r="I299" s="42" t="s">
        <v>490</v>
      </c>
      <c r="J299" s="43">
        <v>3655.36</v>
      </c>
      <c r="K299" s="43">
        <v>0</v>
      </c>
      <c r="L299" s="43">
        <v>0</v>
      </c>
      <c r="M299" s="44">
        <v>-2.48</v>
      </c>
      <c r="N299" s="10" t="str">
        <f t="shared" si="45"/>
        <v>L</v>
      </c>
      <c r="O299" s="11">
        <f t="shared" si="46"/>
        <v>45918</v>
      </c>
      <c r="P299" s="12" t="str">
        <f t="shared" si="47"/>
        <v>08</v>
      </c>
      <c r="Q299" s="13" t="str">
        <f>VLOOKUP($B299,Deals_Demo!$H:$N,7,0)</f>
        <v>strategy_10_demo</v>
      </c>
      <c r="R299" s="13" t="str">
        <f t="shared" si="48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49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2"/>
        <v>-0.248</v>
      </c>
      <c r="Y299" s="13">
        <f t="shared" si="43"/>
        <v>-0.496</v>
      </c>
      <c r="Z299" s="13">
        <f t="shared" si="44"/>
        <v>-0.74399999999999999</v>
      </c>
      <c r="AA299" s="13">
        <f t="shared" si="50"/>
        <v>-3</v>
      </c>
    </row>
    <row r="300" spans="1:27" x14ac:dyDescent="0.25">
      <c r="A300" s="35">
        <v>45918.353564814817</v>
      </c>
      <c r="B300" s="36">
        <v>443219395</v>
      </c>
      <c r="C300" s="37" t="s">
        <v>36</v>
      </c>
      <c r="D300" s="37" t="s">
        <v>37</v>
      </c>
      <c r="E300" s="37" t="s">
        <v>38</v>
      </c>
      <c r="F300" s="38">
        <v>3657.84</v>
      </c>
      <c r="G300" s="38">
        <v>3654.87</v>
      </c>
      <c r="H300" s="38">
        <v>3661.37</v>
      </c>
      <c r="I300" s="37" t="s">
        <v>491</v>
      </c>
      <c r="J300" s="38">
        <v>3654.87</v>
      </c>
      <c r="K300" s="38">
        <v>0</v>
      </c>
      <c r="L300" s="38">
        <v>0</v>
      </c>
      <c r="M300" s="39">
        <v>-2.97</v>
      </c>
      <c r="N300" s="10" t="str">
        <f t="shared" si="45"/>
        <v>L</v>
      </c>
      <c r="O300" s="11">
        <f t="shared" si="46"/>
        <v>45918</v>
      </c>
      <c r="P300" s="12" t="str">
        <f t="shared" si="47"/>
        <v>08</v>
      </c>
      <c r="Q300" s="13" t="str">
        <f>VLOOKUP($B300,Deals_Demo!$H:$N,7,0)</f>
        <v>strategy_11_demo</v>
      </c>
      <c r="R300" s="13" t="str">
        <f t="shared" si="48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49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2"/>
        <v>-0.29700000000000004</v>
      </c>
      <c r="Y300" s="13">
        <f t="shared" si="43"/>
        <v>-0.59400000000000008</v>
      </c>
      <c r="Z300" s="13">
        <f t="shared" si="44"/>
        <v>-0.89100000000000001</v>
      </c>
      <c r="AA300" s="13">
        <f t="shared" si="50"/>
        <v>-3</v>
      </c>
    </row>
    <row r="301" spans="1:27" x14ac:dyDescent="0.25">
      <c r="A301" s="40">
        <v>45918.353576388887</v>
      </c>
      <c r="B301" s="41">
        <v>443219399</v>
      </c>
      <c r="C301" s="42" t="s">
        <v>36</v>
      </c>
      <c r="D301" s="42" t="s">
        <v>37</v>
      </c>
      <c r="E301" s="42" t="s">
        <v>38</v>
      </c>
      <c r="F301" s="43">
        <v>3657.87</v>
      </c>
      <c r="G301" s="43">
        <v>3654.87</v>
      </c>
      <c r="H301" s="43">
        <v>3660.87</v>
      </c>
      <c r="I301" s="42" t="s">
        <v>491</v>
      </c>
      <c r="J301" s="43">
        <v>3654.87</v>
      </c>
      <c r="K301" s="43">
        <v>0</v>
      </c>
      <c r="L301" s="43">
        <v>0</v>
      </c>
      <c r="M301" s="44">
        <v>-3</v>
      </c>
      <c r="N301" s="10" t="str">
        <f t="shared" si="45"/>
        <v>L</v>
      </c>
      <c r="O301" s="11">
        <f t="shared" si="46"/>
        <v>45918</v>
      </c>
      <c r="P301" s="12" t="str">
        <f t="shared" si="47"/>
        <v>08</v>
      </c>
      <c r="Q301" s="13" t="str">
        <f>VLOOKUP($B301,Deals_Demo!$H:$N,7,0)</f>
        <v>strategy_09_demo</v>
      </c>
      <c r="R301" s="13" t="str">
        <f t="shared" si="48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49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2"/>
        <v>-0.30000000000000004</v>
      </c>
      <c r="Y301" s="13">
        <f t="shared" si="43"/>
        <v>-0.60000000000000009</v>
      </c>
      <c r="Z301" s="13">
        <f t="shared" si="44"/>
        <v>-0.89999999999999991</v>
      </c>
      <c r="AA301" s="13">
        <f t="shared" si="50"/>
        <v>-3</v>
      </c>
    </row>
    <row r="302" spans="1:27" x14ac:dyDescent="0.25">
      <c r="A302" s="35">
        <v>45918.363981481481</v>
      </c>
      <c r="B302" s="36">
        <v>443224528</v>
      </c>
      <c r="C302" s="37" t="s">
        <v>36</v>
      </c>
      <c r="D302" s="37" t="s">
        <v>39</v>
      </c>
      <c r="E302" s="37" t="s">
        <v>38</v>
      </c>
      <c r="F302" s="38">
        <v>3653.51</v>
      </c>
      <c r="G302" s="38">
        <v>3653.19</v>
      </c>
      <c r="H302" s="38">
        <v>3650.51</v>
      </c>
      <c r="I302" s="37" t="s">
        <v>492</v>
      </c>
      <c r="J302" s="38">
        <v>3653.2</v>
      </c>
      <c r="K302" s="38">
        <v>0</v>
      </c>
      <c r="L302" s="38">
        <v>0</v>
      </c>
      <c r="M302" s="39">
        <v>0.31</v>
      </c>
      <c r="N302" s="10" t="str">
        <f t="shared" si="45"/>
        <v>W</v>
      </c>
      <c r="O302" s="11">
        <f t="shared" si="46"/>
        <v>45918</v>
      </c>
      <c r="P302" s="12" t="str">
        <f t="shared" si="47"/>
        <v>08</v>
      </c>
      <c r="Q302" s="13" t="str">
        <f>VLOOKUP($B302,Deals_Demo!$H:$N,7,0)</f>
        <v>strategy_10_demo</v>
      </c>
      <c r="R302" s="13" t="str">
        <f t="shared" si="48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49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2"/>
        <v>3.1E-2</v>
      </c>
      <c r="Y302" s="13">
        <f t="shared" si="43"/>
        <v>6.2E-2</v>
      </c>
      <c r="Z302" s="13">
        <f t="shared" si="44"/>
        <v>9.2999999999999999E-2</v>
      </c>
      <c r="AA302" s="13">
        <f t="shared" si="50"/>
        <v>-3</v>
      </c>
    </row>
    <row r="303" spans="1:27" x14ac:dyDescent="0.25">
      <c r="A303" s="40">
        <v>45918.363981481481</v>
      </c>
      <c r="B303" s="41">
        <v>443224529</v>
      </c>
      <c r="C303" s="42" t="s">
        <v>36</v>
      </c>
      <c r="D303" s="42" t="s">
        <v>39</v>
      </c>
      <c r="E303" s="42" t="s">
        <v>38</v>
      </c>
      <c r="F303" s="43">
        <v>3653.51</v>
      </c>
      <c r="G303" s="43">
        <v>3653.19</v>
      </c>
      <c r="H303" s="43">
        <v>3650.01</v>
      </c>
      <c r="I303" s="42" t="s">
        <v>492</v>
      </c>
      <c r="J303" s="43">
        <v>3653.2</v>
      </c>
      <c r="K303" s="43">
        <v>0</v>
      </c>
      <c r="L303" s="43">
        <v>0</v>
      </c>
      <c r="M303" s="44">
        <v>0.31</v>
      </c>
      <c r="N303" s="10" t="str">
        <f t="shared" si="45"/>
        <v>W</v>
      </c>
      <c r="O303" s="11">
        <f t="shared" si="46"/>
        <v>45918</v>
      </c>
      <c r="P303" s="12" t="str">
        <f t="shared" si="47"/>
        <v>08</v>
      </c>
      <c r="Q303" s="13" t="str">
        <f>VLOOKUP($B303,Deals_Demo!$H:$N,7,0)</f>
        <v>strategy_11_demo</v>
      </c>
      <c r="R303" s="13" t="str">
        <f t="shared" si="48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49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2"/>
        <v>3.1E-2</v>
      </c>
      <c r="Y303" s="13">
        <f t="shared" si="43"/>
        <v>6.2E-2</v>
      </c>
      <c r="Z303" s="13">
        <f t="shared" si="44"/>
        <v>9.2999999999999999E-2</v>
      </c>
      <c r="AA303" s="13">
        <f t="shared" si="50"/>
        <v>-3</v>
      </c>
    </row>
    <row r="304" spans="1:27" x14ac:dyDescent="0.25">
      <c r="A304" s="35">
        <v>45918.363981481481</v>
      </c>
      <c r="B304" s="36">
        <v>443224531</v>
      </c>
      <c r="C304" s="37" t="s">
        <v>36</v>
      </c>
      <c r="D304" s="37" t="s">
        <v>39</v>
      </c>
      <c r="E304" s="37" t="s">
        <v>38</v>
      </c>
      <c r="F304" s="38">
        <v>3653.51</v>
      </c>
      <c r="G304" s="38">
        <v>3653.19</v>
      </c>
      <c r="H304" s="38">
        <v>3652.01</v>
      </c>
      <c r="I304" s="37" t="s">
        <v>492</v>
      </c>
      <c r="J304" s="38">
        <v>3653.2</v>
      </c>
      <c r="K304" s="38">
        <v>0</v>
      </c>
      <c r="L304" s="38">
        <v>0</v>
      </c>
      <c r="M304" s="39">
        <v>0.31</v>
      </c>
      <c r="N304" s="10" t="str">
        <f t="shared" si="45"/>
        <v>W</v>
      </c>
      <c r="O304" s="11">
        <f t="shared" si="46"/>
        <v>45918</v>
      </c>
      <c r="P304" s="12" t="str">
        <f t="shared" si="47"/>
        <v>08</v>
      </c>
      <c r="Q304" s="13" t="str">
        <f>VLOOKUP($B304,Deals_Demo!$H:$N,7,0)</f>
        <v>strategy_12_demo</v>
      </c>
      <c r="R304" s="13" t="str">
        <f t="shared" si="48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49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2"/>
        <v>3.1E-2</v>
      </c>
      <c r="Y304" s="13">
        <f t="shared" si="43"/>
        <v>6.2E-2</v>
      </c>
      <c r="Z304" s="13">
        <f t="shared" si="44"/>
        <v>9.2999999999999999E-2</v>
      </c>
      <c r="AA304" s="13">
        <f t="shared" si="50"/>
        <v>-3</v>
      </c>
    </row>
    <row r="305" spans="1:27" x14ac:dyDescent="0.25">
      <c r="A305" s="40">
        <v>45918.363993055558</v>
      </c>
      <c r="B305" s="41">
        <v>443224532</v>
      </c>
      <c r="C305" s="42" t="s">
        <v>36</v>
      </c>
      <c r="D305" s="42" t="s">
        <v>39</v>
      </c>
      <c r="E305" s="42" t="s">
        <v>38</v>
      </c>
      <c r="F305" s="43">
        <v>3653.5</v>
      </c>
      <c r="G305" s="43">
        <v>3653.19</v>
      </c>
      <c r="H305" s="43">
        <v>3650.51</v>
      </c>
      <c r="I305" s="42" t="s">
        <v>492</v>
      </c>
      <c r="J305" s="43">
        <v>3653.2</v>
      </c>
      <c r="K305" s="43">
        <v>0</v>
      </c>
      <c r="L305" s="43">
        <v>0</v>
      </c>
      <c r="M305" s="44">
        <v>0.3</v>
      </c>
      <c r="N305" s="10" t="str">
        <f t="shared" si="45"/>
        <v>W</v>
      </c>
      <c r="O305" s="11">
        <f t="shared" si="46"/>
        <v>45918</v>
      </c>
      <c r="P305" s="12" t="str">
        <f t="shared" si="47"/>
        <v>08</v>
      </c>
      <c r="Q305" s="13" t="str">
        <f>VLOOKUP($B305,Deals_Demo!$H:$N,7,0)</f>
        <v>strategy_09_demo</v>
      </c>
      <c r="R305" s="13" t="str">
        <f t="shared" si="48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49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2"/>
        <v>0.03</v>
      </c>
      <c r="Y305" s="13">
        <f t="shared" si="43"/>
        <v>0.06</v>
      </c>
      <c r="Z305" s="13">
        <f t="shared" si="44"/>
        <v>0.09</v>
      </c>
      <c r="AA305" s="13">
        <f t="shared" si="50"/>
        <v>-3</v>
      </c>
    </row>
    <row r="306" spans="1:27" x14ac:dyDescent="0.25">
      <c r="A306" s="35">
        <v>45918.369305555556</v>
      </c>
      <c r="B306" s="36">
        <v>443226592</v>
      </c>
      <c r="C306" s="37" t="s">
        <v>36</v>
      </c>
      <c r="D306" s="37" t="s">
        <v>39</v>
      </c>
      <c r="E306" s="37" t="s">
        <v>38</v>
      </c>
      <c r="F306" s="38">
        <v>3653.2</v>
      </c>
      <c r="G306" s="38">
        <v>3656.2</v>
      </c>
      <c r="H306" s="38">
        <v>3651.7</v>
      </c>
      <c r="I306" s="37" t="s">
        <v>493</v>
      </c>
      <c r="J306" s="38">
        <v>3651.21</v>
      </c>
      <c r="K306" s="38">
        <v>0</v>
      </c>
      <c r="L306" s="38">
        <v>0</v>
      </c>
      <c r="M306" s="39">
        <v>1.99</v>
      </c>
      <c r="N306" s="10" t="str">
        <f t="shared" si="45"/>
        <v>W</v>
      </c>
      <c r="O306" s="11">
        <f t="shared" si="46"/>
        <v>45918</v>
      </c>
      <c r="P306" s="12" t="str">
        <f t="shared" si="47"/>
        <v>08</v>
      </c>
      <c r="Q306" s="13" t="str">
        <f>VLOOKUP($B306,Deals_Demo!$H:$N,7,0)</f>
        <v>strategy_12_demo</v>
      </c>
      <c r="R306" s="13" t="str">
        <f t="shared" si="48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49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2"/>
        <v>0.19900000000000001</v>
      </c>
      <c r="Y306" s="13">
        <f t="shared" si="43"/>
        <v>0.39800000000000002</v>
      </c>
      <c r="Z306" s="13">
        <f t="shared" si="44"/>
        <v>0.59699999999999998</v>
      </c>
      <c r="AA306" s="13">
        <f t="shared" si="50"/>
        <v>-3</v>
      </c>
    </row>
    <row r="307" spans="1:27" x14ac:dyDescent="0.25">
      <c r="A307" s="40">
        <v>45918.369305555556</v>
      </c>
      <c r="B307" s="41">
        <v>443226594</v>
      </c>
      <c r="C307" s="42" t="s">
        <v>36</v>
      </c>
      <c r="D307" s="42" t="s">
        <v>39</v>
      </c>
      <c r="E307" s="42" t="s">
        <v>38</v>
      </c>
      <c r="F307" s="43">
        <v>3652.86</v>
      </c>
      <c r="G307" s="43">
        <v>3655.57</v>
      </c>
      <c r="H307" s="43">
        <v>3650.07</v>
      </c>
      <c r="I307" s="42" t="s">
        <v>494</v>
      </c>
      <c r="J307" s="43">
        <v>3649.86</v>
      </c>
      <c r="K307" s="43">
        <v>0</v>
      </c>
      <c r="L307" s="43">
        <v>0</v>
      </c>
      <c r="M307" s="44">
        <v>3</v>
      </c>
      <c r="N307" s="10" t="str">
        <f t="shared" si="45"/>
        <v>W</v>
      </c>
      <c r="O307" s="11">
        <f t="shared" si="46"/>
        <v>45918</v>
      </c>
      <c r="P307" s="12" t="str">
        <f t="shared" si="47"/>
        <v>08</v>
      </c>
      <c r="Q307" s="13" t="str">
        <f>VLOOKUP($B307,Deals_Demo!$H:$N,7,0)</f>
        <v>strategy_10_demo</v>
      </c>
      <c r="R307" s="13" t="str">
        <f t="shared" si="48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49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2"/>
        <v>0.30000000000000004</v>
      </c>
      <c r="Y307" s="13">
        <f t="shared" si="43"/>
        <v>0.60000000000000009</v>
      </c>
      <c r="Z307" s="13">
        <f t="shared" si="44"/>
        <v>0.89999999999999991</v>
      </c>
      <c r="AA307" s="13">
        <f t="shared" si="50"/>
        <v>3</v>
      </c>
    </row>
    <row r="308" spans="1:27" x14ac:dyDescent="0.25">
      <c r="A308" s="35">
        <v>45918.369305555556</v>
      </c>
      <c r="B308" s="36">
        <v>443226595</v>
      </c>
      <c r="C308" s="37" t="s">
        <v>36</v>
      </c>
      <c r="D308" s="37" t="s">
        <v>39</v>
      </c>
      <c r="E308" s="37" t="s">
        <v>38</v>
      </c>
      <c r="F308" s="38">
        <v>3652.96</v>
      </c>
      <c r="G308" s="38">
        <v>3652.04</v>
      </c>
      <c r="H308" s="38">
        <v>3649.57</v>
      </c>
      <c r="I308" s="37" t="s">
        <v>495</v>
      </c>
      <c r="J308" s="38">
        <v>3652.04</v>
      </c>
      <c r="K308" s="38">
        <v>0</v>
      </c>
      <c r="L308" s="38">
        <v>0</v>
      </c>
      <c r="M308" s="39">
        <v>0.92</v>
      </c>
      <c r="N308" s="10" t="str">
        <f t="shared" si="45"/>
        <v>W</v>
      </c>
      <c r="O308" s="11">
        <f t="shared" si="46"/>
        <v>45918</v>
      </c>
      <c r="P308" s="12" t="str">
        <f t="shared" si="47"/>
        <v>08</v>
      </c>
      <c r="Q308" s="13" t="str">
        <f>VLOOKUP($B308,Deals_Demo!$H:$N,7,0)</f>
        <v>strategy_11_demo</v>
      </c>
      <c r="R308" s="13" t="str">
        <f t="shared" si="48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49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2"/>
        <v>9.2000000000000012E-2</v>
      </c>
      <c r="Y308" s="13">
        <f t="shared" si="43"/>
        <v>0.18400000000000002</v>
      </c>
      <c r="Z308" s="13">
        <f t="shared" si="44"/>
        <v>0.27600000000000002</v>
      </c>
      <c r="AA308" s="13">
        <f t="shared" si="50"/>
        <v>-3</v>
      </c>
    </row>
    <row r="309" spans="1:27" x14ac:dyDescent="0.25">
      <c r="A309" s="40">
        <v>45918.369317129633</v>
      </c>
      <c r="B309" s="41">
        <v>443226596</v>
      </c>
      <c r="C309" s="42" t="s">
        <v>36</v>
      </c>
      <c r="D309" s="42" t="s">
        <v>39</v>
      </c>
      <c r="E309" s="42" t="s">
        <v>38</v>
      </c>
      <c r="F309" s="43">
        <v>3652.95</v>
      </c>
      <c r="G309" s="43">
        <v>3656.07</v>
      </c>
      <c r="H309" s="43">
        <v>3650.07</v>
      </c>
      <c r="I309" s="42" t="s">
        <v>494</v>
      </c>
      <c r="J309" s="43">
        <v>3649.86</v>
      </c>
      <c r="K309" s="43">
        <v>0</v>
      </c>
      <c r="L309" s="43">
        <v>0</v>
      </c>
      <c r="M309" s="44">
        <v>3.09</v>
      </c>
      <c r="N309" s="10" t="str">
        <f t="shared" si="45"/>
        <v>W</v>
      </c>
      <c r="O309" s="11">
        <f t="shared" si="46"/>
        <v>45918</v>
      </c>
      <c r="P309" s="12" t="str">
        <f t="shared" si="47"/>
        <v>08</v>
      </c>
      <c r="Q309" s="13" t="str">
        <f>VLOOKUP($B309,Deals_Demo!$H:$N,7,0)</f>
        <v>strategy_09_demo</v>
      </c>
      <c r="R309" s="13" t="str">
        <f t="shared" si="48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49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2"/>
        <v>0.309</v>
      </c>
      <c r="Y309" s="13">
        <f t="shared" si="43"/>
        <v>0.61799999999999999</v>
      </c>
      <c r="Z309" s="13">
        <f t="shared" si="44"/>
        <v>0.92699999999999994</v>
      </c>
      <c r="AA309" s="13">
        <f t="shared" si="50"/>
        <v>3.09</v>
      </c>
    </row>
    <row r="310" spans="1:27" x14ac:dyDescent="0.25">
      <c r="A310" s="35">
        <v>45918.372314814813</v>
      </c>
      <c r="B310" s="36">
        <v>443229730</v>
      </c>
      <c r="C310" s="37" t="s">
        <v>36</v>
      </c>
      <c r="D310" s="37" t="s">
        <v>39</v>
      </c>
      <c r="E310" s="37" t="s">
        <v>38</v>
      </c>
      <c r="F310" s="38">
        <v>3651.79</v>
      </c>
      <c r="G310" s="38">
        <v>3654.84</v>
      </c>
      <c r="H310" s="38">
        <v>3650.34</v>
      </c>
      <c r="I310" s="37" t="s">
        <v>496</v>
      </c>
      <c r="J310" s="38">
        <v>3650.27</v>
      </c>
      <c r="K310" s="38">
        <v>0</v>
      </c>
      <c r="L310" s="38">
        <v>0</v>
      </c>
      <c r="M310" s="39">
        <v>1.52</v>
      </c>
      <c r="N310" s="10" t="str">
        <f t="shared" si="45"/>
        <v>W</v>
      </c>
      <c r="O310" s="11">
        <f t="shared" si="46"/>
        <v>45918</v>
      </c>
      <c r="P310" s="12" t="str">
        <f t="shared" si="47"/>
        <v>08</v>
      </c>
      <c r="Q310" s="13" t="str">
        <f>VLOOKUP($B310,Deals_Demo!$H:$N,7,0)</f>
        <v>strategy_12_demo</v>
      </c>
      <c r="R310" s="13" t="str">
        <f t="shared" si="48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49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2"/>
        <v>0.15200000000000002</v>
      </c>
      <c r="Y310" s="13">
        <f t="shared" si="43"/>
        <v>0.30400000000000005</v>
      </c>
      <c r="Z310" s="13">
        <f t="shared" si="44"/>
        <v>0.45599999999999996</v>
      </c>
      <c r="AA310" s="13">
        <f t="shared" si="50"/>
        <v>-3</v>
      </c>
    </row>
    <row r="311" spans="1:27" x14ac:dyDescent="0.25">
      <c r="A311" s="40">
        <v>45918.372314814813</v>
      </c>
      <c r="B311" s="41">
        <v>443229731</v>
      </c>
      <c r="C311" s="42" t="s">
        <v>36</v>
      </c>
      <c r="D311" s="42" t="s">
        <v>39</v>
      </c>
      <c r="E311" s="42" t="s">
        <v>38</v>
      </c>
      <c r="F311" s="43">
        <v>3651.79</v>
      </c>
      <c r="G311" s="43">
        <v>3650.54</v>
      </c>
      <c r="H311" s="43">
        <v>3648.79</v>
      </c>
      <c r="I311" s="42" t="s">
        <v>497</v>
      </c>
      <c r="J311" s="43">
        <v>3648.78</v>
      </c>
      <c r="K311" s="43">
        <v>0</v>
      </c>
      <c r="L311" s="43">
        <v>0</v>
      </c>
      <c r="M311" s="44">
        <v>3.01</v>
      </c>
      <c r="N311" s="10" t="str">
        <f t="shared" si="45"/>
        <v>W</v>
      </c>
      <c r="O311" s="11">
        <f t="shared" si="46"/>
        <v>45918</v>
      </c>
      <c r="P311" s="12" t="str">
        <f t="shared" si="47"/>
        <v>08</v>
      </c>
      <c r="Q311" s="13" t="str">
        <f>VLOOKUP($B311,Deals_Demo!$H:$N,7,0)</f>
        <v>strategy_09_demo</v>
      </c>
      <c r="R311" s="13" t="str">
        <f t="shared" si="48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49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2"/>
        <v>0.30099999999999999</v>
      </c>
      <c r="Y311" s="13">
        <f t="shared" si="43"/>
        <v>0.60199999999999998</v>
      </c>
      <c r="Z311" s="13">
        <f t="shared" si="44"/>
        <v>0.90299999999999991</v>
      </c>
      <c r="AA311" s="13">
        <f t="shared" si="50"/>
        <v>3.01</v>
      </c>
    </row>
    <row r="312" spans="1:27" x14ac:dyDescent="0.25">
      <c r="A312" s="35">
        <v>45918.372314814813</v>
      </c>
      <c r="B312" s="36">
        <v>443229732</v>
      </c>
      <c r="C312" s="37" t="s">
        <v>36</v>
      </c>
      <c r="D312" s="37" t="s">
        <v>39</v>
      </c>
      <c r="E312" s="37" t="s">
        <v>38</v>
      </c>
      <c r="F312" s="38">
        <v>3651.79</v>
      </c>
      <c r="G312" s="38">
        <v>3650.44</v>
      </c>
      <c r="H312" s="38">
        <v>3648.79</v>
      </c>
      <c r="I312" s="37" t="s">
        <v>497</v>
      </c>
      <c r="J312" s="38">
        <v>3648.78</v>
      </c>
      <c r="K312" s="38">
        <v>0</v>
      </c>
      <c r="L312" s="38">
        <v>0</v>
      </c>
      <c r="M312" s="39">
        <v>3.01</v>
      </c>
      <c r="N312" s="10" t="str">
        <f t="shared" si="45"/>
        <v>W</v>
      </c>
      <c r="O312" s="11">
        <f t="shared" si="46"/>
        <v>45918</v>
      </c>
      <c r="P312" s="12" t="str">
        <f t="shared" si="47"/>
        <v>08</v>
      </c>
      <c r="Q312" s="13" t="str">
        <f>VLOOKUP($B312,Deals_Demo!$H:$N,7,0)</f>
        <v>strategy_10_demo</v>
      </c>
      <c r="R312" s="13" t="str">
        <f t="shared" si="48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49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2"/>
        <v>0.30099999999999999</v>
      </c>
      <c r="Y312" s="13">
        <f t="shared" si="43"/>
        <v>0.60199999999999998</v>
      </c>
      <c r="Z312" s="13">
        <f t="shared" si="44"/>
        <v>0.90299999999999991</v>
      </c>
      <c r="AA312" s="13">
        <f t="shared" si="50"/>
        <v>3.01</v>
      </c>
    </row>
    <row r="313" spans="1:27" x14ac:dyDescent="0.25">
      <c r="A313" s="40">
        <v>45918.37232638889</v>
      </c>
      <c r="B313" s="41">
        <v>443229733</v>
      </c>
      <c r="C313" s="42" t="s">
        <v>36</v>
      </c>
      <c r="D313" s="42" t="s">
        <v>39</v>
      </c>
      <c r="E313" s="42" t="s">
        <v>38</v>
      </c>
      <c r="F313" s="43">
        <v>3651.71</v>
      </c>
      <c r="G313" s="43">
        <v>3650.43</v>
      </c>
      <c r="H313" s="43">
        <v>3648.29</v>
      </c>
      <c r="I313" s="42" t="s">
        <v>498</v>
      </c>
      <c r="J313" s="43">
        <v>3648.23</v>
      </c>
      <c r="K313" s="43">
        <v>0</v>
      </c>
      <c r="L313" s="43">
        <v>0</v>
      </c>
      <c r="M313" s="44">
        <v>3.48</v>
      </c>
      <c r="N313" s="10" t="str">
        <f t="shared" si="45"/>
        <v>W</v>
      </c>
      <c r="O313" s="11">
        <f t="shared" si="46"/>
        <v>45918</v>
      </c>
      <c r="P313" s="12" t="str">
        <f t="shared" si="47"/>
        <v>08</v>
      </c>
      <c r="Q313" s="13" t="str">
        <f>VLOOKUP($B313,Deals_Demo!$H:$N,7,0)</f>
        <v>strategy_11_demo</v>
      </c>
      <c r="R313" s="13" t="str">
        <f t="shared" si="48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49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2"/>
        <v>0.34800000000000003</v>
      </c>
      <c r="Y313" s="13">
        <f t="shared" si="43"/>
        <v>0.69600000000000006</v>
      </c>
      <c r="Z313" s="13">
        <f t="shared" si="44"/>
        <v>1.044</v>
      </c>
      <c r="AA313" s="13">
        <f t="shared" si="50"/>
        <v>3.48</v>
      </c>
    </row>
    <row r="314" spans="1:27" x14ac:dyDescent="0.25">
      <c r="A314" s="35">
        <v>45918.386203703703</v>
      </c>
      <c r="B314" s="36">
        <v>443246235</v>
      </c>
      <c r="C314" s="37" t="s">
        <v>36</v>
      </c>
      <c r="D314" s="37" t="s">
        <v>39</v>
      </c>
      <c r="E314" s="37" t="s">
        <v>38</v>
      </c>
      <c r="F314" s="38">
        <v>3637.97</v>
      </c>
      <c r="G314" s="38">
        <v>3637.39</v>
      </c>
      <c r="H314" s="38">
        <v>3634.46</v>
      </c>
      <c r="I314" s="37" t="s">
        <v>499</v>
      </c>
      <c r="J314" s="38">
        <v>3637.63</v>
      </c>
      <c r="K314" s="38">
        <v>0</v>
      </c>
      <c r="L314" s="38">
        <v>0</v>
      </c>
      <c r="M314" s="39">
        <v>0.34</v>
      </c>
      <c r="N314" s="10" t="str">
        <f t="shared" si="45"/>
        <v>W</v>
      </c>
      <c r="O314" s="11">
        <f t="shared" si="46"/>
        <v>45918</v>
      </c>
      <c r="P314" s="12" t="str">
        <f t="shared" si="47"/>
        <v>09</v>
      </c>
      <c r="Q314" s="13" t="str">
        <f>VLOOKUP($B314,Deals_Demo!$H:$N,7,0)</f>
        <v>strategy_11_demo</v>
      </c>
      <c r="R314" s="13" t="str">
        <f t="shared" si="48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49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2"/>
        <v>3.4000000000000002E-2</v>
      </c>
      <c r="Y314" s="13">
        <f t="shared" si="43"/>
        <v>6.8000000000000005E-2</v>
      </c>
      <c r="Z314" s="13">
        <f t="shared" si="44"/>
        <v>0.10200000000000001</v>
      </c>
      <c r="AA314" s="13">
        <f t="shared" si="50"/>
        <v>-3</v>
      </c>
    </row>
    <row r="315" spans="1:27" x14ac:dyDescent="0.25">
      <c r="A315" s="40">
        <v>45918.386203703703</v>
      </c>
      <c r="B315" s="41">
        <v>443246239</v>
      </c>
      <c r="C315" s="42" t="s">
        <v>36</v>
      </c>
      <c r="D315" s="42" t="s">
        <v>39</v>
      </c>
      <c r="E315" s="42" t="s">
        <v>38</v>
      </c>
      <c r="F315" s="43">
        <v>3638.03</v>
      </c>
      <c r="G315" s="43">
        <v>3637.33</v>
      </c>
      <c r="H315" s="43">
        <v>3634.97</v>
      </c>
      <c r="I315" s="42" t="s">
        <v>499</v>
      </c>
      <c r="J315" s="43">
        <v>3637.33</v>
      </c>
      <c r="K315" s="43">
        <v>0</v>
      </c>
      <c r="L315" s="43">
        <v>0</v>
      </c>
      <c r="M315" s="44">
        <v>0.7</v>
      </c>
      <c r="N315" s="10" t="str">
        <f t="shared" si="45"/>
        <v>W</v>
      </c>
      <c r="O315" s="11">
        <f t="shared" si="46"/>
        <v>45918</v>
      </c>
      <c r="P315" s="12" t="str">
        <f t="shared" si="47"/>
        <v>09</v>
      </c>
      <c r="Q315" s="13" t="str">
        <f>VLOOKUP($B315,Deals_Demo!$H:$N,7,0)</f>
        <v>strategy_10_demo</v>
      </c>
      <c r="R315" s="13" t="str">
        <f t="shared" si="48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49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2"/>
        <v>6.9999999999999993E-2</v>
      </c>
      <c r="Y315" s="13">
        <f t="shared" si="43"/>
        <v>0.13999999999999999</v>
      </c>
      <c r="Z315" s="13">
        <f t="shared" si="44"/>
        <v>0.21</v>
      </c>
      <c r="AA315" s="13">
        <f t="shared" si="50"/>
        <v>-3</v>
      </c>
    </row>
    <row r="316" spans="1:27" x14ac:dyDescent="0.25">
      <c r="A316" s="35">
        <v>45918.386203703703</v>
      </c>
      <c r="B316" s="36">
        <v>443246241</v>
      </c>
      <c r="C316" s="37" t="s">
        <v>36</v>
      </c>
      <c r="D316" s="37" t="s">
        <v>39</v>
      </c>
      <c r="E316" s="37" t="s">
        <v>38</v>
      </c>
      <c r="F316" s="38">
        <v>3638.01</v>
      </c>
      <c r="G316" s="38">
        <v>3637.34</v>
      </c>
      <c r="H316" s="38">
        <v>3634.97</v>
      </c>
      <c r="I316" s="37" t="s">
        <v>499</v>
      </c>
      <c r="J316" s="38">
        <v>3637.34</v>
      </c>
      <c r="K316" s="38">
        <v>0</v>
      </c>
      <c r="L316" s="38">
        <v>0</v>
      </c>
      <c r="M316" s="39">
        <v>0.67</v>
      </c>
      <c r="N316" s="10" t="str">
        <f t="shared" si="45"/>
        <v>W</v>
      </c>
      <c r="O316" s="11">
        <f t="shared" si="46"/>
        <v>45918</v>
      </c>
      <c r="P316" s="12" t="str">
        <f t="shared" si="47"/>
        <v>09</v>
      </c>
      <c r="Q316" s="13" t="str">
        <f>VLOOKUP($B316,Deals_Demo!$H:$N,7,0)</f>
        <v>strategy_09_demo</v>
      </c>
      <c r="R316" s="13" t="str">
        <f t="shared" si="48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49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2"/>
        <v>6.7000000000000004E-2</v>
      </c>
      <c r="Y316" s="13">
        <f t="shared" si="43"/>
        <v>0.13400000000000001</v>
      </c>
      <c r="Z316" s="13">
        <f t="shared" si="44"/>
        <v>0.20100000000000001</v>
      </c>
      <c r="AA316" s="13">
        <f t="shared" si="50"/>
        <v>-3</v>
      </c>
    </row>
    <row r="317" spans="1:27" x14ac:dyDescent="0.25">
      <c r="A317" s="40">
        <v>45918.38621527778</v>
      </c>
      <c r="B317" s="41">
        <v>443246243</v>
      </c>
      <c r="C317" s="42" t="s">
        <v>36</v>
      </c>
      <c r="D317" s="42" t="s">
        <v>39</v>
      </c>
      <c r="E317" s="42" t="s">
        <v>38</v>
      </c>
      <c r="F317" s="43">
        <v>3638.03</v>
      </c>
      <c r="G317" s="43">
        <v>3640.97</v>
      </c>
      <c r="H317" s="43">
        <v>3636.47</v>
      </c>
      <c r="I317" s="42" t="s">
        <v>500</v>
      </c>
      <c r="J317" s="43">
        <v>3636.4</v>
      </c>
      <c r="K317" s="43">
        <v>0</v>
      </c>
      <c r="L317" s="43">
        <v>0</v>
      </c>
      <c r="M317" s="44">
        <v>1.63</v>
      </c>
      <c r="N317" s="10" t="str">
        <f t="shared" si="45"/>
        <v>W</v>
      </c>
      <c r="O317" s="11">
        <f t="shared" si="46"/>
        <v>45918</v>
      </c>
      <c r="P317" s="12" t="str">
        <f t="shared" si="47"/>
        <v>09</v>
      </c>
      <c r="Q317" s="13" t="str">
        <f>VLOOKUP($B317,Deals_Demo!$H:$N,7,0)</f>
        <v>strategy_12_demo</v>
      </c>
      <c r="R317" s="13" t="str">
        <f t="shared" si="48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49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2"/>
        <v>0.16300000000000001</v>
      </c>
      <c r="Y317" s="13">
        <f t="shared" si="43"/>
        <v>0.32600000000000001</v>
      </c>
      <c r="Z317" s="13">
        <f t="shared" si="44"/>
        <v>0.48899999999999993</v>
      </c>
      <c r="AA317" s="13">
        <f t="shared" si="50"/>
        <v>-3</v>
      </c>
    </row>
    <row r="318" spans="1:27" x14ac:dyDescent="0.25">
      <c r="A318" s="35">
        <v>45918.387939814813</v>
      </c>
      <c r="B318" s="36">
        <v>443247469</v>
      </c>
      <c r="C318" s="37" t="s">
        <v>36</v>
      </c>
      <c r="D318" s="37" t="s">
        <v>39</v>
      </c>
      <c r="E318" s="37" t="s">
        <v>38</v>
      </c>
      <c r="F318" s="38">
        <v>3637.71</v>
      </c>
      <c r="G318" s="38">
        <v>3636.65</v>
      </c>
      <c r="H318" s="38">
        <v>3634.71</v>
      </c>
      <c r="I318" s="37" t="s">
        <v>501</v>
      </c>
      <c r="J318" s="38">
        <v>3634.66</v>
      </c>
      <c r="K318" s="38">
        <v>0</v>
      </c>
      <c r="L318" s="38">
        <v>0</v>
      </c>
      <c r="M318" s="39">
        <v>3.05</v>
      </c>
      <c r="N318" s="10" t="str">
        <f t="shared" si="45"/>
        <v>W</v>
      </c>
      <c r="O318" s="11">
        <f t="shared" si="46"/>
        <v>45918</v>
      </c>
      <c r="P318" s="12" t="str">
        <f t="shared" si="47"/>
        <v>09</v>
      </c>
      <c r="Q318" s="13" t="str">
        <f>VLOOKUP($B318,Deals_Demo!$H:$N,7,0)</f>
        <v>strategy_09_demo</v>
      </c>
      <c r="R318" s="13" t="str">
        <f t="shared" si="48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49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2"/>
        <v>0.30499999999999999</v>
      </c>
      <c r="Y318" s="13">
        <f t="shared" si="43"/>
        <v>0.61</v>
      </c>
      <c r="Z318" s="13">
        <f t="shared" si="44"/>
        <v>0.91499999999999992</v>
      </c>
      <c r="AA318" s="13">
        <f t="shared" si="50"/>
        <v>3.05</v>
      </c>
    </row>
    <row r="319" spans="1:27" x14ac:dyDescent="0.25">
      <c r="A319" s="40">
        <v>45918.387939814813</v>
      </c>
      <c r="B319" s="41">
        <v>443247470</v>
      </c>
      <c r="C319" s="42" t="s">
        <v>36</v>
      </c>
      <c r="D319" s="42" t="s">
        <v>39</v>
      </c>
      <c r="E319" s="42" t="s">
        <v>38</v>
      </c>
      <c r="F319" s="43">
        <v>3637.72</v>
      </c>
      <c r="G319" s="43">
        <v>3636.6</v>
      </c>
      <c r="H319" s="43">
        <v>3634.21</v>
      </c>
      <c r="I319" s="42" t="s">
        <v>502</v>
      </c>
      <c r="J319" s="43">
        <v>3636.79</v>
      </c>
      <c r="K319" s="43">
        <v>0</v>
      </c>
      <c r="L319" s="43">
        <v>0</v>
      </c>
      <c r="M319" s="44">
        <v>0.93</v>
      </c>
      <c r="N319" s="10" t="str">
        <f t="shared" si="45"/>
        <v>W</v>
      </c>
      <c r="O319" s="11">
        <f t="shared" si="46"/>
        <v>45918</v>
      </c>
      <c r="P319" s="12" t="str">
        <f t="shared" si="47"/>
        <v>09</v>
      </c>
      <c r="Q319" s="13" t="str">
        <f>VLOOKUP($B319,Deals_Demo!$H:$N,7,0)</f>
        <v>strategy_11_demo</v>
      </c>
      <c r="R319" s="13" t="str">
        <f t="shared" si="48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49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2"/>
        <v>9.3000000000000013E-2</v>
      </c>
      <c r="Y319" s="13">
        <f t="shared" si="43"/>
        <v>0.18600000000000003</v>
      </c>
      <c r="Z319" s="13">
        <f t="shared" si="44"/>
        <v>0.27900000000000003</v>
      </c>
      <c r="AA319" s="13">
        <f t="shared" si="50"/>
        <v>-3</v>
      </c>
    </row>
    <row r="320" spans="1:27" x14ac:dyDescent="0.25">
      <c r="A320" s="35">
        <v>45918.387939814813</v>
      </c>
      <c r="B320" s="36">
        <v>443247471</v>
      </c>
      <c r="C320" s="37" t="s">
        <v>36</v>
      </c>
      <c r="D320" s="37" t="s">
        <v>39</v>
      </c>
      <c r="E320" s="37" t="s">
        <v>38</v>
      </c>
      <c r="F320" s="38">
        <v>3637.73</v>
      </c>
      <c r="G320" s="38">
        <v>3640.71</v>
      </c>
      <c r="H320" s="38">
        <v>3636.21</v>
      </c>
      <c r="I320" s="37" t="s">
        <v>503</v>
      </c>
      <c r="J320" s="38">
        <v>3636.21</v>
      </c>
      <c r="K320" s="38">
        <v>0</v>
      </c>
      <c r="L320" s="38">
        <v>0</v>
      </c>
      <c r="M320" s="39">
        <v>1.52</v>
      </c>
      <c r="N320" s="10" t="str">
        <f t="shared" si="45"/>
        <v>W</v>
      </c>
      <c r="O320" s="11">
        <f t="shared" si="46"/>
        <v>45918</v>
      </c>
      <c r="P320" s="12" t="str">
        <f t="shared" si="47"/>
        <v>09</v>
      </c>
      <c r="Q320" s="13" t="str">
        <f>VLOOKUP($B320,Deals_Demo!$H:$N,7,0)</f>
        <v>strategy_12_demo</v>
      </c>
      <c r="R320" s="13" t="str">
        <f t="shared" si="48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49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2"/>
        <v>0.15200000000000002</v>
      </c>
      <c r="Y320" s="13">
        <f t="shared" si="43"/>
        <v>0.30400000000000005</v>
      </c>
      <c r="Z320" s="13">
        <f t="shared" si="44"/>
        <v>0.45599999999999996</v>
      </c>
      <c r="AA320" s="13">
        <f t="shared" si="50"/>
        <v>-3</v>
      </c>
    </row>
    <row r="321" spans="1:27" x14ac:dyDescent="0.25">
      <c r="A321" s="40">
        <v>45918.38795138889</v>
      </c>
      <c r="B321" s="41">
        <v>443247472</v>
      </c>
      <c r="C321" s="42" t="s">
        <v>36</v>
      </c>
      <c r="D321" s="42" t="s">
        <v>39</v>
      </c>
      <c r="E321" s="42" t="s">
        <v>38</v>
      </c>
      <c r="F321" s="43">
        <v>3637.67</v>
      </c>
      <c r="G321" s="43">
        <v>3636.68</v>
      </c>
      <c r="H321" s="43">
        <v>3634.71</v>
      </c>
      <c r="I321" s="42" t="s">
        <v>501</v>
      </c>
      <c r="J321" s="43">
        <v>3634.66</v>
      </c>
      <c r="K321" s="43">
        <v>0</v>
      </c>
      <c r="L321" s="43">
        <v>0</v>
      </c>
      <c r="M321" s="44">
        <v>3.01</v>
      </c>
      <c r="N321" s="10" t="str">
        <f t="shared" si="45"/>
        <v>W</v>
      </c>
      <c r="O321" s="11">
        <f t="shared" si="46"/>
        <v>45918</v>
      </c>
      <c r="P321" s="12" t="str">
        <f t="shared" si="47"/>
        <v>09</v>
      </c>
      <c r="Q321" s="13" t="str">
        <f>VLOOKUP($B321,Deals_Demo!$H:$N,7,0)</f>
        <v>strategy_10_demo</v>
      </c>
      <c r="R321" s="13" t="str">
        <f t="shared" si="48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49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2"/>
        <v>0.30099999999999999</v>
      </c>
      <c r="Y321" s="13">
        <f t="shared" si="43"/>
        <v>0.60199999999999998</v>
      </c>
      <c r="Z321" s="13">
        <f t="shared" si="44"/>
        <v>0.90299999999999991</v>
      </c>
      <c r="AA321" s="13">
        <f t="shared" si="50"/>
        <v>3.01</v>
      </c>
    </row>
    <row r="322" spans="1:27" x14ac:dyDescent="0.25">
      <c r="A322" s="35">
        <v>45918.388749999998</v>
      </c>
      <c r="B322" s="36">
        <v>443247692</v>
      </c>
      <c r="C322" s="37" t="s">
        <v>36</v>
      </c>
      <c r="D322" s="37" t="s">
        <v>39</v>
      </c>
      <c r="E322" s="37" t="s">
        <v>38</v>
      </c>
      <c r="F322" s="38">
        <v>3637.52</v>
      </c>
      <c r="G322" s="38">
        <v>3637.24</v>
      </c>
      <c r="H322" s="38">
        <v>3636.03</v>
      </c>
      <c r="I322" s="37" t="s">
        <v>504</v>
      </c>
      <c r="J322" s="38">
        <v>3635.79</v>
      </c>
      <c r="K322" s="38">
        <v>0</v>
      </c>
      <c r="L322" s="38">
        <v>0</v>
      </c>
      <c r="M322" s="39">
        <v>1.73</v>
      </c>
      <c r="N322" s="10" t="str">
        <f t="shared" si="45"/>
        <v>W</v>
      </c>
      <c r="O322" s="11">
        <f t="shared" si="46"/>
        <v>45918</v>
      </c>
      <c r="P322" s="12" t="str">
        <f t="shared" si="47"/>
        <v>09</v>
      </c>
      <c r="Q322" s="13" t="str">
        <f>VLOOKUP($B322,Deals_Demo!$H:$N,7,0)</f>
        <v>strategy_12_demo</v>
      </c>
      <c r="R322" s="13" t="str">
        <f t="shared" si="48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49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2"/>
        <v>0.17300000000000001</v>
      </c>
      <c r="Y322" s="13">
        <f t="shared" si="43"/>
        <v>0.34600000000000003</v>
      </c>
      <c r="Z322" s="13">
        <f t="shared" si="44"/>
        <v>0.51900000000000002</v>
      </c>
      <c r="AA322" s="13">
        <f t="shared" si="50"/>
        <v>-3</v>
      </c>
    </row>
    <row r="323" spans="1:27" x14ac:dyDescent="0.25">
      <c r="A323" s="40">
        <v>45918.389097222222</v>
      </c>
      <c r="B323" s="41">
        <v>443247808</v>
      </c>
      <c r="C323" s="42" t="s">
        <v>36</v>
      </c>
      <c r="D323" s="42" t="s">
        <v>39</v>
      </c>
      <c r="E323" s="42" t="s">
        <v>38</v>
      </c>
      <c r="F323" s="43">
        <v>3638.61</v>
      </c>
      <c r="G323" s="43">
        <v>3641.66</v>
      </c>
      <c r="H323" s="43">
        <v>3635.16</v>
      </c>
      <c r="I323" s="42" t="s">
        <v>505</v>
      </c>
      <c r="J323" s="43">
        <v>3635.13</v>
      </c>
      <c r="K323" s="43">
        <v>0</v>
      </c>
      <c r="L323" s="43">
        <v>0</v>
      </c>
      <c r="M323" s="44">
        <v>3.48</v>
      </c>
      <c r="N323" s="10" t="str">
        <f t="shared" si="45"/>
        <v>W</v>
      </c>
      <c r="O323" s="11">
        <f t="shared" si="46"/>
        <v>45918</v>
      </c>
      <c r="P323" s="12" t="str">
        <f t="shared" si="47"/>
        <v>09</v>
      </c>
      <c r="Q323" s="13" t="str">
        <f>VLOOKUP($B323,Deals_Demo!$H:$N,7,0)</f>
        <v>strategy_13_demo</v>
      </c>
      <c r="R323" s="13" t="str">
        <f t="shared" si="48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49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1">$M323*0.1</f>
        <v>0.34800000000000003</v>
      </c>
      <c r="Y323" s="13">
        <f t="shared" ref="Y323:Y386" si="52">$M323*0.2</f>
        <v>0.69600000000000006</v>
      </c>
      <c r="Z323" s="13">
        <f t="shared" ref="Z323:Z386" si="53">$M323*0.3</f>
        <v>1.044</v>
      </c>
      <c r="AA323" s="13">
        <f t="shared" si="50"/>
        <v>3.48</v>
      </c>
    </row>
    <row r="324" spans="1:27" x14ac:dyDescent="0.25">
      <c r="A324" s="35">
        <v>45918.389097222222</v>
      </c>
      <c r="B324" s="36">
        <v>443247810</v>
      </c>
      <c r="C324" s="37" t="s">
        <v>36</v>
      </c>
      <c r="D324" s="37" t="s">
        <v>39</v>
      </c>
      <c r="E324" s="37" t="s">
        <v>38</v>
      </c>
      <c r="F324" s="38">
        <v>3638.54</v>
      </c>
      <c r="G324" s="38">
        <v>3637.32</v>
      </c>
      <c r="H324" s="38">
        <v>3635.11</v>
      </c>
      <c r="I324" s="37" t="s">
        <v>506</v>
      </c>
      <c r="J324" s="38">
        <v>3635.08</v>
      </c>
      <c r="K324" s="38">
        <v>0</v>
      </c>
      <c r="L324" s="38">
        <v>0</v>
      </c>
      <c r="M324" s="39">
        <v>3.46</v>
      </c>
      <c r="N324" s="10" t="str">
        <f t="shared" si="45"/>
        <v>W</v>
      </c>
      <c r="O324" s="11">
        <f t="shared" si="46"/>
        <v>45918</v>
      </c>
      <c r="P324" s="12" t="str">
        <f t="shared" si="47"/>
        <v>09</v>
      </c>
      <c r="Q324" s="13" t="str">
        <f>VLOOKUP($B324,Deals_Demo!$H:$N,7,0)</f>
        <v>strategy_08_demo</v>
      </c>
      <c r="R324" s="13" t="str">
        <f t="shared" si="48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49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1"/>
        <v>0.34600000000000003</v>
      </c>
      <c r="Y324" s="13">
        <f t="shared" si="52"/>
        <v>0.69200000000000006</v>
      </c>
      <c r="Z324" s="13">
        <f t="shared" si="53"/>
        <v>1.038</v>
      </c>
      <c r="AA324" s="13">
        <f t="shared" si="50"/>
        <v>3.46</v>
      </c>
    </row>
    <row r="325" spans="1:27" x14ac:dyDescent="0.25">
      <c r="A325" s="40">
        <v>45918.391412037039</v>
      </c>
      <c r="B325" s="41">
        <v>443249321</v>
      </c>
      <c r="C325" s="42" t="s">
        <v>36</v>
      </c>
      <c r="D325" s="42" t="s">
        <v>39</v>
      </c>
      <c r="E325" s="42" t="s">
        <v>38</v>
      </c>
      <c r="F325" s="43">
        <v>3636.49</v>
      </c>
      <c r="G325" s="43">
        <v>3636.26</v>
      </c>
      <c r="H325" s="43">
        <v>3633.51</v>
      </c>
      <c r="I325" s="42" t="s">
        <v>507</v>
      </c>
      <c r="J325" s="43">
        <v>3636.3</v>
      </c>
      <c r="K325" s="43">
        <v>0</v>
      </c>
      <c r="L325" s="43">
        <v>0</v>
      </c>
      <c r="M325" s="44">
        <v>0.19</v>
      </c>
      <c r="N325" s="10" t="str">
        <f t="shared" ref="N325:N388" si="54">IF(M325&gt;0,"W",IF(M325&lt;0,"L","BE"))</f>
        <v>W</v>
      </c>
      <c r="O325" s="11">
        <f t="shared" ref="O325:O388" si="55">INT(LEFT(A325,10))</f>
        <v>45918</v>
      </c>
      <c r="P325" s="12" t="str">
        <f t="shared" ref="P325:P388" si="56">TEXT(A325,"hh")</f>
        <v>09</v>
      </c>
      <c r="Q325" s="13" t="str">
        <f>VLOOKUP($B325,Deals_Demo!$H:$N,7,0)</f>
        <v>strategy_10_demo</v>
      </c>
      <c r="R325" s="13" t="str">
        <f t="shared" ref="R325:R388" si="57">TEXT(O325,"ddd")</f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ref="U325:U388" si="58">TEXT(T325,"yyyy-mm-dd")</f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1"/>
        <v>1.9000000000000003E-2</v>
      </c>
      <c r="Y325" s="13">
        <f t="shared" si="52"/>
        <v>3.8000000000000006E-2</v>
      </c>
      <c r="Z325" s="13">
        <f t="shared" si="53"/>
        <v>5.6999999999999995E-2</v>
      </c>
      <c r="AA325" s="13">
        <f t="shared" ref="AA325:AA388" si="59">IF(M325&lt;2.9,-3,M325)</f>
        <v>-3</v>
      </c>
    </row>
    <row r="326" spans="1:27" x14ac:dyDescent="0.25">
      <c r="A326" s="35">
        <v>45918.391412037039</v>
      </c>
      <c r="B326" s="36">
        <v>443249340</v>
      </c>
      <c r="C326" s="37" t="s">
        <v>36</v>
      </c>
      <c r="D326" s="37" t="s">
        <v>39</v>
      </c>
      <c r="E326" s="37" t="s">
        <v>38</v>
      </c>
      <c r="F326" s="38">
        <v>3636.27</v>
      </c>
      <c r="G326" s="38">
        <v>3636.25</v>
      </c>
      <c r="H326" s="38">
        <v>3632.99</v>
      </c>
      <c r="I326" s="37" t="s">
        <v>507</v>
      </c>
      <c r="J326" s="38">
        <v>3636.3</v>
      </c>
      <c r="K326" s="38">
        <v>0</v>
      </c>
      <c r="L326" s="38">
        <v>0</v>
      </c>
      <c r="M326" s="39">
        <v>-0.03</v>
      </c>
      <c r="N326" s="10" t="str">
        <f t="shared" si="54"/>
        <v>L</v>
      </c>
      <c r="O326" s="11">
        <f t="shared" si="55"/>
        <v>45918</v>
      </c>
      <c r="P326" s="12" t="str">
        <f t="shared" si="56"/>
        <v>09</v>
      </c>
      <c r="Q326" s="13" t="str">
        <f>VLOOKUP($B326,Deals_Demo!$H:$N,7,0)</f>
        <v>strategy_11_demo</v>
      </c>
      <c r="R326" s="13" t="str">
        <f t="shared" si="57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8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1"/>
        <v>-3.0000000000000001E-3</v>
      </c>
      <c r="Y326" s="13">
        <f t="shared" si="52"/>
        <v>-6.0000000000000001E-3</v>
      </c>
      <c r="Z326" s="13">
        <f t="shared" si="53"/>
        <v>-8.9999999999999993E-3</v>
      </c>
      <c r="AA326" s="13">
        <f t="shared" si="59"/>
        <v>-3</v>
      </c>
    </row>
    <row r="327" spans="1:27" x14ac:dyDescent="0.25">
      <c r="A327" s="40">
        <v>45918.391412037039</v>
      </c>
      <c r="B327" s="41">
        <v>443249347</v>
      </c>
      <c r="C327" s="42" t="s">
        <v>36</v>
      </c>
      <c r="D327" s="42" t="s">
        <v>39</v>
      </c>
      <c r="E327" s="42" t="s">
        <v>38</v>
      </c>
      <c r="F327" s="43">
        <v>3636.26</v>
      </c>
      <c r="G327" s="43">
        <v>3636.26</v>
      </c>
      <c r="H327" s="43">
        <v>3633.49</v>
      </c>
      <c r="I327" s="42" t="s">
        <v>507</v>
      </c>
      <c r="J327" s="43">
        <v>3636.3</v>
      </c>
      <c r="K327" s="43">
        <v>0</v>
      </c>
      <c r="L327" s="43">
        <v>0</v>
      </c>
      <c r="M327" s="44">
        <v>-0.04</v>
      </c>
      <c r="N327" s="10" t="str">
        <f t="shared" si="54"/>
        <v>L</v>
      </c>
      <c r="O327" s="11">
        <f t="shared" si="55"/>
        <v>45918</v>
      </c>
      <c r="P327" s="12" t="str">
        <f t="shared" si="56"/>
        <v>09</v>
      </c>
      <c r="Q327" s="13" t="str">
        <f>VLOOKUP($B327,Deals_Demo!$H:$N,7,0)</f>
        <v>strategy_09_demo</v>
      </c>
      <c r="R327" s="13" t="str">
        <f t="shared" si="57"/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si="58"/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1"/>
        <v>-4.0000000000000001E-3</v>
      </c>
      <c r="Y327" s="13">
        <f t="shared" si="52"/>
        <v>-8.0000000000000002E-3</v>
      </c>
      <c r="Z327" s="13">
        <f t="shared" si="53"/>
        <v>-1.2E-2</v>
      </c>
      <c r="AA327" s="13">
        <f t="shared" si="59"/>
        <v>-3</v>
      </c>
    </row>
    <row r="328" spans="1:27" x14ac:dyDescent="0.25">
      <c r="A328" s="35">
        <v>45918.391423611109</v>
      </c>
      <c r="B328" s="36">
        <v>443249350</v>
      </c>
      <c r="C328" s="37" t="s">
        <v>36</v>
      </c>
      <c r="D328" s="37" t="s">
        <v>39</v>
      </c>
      <c r="E328" s="37" t="s">
        <v>38</v>
      </c>
      <c r="F328" s="38">
        <v>3636.18</v>
      </c>
      <c r="G328" s="38">
        <v>3639.49</v>
      </c>
      <c r="H328" s="38">
        <v>3634.99</v>
      </c>
      <c r="I328" s="37" t="s">
        <v>508</v>
      </c>
      <c r="J328" s="38">
        <v>3634.99</v>
      </c>
      <c r="K328" s="38">
        <v>0</v>
      </c>
      <c r="L328" s="38">
        <v>0</v>
      </c>
      <c r="M328" s="39">
        <v>1.19</v>
      </c>
      <c r="N328" s="10" t="str">
        <f t="shared" si="54"/>
        <v>W</v>
      </c>
      <c r="O328" s="11">
        <f t="shared" si="55"/>
        <v>45918</v>
      </c>
      <c r="P328" s="12" t="str">
        <f t="shared" si="56"/>
        <v>09</v>
      </c>
      <c r="Q328" s="13" t="str">
        <f>VLOOKUP($B328,Deals_Demo!$H:$N,7,0)</f>
        <v>strategy_12_demo</v>
      </c>
      <c r="R328" s="13" t="str">
        <f t="shared" si="57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58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1"/>
        <v>0.11899999999999999</v>
      </c>
      <c r="Y328" s="13">
        <f t="shared" si="52"/>
        <v>0.23799999999999999</v>
      </c>
      <c r="Z328" s="13">
        <f t="shared" si="53"/>
        <v>0.35699999999999998</v>
      </c>
      <c r="AA328" s="13">
        <f t="shared" si="59"/>
        <v>-3</v>
      </c>
    </row>
    <row r="329" spans="1:27" x14ac:dyDescent="0.25">
      <c r="A329" s="40">
        <v>45918.392685185187</v>
      </c>
      <c r="B329" s="41">
        <v>443249904</v>
      </c>
      <c r="C329" s="42" t="s">
        <v>36</v>
      </c>
      <c r="D329" s="42" t="s">
        <v>39</v>
      </c>
      <c r="E329" s="42" t="s">
        <v>38</v>
      </c>
      <c r="F329" s="43">
        <v>3636.78</v>
      </c>
      <c r="G329" s="43">
        <v>3639.78</v>
      </c>
      <c r="H329" s="43">
        <v>3635.28</v>
      </c>
      <c r="I329" s="42" t="s">
        <v>509</v>
      </c>
      <c r="J329" s="43">
        <v>3639.82</v>
      </c>
      <c r="K329" s="43">
        <v>0</v>
      </c>
      <c r="L329" s="43">
        <v>0</v>
      </c>
      <c r="M329" s="44">
        <v>-3.04</v>
      </c>
      <c r="N329" s="10" t="str">
        <f t="shared" si="54"/>
        <v>L</v>
      </c>
      <c r="O329" s="11">
        <f t="shared" si="55"/>
        <v>45918</v>
      </c>
      <c r="P329" s="12" t="str">
        <f t="shared" si="56"/>
        <v>09</v>
      </c>
      <c r="Q329" s="13" t="str">
        <f>VLOOKUP($B329,Deals_Demo!$H:$N,7,0)</f>
        <v>strategy_12_demo</v>
      </c>
      <c r="R329" s="13" t="str">
        <f t="shared" si="57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58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1"/>
        <v>-0.30400000000000005</v>
      </c>
      <c r="Y329" s="13">
        <f t="shared" si="52"/>
        <v>-0.6080000000000001</v>
      </c>
      <c r="Z329" s="13">
        <f t="shared" si="53"/>
        <v>-0.91199999999999992</v>
      </c>
      <c r="AA329" s="13">
        <f t="shared" si="59"/>
        <v>-3</v>
      </c>
    </row>
    <row r="330" spans="1:27" x14ac:dyDescent="0.25">
      <c r="A330" s="35">
        <v>45918.392685185187</v>
      </c>
      <c r="B330" s="36">
        <v>443249906</v>
      </c>
      <c r="C330" s="37" t="s">
        <v>36</v>
      </c>
      <c r="D330" s="37" t="s">
        <v>39</v>
      </c>
      <c r="E330" s="37" t="s">
        <v>38</v>
      </c>
      <c r="F330" s="38">
        <v>3636.78</v>
      </c>
      <c r="G330" s="38">
        <v>3639.78</v>
      </c>
      <c r="H330" s="38">
        <v>3633.78</v>
      </c>
      <c r="I330" s="37" t="s">
        <v>509</v>
      </c>
      <c r="J330" s="38">
        <v>3639.82</v>
      </c>
      <c r="K330" s="38">
        <v>0</v>
      </c>
      <c r="L330" s="38">
        <v>0</v>
      </c>
      <c r="M330" s="39">
        <v>-3.04</v>
      </c>
      <c r="N330" s="10" t="str">
        <f t="shared" si="54"/>
        <v>L</v>
      </c>
      <c r="O330" s="11">
        <f t="shared" si="55"/>
        <v>45918</v>
      </c>
      <c r="P330" s="12" t="str">
        <f t="shared" si="56"/>
        <v>09</v>
      </c>
      <c r="Q330" s="13" t="str">
        <f>VLOOKUP($B330,Deals_Demo!$H:$N,7,0)</f>
        <v>strategy_09_demo</v>
      </c>
      <c r="R330" s="13" t="str">
        <f t="shared" si="57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58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1"/>
        <v>-0.30400000000000005</v>
      </c>
      <c r="Y330" s="13">
        <f t="shared" si="52"/>
        <v>-0.6080000000000001</v>
      </c>
      <c r="Z330" s="13">
        <f t="shared" si="53"/>
        <v>-0.91199999999999992</v>
      </c>
      <c r="AA330" s="13">
        <f t="shared" si="59"/>
        <v>-3</v>
      </c>
    </row>
    <row r="331" spans="1:27" x14ac:dyDescent="0.25">
      <c r="A331" s="40">
        <v>45918.392685185187</v>
      </c>
      <c r="B331" s="41">
        <v>443249908</v>
      </c>
      <c r="C331" s="42" t="s">
        <v>36</v>
      </c>
      <c r="D331" s="42" t="s">
        <v>39</v>
      </c>
      <c r="E331" s="42" t="s">
        <v>38</v>
      </c>
      <c r="F331" s="43">
        <v>3636.78</v>
      </c>
      <c r="G331" s="43">
        <v>3639.78</v>
      </c>
      <c r="H331" s="43">
        <v>3633.28</v>
      </c>
      <c r="I331" s="42" t="s">
        <v>509</v>
      </c>
      <c r="J331" s="43">
        <v>3639.82</v>
      </c>
      <c r="K331" s="43">
        <v>0</v>
      </c>
      <c r="L331" s="43">
        <v>0</v>
      </c>
      <c r="M331" s="44">
        <v>-3.04</v>
      </c>
      <c r="N331" s="10" t="str">
        <f t="shared" si="54"/>
        <v>L</v>
      </c>
      <c r="O331" s="11">
        <f t="shared" si="55"/>
        <v>45918</v>
      </c>
      <c r="P331" s="12" t="str">
        <f t="shared" si="56"/>
        <v>09</v>
      </c>
      <c r="Q331" s="13" t="str">
        <f>VLOOKUP($B331,Deals_Demo!$H:$N,7,0)</f>
        <v>strategy_11_demo</v>
      </c>
      <c r="R331" s="13" t="str">
        <f t="shared" si="57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58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1"/>
        <v>-0.30400000000000005</v>
      </c>
      <c r="Y331" s="13">
        <f t="shared" si="52"/>
        <v>-0.6080000000000001</v>
      </c>
      <c r="Z331" s="13">
        <f t="shared" si="53"/>
        <v>-0.91199999999999992</v>
      </c>
      <c r="AA331" s="13">
        <f t="shared" si="59"/>
        <v>-3</v>
      </c>
    </row>
    <row r="332" spans="1:27" x14ac:dyDescent="0.25">
      <c r="A332" s="35">
        <v>45918.392696759256</v>
      </c>
      <c r="B332" s="36">
        <v>443249909</v>
      </c>
      <c r="C332" s="37" t="s">
        <v>36</v>
      </c>
      <c r="D332" s="37" t="s">
        <v>39</v>
      </c>
      <c r="E332" s="37" t="s">
        <v>38</v>
      </c>
      <c r="F332" s="38">
        <v>3636.77</v>
      </c>
      <c r="G332" s="38">
        <v>3639.28</v>
      </c>
      <c r="H332" s="38">
        <v>3633.78</v>
      </c>
      <c r="I332" s="37" t="s">
        <v>510</v>
      </c>
      <c r="J332" s="38">
        <v>3639.28</v>
      </c>
      <c r="K332" s="38">
        <v>0</v>
      </c>
      <c r="L332" s="38">
        <v>0</v>
      </c>
      <c r="M332" s="39">
        <v>-2.5099999999999998</v>
      </c>
      <c r="N332" s="10" t="str">
        <f t="shared" si="54"/>
        <v>L</v>
      </c>
      <c r="O332" s="11">
        <f t="shared" si="55"/>
        <v>45918</v>
      </c>
      <c r="P332" s="12" t="str">
        <f t="shared" si="56"/>
        <v>09</v>
      </c>
      <c r="Q332" s="13" t="str">
        <f>VLOOKUP($B332,Deals_Demo!$H:$N,7,0)</f>
        <v>strategy_10_demo</v>
      </c>
      <c r="R332" s="13" t="str">
        <f t="shared" si="57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58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1"/>
        <v>-0.251</v>
      </c>
      <c r="Y332" s="13">
        <f t="shared" si="52"/>
        <v>-0.502</v>
      </c>
      <c r="Z332" s="13">
        <f t="shared" si="53"/>
        <v>-0.75299999999999989</v>
      </c>
      <c r="AA332" s="13">
        <f t="shared" si="59"/>
        <v>-3</v>
      </c>
    </row>
    <row r="333" spans="1:27" x14ac:dyDescent="0.25">
      <c r="A333" s="40">
        <v>45918.394305555557</v>
      </c>
      <c r="B333" s="41">
        <v>443250898</v>
      </c>
      <c r="C333" s="42" t="s">
        <v>36</v>
      </c>
      <c r="D333" s="42" t="s">
        <v>39</v>
      </c>
      <c r="E333" s="42" t="s">
        <v>38</v>
      </c>
      <c r="F333" s="43">
        <v>3636.91</v>
      </c>
      <c r="G333" s="43">
        <v>3639.93</v>
      </c>
      <c r="H333" s="43">
        <v>3633.43</v>
      </c>
      <c r="I333" s="42" t="s">
        <v>511</v>
      </c>
      <c r="J333" s="43">
        <v>3640.01</v>
      </c>
      <c r="K333" s="43">
        <v>0</v>
      </c>
      <c r="L333" s="43">
        <v>0</v>
      </c>
      <c r="M333" s="44">
        <v>-3.1</v>
      </c>
      <c r="N333" s="10" t="str">
        <f t="shared" si="54"/>
        <v>L</v>
      </c>
      <c r="O333" s="11">
        <f t="shared" si="55"/>
        <v>45918</v>
      </c>
      <c r="P333" s="12" t="str">
        <f t="shared" si="56"/>
        <v>09</v>
      </c>
      <c r="Q333" s="13" t="str">
        <f>VLOOKUP($B333,Deals_Demo!$H:$N,7,0)</f>
        <v>strategy_13_demo</v>
      </c>
      <c r="R333" s="13" t="str">
        <f t="shared" si="57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58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1"/>
        <v>-0.31000000000000005</v>
      </c>
      <c r="Y333" s="13">
        <f t="shared" si="52"/>
        <v>-0.62000000000000011</v>
      </c>
      <c r="Z333" s="13">
        <f t="shared" si="53"/>
        <v>-0.92999999999999994</v>
      </c>
      <c r="AA333" s="13">
        <f t="shared" si="59"/>
        <v>-3</v>
      </c>
    </row>
    <row r="334" spans="1:27" x14ac:dyDescent="0.25">
      <c r="A334" s="35">
        <v>45918.394305555557</v>
      </c>
      <c r="B334" s="36">
        <v>443250902</v>
      </c>
      <c r="C334" s="37" t="s">
        <v>36</v>
      </c>
      <c r="D334" s="37" t="s">
        <v>39</v>
      </c>
      <c r="E334" s="37" t="s">
        <v>38</v>
      </c>
      <c r="F334" s="38">
        <v>3636.87</v>
      </c>
      <c r="G334" s="38">
        <v>3639.91</v>
      </c>
      <c r="H334" s="38">
        <v>3633.41</v>
      </c>
      <c r="I334" s="37" t="s">
        <v>511</v>
      </c>
      <c r="J334" s="38">
        <v>3640.01</v>
      </c>
      <c r="K334" s="38">
        <v>0</v>
      </c>
      <c r="L334" s="38">
        <v>0</v>
      </c>
      <c r="M334" s="39">
        <v>-3.14</v>
      </c>
      <c r="N334" s="10" t="str">
        <f t="shared" si="54"/>
        <v>L</v>
      </c>
      <c r="O334" s="11">
        <f t="shared" si="55"/>
        <v>45918</v>
      </c>
      <c r="P334" s="12" t="str">
        <f t="shared" si="56"/>
        <v>09</v>
      </c>
      <c r="Q334" s="13" t="str">
        <f>VLOOKUP($B334,Deals_Demo!$H:$N,7,0)</f>
        <v>strategy_08_demo</v>
      </c>
      <c r="R334" s="13" t="str">
        <f t="shared" si="57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58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1"/>
        <v>-0.31400000000000006</v>
      </c>
      <c r="Y334" s="13">
        <f t="shared" si="52"/>
        <v>-0.62800000000000011</v>
      </c>
      <c r="Z334" s="13">
        <f t="shared" si="53"/>
        <v>-0.94199999999999995</v>
      </c>
      <c r="AA334" s="13">
        <f t="shared" si="59"/>
        <v>-3</v>
      </c>
    </row>
    <row r="335" spans="1:27" x14ac:dyDescent="0.25">
      <c r="A335" s="40">
        <v>45918.400092592594</v>
      </c>
      <c r="B335" s="41">
        <v>443253656</v>
      </c>
      <c r="C335" s="42" t="s">
        <v>36</v>
      </c>
      <c r="D335" s="42" t="s">
        <v>39</v>
      </c>
      <c r="E335" s="42" t="s">
        <v>38</v>
      </c>
      <c r="F335" s="43">
        <v>3637.76</v>
      </c>
      <c r="G335" s="43">
        <v>3640.76</v>
      </c>
      <c r="H335" s="43">
        <v>3634.26</v>
      </c>
      <c r="I335" s="42" t="s">
        <v>512</v>
      </c>
      <c r="J335" s="43">
        <v>3640.79</v>
      </c>
      <c r="K335" s="43">
        <v>0</v>
      </c>
      <c r="L335" s="43">
        <v>0</v>
      </c>
      <c r="M335" s="44">
        <v>-3.03</v>
      </c>
      <c r="N335" s="10" t="str">
        <f t="shared" si="54"/>
        <v>L</v>
      </c>
      <c r="O335" s="11">
        <f t="shared" si="55"/>
        <v>45918</v>
      </c>
      <c r="P335" s="12" t="str">
        <f t="shared" si="56"/>
        <v>09</v>
      </c>
      <c r="Q335" s="13" t="str">
        <f>VLOOKUP($B335,Deals_Demo!$H:$N,7,0)</f>
        <v>strategy_08_demo</v>
      </c>
      <c r="R335" s="13" t="str">
        <f t="shared" si="57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58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1"/>
        <v>-0.30299999999999999</v>
      </c>
      <c r="Y335" s="13">
        <f t="shared" si="52"/>
        <v>-0.60599999999999998</v>
      </c>
      <c r="Z335" s="13">
        <f t="shared" si="53"/>
        <v>-0.90899999999999992</v>
      </c>
      <c r="AA335" s="13">
        <f t="shared" si="59"/>
        <v>-3</v>
      </c>
    </row>
    <row r="336" spans="1:27" x14ac:dyDescent="0.25">
      <c r="A336" s="35">
        <v>45918.400092592594</v>
      </c>
      <c r="B336" s="36">
        <v>443253657</v>
      </c>
      <c r="C336" s="37" t="s">
        <v>36</v>
      </c>
      <c r="D336" s="37" t="s">
        <v>39</v>
      </c>
      <c r="E336" s="37" t="s">
        <v>38</v>
      </c>
      <c r="F336" s="38">
        <v>3637.81</v>
      </c>
      <c r="G336" s="38">
        <v>3640.76</v>
      </c>
      <c r="H336" s="38">
        <v>3634.26</v>
      </c>
      <c r="I336" s="37" t="s">
        <v>512</v>
      </c>
      <c r="J336" s="38">
        <v>3640.79</v>
      </c>
      <c r="K336" s="38">
        <v>0</v>
      </c>
      <c r="L336" s="38">
        <v>0</v>
      </c>
      <c r="M336" s="39">
        <v>-2.98</v>
      </c>
      <c r="N336" s="10" t="str">
        <f t="shared" si="54"/>
        <v>L</v>
      </c>
      <c r="O336" s="11">
        <f t="shared" si="55"/>
        <v>45918</v>
      </c>
      <c r="P336" s="12" t="str">
        <f t="shared" si="56"/>
        <v>09</v>
      </c>
      <c r="Q336" s="13" t="str">
        <f>VLOOKUP($B336,Deals_Demo!$H:$N,7,0)</f>
        <v>strategy_13_demo</v>
      </c>
      <c r="R336" s="13" t="str">
        <f t="shared" si="57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58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1"/>
        <v>-0.29799999999999999</v>
      </c>
      <c r="Y336" s="13">
        <f t="shared" si="52"/>
        <v>-0.59599999999999997</v>
      </c>
      <c r="Z336" s="13">
        <f t="shared" si="53"/>
        <v>-0.89400000000000002</v>
      </c>
      <c r="AA336" s="13">
        <f t="shared" si="59"/>
        <v>-3</v>
      </c>
    </row>
    <row r="337" spans="1:27" x14ac:dyDescent="0.25">
      <c r="A337" s="40">
        <v>45918.404953703706</v>
      </c>
      <c r="B337" s="41">
        <v>443256031</v>
      </c>
      <c r="C337" s="42" t="s">
        <v>36</v>
      </c>
      <c r="D337" s="42" t="s">
        <v>39</v>
      </c>
      <c r="E337" s="42" t="s">
        <v>38</v>
      </c>
      <c r="F337" s="43">
        <v>3636.65</v>
      </c>
      <c r="G337" s="43">
        <v>3639.64</v>
      </c>
      <c r="H337" s="43">
        <v>3635.14</v>
      </c>
      <c r="I337" s="42" t="s">
        <v>513</v>
      </c>
      <c r="J337" s="43">
        <v>3639.7</v>
      </c>
      <c r="K337" s="43">
        <v>0</v>
      </c>
      <c r="L337" s="43">
        <v>0</v>
      </c>
      <c r="M337" s="44">
        <v>-3.05</v>
      </c>
      <c r="N337" s="10" t="str">
        <f t="shared" si="54"/>
        <v>L</v>
      </c>
      <c r="O337" s="11">
        <f t="shared" si="55"/>
        <v>45918</v>
      </c>
      <c r="P337" s="12" t="str">
        <f t="shared" si="56"/>
        <v>09</v>
      </c>
      <c r="Q337" s="13" t="str">
        <f>VLOOKUP($B337,Deals_Demo!$H:$N,7,0)</f>
        <v>strategy_12_demo</v>
      </c>
      <c r="R337" s="13" t="str">
        <f t="shared" si="57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58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1"/>
        <v>-0.30499999999999999</v>
      </c>
      <c r="Y337" s="13">
        <f t="shared" si="52"/>
        <v>-0.61</v>
      </c>
      <c r="Z337" s="13">
        <f t="shared" si="53"/>
        <v>-0.91499999999999992</v>
      </c>
      <c r="AA337" s="13">
        <f t="shared" si="59"/>
        <v>-3</v>
      </c>
    </row>
    <row r="338" spans="1:27" x14ac:dyDescent="0.25">
      <c r="A338" s="35">
        <v>45918.404953703706</v>
      </c>
      <c r="B338" s="36">
        <v>443256033</v>
      </c>
      <c r="C338" s="37" t="s">
        <v>36</v>
      </c>
      <c r="D338" s="37" t="s">
        <v>39</v>
      </c>
      <c r="E338" s="37" t="s">
        <v>38</v>
      </c>
      <c r="F338" s="38">
        <v>3636.65</v>
      </c>
      <c r="G338" s="38">
        <v>3639.65</v>
      </c>
      <c r="H338" s="38">
        <v>3633.15</v>
      </c>
      <c r="I338" s="37" t="s">
        <v>513</v>
      </c>
      <c r="J338" s="38">
        <v>3639.7</v>
      </c>
      <c r="K338" s="38">
        <v>0</v>
      </c>
      <c r="L338" s="38">
        <v>0</v>
      </c>
      <c r="M338" s="39">
        <v>-3.05</v>
      </c>
      <c r="N338" s="10" t="str">
        <f t="shared" si="54"/>
        <v>L</v>
      </c>
      <c r="O338" s="11">
        <f t="shared" si="55"/>
        <v>45918</v>
      </c>
      <c r="P338" s="12" t="str">
        <f t="shared" si="56"/>
        <v>09</v>
      </c>
      <c r="Q338" s="13" t="str">
        <f>VLOOKUP($B338,Deals_Demo!$H:$N,7,0)</f>
        <v>strategy_11_demo</v>
      </c>
      <c r="R338" s="13" t="str">
        <f t="shared" si="57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58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1"/>
        <v>-0.30499999999999999</v>
      </c>
      <c r="Y338" s="13">
        <f t="shared" si="52"/>
        <v>-0.61</v>
      </c>
      <c r="Z338" s="13">
        <f t="shared" si="53"/>
        <v>-0.91499999999999992</v>
      </c>
      <c r="AA338" s="13">
        <f t="shared" si="59"/>
        <v>-3</v>
      </c>
    </row>
    <row r="339" spans="1:27" x14ac:dyDescent="0.25">
      <c r="A339" s="40">
        <v>45918.404953703706</v>
      </c>
      <c r="B339" s="41">
        <v>443256034</v>
      </c>
      <c r="C339" s="42" t="s">
        <v>36</v>
      </c>
      <c r="D339" s="42" t="s">
        <v>39</v>
      </c>
      <c r="E339" s="42" t="s">
        <v>38</v>
      </c>
      <c r="F339" s="43">
        <v>3636.65</v>
      </c>
      <c r="G339" s="43">
        <v>3639.65</v>
      </c>
      <c r="H339" s="43">
        <v>3633.65</v>
      </c>
      <c r="I339" s="42" t="s">
        <v>513</v>
      </c>
      <c r="J339" s="43">
        <v>3639.7</v>
      </c>
      <c r="K339" s="43">
        <v>0</v>
      </c>
      <c r="L339" s="43">
        <v>0</v>
      </c>
      <c r="M339" s="44">
        <v>-3.05</v>
      </c>
      <c r="N339" s="10" t="str">
        <f t="shared" si="54"/>
        <v>L</v>
      </c>
      <c r="O339" s="11">
        <f t="shared" si="55"/>
        <v>45918</v>
      </c>
      <c r="P339" s="12" t="str">
        <f t="shared" si="56"/>
        <v>09</v>
      </c>
      <c r="Q339" s="13" t="str">
        <f>VLOOKUP($B339,Deals_Demo!$H:$N,7,0)</f>
        <v>strategy_09_demo</v>
      </c>
      <c r="R339" s="13" t="str">
        <f t="shared" si="57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58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1"/>
        <v>-0.30499999999999999</v>
      </c>
      <c r="Y339" s="13">
        <f t="shared" si="52"/>
        <v>-0.61</v>
      </c>
      <c r="Z339" s="13">
        <f t="shared" si="53"/>
        <v>-0.91499999999999992</v>
      </c>
      <c r="AA339" s="13">
        <f t="shared" si="59"/>
        <v>-3</v>
      </c>
    </row>
    <row r="340" spans="1:27" x14ac:dyDescent="0.25">
      <c r="A340" s="35">
        <v>45918.404953703706</v>
      </c>
      <c r="B340" s="36">
        <v>443256035</v>
      </c>
      <c r="C340" s="37" t="s">
        <v>36</v>
      </c>
      <c r="D340" s="37" t="s">
        <v>39</v>
      </c>
      <c r="E340" s="37" t="s">
        <v>38</v>
      </c>
      <c r="F340" s="38">
        <v>3636.65</v>
      </c>
      <c r="G340" s="38">
        <v>3639.15</v>
      </c>
      <c r="H340" s="38">
        <v>3633.65</v>
      </c>
      <c r="I340" s="37" t="s">
        <v>514</v>
      </c>
      <c r="J340" s="38">
        <v>3639.24</v>
      </c>
      <c r="K340" s="38">
        <v>0</v>
      </c>
      <c r="L340" s="38">
        <v>0</v>
      </c>
      <c r="M340" s="39">
        <v>-2.59</v>
      </c>
      <c r="N340" s="10" t="str">
        <f t="shared" si="54"/>
        <v>L</v>
      </c>
      <c r="O340" s="11">
        <f t="shared" si="55"/>
        <v>45918</v>
      </c>
      <c r="P340" s="12" t="str">
        <f t="shared" si="56"/>
        <v>09</v>
      </c>
      <c r="Q340" s="13" t="str">
        <f>VLOOKUP($B340,Deals_Demo!$H:$N,7,0)</f>
        <v>strategy_10_demo</v>
      </c>
      <c r="R340" s="13" t="str">
        <f t="shared" si="57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58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1"/>
        <v>-0.25900000000000001</v>
      </c>
      <c r="Y340" s="13">
        <f t="shared" si="52"/>
        <v>-0.51800000000000002</v>
      </c>
      <c r="Z340" s="13">
        <f t="shared" si="53"/>
        <v>-0.77699999999999991</v>
      </c>
      <c r="AA340" s="13">
        <f t="shared" si="59"/>
        <v>-3</v>
      </c>
    </row>
    <row r="341" spans="1:27" x14ac:dyDescent="0.25">
      <c r="A341" s="40">
        <v>45918.43273148148</v>
      </c>
      <c r="B341" s="41">
        <v>443276227</v>
      </c>
      <c r="C341" s="42" t="s">
        <v>36</v>
      </c>
      <c r="D341" s="42" t="s">
        <v>37</v>
      </c>
      <c r="E341" s="42" t="s">
        <v>38</v>
      </c>
      <c r="F341" s="43">
        <v>3647.42</v>
      </c>
      <c r="G341" s="43">
        <v>3644.93</v>
      </c>
      <c r="H341" s="43">
        <v>3650.43</v>
      </c>
      <c r="I341" s="42" t="s">
        <v>515</v>
      </c>
      <c r="J341" s="43">
        <v>3650.54</v>
      </c>
      <c r="K341" s="43">
        <v>0</v>
      </c>
      <c r="L341" s="43">
        <v>0</v>
      </c>
      <c r="M341" s="44">
        <v>3.12</v>
      </c>
      <c r="N341" s="10" t="str">
        <f t="shared" si="54"/>
        <v>W</v>
      </c>
      <c r="O341" s="11">
        <f t="shared" si="55"/>
        <v>45918</v>
      </c>
      <c r="P341" s="12" t="str">
        <f t="shared" si="56"/>
        <v>10</v>
      </c>
      <c r="Q341" s="13" t="str">
        <f>VLOOKUP($B341,Deals_Demo!$H:$N,7,0)</f>
        <v>strategy_10_demo</v>
      </c>
      <c r="R341" s="13" t="str">
        <f t="shared" si="57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58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1"/>
        <v>0.31200000000000006</v>
      </c>
      <c r="Y341" s="13">
        <f t="shared" si="52"/>
        <v>0.62400000000000011</v>
      </c>
      <c r="Z341" s="13">
        <f t="shared" si="53"/>
        <v>0.93599999999999994</v>
      </c>
      <c r="AA341" s="13">
        <f t="shared" si="59"/>
        <v>3.12</v>
      </c>
    </row>
    <row r="342" spans="1:27" x14ac:dyDescent="0.25">
      <c r="A342" s="35">
        <v>45918.43273148148</v>
      </c>
      <c r="B342" s="36">
        <v>443276228</v>
      </c>
      <c r="C342" s="37" t="s">
        <v>36</v>
      </c>
      <c r="D342" s="37" t="s">
        <v>37</v>
      </c>
      <c r="E342" s="37" t="s">
        <v>38</v>
      </c>
      <c r="F342" s="38">
        <v>3647.45</v>
      </c>
      <c r="G342" s="38">
        <v>3644.42</v>
      </c>
      <c r="H342" s="38">
        <v>3650.92</v>
      </c>
      <c r="I342" s="37" t="s">
        <v>516</v>
      </c>
      <c r="J342" s="38">
        <v>3651.04</v>
      </c>
      <c r="K342" s="38">
        <v>0</v>
      </c>
      <c r="L342" s="38">
        <v>0</v>
      </c>
      <c r="M342" s="39">
        <v>3.59</v>
      </c>
      <c r="N342" s="10" t="str">
        <f t="shared" si="54"/>
        <v>W</v>
      </c>
      <c r="O342" s="11">
        <f t="shared" si="55"/>
        <v>45918</v>
      </c>
      <c r="P342" s="12" t="str">
        <f t="shared" si="56"/>
        <v>10</v>
      </c>
      <c r="Q342" s="13" t="str">
        <f>VLOOKUP($B342,Deals_Demo!$H:$N,7,0)</f>
        <v>strategy_11_demo</v>
      </c>
      <c r="R342" s="13" t="str">
        <f t="shared" si="57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58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1"/>
        <v>0.35899999999999999</v>
      </c>
      <c r="Y342" s="13">
        <f t="shared" si="52"/>
        <v>0.71799999999999997</v>
      </c>
      <c r="Z342" s="13">
        <f t="shared" si="53"/>
        <v>1.077</v>
      </c>
      <c r="AA342" s="13">
        <f t="shared" si="59"/>
        <v>3.59</v>
      </c>
    </row>
    <row r="343" spans="1:27" x14ac:dyDescent="0.25">
      <c r="A343" s="40">
        <v>45918.43273148148</v>
      </c>
      <c r="B343" s="41">
        <v>443276231</v>
      </c>
      <c r="C343" s="42" t="s">
        <v>36</v>
      </c>
      <c r="D343" s="42" t="s">
        <v>37</v>
      </c>
      <c r="E343" s="42" t="s">
        <v>38</v>
      </c>
      <c r="F343" s="43">
        <v>3647.53</v>
      </c>
      <c r="G343" s="43">
        <v>3644.42</v>
      </c>
      <c r="H343" s="43">
        <v>3650.42</v>
      </c>
      <c r="I343" s="42" t="s">
        <v>515</v>
      </c>
      <c r="J343" s="43">
        <v>3650.54</v>
      </c>
      <c r="K343" s="43">
        <v>0</v>
      </c>
      <c r="L343" s="43">
        <v>0</v>
      </c>
      <c r="M343" s="44">
        <v>3.01</v>
      </c>
      <c r="N343" s="10" t="str">
        <f t="shared" si="54"/>
        <v>W</v>
      </c>
      <c r="O343" s="11">
        <f t="shared" si="55"/>
        <v>45918</v>
      </c>
      <c r="P343" s="12" t="str">
        <f t="shared" si="56"/>
        <v>10</v>
      </c>
      <c r="Q343" s="13" t="str">
        <f>VLOOKUP($B343,Deals_Demo!$H:$N,7,0)</f>
        <v>strategy_09_demo</v>
      </c>
      <c r="R343" s="13" t="str">
        <f t="shared" si="57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58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1"/>
        <v>0.30099999999999999</v>
      </c>
      <c r="Y343" s="13">
        <f t="shared" si="52"/>
        <v>0.60199999999999998</v>
      </c>
      <c r="Z343" s="13">
        <f t="shared" si="53"/>
        <v>0.90299999999999991</v>
      </c>
      <c r="AA343" s="13">
        <f t="shared" si="59"/>
        <v>3.01</v>
      </c>
    </row>
    <row r="344" spans="1:27" x14ac:dyDescent="0.25">
      <c r="A344" s="35">
        <v>45918.43273148148</v>
      </c>
      <c r="B344" s="36">
        <v>443276233</v>
      </c>
      <c r="C344" s="37" t="s">
        <v>36</v>
      </c>
      <c r="D344" s="37" t="s">
        <v>37</v>
      </c>
      <c r="E344" s="37" t="s">
        <v>38</v>
      </c>
      <c r="F344" s="38">
        <v>3647.76</v>
      </c>
      <c r="G344" s="38">
        <v>3644.42</v>
      </c>
      <c r="H344" s="38">
        <v>3648.92</v>
      </c>
      <c r="I344" s="37" t="s">
        <v>517</v>
      </c>
      <c r="J344" s="38">
        <v>3648.95</v>
      </c>
      <c r="K344" s="38">
        <v>0</v>
      </c>
      <c r="L344" s="38">
        <v>0</v>
      </c>
      <c r="M344" s="39">
        <v>1.19</v>
      </c>
      <c r="N344" s="10" t="str">
        <f t="shared" si="54"/>
        <v>W</v>
      </c>
      <c r="O344" s="11">
        <f t="shared" si="55"/>
        <v>45918</v>
      </c>
      <c r="P344" s="12" t="str">
        <f t="shared" si="56"/>
        <v>10</v>
      </c>
      <c r="Q344" s="13" t="str">
        <f>VLOOKUP($B344,Deals_Demo!$H:$N,7,0)</f>
        <v>strategy_12_demo</v>
      </c>
      <c r="R344" s="13" t="str">
        <f t="shared" si="57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58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1"/>
        <v>0.11899999999999999</v>
      </c>
      <c r="Y344" s="13">
        <f t="shared" si="52"/>
        <v>0.23799999999999999</v>
      </c>
      <c r="Z344" s="13">
        <f t="shared" si="53"/>
        <v>0.35699999999999998</v>
      </c>
      <c r="AA344" s="13">
        <f t="shared" si="59"/>
        <v>-3</v>
      </c>
    </row>
    <row r="345" spans="1:27" x14ac:dyDescent="0.25">
      <c r="A345" s="40">
        <v>45918.441296296296</v>
      </c>
      <c r="B345" s="41">
        <v>443282831</v>
      </c>
      <c r="C345" s="42" t="s">
        <v>36</v>
      </c>
      <c r="D345" s="42" t="s">
        <v>37</v>
      </c>
      <c r="E345" s="42" t="s">
        <v>38</v>
      </c>
      <c r="F345" s="43">
        <v>3650.68</v>
      </c>
      <c r="G345" s="43">
        <v>3647.68</v>
      </c>
      <c r="H345" s="43">
        <v>3652.18</v>
      </c>
      <c r="I345" s="42" t="s">
        <v>518</v>
      </c>
      <c r="J345" s="43">
        <v>3652.21</v>
      </c>
      <c r="K345" s="43">
        <v>0</v>
      </c>
      <c r="L345" s="43">
        <v>0</v>
      </c>
      <c r="M345" s="44">
        <v>1.53</v>
      </c>
      <c r="N345" s="10" t="str">
        <f t="shared" si="54"/>
        <v>W</v>
      </c>
      <c r="O345" s="11">
        <f t="shared" si="55"/>
        <v>45918</v>
      </c>
      <c r="P345" s="12" t="str">
        <f t="shared" si="56"/>
        <v>10</v>
      </c>
      <c r="Q345" s="13" t="str">
        <f>VLOOKUP($B345,Deals_Demo!$H:$N,7,0)</f>
        <v>strategy_12_demo</v>
      </c>
      <c r="R345" s="13" t="str">
        <f t="shared" si="57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58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1"/>
        <v>0.15300000000000002</v>
      </c>
      <c r="Y345" s="13">
        <f t="shared" si="52"/>
        <v>0.30600000000000005</v>
      </c>
      <c r="Z345" s="13">
        <f t="shared" si="53"/>
        <v>0.45899999999999996</v>
      </c>
      <c r="AA345" s="13">
        <f t="shared" si="59"/>
        <v>-3</v>
      </c>
    </row>
    <row r="346" spans="1:27" x14ac:dyDescent="0.25">
      <c r="A346" s="35">
        <v>45918.441296296296</v>
      </c>
      <c r="B346" s="36">
        <v>443282833</v>
      </c>
      <c r="C346" s="37" t="s">
        <v>36</v>
      </c>
      <c r="D346" s="37" t="s">
        <v>37</v>
      </c>
      <c r="E346" s="37" t="s">
        <v>38</v>
      </c>
      <c r="F346" s="38">
        <v>3650.68</v>
      </c>
      <c r="G346" s="38">
        <v>3651.5</v>
      </c>
      <c r="H346" s="38">
        <v>3653.68</v>
      </c>
      <c r="I346" s="37" t="s">
        <v>519</v>
      </c>
      <c r="J346" s="38">
        <v>3653.8</v>
      </c>
      <c r="K346" s="38">
        <v>0</v>
      </c>
      <c r="L346" s="38">
        <v>0</v>
      </c>
      <c r="M346" s="39">
        <v>3.12</v>
      </c>
      <c r="N346" s="10" t="str">
        <f t="shared" si="54"/>
        <v>W</v>
      </c>
      <c r="O346" s="11">
        <f t="shared" si="55"/>
        <v>45918</v>
      </c>
      <c r="P346" s="12" t="str">
        <f t="shared" si="56"/>
        <v>10</v>
      </c>
      <c r="Q346" s="13" t="str">
        <f>VLOOKUP($B346,Deals_Demo!$H:$N,7,0)</f>
        <v>strategy_10_demo</v>
      </c>
      <c r="R346" s="13" t="str">
        <f t="shared" si="57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58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1"/>
        <v>0.31200000000000006</v>
      </c>
      <c r="Y346" s="13">
        <f t="shared" si="52"/>
        <v>0.62400000000000011</v>
      </c>
      <c r="Z346" s="13">
        <f t="shared" si="53"/>
        <v>0.93599999999999994</v>
      </c>
      <c r="AA346" s="13">
        <f t="shared" si="59"/>
        <v>3.12</v>
      </c>
    </row>
    <row r="347" spans="1:27" x14ac:dyDescent="0.25">
      <c r="A347" s="40">
        <v>45918.441296296296</v>
      </c>
      <c r="B347" s="41">
        <v>443282835</v>
      </c>
      <c r="C347" s="42" t="s">
        <v>36</v>
      </c>
      <c r="D347" s="42" t="s">
        <v>37</v>
      </c>
      <c r="E347" s="42" t="s">
        <v>38</v>
      </c>
      <c r="F347" s="43">
        <v>3650.68</v>
      </c>
      <c r="G347" s="43">
        <v>3651.5</v>
      </c>
      <c r="H347" s="43">
        <v>3653.68</v>
      </c>
      <c r="I347" s="42" t="s">
        <v>519</v>
      </c>
      <c r="J347" s="43">
        <v>3653.8</v>
      </c>
      <c r="K347" s="43">
        <v>0</v>
      </c>
      <c r="L347" s="43">
        <v>0</v>
      </c>
      <c r="M347" s="44">
        <v>3.12</v>
      </c>
      <c r="N347" s="10" t="str">
        <f t="shared" si="54"/>
        <v>W</v>
      </c>
      <c r="O347" s="11">
        <f t="shared" si="55"/>
        <v>45918</v>
      </c>
      <c r="P347" s="12" t="str">
        <f t="shared" si="56"/>
        <v>10</v>
      </c>
      <c r="Q347" s="13" t="str">
        <f>VLOOKUP($B347,Deals_Demo!$H:$N,7,0)</f>
        <v>strategy_09_demo</v>
      </c>
      <c r="R347" s="13" t="str">
        <f t="shared" si="57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58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1"/>
        <v>0.31200000000000006</v>
      </c>
      <c r="Y347" s="13">
        <f t="shared" si="52"/>
        <v>0.62400000000000011</v>
      </c>
      <c r="Z347" s="13">
        <f t="shared" si="53"/>
        <v>0.93599999999999994</v>
      </c>
      <c r="AA347" s="13">
        <f t="shared" si="59"/>
        <v>3.12</v>
      </c>
    </row>
    <row r="348" spans="1:27" x14ac:dyDescent="0.25">
      <c r="A348" s="35">
        <v>45918.441296296296</v>
      </c>
      <c r="B348" s="36">
        <v>443282844</v>
      </c>
      <c r="C348" s="37" t="s">
        <v>36</v>
      </c>
      <c r="D348" s="37" t="s">
        <v>37</v>
      </c>
      <c r="E348" s="37" t="s">
        <v>38</v>
      </c>
      <c r="F348" s="38">
        <v>3650.68</v>
      </c>
      <c r="G348" s="38">
        <v>3651.5</v>
      </c>
      <c r="H348" s="38">
        <v>3654.18</v>
      </c>
      <c r="I348" s="37" t="s">
        <v>520</v>
      </c>
      <c r="J348" s="38">
        <v>3654.21</v>
      </c>
      <c r="K348" s="38">
        <v>0</v>
      </c>
      <c r="L348" s="38">
        <v>0</v>
      </c>
      <c r="M348" s="39">
        <v>3.53</v>
      </c>
      <c r="N348" s="10" t="str">
        <f t="shared" si="54"/>
        <v>W</v>
      </c>
      <c r="O348" s="11">
        <f t="shared" si="55"/>
        <v>45918</v>
      </c>
      <c r="P348" s="12" t="str">
        <f t="shared" si="56"/>
        <v>10</v>
      </c>
      <c r="Q348" s="13" t="str">
        <f>VLOOKUP($B348,Deals_Demo!$H:$N,7,0)</f>
        <v>strategy_11_demo</v>
      </c>
      <c r="R348" s="13" t="str">
        <f t="shared" si="57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58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1"/>
        <v>0.35299999999999998</v>
      </c>
      <c r="Y348" s="13">
        <f t="shared" si="52"/>
        <v>0.70599999999999996</v>
      </c>
      <c r="Z348" s="13">
        <f t="shared" si="53"/>
        <v>1.0589999999999999</v>
      </c>
      <c r="AA348" s="13">
        <f t="shared" si="59"/>
        <v>3.53</v>
      </c>
    </row>
    <row r="349" spans="1:27" x14ac:dyDescent="0.25">
      <c r="A349" s="40">
        <v>45918.450208333335</v>
      </c>
      <c r="B349" s="41">
        <v>443289887</v>
      </c>
      <c r="C349" s="42" t="s">
        <v>36</v>
      </c>
      <c r="D349" s="42" t="s">
        <v>37</v>
      </c>
      <c r="E349" s="42" t="s">
        <v>38</v>
      </c>
      <c r="F349" s="43">
        <v>3657.89</v>
      </c>
      <c r="G349" s="43">
        <v>3654.89</v>
      </c>
      <c r="H349" s="43">
        <v>3659.39</v>
      </c>
      <c r="I349" s="42" t="s">
        <v>521</v>
      </c>
      <c r="J349" s="43">
        <v>3659.49</v>
      </c>
      <c r="K349" s="43">
        <v>0</v>
      </c>
      <c r="L349" s="43">
        <v>0</v>
      </c>
      <c r="M349" s="44">
        <v>1.6</v>
      </c>
      <c r="N349" s="10" t="str">
        <f t="shared" si="54"/>
        <v>W</v>
      </c>
      <c r="O349" s="11">
        <f t="shared" si="55"/>
        <v>45918</v>
      </c>
      <c r="P349" s="12" t="str">
        <f t="shared" si="56"/>
        <v>10</v>
      </c>
      <c r="Q349" s="13" t="str">
        <f>VLOOKUP($B349,Deals_Demo!$H:$N,7,0)</f>
        <v>strategy_12_demo</v>
      </c>
      <c r="R349" s="13" t="str">
        <f t="shared" si="57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58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1"/>
        <v>0.16000000000000003</v>
      </c>
      <c r="Y349" s="13">
        <f t="shared" si="52"/>
        <v>0.32000000000000006</v>
      </c>
      <c r="Z349" s="13">
        <f t="shared" si="53"/>
        <v>0.48</v>
      </c>
      <c r="AA349" s="13">
        <f t="shared" si="59"/>
        <v>-3</v>
      </c>
    </row>
    <row r="350" spans="1:27" x14ac:dyDescent="0.25">
      <c r="A350" s="35">
        <v>45918.450208333335</v>
      </c>
      <c r="B350" s="36">
        <v>443289890</v>
      </c>
      <c r="C350" s="37" t="s">
        <v>36</v>
      </c>
      <c r="D350" s="37" t="s">
        <v>37</v>
      </c>
      <c r="E350" s="37" t="s">
        <v>38</v>
      </c>
      <c r="F350" s="38">
        <v>3657.81</v>
      </c>
      <c r="G350" s="38">
        <v>3658.03</v>
      </c>
      <c r="H350" s="38">
        <v>3661.39</v>
      </c>
      <c r="I350" s="37" t="s">
        <v>522</v>
      </c>
      <c r="J350" s="38">
        <v>3657.66</v>
      </c>
      <c r="K350" s="38">
        <v>0</v>
      </c>
      <c r="L350" s="38">
        <v>0</v>
      </c>
      <c r="M350" s="39">
        <v>-0.15</v>
      </c>
      <c r="N350" s="10" t="str">
        <f t="shared" si="54"/>
        <v>L</v>
      </c>
      <c r="O350" s="11">
        <f t="shared" si="55"/>
        <v>45918</v>
      </c>
      <c r="P350" s="12" t="str">
        <f t="shared" si="56"/>
        <v>10</v>
      </c>
      <c r="Q350" s="13" t="str">
        <f>VLOOKUP($B350,Deals_Demo!$H:$N,7,0)</f>
        <v>strategy_11_demo</v>
      </c>
      <c r="R350" s="13" t="str">
        <f t="shared" si="57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58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1"/>
        <v>-1.4999999999999999E-2</v>
      </c>
      <c r="Y350" s="13">
        <f t="shared" si="52"/>
        <v>-0.03</v>
      </c>
      <c r="Z350" s="13">
        <f t="shared" si="53"/>
        <v>-4.4999999999999998E-2</v>
      </c>
      <c r="AA350" s="13">
        <f t="shared" si="59"/>
        <v>-3</v>
      </c>
    </row>
    <row r="351" spans="1:27" x14ac:dyDescent="0.25">
      <c r="A351" s="40">
        <v>45918.450208333335</v>
      </c>
      <c r="B351" s="41">
        <v>443289894</v>
      </c>
      <c r="C351" s="42" t="s">
        <v>36</v>
      </c>
      <c r="D351" s="42" t="s">
        <v>37</v>
      </c>
      <c r="E351" s="42" t="s">
        <v>38</v>
      </c>
      <c r="F351" s="43">
        <v>3657.86</v>
      </c>
      <c r="G351" s="43">
        <v>3658.03</v>
      </c>
      <c r="H351" s="43">
        <v>3660.89</v>
      </c>
      <c r="I351" s="42" t="s">
        <v>522</v>
      </c>
      <c r="J351" s="43">
        <v>3657.66</v>
      </c>
      <c r="K351" s="43">
        <v>0</v>
      </c>
      <c r="L351" s="43">
        <v>0</v>
      </c>
      <c r="M351" s="44">
        <v>-0.2</v>
      </c>
      <c r="N351" s="10" t="str">
        <f t="shared" si="54"/>
        <v>L</v>
      </c>
      <c r="O351" s="11">
        <f t="shared" si="55"/>
        <v>45918</v>
      </c>
      <c r="P351" s="12" t="str">
        <f t="shared" si="56"/>
        <v>10</v>
      </c>
      <c r="Q351" s="13" t="str">
        <f>VLOOKUP($B351,Deals_Demo!$H:$N,7,0)</f>
        <v>strategy_10_demo</v>
      </c>
      <c r="R351" s="13" t="str">
        <f t="shared" si="57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58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1"/>
        <v>-2.0000000000000004E-2</v>
      </c>
      <c r="Y351" s="13">
        <f t="shared" si="52"/>
        <v>-4.0000000000000008E-2</v>
      </c>
      <c r="Z351" s="13">
        <f t="shared" si="53"/>
        <v>-0.06</v>
      </c>
      <c r="AA351" s="13">
        <f t="shared" si="59"/>
        <v>-3</v>
      </c>
    </row>
    <row r="352" spans="1:27" x14ac:dyDescent="0.25">
      <c r="A352" s="35">
        <v>45918.450208333335</v>
      </c>
      <c r="B352" s="36">
        <v>443289896</v>
      </c>
      <c r="C352" s="37" t="s">
        <v>36</v>
      </c>
      <c r="D352" s="37" t="s">
        <v>37</v>
      </c>
      <c r="E352" s="37" t="s">
        <v>38</v>
      </c>
      <c r="F352" s="38">
        <v>3657.84</v>
      </c>
      <c r="G352" s="38">
        <v>3658.03</v>
      </c>
      <c r="H352" s="38">
        <v>3660.89</v>
      </c>
      <c r="I352" s="37" t="s">
        <v>522</v>
      </c>
      <c r="J352" s="38">
        <v>3657.66</v>
      </c>
      <c r="K352" s="38">
        <v>0</v>
      </c>
      <c r="L352" s="38">
        <v>0</v>
      </c>
      <c r="M352" s="39">
        <v>-0.18</v>
      </c>
      <c r="N352" s="10" t="str">
        <f t="shared" si="54"/>
        <v>L</v>
      </c>
      <c r="O352" s="11">
        <f t="shared" si="55"/>
        <v>45918</v>
      </c>
      <c r="P352" s="12" t="str">
        <f t="shared" si="56"/>
        <v>10</v>
      </c>
      <c r="Q352" s="13" t="str">
        <f>VLOOKUP($B352,Deals_Demo!$H:$N,7,0)</f>
        <v>strategy_09_demo</v>
      </c>
      <c r="R352" s="13" t="str">
        <f t="shared" si="57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58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1"/>
        <v>-1.7999999999999999E-2</v>
      </c>
      <c r="Y352" s="13">
        <f t="shared" si="52"/>
        <v>-3.5999999999999997E-2</v>
      </c>
      <c r="Z352" s="13">
        <f t="shared" si="53"/>
        <v>-5.3999999999999999E-2</v>
      </c>
      <c r="AA352" s="13">
        <f t="shared" si="59"/>
        <v>-3</v>
      </c>
    </row>
    <row r="353" spans="1:27" x14ac:dyDescent="0.25">
      <c r="A353" s="40">
        <v>45918.451828703706</v>
      </c>
      <c r="B353" s="41">
        <v>443290682</v>
      </c>
      <c r="C353" s="42" t="s">
        <v>36</v>
      </c>
      <c r="D353" s="42" t="s">
        <v>37</v>
      </c>
      <c r="E353" s="42" t="s">
        <v>38</v>
      </c>
      <c r="F353" s="43">
        <v>3658.58</v>
      </c>
      <c r="G353" s="43">
        <v>3655.58</v>
      </c>
      <c r="H353" s="43">
        <v>3660.08</v>
      </c>
      <c r="I353" s="42" t="s">
        <v>523</v>
      </c>
      <c r="J353" s="43">
        <v>3655.48</v>
      </c>
      <c r="K353" s="43">
        <v>0</v>
      </c>
      <c r="L353" s="43">
        <v>0</v>
      </c>
      <c r="M353" s="44">
        <v>-3.1</v>
      </c>
      <c r="N353" s="10" t="str">
        <f t="shared" si="54"/>
        <v>L</v>
      </c>
      <c r="O353" s="11">
        <f t="shared" si="55"/>
        <v>45918</v>
      </c>
      <c r="P353" s="12" t="str">
        <f t="shared" si="56"/>
        <v>10</v>
      </c>
      <c r="Q353" s="13" t="str">
        <f>VLOOKUP($B353,Deals_Demo!$H:$N,7,0)</f>
        <v>strategy_12_demo</v>
      </c>
      <c r="R353" s="13" t="str">
        <f t="shared" si="57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58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1"/>
        <v>-0.31000000000000005</v>
      </c>
      <c r="Y353" s="13">
        <f t="shared" si="52"/>
        <v>-0.62000000000000011</v>
      </c>
      <c r="Z353" s="13">
        <f t="shared" si="53"/>
        <v>-0.92999999999999994</v>
      </c>
      <c r="AA353" s="13">
        <f t="shared" si="59"/>
        <v>-3</v>
      </c>
    </row>
    <row r="354" spans="1:27" x14ac:dyDescent="0.25">
      <c r="A354" s="35">
        <v>45918.452523148146</v>
      </c>
      <c r="B354" s="36">
        <v>443290925</v>
      </c>
      <c r="C354" s="37" t="s">
        <v>36</v>
      </c>
      <c r="D354" s="37" t="s">
        <v>37</v>
      </c>
      <c r="E354" s="37" t="s">
        <v>38</v>
      </c>
      <c r="F354" s="38">
        <v>3658.41</v>
      </c>
      <c r="G354" s="38">
        <v>3655.36</v>
      </c>
      <c r="H354" s="38">
        <v>3661.86</v>
      </c>
      <c r="I354" s="37" t="s">
        <v>524</v>
      </c>
      <c r="J354" s="38">
        <v>3655.34</v>
      </c>
      <c r="K354" s="38">
        <v>0</v>
      </c>
      <c r="L354" s="38">
        <v>0</v>
      </c>
      <c r="M354" s="39">
        <v>-3.07</v>
      </c>
      <c r="N354" s="10" t="str">
        <f t="shared" si="54"/>
        <v>L</v>
      </c>
      <c r="O354" s="11">
        <f t="shared" si="55"/>
        <v>45918</v>
      </c>
      <c r="P354" s="12" t="str">
        <f t="shared" si="56"/>
        <v>10</v>
      </c>
      <c r="Q354" s="13" t="str">
        <f>VLOOKUP($B354,Deals_Demo!$H:$N,7,0)</f>
        <v>strategy_11_demo</v>
      </c>
      <c r="R354" s="13" t="str">
        <f t="shared" si="57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58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1"/>
        <v>-0.307</v>
      </c>
      <c r="Y354" s="13">
        <f t="shared" si="52"/>
        <v>-0.61399999999999999</v>
      </c>
      <c r="Z354" s="13">
        <f t="shared" si="53"/>
        <v>-0.92099999999999993</v>
      </c>
      <c r="AA354" s="13">
        <f t="shared" si="59"/>
        <v>-3</v>
      </c>
    </row>
    <row r="355" spans="1:27" x14ac:dyDescent="0.25">
      <c r="A355" s="40">
        <v>45918.452523148146</v>
      </c>
      <c r="B355" s="41">
        <v>443290928</v>
      </c>
      <c r="C355" s="42" t="s">
        <v>36</v>
      </c>
      <c r="D355" s="42" t="s">
        <v>37</v>
      </c>
      <c r="E355" s="42" t="s">
        <v>38</v>
      </c>
      <c r="F355" s="43">
        <v>3658.41</v>
      </c>
      <c r="G355" s="43">
        <v>3655.41</v>
      </c>
      <c r="H355" s="43">
        <v>3661.41</v>
      </c>
      <c r="I355" s="42" t="s">
        <v>525</v>
      </c>
      <c r="J355" s="43">
        <v>3655.4</v>
      </c>
      <c r="K355" s="43">
        <v>0</v>
      </c>
      <c r="L355" s="43">
        <v>0</v>
      </c>
      <c r="M355" s="44">
        <v>-3.01</v>
      </c>
      <c r="N355" s="10" t="str">
        <f t="shared" si="54"/>
        <v>L</v>
      </c>
      <c r="O355" s="11">
        <f t="shared" si="55"/>
        <v>45918</v>
      </c>
      <c r="P355" s="12" t="str">
        <f t="shared" si="56"/>
        <v>10</v>
      </c>
      <c r="Q355" s="13" t="str">
        <f>VLOOKUP($B355,Deals_Demo!$H:$N,7,0)</f>
        <v>strategy_09_demo</v>
      </c>
      <c r="R355" s="13" t="str">
        <f t="shared" si="57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58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1"/>
        <v>-0.30099999999999999</v>
      </c>
      <c r="Y355" s="13">
        <f t="shared" si="52"/>
        <v>-0.60199999999999998</v>
      </c>
      <c r="Z355" s="13">
        <f t="shared" si="53"/>
        <v>-0.90299999999999991</v>
      </c>
      <c r="AA355" s="13">
        <f t="shared" si="59"/>
        <v>-3</v>
      </c>
    </row>
    <row r="356" spans="1:27" x14ac:dyDescent="0.25">
      <c r="A356" s="35">
        <v>45918.452523148146</v>
      </c>
      <c r="B356" s="36">
        <v>443290929</v>
      </c>
      <c r="C356" s="37" t="s">
        <v>36</v>
      </c>
      <c r="D356" s="37" t="s">
        <v>37</v>
      </c>
      <c r="E356" s="37" t="s">
        <v>38</v>
      </c>
      <c r="F356" s="38">
        <v>3658.15</v>
      </c>
      <c r="G356" s="38">
        <v>3658.29</v>
      </c>
      <c r="H356" s="38">
        <v>3661.41</v>
      </c>
      <c r="I356" s="37" t="s">
        <v>526</v>
      </c>
      <c r="J356" s="38">
        <v>3658.14</v>
      </c>
      <c r="K356" s="38">
        <v>0</v>
      </c>
      <c r="L356" s="38">
        <v>0</v>
      </c>
      <c r="M356" s="39">
        <v>-0.01</v>
      </c>
      <c r="N356" s="10" t="str">
        <f t="shared" si="54"/>
        <v>L</v>
      </c>
      <c r="O356" s="11">
        <f t="shared" si="55"/>
        <v>45918</v>
      </c>
      <c r="P356" s="12" t="str">
        <f t="shared" si="56"/>
        <v>10</v>
      </c>
      <c r="Q356" s="13" t="str">
        <f>VLOOKUP($B356,Deals_Demo!$H:$N,7,0)</f>
        <v>strategy_10_demo</v>
      </c>
      <c r="R356" s="13" t="str">
        <f t="shared" si="57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58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1"/>
        <v>-1E-3</v>
      </c>
      <c r="Y356" s="13">
        <f t="shared" si="52"/>
        <v>-2E-3</v>
      </c>
      <c r="Z356" s="13">
        <f t="shared" si="53"/>
        <v>-3.0000000000000001E-3</v>
      </c>
      <c r="AA356" s="13">
        <f t="shared" si="59"/>
        <v>-3</v>
      </c>
    </row>
    <row r="357" spans="1:27" x14ac:dyDescent="0.25">
      <c r="A357" s="40">
        <v>45918.455416666664</v>
      </c>
      <c r="B357" s="41">
        <v>443291971</v>
      </c>
      <c r="C357" s="42" t="s">
        <v>36</v>
      </c>
      <c r="D357" s="42" t="s">
        <v>37</v>
      </c>
      <c r="E357" s="42" t="s">
        <v>38</v>
      </c>
      <c r="F357" s="43">
        <v>3658.5</v>
      </c>
      <c r="G357" s="43">
        <v>3656</v>
      </c>
      <c r="H357" s="43">
        <v>3661.5</v>
      </c>
      <c r="I357" s="42" t="s">
        <v>527</v>
      </c>
      <c r="J357" s="43">
        <v>3655.84</v>
      </c>
      <c r="K357" s="43">
        <v>0</v>
      </c>
      <c r="L357" s="43">
        <v>0</v>
      </c>
      <c r="M357" s="44">
        <v>-2.66</v>
      </c>
      <c r="N357" s="10" t="str">
        <f t="shared" si="54"/>
        <v>L</v>
      </c>
      <c r="O357" s="11">
        <f t="shared" si="55"/>
        <v>45918</v>
      </c>
      <c r="P357" s="12" t="str">
        <f t="shared" si="56"/>
        <v>10</v>
      </c>
      <c r="Q357" s="13" t="str">
        <f>VLOOKUP($B357,Deals_Demo!$H:$N,7,0)</f>
        <v>strategy_10_demo</v>
      </c>
      <c r="R357" s="13" t="str">
        <f t="shared" si="57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58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1"/>
        <v>-0.26600000000000001</v>
      </c>
      <c r="Y357" s="13">
        <f t="shared" si="52"/>
        <v>-0.53200000000000003</v>
      </c>
      <c r="Z357" s="13">
        <f t="shared" si="53"/>
        <v>-0.79800000000000004</v>
      </c>
      <c r="AA357" s="13">
        <f t="shared" si="59"/>
        <v>-3</v>
      </c>
    </row>
    <row r="358" spans="1:27" x14ac:dyDescent="0.25">
      <c r="A358" s="35">
        <v>45918.456689814811</v>
      </c>
      <c r="B358" s="36">
        <v>443292671</v>
      </c>
      <c r="C358" s="37" t="s">
        <v>36</v>
      </c>
      <c r="D358" s="37" t="s">
        <v>37</v>
      </c>
      <c r="E358" s="37" t="s">
        <v>38</v>
      </c>
      <c r="F358" s="38">
        <v>3658.04</v>
      </c>
      <c r="G358" s="38">
        <v>3655.04</v>
      </c>
      <c r="H358" s="38">
        <v>3661.54</v>
      </c>
      <c r="I358" s="37" t="s">
        <v>528</v>
      </c>
      <c r="J358" s="38">
        <v>3655</v>
      </c>
      <c r="K358" s="38">
        <v>0</v>
      </c>
      <c r="L358" s="38">
        <v>0</v>
      </c>
      <c r="M358" s="39">
        <v>-3.04</v>
      </c>
      <c r="N358" s="10" t="str">
        <f t="shared" si="54"/>
        <v>L</v>
      </c>
      <c r="O358" s="11">
        <f t="shared" si="55"/>
        <v>45918</v>
      </c>
      <c r="P358" s="12" t="str">
        <f t="shared" si="56"/>
        <v>10</v>
      </c>
      <c r="Q358" s="13" t="str">
        <f>VLOOKUP($B358,Deals_Demo!$H:$N,7,0)</f>
        <v>strategy_08_demo</v>
      </c>
      <c r="R358" s="13" t="str">
        <f t="shared" si="57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58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1"/>
        <v>-0.30400000000000005</v>
      </c>
      <c r="Y358" s="13">
        <f t="shared" si="52"/>
        <v>-0.6080000000000001</v>
      </c>
      <c r="Z358" s="13">
        <f t="shared" si="53"/>
        <v>-0.91199999999999992</v>
      </c>
      <c r="AA358" s="13">
        <f t="shared" si="59"/>
        <v>-3</v>
      </c>
    </row>
    <row r="359" spans="1:27" x14ac:dyDescent="0.25">
      <c r="A359" s="40">
        <v>45918.467453703706</v>
      </c>
      <c r="B359" s="41">
        <v>443298547</v>
      </c>
      <c r="C359" s="42" t="s">
        <v>36</v>
      </c>
      <c r="D359" s="42" t="s">
        <v>39</v>
      </c>
      <c r="E359" s="42" t="s">
        <v>38</v>
      </c>
      <c r="F359" s="43">
        <v>3655.01</v>
      </c>
      <c r="G359" s="43">
        <v>3658.08</v>
      </c>
      <c r="H359" s="43">
        <v>3652.08</v>
      </c>
      <c r="I359" s="42" t="s">
        <v>529</v>
      </c>
      <c r="J359" s="43">
        <v>3658.09</v>
      </c>
      <c r="K359" s="43">
        <v>0</v>
      </c>
      <c r="L359" s="43">
        <v>0</v>
      </c>
      <c r="M359" s="44">
        <v>-3.08</v>
      </c>
      <c r="N359" s="10" t="str">
        <f t="shared" si="54"/>
        <v>L</v>
      </c>
      <c r="O359" s="11">
        <f t="shared" si="55"/>
        <v>45918</v>
      </c>
      <c r="P359" s="12" t="str">
        <f t="shared" si="56"/>
        <v>11</v>
      </c>
      <c r="Q359" s="13" t="str">
        <f>VLOOKUP($B359,Deals_Demo!$H:$N,7,0)</f>
        <v>strategy_09_demo</v>
      </c>
      <c r="R359" s="13" t="str">
        <f t="shared" si="57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58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1"/>
        <v>-0.30800000000000005</v>
      </c>
      <c r="Y359" s="13">
        <f t="shared" si="52"/>
        <v>-0.6160000000000001</v>
      </c>
      <c r="Z359" s="13">
        <f t="shared" si="53"/>
        <v>-0.92399999999999993</v>
      </c>
      <c r="AA359" s="13">
        <f t="shared" si="59"/>
        <v>-3</v>
      </c>
    </row>
    <row r="360" spans="1:27" x14ac:dyDescent="0.25">
      <c r="A360" s="35">
        <v>45918.467453703706</v>
      </c>
      <c r="B360" s="36">
        <v>443298548</v>
      </c>
      <c r="C360" s="37" t="s">
        <v>36</v>
      </c>
      <c r="D360" s="37" t="s">
        <v>39</v>
      </c>
      <c r="E360" s="37" t="s">
        <v>38</v>
      </c>
      <c r="F360" s="38">
        <v>3655.01</v>
      </c>
      <c r="G360" s="38">
        <v>3658.01</v>
      </c>
      <c r="H360" s="38">
        <v>3653.51</v>
      </c>
      <c r="I360" s="37" t="s">
        <v>530</v>
      </c>
      <c r="J360" s="38">
        <v>3658.01</v>
      </c>
      <c r="K360" s="38">
        <v>0</v>
      </c>
      <c r="L360" s="38">
        <v>0</v>
      </c>
      <c r="M360" s="39">
        <v>-3</v>
      </c>
      <c r="N360" s="10" t="str">
        <f t="shared" si="54"/>
        <v>L</v>
      </c>
      <c r="O360" s="11">
        <f t="shared" si="55"/>
        <v>45918</v>
      </c>
      <c r="P360" s="12" t="str">
        <f t="shared" si="56"/>
        <v>11</v>
      </c>
      <c r="Q360" s="13" t="str">
        <f>VLOOKUP($B360,Deals_Demo!$H:$N,7,0)</f>
        <v>strategy_14_demo</v>
      </c>
      <c r="R360" s="13" t="str">
        <f t="shared" si="57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58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1"/>
        <v>-0.30000000000000004</v>
      </c>
      <c r="Y360" s="13">
        <f t="shared" si="52"/>
        <v>-0.60000000000000009</v>
      </c>
      <c r="Z360" s="13">
        <f t="shared" si="53"/>
        <v>-0.89999999999999991</v>
      </c>
      <c r="AA360" s="13">
        <f t="shared" si="59"/>
        <v>-3</v>
      </c>
    </row>
    <row r="361" spans="1:27" x14ac:dyDescent="0.25">
      <c r="A361" s="40">
        <v>45918.467453703706</v>
      </c>
      <c r="B361" s="41">
        <v>443298549</v>
      </c>
      <c r="C361" s="42" t="s">
        <v>36</v>
      </c>
      <c r="D361" s="42" t="s">
        <v>39</v>
      </c>
      <c r="E361" s="42" t="s">
        <v>38</v>
      </c>
      <c r="F361" s="43">
        <v>3655.01</v>
      </c>
      <c r="G361" s="43">
        <v>3658.01</v>
      </c>
      <c r="H361" s="43">
        <v>3653.51</v>
      </c>
      <c r="I361" s="42" t="s">
        <v>530</v>
      </c>
      <c r="J361" s="43">
        <v>3658.01</v>
      </c>
      <c r="K361" s="43">
        <v>0</v>
      </c>
      <c r="L361" s="43">
        <v>0</v>
      </c>
      <c r="M361" s="44">
        <v>-3</v>
      </c>
      <c r="N361" s="10" t="str">
        <f t="shared" si="54"/>
        <v>L</v>
      </c>
      <c r="O361" s="11">
        <f t="shared" si="55"/>
        <v>45918</v>
      </c>
      <c r="P361" s="12" t="str">
        <f t="shared" si="56"/>
        <v>11</v>
      </c>
      <c r="Q361" s="13" t="str">
        <f>VLOOKUP($B361,Deals_Demo!$H:$N,7,0)</f>
        <v>strategy_12_demo</v>
      </c>
      <c r="R361" s="13" t="str">
        <f t="shared" si="57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58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1"/>
        <v>-0.30000000000000004</v>
      </c>
      <c r="Y361" s="13">
        <f t="shared" si="52"/>
        <v>-0.60000000000000009</v>
      </c>
      <c r="Z361" s="13">
        <f t="shared" si="53"/>
        <v>-0.89999999999999991</v>
      </c>
      <c r="AA361" s="13">
        <f t="shared" si="59"/>
        <v>-3</v>
      </c>
    </row>
    <row r="362" spans="1:27" x14ac:dyDescent="0.25">
      <c r="A362" s="35">
        <v>45918.467453703706</v>
      </c>
      <c r="B362" s="36">
        <v>443298551</v>
      </c>
      <c r="C362" s="37" t="s">
        <v>36</v>
      </c>
      <c r="D362" s="37" t="s">
        <v>39</v>
      </c>
      <c r="E362" s="37" t="s">
        <v>38</v>
      </c>
      <c r="F362" s="38">
        <v>3655.01</v>
      </c>
      <c r="G362" s="38">
        <v>3658.01</v>
      </c>
      <c r="H362" s="38">
        <v>3651.51</v>
      </c>
      <c r="I362" s="37" t="s">
        <v>530</v>
      </c>
      <c r="J362" s="38">
        <v>3658.01</v>
      </c>
      <c r="K362" s="38">
        <v>0</v>
      </c>
      <c r="L362" s="38">
        <v>0</v>
      </c>
      <c r="M362" s="39">
        <v>-3</v>
      </c>
      <c r="N362" s="10" t="str">
        <f t="shared" si="54"/>
        <v>L</v>
      </c>
      <c r="O362" s="11">
        <f t="shared" si="55"/>
        <v>45918</v>
      </c>
      <c r="P362" s="12" t="str">
        <f t="shared" si="56"/>
        <v>11</v>
      </c>
      <c r="Q362" s="13" t="str">
        <f>VLOOKUP($B362,Deals_Demo!$H:$N,7,0)</f>
        <v>strategy_11_demo</v>
      </c>
      <c r="R362" s="13" t="str">
        <f t="shared" si="57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58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1"/>
        <v>-0.30000000000000004</v>
      </c>
      <c r="Y362" s="13">
        <f t="shared" si="52"/>
        <v>-0.60000000000000009</v>
      </c>
      <c r="Z362" s="13">
        <f t="shared" si="53"/>
        <v>-0.89999999999999991</v>
      </c>
      <c r="AA362" s="13">
        <f t="shared" si="59"/>
        <v>-3</v>
      </c>
    </row>
    <row r="363" spans="1:27" x14ac:dyDescent="0.25">
      <c r="A363" s="40">
        <v>45918.467465277776</v>
      </c>
      <c r="B363" s="41">
        <v>443298553</v>
      </c>
      <c r="C363" s="42" t="s">
        <v>36</v>
      </c>
      <c r="D363" s="42" t="s">
        <v>39</v>
      </c>
      <c r="E363" s="42" t="s">
        <v>38</v>
      </c>
      <c r="F363" s="43">
        <v>3655</v>
      </c>
      <c r="G363" s="43">
        <v>3657.51</v>
      </c>
      <c r="H363" s="43">
        <v>3652.01</v>
      </c>
      <c r="I363" s="42" t="s">
        <v>531</v>
      </c>
      <c r="J363" s="43">
        <v>3657.52</v>
      </c>
      <c r="K363" s="43">
        <v>0</v>
      </c>
      <c r="L363" s="43">
        <v>0</v>
      </c>
      <c r="M363" s="44">
        <v>-2.52</v>
      </c>
      <c r="N363" s="10" t="str">
        <f t="shared" si="54"/>
        <v>L</v>
      </c>
      <c r="O363" s="11">
        <f t="shared" si="55"/>
        <v>45918</v>
      </c>
      <c r="P363" s="12" t="str">
        <f t="shared" si="56"/>
        <v>11</v>
      </c>
      <c r="Q363" s="13" t="str">
        <f>VLOOKUP($B363,Deals_Demo!$H:$N,7,0)</f>
        <v>strategy_10_demo</v>
      </c>
      <c r="R363" s="13" t="str">
        <f t="shared" si="57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58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1"/>
        <v>-0.252</v>
      </c>
      <c r="Y363" s="13">
        <f t="shared" si="52"/>
        <v>-0.504</v>
      </c>
      <c r="Z363" s="13">
        <f t="shared" si="53"/>
        <v>-0.75600000000000001</v>
      </c>
      <c r="AA363" s="13">
        <f t="shared" si="59"/>
        <v>-3</v>
      </c>
    </row>
    <row r="364" spans="1:27" x14ac:dyDescent="0.25">
      <c r="A364" s="35">
        <v>45918.468831018516</v>
      </c>
      <c r="B364" s="36">
        <v>443299057</v>
      </c>
      <c r="C364" s="37" t="s">
        <v>36</v>
      </c>
      <c r="D364" s="37" t="s">
        <v>37</v>
      </c>
      <c r="E364" s="37" t="s">
        <v>38</v>
      </c>
      <c r="F364" s="38">
        <v>3655.99</v>
      </c>
      <c r="G364" s="38">
        <v>3657.03</v>
      </c>
      <c r="H364" s="38">
        <v>3659.62</v>
      </c>
      <c r="I364" s="37" t="s">
        <v>532</v>
      </c>
      <c r="J364" s="38">
        <v>3659.64</v>
      </c>
      <c r="K364" s="38">
        <v>0</v>
      </c>
      <c r="L364" s="38">
        <v>0</v>
      </c>
      <c r="M364" s="39">
        <v>3.65</v>
      </c>
      <c r="N364" s="10" t="str">
        <f t="shared" si="54"/>
        <v>W</v>
      </c>
      <c r="O364" s="11">
        <f t="shared" si="55"/>
        <v>45918</v>
      </c>
      <c r="P364" s="12" t="str">
        <f t="shared" si="56"/>
        <v>11</v>
      </c>
      <c r="Q364" s="13" t="str">
        <f>VLOOKUP($B364,Deals_Demo!$H:$N,7,0)</f>
        <v>strategy_08_demo</v>
      </c>
      <c r="R364" s="13" t="str">
        <f t="shared" si="57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58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1"/>
        <v>0.36499999999999999</v>
      </c>
      <c r="Y364" s="13">
        <f t="shared" si="52"/>
        <v>0.73</v>
      </c>
      <c r="Z364" s="13">
        <f t="shared" si="53"/>
        <v>1.095</v>
      </c>
      <c r="AA364" s="13">
        <f t="shared" si="59"/>
        <v>3.65</v>
      </c>
    </row>
    <row r="365" spans="1:27" x14ac:dyDescent="0.25">
      <c r="A365" s="40">
        <v>45918.479247685187</v>
      </c>
      <c r="B365" s="41">
        <v>443303443</v>
      </c>
      <c r="C365" s="42" t="s">
        <v>36</v>
      </c>
      <c r="D365" s="42" t="s">
        <v>37</v>
      </c>
      <c r="E365" s="42" t="s">
        <v>38</v>
      </c>
      <c r="F365" s="43">
        <v>3655.99</v>
      </c>
      <c r="G365" s="43">
        <v>3657.03</v>
      </c>
      <c r="H365" s="43">
        <v>3659.55</v>
      </c>
      <c r="I365" s="42" t="s">
        <v>533</v>
      </c>
      <c r="J365" s="43">
        <v>3659.6</v>
      </c>
      <c r="K365" s="43">
        <v>0</v>
      </c>
      <c r="L365" s="43">
        <v>0</v>
      </c>
      <c r="M365" s="44">
        <v>3.61</v>
      </c>
      <c r="N365" s="10" t="str">
        <f t="shared" si="54"/>
        <v>W</v>
      </c>
      <c r="O365" s="11">
        <f t="shared" si="55"/>
        <v>45918</v>
      </c>
      <c r="P365" s="12" t="str">
        <f t="shared" si="56"/>
        <v>11</v>
      </c>
      <c r="Q365" s="13" t="str">
        <f>VLOOKUP($B365,Deals_Demo!$H:$N,7,0)</f>
        <v>strategy_13_demo</v>
      </c>
      <c r="R365" s="13" t="str">
        <f t="shared" si="57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58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1"/>
        <v>0.36099999999999999</v>
      </c>
      <c r="Y365" s="13">
        <f t="shared" si="52"/>
        <v>0.72199999999999998</v>
      </c>
      <c r="Z365" s="13">
        <f t="shared" si="53"/>
        <v>1.083</v>
      </c>
      <c r="AA365" s="13">
        <f t="shared" si="59"/>
        <v>3.61</v>
      </c>
    </row>
    <row r="366" spans="1:27" x14ac:dyDescent="0.25">
      <c r="A366" s="35">
        <v>45918.491168981483</v>
      </c>
      <c r="B366" s="36">
        <v>443309947</v>
      </c>
      <c r="C366" s="37" t="s">
        <v>36</v>
      </c>
      <c r="D366" s="37" t="s">
        <v>37</v>
      </c>
      <c r="E366" s="37" t="s">
        <v>38</v>
      </c>
      <c r="F366" s="38">
        <v>3661.71</v>
      </c>
      <c r="G366" s="38">
        <v>3660.21</v>
      </c>
      <c r="H366" s="38">
        <v>3663.21</v>
      </c>
      <c r="I366" s="37" t="s">
        <v>534</v>
      </c>
      <c r="J366" s="38">
        <v>3663.36</v>
      </c>
      <c r="K366" s="38">
        <v>0</v>
      </c>
      <c r="L366" s="38">
        <v>0</v>
      </c>
      <c r="M366" s="39">
        <v>1.65</v>
      </c>
      <c r="N366" s="10" t="str">
        <f t="shared" si="54"/>
        <v>W</v>
      </c>
      <c r="O366" s="11">
        <f t="shared" si="55"/>
        <v>45918</v>
      </c>
      <c r="P366" s="12" t="str">
        <f t="shared" si="56"/>
        <v>11</v>
      </c>
      <c r="Q366" s="13" t="str">
        <f>VLOOKUP($B366,Deals_Demo!$H:$N,7,0)</f>
        <v>strategy_15_demo</v>
      </c>
      <c r="R366" s="13" t="str">
        <f t="shared" si="57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58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1"/>
        <v>0.16500000000000001</v>
      </c>
      <c r="Y366" s="13">
        <f t="shared" si="52"/>
        <v>0.33</v>
      </c>
      <c r="Z366" s="13">
        <f t="shared" si="53"/>
        <v>0.49499999999999994</v>
      </c>
      <c r="AA366" s="13">
        <f t="shared" si="59"/>
        <v>-3</v>
      </c>
    </row>
    <row r="367" spans="1:27" x14ac:dyDescent="0.25">
      <c r="A367" s="40">
        <v>45918.491180555553</v>
      </c>
      <c r="B367" s="41">
        <v>443309948</v>
      </c>
      <c r="C367" s="42" t="s">
        <v>36</v>
      </c>
      <c r="D367" s="42" t="s">
        <v>37</v>
      </c>
      <c r="E367" s="42" t="s">
        <v>38</v>
      </c>
      <c r="F367" s="43">
        <v>3661.67</v>
      </c>
      <c r="G367" s="43">
        <v>3658.71</v>
      </c>
      <c r="H367" s="43">
        <v>3663.21</v>
      </c>
      <c r="I367" s="42" t="s">
        <v>534</v>
      </c>
      <c r="J367" s="43">
        <v>3663.36</v>
      </c>
      <c r="K367" s="43">
        <v>0</v>
      </c>
      <c r="L367" s="43">
        <v>0</v>
      </c>
      <c r="M367" s="44">
        <v>1.69</v>
      </c>
      <c r="N367" s="10" t="str">
        <f t="shared" si="54"/>
        <v>W</v>
      </c>
      <c r="O367" s="11">
        <f t="shared" si="55"/>
        <v>45918</v>
      </c>
      <c r="P367" s="12" t="str">
        <f t="shared" si="56"/>
        <v>11</v>
      </c>
      <c r="Q367" s="13" t="str">
        <f>VLOOKUP($B367,Deals_Demo!$H:$N,7,0)</f>
        <v>strategy_14_demo</v>
      </c>
      <c r="R367" s="13" t="str">
        <f t="shared" si="57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58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1"/>
        <v>0.16900000000000001</v>
      </c>
      <c r="Y367" s="13">
        <f t="shared" si="52"/>
        <v>0.33800000000000002</v>
      </c>
      <c r="Z367" s="13">
        <f t="shared" si="53"/>
        <v>0.50700000000000001</v>
      </c>
      <c r="AA367" s="13">
        <f t="shared" si="59"/>
        <v>-3</v>
      </c>
    </row>
    <row r="368" spans="1:27" x14ac:dyDescent="0.25">
      <c r="A368" s="35">
        <v>45918.491180555553</v>
      </c>
      <c r="B368" s="36">
        <v>443309950</v>
      </c>
      <c r="C368" s="37" t="s">
        <v>36</v>
      </c>
      <c r="D368" s="37" t="s">
        <v>37</v>
      </c>
      <c r="E368" s="37" t="s">
        <v>38</v>
      </c>
      <c r="F368" s="38">
        <v>3661.67</v>
      </c>
      <c r="G368" s="38">
        <v>3658.71</v>
      </c>
      <c r="H368" s="38">
        <v>3663.21</v>
      </c>
      <c r="I368" s="37" t="s">
        <v>534</v>
      </c>
      <c r="J368" s="38">
        <v>3663.36</v>
      </c>
      <c r="K368" s="38">
        <v>0</v>
      </c>
      <c r="L368" s="38">
        <v>0</v>
      </c>
      <c r="M368" s="39">
        <v>1.69</v>
      </c>
      <c r="N368" s="10" t="str">
        <f t="shared" si="54"/>
        <v>W</v>
      </c>
      <c r="O368" s="11">
        <f t="shared" si="55"/>
        <v>45918</v>
      </c>
      <c r="P368" s="12" t="str">
        <f t="shared" si="56"/>
        <v>11</v>
      </c>
      <c r="Q368" s="13" t="str">
        <f>VLOOKUP($B368,Deals_Demo!$H:$N,7,0)</f>
        <v>strategy_12_demo</v>
      </c>
      <c r="R368" s="13" t="str">
        <f t="shared" si="57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58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1"/>
        <v>0.16900000000000001</v>
      </c>
      <c r="Y368" s="13">
        <f t="shared" si="52"/>
        <v>0.33800000000000002</v>
      </c>
      <c r="Z368" s="13">
        <f t="shared" si="53"/>
        <v>0.50700000000000001</v>
      </c>
      <c r="AA368" s="13">
        <f t="shared" si="59"/>
        <v>-3</v>
      </c>
    </row>
    <row r="369" spans="1:27" x14ac:dyDescent="0.25">
      <c r="A369" s="40">
        <v>45918.491180555553</v>
      </c>
      <c r="B369" s="41">
        <v>443309951</v>
      </c>
      <c r="C369" s="42" t="s">
        <v>36</v>
      </c>
      <c r="D369" s="42" t="s">
        <v>37</v>
      </c>
      <c r="E369" s="42" t="s">
        <v>38</v>
      </c>
      <c r="F369" s="43">
        <v>3661.67</v>
      </c>
      <c r="G369" s="43">
        <v>3662.7</v>
      </c>
      <c r="H369" s="43">
        <v>3664.71</v>
      </c>
      <c r="I369" s="42" t="s">
        <v>535</v>
      </c>
      <c r="J369" s="43">
        <v>3662.69</v>
      </c>
      <c r="K369" s="43">
        <v>0</v>
      </c>
      <c r="L369" s="43">
        <v>0</v>
      </c>
      <c r="M369" s="44">
        <v>1.02</v>
      </c>
      <c r="N369" s="10" t="str">
        <f t="shared" si="54"/>
        <v>W</v>
      </c>
      <c r="O369" s="11">
        <f t="shared" si="55"/>
        <v>45918</v>
      </c>
      <c r="P369" s="12" t="str">
        <f t="shared" si="56"/>
        <v>11</v>
      </c>
      <c r="Q369" s="13" t="str">
        <f>VLOOKUP($B369,Deals_Demo!$H:$N,7,0)</f>
        <v>strategy_09_demo</v>
      </c>
      <c r="R369" s="13" t="str">
        <f t="shared" si="57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58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1"/>
        <v>0.10200000000000001</v>
      </c>
      <c r="Y369" s="13">
        <f t="shared" si="52"/>
        <v>0.20400000000000001</v>
      </c>
      <c r="Z369" s="13">
        <f t="shared" si="53"/>
        <v>0.30599999999999999</v>
      </c>
      <c r="AA369" s="13">
        <f t="shared" si="59"/>
        <v>-3</v>
      </c>
    </row>
    <row r="370" spans="1:27" x14ac:dyDescent="0.25">
      <c r="A370" s="35">
        <v>45918.491180555553</v>
      </c>
      <c r="B370" s="36">
        <v>443309952</v>
      </c>
      <c r="C370" s="37" t="s">
        <v>36</v>
      </c>
      <c r="D370" s="37" t="s">
        <v>37</v>
      </c>
      <c r="E370" s="37" t="s">
        <v>38</v>
      </c>
      <c r="F370" s="38">
        <v>3661.67</v>
      </c>
      <c r="G370" s="38">
        <v>3662.67</v>
      </c>
      <c r="H370" s="38">
        <v>3664.71</v>
      </c>
      <c r="I370" s="37" t="s">
        <v>535</v>
      </c>
      <c r="J370" s="38">
        <v>3662.67</v>
      </c>
      <c r="K370" s="38">
        <v>0</v>
      </c>
      <c r="L370" s="38">
        <v>0</v>
      </c>
      <c r="M370" s="39">
        <v>1</v>
      </c>
      <c r="N370" s="10" t="str">
        <f t="shared" si="54"/>
        <v>W</v>
      </c>
      <c r="O370" s="11">
        <f t="shared" si="55"/>
        <v>45918</v>
      </c>
      <c r="P370" s="12" t="str">
        <f t="shared" si="56"/>
        <v>11</v>
      </c>
      <c r="Q370" s="13" t="str">
        <f>VLOOKUP($B370,Deals_Demo!$H:$N,7,0)</f>
        <v>strategy_10_demo</v>
      </c>
      <c r="R370" s="13" t="str">
        <f t="shared" si="57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58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1"/>
        <v>0.1</v>
      </c>
      <c r="Y370" s="13">
        <f t="shared" si="52"/>
        <v>0.2</v>
      </c>
      <c r="Z370" s="13">
        <f t="shared" si="53"/>
        <v>0.3</v>
      </c>
      <c r="AA370" s="13">
        <f t="shared" si="59"/>
        <v>-3</v>
      </c>
    </row>
    <row r="371" spans="1:27" x14ac:dyDescent="0.25">
      <c r="A371" s="40">
        <v>45918.49119212963</v>
      </c>
      <c r="B371" s="41">
        <v>443309953</v>
      </c>
      <c r="C371" s="42" t="s">
        <v>36</v>
      </c>
      <c r="D371" s="42" t="s">
        <v>37</v>
      </c>
      <c r="E371" s="42" t="s">
        <v>38</v>
      </c>
      <c r="F371" s="43">
        <v>3661.82</v>
      </c>
      <c r="G371" s="43">
        <v>3662.66</v>
      </c>
      <c r="H371" s="43">
        <v>3665.21</v>
      </c>
      <c r="I371" s="42" t="s">
        <v>536</v>
      </c>
      <c r="J371" s="43">
        <v>3662.6</v>
      </c>
      <c r="K371" s="43">
        <v>0</v>
      </c>
      <c r="L371" s="43">
        <v>0</v>
      </c>
      <c r="M371" s="44">
        <v>0.78</v>
      </c>
      <c r="N371" s="10" t="str">
        <f t="shared" si="54"/>
        <v>W</v>
      </c>
      <c r="O371" s="11">
        <f t="shared" si="55"/>
        <v>45918</v>
      </c>
      <c r="P371" s="12" t="str">
        <f t="shared" si="56"/>
        <v>11</v>
      </c>
      <c r="Q371" s="13" t="str">
        <f>VLOOKUP($B371,Deals_Demo!$H:$N,7,0)</f>
        <v>strategy_11_demo</v>
      </c>
      <c r="R371" s="13" t="str">
        <f t="shared" si="57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58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1"/>
        <v>7.8000000000000014E-2</v>
      </c>
      <c r="Y371" s="13">
        <f t="shared" si="52"/>
        <v>0.15600000000000003</v>
      </c>
      <c r="Z371" s="13">
        <f t="shared" si="53"/>
        <v>0.23399999999999999</v>
      </c>
      <c r="AA371" s="13">
        <f t="shared" si="59"/>
        <v>-3</v>
      </c>
    </row>
    <row r="372" spans="1:27" x14ac:dyDescent="0.25">
      <c r="A372" s="35">
        <v>45918.496493055558</v>
      </c>
      <c r="B372" s="36">
        <v>443312086</v>
      </c>
      <c r="C372" s="37" t="s">
        <v>36</v>
      </c>
      <c r="D372" s="37" t="s">
        <v>37</v>
      </c>
      <c r="E372" s="37" t="s">
        <v>38</v>
      </c>
      <c r="F372" s="38">
        <v>3662.97</v>
      </c>
      <c r="G372" s="38">
        <v>3659.96</v>
      </c>
      <c r="H372" s="38">
        <v>3664.46</v>
      </c>
      <c r="I372" s="37" t="s">
        <v>537</v>
      </c>
      <c r="J372" s="38">
        <v>3664.58</v>
      </c>
      <c r="K372" s="38">
        <v>0</v>
      </c>
      <c r="L372" s="38">
        <v>0</v>
      </c>
      <c r="M372" s="39">
        <v>1.61</v>
      </c>
      <c r="N372" s="10" t="str">
        <f t="shared" si="54"/>
        <v>W</v>
      </c>
      <c r="O372" s="11">
        <f t="shared" si="55"/>
        <v>45918</v>
      </c>
      <c r="P372" s="12" t="str">
        <f t="shared" si="56"/>
        <v>11</v>
      </c>
      <c r="Q372" s="13" t="str">
        <f>VLOOKUP($B372,Deals_Demo!$H:$N,7,0)</f>
        <v>strategy_14_demo</v>
      </c>
      <c r="R372" s="13" t="str">
        <f t="shared" si="57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58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1"/>
        <v>0.16100000000000003</v>
      </c>
      <c r="Y372" s="13">
        <f t="shared" si="52"/>
        <v>0.32200000000000006</v>
      </c>
      <c r="Z372" s="13">
        <f t="shared" si="53"/>
        <v>0.48299999999999998</v>
      </c>
      <c r="AA372" s="13">
        <f t="shared" si="59"/>
        <v>-3</v>
      </c>
    </row>
    <row r="373" spans="1:27" x14ac:dyDescent="0.25">
      <c r="A373" s="40">
        <v>45918.496504629627</v>
      </c>
      <c r="B373" s="41">
        <v>443312087</v>
      </c>
      <c r="C373" s="42" t="s">
        <v>36</v>
      </c>
      <c r="D373" s="42" t="s">
        <v>37</v>
      </c>
      <c r="E373" s="42" t="s">
        <v>38</v>
      </c>
      <c r="F373" s="43">
        <v>3662.97</v>
      </c>
      <c r="G373" s="43">
        <v>3659.97</v>
      </c>
      <c r="H373" s="43">
        <v>3664.47</v>
      </c>
      <c r="I373" s="42" t="s">
        <v>537</v>
      </c>
      <c r="J373" s="43">
        <v>3664.58</v>
      </c>
      <c r="K373" s="43">
        <v>0</v>
      </c>
      <c r="L373" s="43">
        <v>0</v>
      </c>
      <c r="M373" s="44">
        <v>1.61</v>
      </c>
      <c r="N373" s="10" t="str">
        <f t="shared" si="54"/>
        <v>W</v>
      </c>
      <c r="O373" s="11">
        <f t="shared" si="55"/>
        <v>45918</v>
      </c>
      <c r="P373" s="12" t="str">
        <f t="shared" si="56"/>
        <v>11</v>
      </c>
      <c r="Q373" s="13" t="str">
        <f>VLOOKUP($B373,Deals_Demo!$H:$N,7,0)</f>
        <v>strategy_12_demo</v>
      </c>
      <c r="R373" s="13" t="str">
        <f t="shared" si="57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58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1"/>
        <v>0.16100000000000003</v>
      </c>
      <c r="Y373" s="13">
        <f t="shared" si="52"/>
        <v>0.32200000000000006</v>
      </c>
      <c r="Z373" s="13">
        <f t="shared" si="53"/>
        <v>0.48299999999999998</v>
      </c>
      <c r="AA373" s="13">
        <f t="shared" si="59"/>
        <v>-3</v>
      </c>
    </row>
    <row r="374" spans="1:27" x14ac:dyDescent="0.25">
      <c r="A374" s="35">
        <v>45918.496504629627</v>
      </c>
      <c r="B374" s="36">
        <v>443312089</v>
      </c>
      <c r="C374" s="37" t="s">
        <v>36</v>
      </c>
      <c r="D374" s="37" t="s">
        <v>37</v>
      </c>
      <c r="E374" s="37" t="s">
        <v>38</v>
      </c>
      <c r="F374" s="38">
        <v>3662.97</v>
      </c>
      <c r="G374" s="38">
        <v>3661.47</v>
      </c>
      <c r="H374" s="38">
        <v>3664.47</v>
      </c>
      <c r="I374" s="37" t="s">
        <v>537</v>
      </c>
      <c r="J374" s="38">
        <v>3664.58</v>
      </c>
      <c r="K374" s="38">
        <v>0</v>
      </c>
      <c r="L374" s="38">
        <v>0</v>
      </c>
      <c r="M374" s="39">
        <v>1.61</v>
      </c>
      <c r="N374" s="10" t="str">
        <f t="shared" si="54"/>
        <v>W</v>
      </c>
      <c r="O374" s="11">
        <f t="shared" si="55"/>
        <v>45918</v>
      </c>
      <c r="P374" s="12" t="str">
        <f t="shared" si="56"/>
        <v>11</v>
      </c>
      <c r="Q374" s="13" t="str">
        <f>VLOOKUP($B374,Deals_Demo!$H:$N,7,0)</f>
        <v>strategy_15_demo</v>
      </c>
      <c r="R374" s="13" t="str">
        <f t="shared" si="57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58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1"/>
        <v>0.16100000000000003</v>
      </c>
      <c r="Y374" s="13">
        <f t="shared" si="52"/>
        <v>0.32200000000000006</v>
      </c>
      <c r="Z374" s="13">
        <f t="shared" si="53"/>
        <v>0.48299999999999998</v>
      </c>
      <c r="AA374" s="13">
        <f t="shared" si="59"/>
        <v>-3</v>
      </c>
    </row>
    <row r="375" spans="1:27" x14ac:dyDescent="0.25">
      <c r="A375" s="40">
        <v>45918.496724537035</v>
      </c>
      <c r="B375" s="41">
        <v>443312195</v>
      </c>
      <c r="C375" s="42" t="s">
        <v>36</v>
      </c>
      <c r="D375" s="42" t="s">
        <v>37</v>
      </c>
      <c r="E375" s="42" t="s">
        <v>38</v>
      </c>
      <c r="F375" s="43">
        <v>3663.17</v>
      </c>
      <c r="G375" s="43">
        <v>3664.87</v>
      </c>
      <c r="H375" s="43">
        <v>3666.17</v>
      </c>
      <c r="I375" s="42" t="s">
        <v>538</v>
      </c>
      <c r="J375" s="43">
        <v>3666.2</v>
      </c>
      <c r="K375" s="43">
        <v>0</v>
      </c>
      <c r="L375" s="43">
        <v>0</v>
      </c>
      <c r="M375" s="44">
        <v>3.03</v>
      </c>
      <c r="N375" s="10" t="str">
        <f t="shared" si="54"/>
        <v>W</v>
      </c>
      <c r="O375" s="11">
        <f t="shared" si="55"/>
        <v>45918</v>
      </c>
      <c r="P375" s="12" t="str">
        <f t="shared" si="56"/>
        <v>11</v>
      </c>
      <c r="Q375" s="13" t="str">
        <f>VLOOKUP($B375,Deals_Demo!$H:$N,7,0)</f>
        <v>strategy_10_demo</v>
      </c>
      <c r="R375" s="13" t="str">
        <f t="shared" si="57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58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1"/>
        <v>0.30299999999999999</v>
      </c>
      <c r="Y375" s="13">
        <f t="shared" si="52"/>
        <v>0.60599999999999998</v>
      </c>
      <c r="Z375" s="13">
        <f t="shared" si="53"/>
        <v>0.90899999999999992</v>
      </c>
      <c r="AA375" s="13">
        <f t="shared" si="59"/>
        <v>3.03</v>
      </c>
    </row>
    <row r="376" spans="1:27" x14ac:dyDescent="0.25">
      <c r="A376" s="35">
        <v>45918.496736111112</v>
      </c>
      <c r="B376" s="36">
        <v>443312200</v>
      </c>
      <c r="C376" s="37" t="s">
        <v>36</v>
      </c>
      <c r="D376" s="37" t="s">
        <v>37</v>
      </c>
      <c r="E376" s="37" t="s">
        <v>38</v>
      </c>
      <c r="F376" s="38">
        <v>3663.18</v>
      </c>
      <c r="G376" s="38">
        <v>3664.85</v>
      </c>
      <c r="H376" s="38">
        <v>3666.17</v>
      </c>
      <c r="I376" s="37" t="s">
        <v>538</v>
      </c>
      <c r="J376" s="38">
        <v>3666.2</v>
      </c>
      <c r="K376" s="38">
        <v>0</v>
      </c>
      <c r="L376" s="38">
        <v>0</v>
      </c>
      <c r="M376" s="39">
        <v>3.02</v>
      </c>
      <c r="N376" s="10" t="str">
        <f t="shared" si="54"/>
        <v>W</v>
      </c>
      <c r="O376" s="11">
        <f t="shared" si="55"/>
        <v>45918</v>
      </c>
      <c r="P376" s="12" t="str">
        <f t="shared" si="56"/>
        <v>11</v>
      </c>
      <c r="Q376" s="13" t="str">
        <f>VLOOKUP($B376,Deals_Demo!$H:$N,7,0)</f>
        <v>strategy_09_demo</v>
      </c>
      <c r="R376" s="13" t="str">
        <f t="shared" si="57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58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1"/>
        <v>0.30200000000000005</v>
      </c>
      <c r="Y376" s="13">
        <f t="shared" si="52"/>
        <v>0.60400000000000009</v>
      </c>
      <c r="Z376" s="13">
        <f t="shared" si="53"/>
        <v>0.90599999999999992</v>
      </c>
      <c r="AA376" s="13">
        <f t="shared" si="59"/>
        <v>3.02</v>
      </c>
    </row>
    <row r="377" spans="1:27" x14ac:dyDescent="0.25">
      <c r="A377" s="40">
        <v>45918.496736111112</v>
      </c>
      <c r="B377" s="41">
        <v>443312203</v>
      </c>
      <c r="C377" s="42" t="s">
        <v>36</v>
      </c>
      <c r="D377" s="42" t="s">
        <v>37</v>
      </c>
      <c r="E377" s="42" t="s">
        <v>38</v>
      </c>
      <c r="F377" s="43">
        <v>3663.18</v>
      </c>
      <c r="G377" s="43">
        <v>3665.31</v>
      </c>
      <c r="H377" s="43">
        <v>3666.67</v>
      </c>
      <c r="I377" s="42" t="s">
        <v>539</v>
      </c>
      <c r="J377" s="43">
        <v>3666.67</v>
      </c>
      <c r="K377" s="43">
        <v>0</v>
      </c>
      <c r="L377" s="43">
        <v>0</v>
      </c>
      <c r="M377" s="44">
        <v>3.49</v>
      </c>
      <c r="N377" s="10" t="str">
        <f t="shared" si="54"/>
        <v>W</v>
      </c>
      <c r="O377" s="11">
        <f t="shared" si="55"/>
        <v>45918</v>
      </c>
      <c r="P377" s="12" t="str">
        <f t="shared" si="56"/>
        <v>11</v>
      </c>
      <c r="Q377" s="13" t="str">
        <f>VLOOKUP($B377,Deals_Demo!$H:$N,7,0)</f>
        <v>strategy_11_demo</v>
      </c>
      <c r="R377" s="13" t="str">
        <f t="shared" si="57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58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1"/>
        <v>0.34900000000000003</v>
      </c>
      <c r="Y377" s="13">
        <f t="shared" si="52"/>
        <v>0.69800000000000006</v>
      </c>
      <c r="Z377" s="13">
        <f t="shared" si="53"/>
        <v>1.0469999999999999</v>
      </c>
      <c r="AA377" s="13">
        <f t="shared" si="59"/>
        <v>3.49</v>
      </c>
    </row>
    <row r="378" spans="1:27" x14ac:dyDescent="0.25">
      <c r="A378" s="35">
        <v>45918.5003125</v>
      </c>
      <c r="B378" s="36">
        <v>443314101</v>
      </c>
      <c r="C378" s="37" t="s">
        <v>36</v>
      </c>
      <c r="D378" s="37" t="s">
        <v>37</v>
      </c>
      <c r="E378" s="37" t="s">
        <v>38</v>
      </c>
      <c r="F378" s="38">
        <v>3665.17</v>
      </c>
      <c r="G378" s="38">
        <v>3661.92</v>
      </c>
      <c r="H378" s="38">
        <v>3666.42</v>
      </c>
      <c r="I378" s="37" t="s">
        <v>540</v>
      </c>
      <c r="J378" s="38">
        <v>3666.57</v>
      </c>
      <c r="K378" s="38">
        <v>0</v>
      </c>
      <c r="L378" s="38">
        <v>0</v>
      </c>
      <c r="M378" s="39">
        <v>1.4</v>
      </c>
      <c r="N378" s="10" t="str">
        <f t="shared" si="54"/>
        <v>W</v>
      </c>
      <c r="O378" s="11">
        <f t="shared" si="55"/>
        <v>45918</v>
      </c>
      <c r="P378" s="12" t="str">
        <f t="shared" si="56"/>
        <v>12</v>
      </c>
      <c r="Q378" s="13" t="str">
        <f>VLOOKUP($B378,Deals_Demo!$H:$N,7,0)</f>
        <v>strategy_12_demo</v>
      </c>
      <c r="R378" s="13" t="str">
        <f t="shared" si="57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58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1"/>
        <v>0.13999999999999999</v>
      </c>
      <c r="Y378" s="13">
        <f t="shared" si="52"/>
        <v>0.27999999999999997</v>
      </c>
      <c r="Z378" s="13">
        <f t="shared" si="53"/>
        <v>0.42</v>
      </c>
      <c r="AA378" s="13">
        <f t="shared" si="59"/>
        <v>-3</v>
      </c>
    </row>
    <row r="379" spans="1:27" x14ac:dyDescent="0.25">
      <c r="A379" s="40">
        <v>45918.500324074077</v>
      </c>
      <c r="B379" s="41">
        <v>443314103</v>
      </c>
      <c r="C379" s="42" t="s">
        <v>36</v>
      </c>
      <c r="D379" s="42" t="s">
        <v>37</v>
      </c>
      <c r="E379" s="42" t="s">
        <v>38</v>
      </c>
      <c r="F379" s="43">
        <v>3665.1</v>
      </c>
      <c r="G379" s="43">
        <v>3665.22</v>
      </c>
      <c r="H379" s="43">
        <v>3666.67</v>
      </c>
      <c r="I379" s="42" t="s">
        <v>539</v>
      </c>
      <c r="J379" s="43">
        <v>3666.67</v>
      </c>
      <c r="K379" s="43">
        <v>0</v>
      </c>
      <c r="L379" s="43">
        <v>0</v>
      </c>
      <c r="M379" s="44">
        <v>1.57</v>
      </c>
      <c r="N379" s="10" t="str">
        <f t="shared" si="54"/>
        <v>W</v>
      </c>
      <c r="O379" s="11">
        <f t="shared" si="55"/>
        <v>45918</v>
      </c>
      <c r="P379" s="12" t="str">
        <f t="shared" si="56"/>
        <v>12</v>
      </c>
      <c r="Q379" s="13" t="str">
        <f>VLOOKUP($B379,Deals_Demo!$H:$N,7,0)</f>
        <v>strategy_14_demo</v>
      </c>
      <c r="R379" s="13" t="str">
        <f t="shared" si="57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58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1"/>
        <v>0.15700000000000003</v>
      </c>
      <c r="Y379" s="13">
        <f t="shared" si="52"/>
        <v>0.31400000000000006</v>
      </c>
      <c r="Z379" s="13">
        <f t="shared" si="53"/>
        <v>0.47099999999999997</v>
      </c>
      <c r="AA379" s="13">
        <f t="shared" si="59"/>
        <v>-3</v>
      </c>
    </row>
    <row r="380" spans="1:27" x14ac:dyDescent="0.25">
      <c r="A380" s="35">
        <v>45918.500324074077</v>
      </c>
      <c r="B380" s="36">
        <v>443314107</v>
      </c>
      <c r="C380" s="37" t="s">
        <v>36</v>
      </c>
      <c r="D380" s="37" t="s">
        <v>37</v>
      </c>
      <c r="E380" s="37" t="s">
        <v>38</v>
      </c>
      <c r="F380" s="38">
        <v>3665.11</v>
      </c>
      <c r="G380" s="38">
        <v>3665.34</v>
      </c>
      <c r="H380" s="38">
        <v>3666.67</v>
      </c>
      <c r="I380" s="37" t="s">
        <v>539</v>
      </c>
      <c r="J380" s="38">
        <v>3666.67</v>
      </c>
      <c r="K380" s="38">
        <v>0</v>
      </c>
      <c r="L380" s="38">
        <v>0</v>
      </c>
      <c r="M380" s="39">
        <v>1.56</v>
      </c>
      <c r="N380" s="10" t="str">
        <f t="shared" si="54"/>
        <v>W</v>
      </c>
      <c r="O380" s="11">
        <f t="shared" si="55"/>
        <v>45918</v>
      </c>
      <c r="P380" s="12" t="str">
        <f t="shared" si="56"/>
        <v>12</v>
      </c>
      <c r="Q380" s="13" t="str">
        <f>VLOOKUP($B380,Deals_Demo!$H:$N,7,0)</f>
        <v>strategy_15_demo</v>
      </c>
      <c r="R380" s="13" t="str">
        <f t="shared" si="57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58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1"/>
        <v>0.15600000000000003</v>
      </c>
      <c r="Y380" s="13">
        <f t="shared" si="52"/>
        <v>0.31200000000000006</v>
      </c>
      <c r="Z380" s="13">
        <f t="shared" si="53"/>
        <v>0.46799999999999997</v>
      </c>
      <c r="AA380" s="13">
        <f t="shared" si="59"/>
        <v>-3</v>
      </c>
    </row>
    <row r="381" spans="1:27" x14ac:dyDescent="0.25">
      <c r="A381" s="40">
        <v>45918.503668981481</v>
      </c>
      <c r="B381" s="41">
        <v>443315632</v>
      </c>
      <c r="C381" s="42" t="s">
        <v>36</v>
      </c>
      <c r="D381" s="42" t="s">
        <v>37</v>
      </c>
      <c r="E381" s="42" t="s">
        <v>38</v>
      </c>
      <c r="F381" s="43">
        <v>3665.54</v>
      </c>
      <c r="G381" s="43">
        <v>3665.96</v>
      </c>
      <c r="H381" s="43">
        <v>3668.54</v>
      </c>
      <c r="I381" s="42" t="s">
        <v>541</v>
      </c>
      <c r="J381" s="43">
        <v>3665.92</v>
      </c>
      <c r="K381" s="43">
        <v>0</v>
      </c>
      <c r="L381" s="43">
        <v>0</v>
      </c>
      <c r="M381" s="44">
        <v>0.38</v>
      </c>
      <c r="N381" s="10" t="str">
        <f t="shared" si="54"/>
        <v>W</v>
      </c>
      <c r="O381" s="11">
        <f t="shared" si="55"/>
        <v>45918</v>
      </c>
      <c r="P381" s="12" t="str">
        <f t="shared" si="56"/>
        <v>12</v>
      </c>
      <c r="Q381" s="13" t="str">
        <f>VLOOKUP($B381,Deals_Demo!$H:$N,7,0)</f>
        <v>strategy_09_demo</v>
      </c>
      <c r="R381" s="13" t="str">
        <f t="shared" si="57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58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1"/>
        <v>3.8000000000000006E-2</v>
      </c>
      <c r="Y381" s="13">
        <f t="shared" si="52"/>
        <v>7.6000000000000012E-2</v>
      </c>
      <c r="Z381" s="13">
        <f t="shared" si="53"/>
        <v>0.11399999999999999</v>
      </c>
      <c r="AA381" s="13">
        <f t="shared" si="59"/>
        <v>-3</v>
      </c>
    </row>
    <row r="382" spans="1:27" x14ac:dyDescent="0.25">
      <c r="A382" s="35">
        <v>45918.503680555557</v>
      </c>
      <c r="B382" s="36">
        <v>443315635</v>
      </c>
      <c r="C382" s="37" t="s">
        <v>36</v>
      </c>
      <c r="D382" s="37" t="s">
        <v>37</v>
      </c>
      <c r="E382" s="37" t="s">
        <v>38</v>
      </c>
      <c r="F382" s="38">
        <v>3665.54</v>
      </c>
      <c r="G382" s="38">
        <v>3665.98</v>
      </c>
      <c r="H382" s="38">
        <v>3668.54</v>
      </c>
      <c r="I382" s="37" t="s">
        <v>541</v>
      </c>
      <c r="J382" s="38">
        <v>3665.92</v>
      </c>
      <c r="K382" s="38">
        <v>0</v>
      </c>
      <c r="L382" s="38">
        <v>0</v>
      </c>
      <c r="M382" s="39">
        <v>0.38</v>
      </c>
      <c r="N382" s="10" t="str">
        <f t="shared" si="54"/>
        <v>W</v>
      </c>
      <c r="O382" s="11">
        <f t="shared" si="55"/>
        <v>45918</v>
      </c>
      <c r="P382" s="12" t="str">
        <f t="shared" si="56"/>
        <v>12</v>
      </c>
      <c r="Q382" s="13" t="str">
        <f>VLOOKUP($B382,Deals_Demo!$H:$N,7,0)</f>
        <v>strategy_10_demo</v>
      </c>
      <c r="R382" s="13" t="str">
        <f t="shared" si="57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58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1"/>
        <v>3.8000000000000006E-2</v>
      </c>
      <c r="Y382" s="13">
        <f t="shared" si="52"/>
        <v>7.6000000000000012E-2</v>
      </c>
      <c r="Z382" s="13">
        <f t="shared" si="53"/>
        <v>0.11399999999999999</v>
      </c>
      <c r="AA382" s="13">
        <f t="shared" si="59"/>
        <v>-3</v>
      </c>
    </row>
    <row r="383" spans="1:27" x14ac:dyDescent="0.25">
      <c r="A383" s="40">
        <v>45918.503680555557</v>
      </c>
      <c r="B383" s="41">
        <v>443315637</v>
      </c>
      <c r="C383" s="42" t="s">
        <v>36</v>
      </c>
      <c r="D383" s="42" t="s">
        <v>37</v>
      </c>
      <c r="E383" s="42" t="s">
        <v>38</v>
      </c>
      <c r="F383" s="43">
        <v>3665.51</v>
      </c>
      <c r="G383" s="43">
        <v>3662.54</v>
      </c>
      <c r="H383" s="43">
        <v>3667.04</v>
      </c>
      <c r="I383" s="42" t="s">
        <v>542</v>
      </c>
      <c r="J383" s="43">
        <v>3667.07</v>
      </c>
      <c r="K383" s="43">
        <v>0</v>
      </c>
      <c r="L383" s="43">
        <v>0</v>
      </c>
      <c r="M383" s="44">
        <v>1.56</v>
      </c>
      <c r="N383" s="10" t="str">
        <f t="shared" si="54"/>
        <v>W</v>
      </c>
      <c r="O383" s="11">
        <f t="shared" si="55"/>
        <v>45918</v>
      </c>
      <c r="P383" s="12" t="str">
        <f t="shared" si="56"/>
        <v>12</v>
      </c>
      <c r="Q383" s="13" t="str">
        <f>VLOOKUP($B383,Deals_Demo!$H:$N,7,0)</f>
        <v>strategy_12_demo</v>
      </c>
      <c r="R383" s="13" t="str">
        <f t="shared" si="57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58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1"/>
        <v>0.15600000000000003</v>
      </c>
      <c r="Y383" s="13">
        <f t="shared" si="52"/>
        <v>0.31200000000000006</v>
      </c>
      <c r="Z383" s="13">
        <f t="shared" si="53"/>
        <v>0.46799999999999997</v>
      </c>
      <c r="AA383" s="13">
        <f t="shared" si="59"/>
        <v>-3</v>
      </c>
    </row>
    <row r="384" spans="1:27" x14ac:dyDescent="0.25">
      <c r="A384" s="35">
        <v>45918.504942129628</v>
      </c>
      <c r="B384" s="36">
        <v>443316623</v>
      </c>
      <c r="C384" s="37" t="s">
        <v>36</v>
      </c>
      <c r="D384" s="37" t="s">
        <v>37</v>
      </c>
      <c r="E384" s="37" t="s">
        <v>38</v>
      </c>
      <c r="F384" s="38">
        <v>3666.45</v>
      </c>
      <c r="G384" s="38">
        <v>3666.24</v>
      </c>
      <c r="H384" s="38">
        <v>3668.01</v>
      </c>
      <c r="I384" s="37" t="s">
        <v>543</v>
      </c>
      <c r="J384" s="38">
        <v>3668.04</v>
      </c>
      <c r="K384" s="38">
        <v>0</v>
      </c>
      <c r="L384" s="38">
        <v>0</v>
      </c>
      <c r="M384" s="39">
        <v>1.59</v>
      </c>
      <c r="N384" s="10" t="str">
        <f t="shared" si="54"/>
        <v>W</v>
      </c>
      <c r="O384" s="11">
        <f t="shared" si="55"/>
        <v>45918</v>
      </c>
      <c r="P384" s="12" t="str">
        <f t="shared" si="56"/>
        <v>12</v>
      </c>
      <c r="Q384" s="13" t="str">
        <f>VLOOKUP($B384,Deals_Demo!$H:$N,7,0)</f>
        <v>strategy_14_demo</v>
      </c>
      <c r="R384" s="13" t="str">
        <f t="shared" si="57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58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1"/>
        <v>0.15900000000000003</v>
      </c>
      <c r="Y384" s="13">
        <f t="shared" si="52"/>
        <v>0.31800000000000006</v>
      </c>
      <c r="Z384" s="13">
        <f t="shared" si="53"/>
        <v>0.47699999999999998</v>
      </c>
      <c r="AA384" s="13">
        <f t="shared" si="59"/>
        <v>-3</v>
      </c>
    </row>
    <row r="385" spans="1:27" x14ac:dyDescent="0.25">
      <c r="A385" s="40">
        <v>45918.504953703705</v>
      </c>
      <c r="B385" s="41">
        <v>443316624</v>
      </c>
      <c r="C385" s="42" t="s">
        <v>36</v>
      </c>
      <c r="D385" s="42" t="s">
        <v>37</v>
      </c>
      <c r="E385" s="42" t="s">
        <v>38</v>
      </c>
      <c r="F385" s="43">
        <v>3666.44</v>
      </c>
      <c r="G385" s="43">
        <v>3664.95</v>
      </c>
      <c r="H385" s="43">
        <v>3667.95</v>
      </c>
      <c r="I385" s="42" t="s">
        <v>544</v>
      </c>
      <c r="J385" s="43">
        <v>3667.99</v>
      </c>
      <c r="K385" s="43">
        <v>0</v>
      </c>
      <c r="L385" s="43">
        <v>0</v>
      </c>
      <c r="M385" s="44">
        <v>1.55</v>
      </c>
      <c r="N385" s="10" t="str">
        <f t="shared" si="54"/>
        <v>W</v>
      </c>
      <c r="O385" s="11">
        <f t="shared" si="55"/>
        <v>45918</v>
      </c>
      <c r="P385" s="12" t="str">
        <f t="shared" si="56"/>
        <v>12</v>
      </c>
      <c r="Q385" s="13" t="str">
        <f>VLOOKUP($B385,Deals_Demo!$H:$N,7,0)</f>
        <v>strategy_15_demo</v>
      </c>
      <c r="R385" s="13" t="str">
        <f t="shared" si="57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58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1"/>
        <v>0.15500000000000003</v>
      </c>
      <c r="Y385" s="13">
        <f t="shared" si="52"/>
        <v>0.31000000000000005</v>
      </c>
      <c r="Z385" s="13">
        <f t="shared" si="53"/>
        <v>0.46499999999999997</v>
      </c>
      <c r="AA385" s="13">
        <f t="shared" si="59"/>
        <v>-3</v>
      </c>
    </row>
    <row r="386" spans="1:27" x14ac:dyDescent="0.25">
      <c r="A386" s="35">
        <v>45918.504953703705</v>
      </c>
      <c r="B386" s="36">
        <v>443316625</v>
      </c>
      <c r="C386" s="37" t="s">
        <v>36</v>
      </c>
      <c r="D386" s="37" t="s">
        <v>37</v>
      </c>
      <c r="E386" s="37" t="s">
        <v>38</v>
      </c>
      <c r="F386" s="38">
        <v>3666.56</v>
      </c>
      <c r="G386" s="38">
        <v>3663.45</v>
      </c>
      <c r="H386" s="38">
        <v>3667.95</v>
      </c>
      <c r="I386" s="37" t="s">
        <v>544</v>
      </c>
      <c r="J386" s="38">
        <v>3667.99</v>
      </c>
      <c r="K386" s="38">
        <v>0</v>
      </c>
      <c r="L386" s="38">
        <v>0</v>
      </c>
      <c r="M386" s="39">
        <v>1.43</v>
      </c>
      <c r="N386" s="10" t="str">
        <f t="shared" si="54"/>
        <v>W</v>
      </c>
      <c r="O386" s="11">
        <f t="shared" si="55"/>
        <v>45918</v>
      </c>
      <c r="P386" s="12" t="str">
        <f t="shared" si="56"/>
        <v>12</v>
      </c>
      <c r="Q386" s="13" t="str">
        <f>VLOOKUP($B386,Deals_Demo!$H:$N,7,0)</f>
        <v>strategy_12_demo</v>
      </c>
      <c r="R386" s="13" t="str">
        <f t="shared" si="57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58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1"/>
        <v>0.14299999999999999</v>
      </c>
      <c r="Y386" s="13">
        <f t="shared" si="52"/>
        <v>0.28599999999999998</v>
      </c>
      <c r="Z386" s="13">
        <f t="shared" si="53"/>
        <v>0.42899999999999999</v>
      </c>
      <c r="AA386" s="13">
        <f t="shared" si="59"/>
        <v>-3</v>
      </c>
    </row>
    <row r="387" spans="1:27" x14ac:dyDescent="0.25">
      <c r="A387" s="40">
        <v>45918.504953703705</v>
      </c>
      <c r="B387" s="41">
        <v>443316626</v>
      </c>
      <c r="C387" s="42" t="s">
        <v>36</v>
      </c>
      <c r="D387" s="42" t="s">
        <v>37</v>
      </c>
      <c r="E387" s="42" t="s">
        <v>38</v>
      </c>
      <c r="F387" s="43">
        <v>3666.54</v>
      </c>
      <c r="G387" s="43">
        <v>3667.56</v>
      </c>
      <c r="H387" s="43">
        <v>3669.95</v>
      </c>
      <c r="I387" s="42" t="s">
        <v>545</v>
      </c>
      <c r="J387" s="43">
        <v>3667.29</v>
      </c>
      <c r="K387" s="43">
        <v>0</v>
      </c>
      <c r="L387" s="43">
        <v>0</v>
      </c>
      <c r="M387" s="44">
        <v>0.75</v>
      </c>
      <c r="N387" s="10" t="str">
        <f t="shared" si="54"/>
        <v>W</v>
      </c>
      <c r="O387" s="11">
        <f t="shared" si="55"/>
        <v>45918</v>
      </c>
      <c r="P387" s="12" t="str">
        <f t="shared" si="56"/>
        <v>12</v>
      </c>
      <c r="Q387" s="13" t="str">
        <f>VLOOKUP($B387,Deals_Demo!$H:$N,7,0)</f>
        <v>strategy_11_demo</v>
      </c>
      <c r="R387" s="13" t="str">
        <f t="shared" si="57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58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0">$M387*0.1</f>
        <v>7.5000000000000011E-2</v>
      </c>
      <c r="Y387" s="13">
        <f t="shared" ref="Y387:Y450" si="61">$M387*0.2</f>
        <v>0.15000000000000002</v>
      </c>
      <c r="Z387" s="13">
        <f t="shared" ref="Z387:Z450" si="62">$M387*0.3</f>
        <v>0.22499999999999998</v>
      </c>
      <c r="AA387" s="13">
        <f t="shared" si="59"/>
        <v>-3</v>
      </c>
    </row>
    <row r="388" spans="1:27" x14ac:dyDescent="0.25">
      <c r="A388" s="35">
        <v>45918.505173611113</v>
      </c>
      <c r="B388" s="36">
        <v>443316703</v>
      </c>
      <c r="C388" s="37" t="s">
        <v>36</v>
      </c>
      <c r="D388" s="37" t="s">
        <v>37</v>
      </c>
      <c r="E388" s="37" t="s">
        <v>38</v>
      </c>
      <c r="F388" s="38">
        <v>3666.2</v>
      </c>
      <c r="G388" s="38">
        <v>3666.95</v>
      </c>
      <c r="H388" s="38">
        <v>3669.14</v>
      </c>
      <c r="I388" s="37" t="s">
        <v>546</v>
      </c>
      <c r="J388" s="38">
        <v>3669.14</v>
      </c>
      <c r="K388" s="38">
        <v>0</v>
      </c>
      <c r="L388" s="38">
        <v>0</v>
      </c>
      <c r="M388" s="39">
        <v>2.94</v>
      </c>
      <c r="N388" s="10" t="str">
        <f t="shared" si="54"/>
        <v>W</v>
      </c>
      <c r="O388" s="11">
        <f t="shared" si="55"/>
        <v>45918</v>
      </c>
      <c r="P388" s="12" t="str">
        <f t="shared" si="56"/>
        <v>12</v>
      </c>
      <c r="Q388" s="13" t="str">
        <f>VLOOKUP($B388,Deals_Demo!$H:$N,7,0)</f>
        <v>strategy_09_demo</v>
      </c>
      <c r="R388" s="13" t="str">
        <f t="shared" si="57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58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0"/>
        <v>0.29399999999999998</v>
      </c>
      <c r="Y388" s="13">
        <f t="shared" si="61"/>
        <v>0.58799999999999997</v>
      </c>
      <c r="Z388" s="13">
        <f t="shared" si="62"/>
        <v>0.88200000000000001</v>
      </c>
      <c r="AA388" s="13">
        <f t="shared" si="59"/>
        <v>2.94</v>
      </c>
    </row>
    <row r="389" spans="1:27" x14ac:dyDescent="0.25">
      <c r="A389" s="40">
        <v>45918.505185185182</v>
      </c>
      <c r="B389" s="41">
        <v>443316704</v>
      </c>
      <c r="C389" s="42" t="s">
        <v>36</v>
      </c>
      <c r="D389" s="42" t="s">
        <v>37</v>
      </c>
      <c r="E389" s="42" t="s">
        <v>38</v>
      </c>
      <c r="F389" s="43">
        <v>3666.21</v>
      </c>
      <c r="G389" s="43">
        <v>3666.95</v>
      </c>
      <c r="H389" s="43">
        <v>3669.2</v>
      </c>
      <c r="I389" s="42" t="s">
        <v>547</v>
      </c>
      <c r="J389" s="43">
        <v>3669.21</v>
      </c>
      <c r="K389" s="43">
        <v>0</v>
      </c>
      <c r="L389" s="43">
        <v>0</v>
      </c>
      <c r="M389" s="44">
        <v>3</v>
      </c>
      <c r="N389" s="10" t="str">
        <f t="shared" ref="N389:N440" si="63">IF(M389&gt;0,"W",IF(M389&lt;0,"L","BE"))</f>
        <v>W</v>
      </c>
      <c r="O389" s="11">
        <f t="shared" ref="O389:O440" si="64">INT(LEFT(A389,10))</f>
        <v>45918</v>
      </c>
      <c r="P389" s="12" t="str">
        <f t="shared" ref="P389:P440" si="65">TEXT(A389,"hh")</f>
        <v>12</v>
      </c>
      <c r="Q389" s="13" t="str">
        <f>VLOOKUP($B389,Deals_Demo!$H:$N,7,0)</f>
        <v>strategy_10_demo</v>
      </c>
      <c r="R389" s="13" t="str">
        <f t="shared" ref="R389:R440" si="66">TEXT(O389,"ddd")</f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ref="U389:U440" si="67">TEXT(T389,"yyyy-mm-dd")</f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0"/>
        <v>0.30000000000000004</v>
      </c>
      <c r="Y389" s="13">
        <f t="shared" si="61"/>
        <v>0.60000000000000009</v>
      </c>
      <c r="Z389" s="13">
        <f t="shared" si="62"/>
        <v>0.89999999999999991</v>
      </c>
      <c r="AA389" s="13">
        <f t="shared" ref="AA389:AA440" si="68">IF(M389&lt;2.9,-3,M389)</f>
        <v>3</v>
      </c>
    </row>
    <row r="390" spans="1:27" x14ac:dyDescent="0.25">
      <c r="A390" s="35">
        <v>45918.509687500002</v>
      </c>
      <c r="B390" s="36">
        <v>443318833</v>
      </c>
      <c r="C390" s="37" t="s">
        <v>36</v>
      </c>
      <c r="D390" s="37" t="s">
        <v>37</v>
      </c>
      <c r="E390" s="37" t="s">
        <v>38</v>
      </c>
      <c r="F390" s="38">
        <v>3668.14</v>
      </c>
      <c r="G390" s="38">
        <v>3665.14</v>
      </c>
      <c r="H390" s="38">
        <v>3669.64</v>
      </c>
      <c r="I390" s="37" t="s">
        <v>548</v>
      </c>
      <c r="J390" s="38">
        <v>3669.65</v>
      </c>
      <c r="K390" s="38">
        <v>0</v>
      </c>
      <c r="L390" s="38">
        <v>0</v>
      </c>
      <c r="M390" s="39">
        <v>1.51</v>
      </c>
      <c r="N390" s="10" t="str">
        <f t="shared" si="63"/>
        <v>W</v>
      </c>
      <c r="O390" s="11">
        <f t="shared" si="64"/>
        <v>45918</v>
      </c>
      <c r="P390" s="12" t="str">
        <f t="shared" si="65"/>
        <v>12</v>
      </c>
      <c r="Q390" s="13" t="str">
        <f>VLOOKUP($B390,Deals_Demo!$H:$N,7,0)</f>
        <v>strategy_14_demo</v>
      </c>
      <c r="R390" s="13" t="str">
        <f t="shared" si="66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7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0"/>
        <v>0.15100000000000002</v>
      </c>
      <c r="Y390" s="13">
        <f t="shared" si="61"/>
        <v>0.30200000000000005</v>
      </c>
      <c r="Z390" s="13">
        <f t="shared" si="62"/>
        <v>0.45299999999999996</v>
      </c>
      <c r="AA390" s="13">
        <f t="shared" si="68"/>
        <v>-3</v>
      </c>
    </row>
    <row r="391" spans="1:27" x14ac:dyDescent="0.25">
      <c r="A391" s="40">
        <v>45918.509699074071</v>
      </c>
      <c r="B391" s="41">
        <v>443318834</v>
      </c>
      <c r="C391" s="42" t="s">
        <v>36</v>
      </c>
      <c r="D391" s="42" t="s">
        <v>37</v>
      </c>
      <c r="E391" s="42" t="s">
        <v>38</v>
      </c>
      <c r="F391" s="43">
        <v>3668.14</v>
      </c>
      <c r="G391" s="43">
        <v>3668.36</v>
      </c>
      <c r="H391" s="43">
        <v>3671.14</v>
      </c>
      <c r="I391" s="42" t="s">
        <v>549</v>
      </c>
      <c r="J391" s="43">
        <v>3671.14</v>
      </c>
      <c r="K391" s="43">
        <v>0</v>
      </c>
      <c r="L391" s="43">
        <v>0</v>
      </c>
      <c r="M391" s="44">
        <v>3</v>
      </c>
      <c r="N391" s="10" t="str">
        <f t="shared" si="63"/>
        <v>W</v>
      </c>
      <c r="O391" s="11">
        <f t="shared" si="64"/>
        <v>45918</v>
      </c>
      <c r="P391" s="12" t="str">
        <f t="shared" si="65"/>
        <v>12</v>
      </c>
      <c r="Q391" s="13" t="str">
        <f>VLOOKUP($B391,Deals_Demo!$H:$N,7,0)</f>
        <v>strategy_09_demo</v>
      </c>
      <c r="R391" s="13" t="str">
        <f t="shared" si="66"/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si="67"/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0"/>
        <v>0.30000000000000004</v>
      </c>
      <c r="Y391" s="13">
        <f t="shared" si="61"/>
        <v>0.60000000000000009</v>
      </c>
      <c r="Z391" s="13">
        <f t="shared" si="62"/>
        <v>0.89999999999999991</v>
      </c>
      <c r="AA391" s="13">
        <f t="shared" si="68"/>
        <v>3</v>
      </c>
    </row>
    <row r="392" spans="1:27" x14ac:dyDescent="0.25">
      <c r="A392" s="35">
        <v>45918.509699074071</v>
      </c>
      <c r="B392" s="36">
        <v>443318835</v>
      </c>
      <c r="C392" s="37" t="s">
        <v>36</v>
      </c>
      <c r="D392" s="37" t="s">
        <v>37</v>
      </c>
      <c r="E392" s="37" t="s">
        <v>38</v>
      </c>
      <c r="F392" s="38">
        <v>3668.14</v>
      </c>
      <c r="G392" s="38">
        <v>3666.64</v>
      </c>
      <c r="H392" s="38">
        <v>3669.64</v>
      </c>
      <c r="I392" s="37" t="s">
        <v>550</v>
      </c>
      <c r="J392" s="38">
        <v>3666.61</v>
      </c>
      <c r="K392" s="38">
        <v>0</v>
      </c>
      <c r="L392" s="38">
        <v>0</v>
      </c>
      <c r="M392" s="39">
        <v>-1.53</v>
      </c>
      <c r="N392" s="10" t="str">
        <f t="shared" si="63"/>
        <v>L</v>
      </c>
      <c r="O392" s="11">
        <f t="shared" si="64"/>
        <v>45918</v>
      </c>
      <c r="P392" s="12" t="str">
        <f t="shared" si="65"/>
        <v>12</v>
      </c>
      <c r="Q392" s="13" t="str">
        <f>VLOOKUP($B392,Deals_Demo!$H:$N,7,0)</f>
        <v>strategy_15_demo</v>
      </c>
      <c r="R392" s="13" t="str">
        <f t="shared" si="66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67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0"/>
        <v>-0.15300000000000002</v>
      </c>
      <c r="Y392" s="13">
        <f t="shared" si="61"/>
        <v>-0.30600000000000005</v>
      </c>
      <c r="Z392" s="13">
        <f t="shared" si="62"/>
        <v>-0.45899999999999996</v>
      </c>
      <c r="AA392" s="13">
        <f t="shared" si="68"/>
        <v>-3</v>
      </c>
    </row>
    <row r="393" spans="1:27" x14ac:dyDescent="0.25">
      <c r="A393" s="40">
        <v>45918.509699074071</v>
      </c>
      <c r="B393" s="41">
        <v>443318836</v>
      </c>
      <c r="C393" s="42" t="s">
        <v>36</v>
      </c>
      <c r="D393" s="42" t="s">
        <v>37</v>
      </c>
      <c r="E393" s="42" t="s">
        <v>38</v>
      </c>
      <c r="F393" s="43">
        <v>3668.14</v>
      </c>
      <c r="G393" s="43">
        <v>3668.91</v>
      </c>
      <c r="H393" s="43">
        <v>3671.14</v>
      </c>
      <c r="I393" s="42" t="s">
        <v>549</v>
      </c>
      <c r="J393" s="43">
        <v>3671.14</v>
      </c>
      <c r="K393" s="43">
        <v>0</v>
      </c>
      <c r="L393" s="43">
        <v>0</v>
      </c>
      <c r="M393" s="44">
        <v>3</v>
      </c>
      <c r="N393" s="10" t="str">
        <f t="shared" si="63"/>
        <v>W</v>
      </c>
      <c r="O393" s="11">
        <f t="shared" si="64"/>
        <v>45918</v>
      </c>
      <c r="P393" s="12" t="str">
        <f t="shared" si="65"/>
        <v>12</v>
      </c>
      <c r="Q393" s="13" t="str">
        <f>VLOOKUP($B393,Deals_Demo!$H:$N,7,0)</f>
        <v>strategy_10_demo</v>
      </c>
      <c r="R393" s="13" t="str">
        <f t="shared" si="66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67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0"/>
        <v>0.30000000000000004</v>
      </c>
      <c r="Y393" s="13">
        <f t="shared" si="61"/>
        <v>0.60000000000000009</v>
      </c>
      <c r="Z393" s="13">
        <f t="shared" si="62"/>
        <v>0.89999999999999991</v>
      </c>
      <c r="AA393" s="13">
        <f t="shared" si="68"/>
        <v>3</v>
      </c>
    </row>
    <row r="394" spans="1:27" x14ac:dyDescent="0.25">
      <c r="A394" s="35">
        <v>45918.509699074071</v>
      </c>
      <c r="B394" s="36">
        <v>443318837</v>
      </c>
      <c r="C394" s="37" t="s">
        <v>36</v>
      </c>
      <c r="D394" s="37" t="s">
        <v>37</v>
      </c>
      <c r="E394" s="37" t="s">
        <v>38</v>
      </c>
      <c r="F394" s="38">
        <v>3668.14</v>
      </c>
      <c r="G394" s="38">
        <v>3665.14</v>
      </c>
      <c r="H394" s="38">
        <v>3669.64</v>
      </c>
      <c r="I394" s="37" t="s">
        <v>548</v>
      </c>
      <c r="J394" s="38">
        <v>3669.65</v>
      </c>
      <c r="K394" s="38">
        <v>0</v>
      </c>
      <c r="L394" s="38">
        <v>0</v>
      </c>
      <c r="M394" s="39">
        <v>1.51</v>
      </c>
      <c r="N394" s="10" t="str">
        <f t="shared" si="63"/>
        <v>W</v>
      </c>
      <c r="O394" s="11">
        <f t="shared" si="64"/>
        <v>45918</v>
      </c>
      <c r="P394" s="12" t="str">
        <f t="shared" si="65"/>
        <v>12</v>
      </c>
      <c r="Q394" s="13" t="str">
        <f>VLOOKUP($B394,Deals_Demo!$H:$N,7,0)</f>
        <v>strategy_12_demo</v>
      </c>
      <c r="R394" s="13" t="str">
        <f t="shared" si="66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67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0"/>
        <v>0.15100000000000002</v>
      </c>
      <c r="Y394" s="13">
        <f t="shared" si="61"/>
        <v>0.30200000000000005</v>
      </c>
      <c r="Z394" s="13">
        <f t="shared" si="62"/>
        <v>0.45299999999999996</v>
      </c>
      <c r="AA394" s="13">
        <f t="shared" si="68"/>
        <v>-3</v>
      </c>
    </row>
    <row r="395" spans="1:27" x14ac:dyDescent="0.25">
      <c r="A395" s="40">
        <v>45918.510266203702</v>
      </c>
      <c r="B395" s="41">
        <v>443319361</v>
      </c>
      <c r="C395" s="42" t="s">
        <v>36</v>
      </c>
      <c r="D395" s="42" t="s">
        <v>37</v>
      </c>
      <c r="E395" s="42" t="s">
        <v>38</v>
      </c>
      <c r="F395" s="43">
        <v>3667.23</v>
      </c>
      <c r="G395" s="43">
        <v>3664.17</v>
      </c>
      <c r="H395" s="43">
        <v>3670.67</v>
      </c>
      <c r="I395" s="42" t="s">
        <v>551</v>
      </c>
      <c r="J395" s="43">
        <v>3670.67</v>
      </c>
      <c r="K395" s="43">
        <v>0</v>
      </c>
      <c r="L395" s="43">
        <v>0</v>
      </c>
      <c r="M395" s="44">
        <v>3.44</v>
      </c>
      <c r="N395" s="10" t="str">
        <f t="shared" si="63"/>
        <v>W</v>
      </c>
      <c r="O395" s="11">
        <f t="shared" si="64"/>
        <v>45918</v>
      </c>
      <c r="P395" s="12" t="str">
        <f t="shared" si="65"/>
        <v>12</v>
      </c>
      <c r="Q395" s="13" t="str">
        <f>VLOOKUP($B395,Deals_Demo!$H:$N,7,0)</f>
        <v>strategy_07_demo</v>
      </c>
      <c r="R395" s="13" t="str">
        <f t="shared" si="66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67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0"/>
        <v>0.34400000000000003</v>
      </c>
      <c r="Y395" s="13">
        <f t="shared" si="61"/>
        <v>0.68800000000000006</v>
      </c>
      <c r="Z395" s="13">
        <f t="shared" si="62"/>
        <v>1.032</v>
      </c>
      <c r="AA395" s="13">
        <f t="shared" si="68"/>
        <v>3.44</v>
      </c>
    </row>
    <row r="396" spans="1:27" x14ac:dyDescent="0.25">
      <c r="A396" s="35">
        <v>45918.510277777779</v>
      </c>
      <c r="B396" s="36">
        <v>443319364</v>
      </c>
      <c r="C396" s="37" t="s">
        <v>36</v>
      </c>
      <c r="D396" s="37" t="s">
        <v>37</v>
      </c>
      <c r="E396" s="37" t="s">
        <v>38</v>
      </c>
      <c r="F396" s="38">
        <v>3667.21</v>
      </c>
      <c r="G396" s="38">
        <v>3664.23</v>
      </c>
      <c r="H396" s="38">
        <v>3670.73</v>
      </c>
      <c r="I396" s="37" t="s">
        <v>551</v>
      </c>
      <c r="J396" s="38">
        <v>3670.76</v>
      </c>
      <c r="K396" s="38">
        <v>0</v>
      </c>
      <c r="L396" s="38">
        <v>0</v>
      </c>
      <c r="M396" s="39">
        <v>3.55</v>
      </c>
      <c r="N396" s="10" t="str">
        <f t="shared" si="63"/>
        <v>W</v>
      </c>
      <c r="O396" s="11">
        <f t="shared" si="64"/>
        <v>45918</v>
      </c>
      <c r="P396" s="12" t="str">
        <f t="shared" si="65"/>
        <v>12</v>
      </c>
      <c r="Q396" s="13" t="str">
        <f>VLOOKUP($B396,Deals_Demo!$H:$N,7,0)</f>
        <v>strategy_13_demo</v>
      </c>
      <c r="R396" s="13" t="str">
        <f t="shared" si="66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67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0"/>
        <v>0.35499999999999998</v>
      </c>
      <c r="Y396" s="13">
        <f t="shared" si="61"/>
        <v>0.71</v>
      </c>
      <c r="Z396" s="13">
        <f t="shared" si="62"/>
        <v>1.0649999999999999</v>
      </c>
      <c r="AA396" s="13">
        <f t="shared" si="68"/>
        <v>3.55</v>
      </c>
    </row>
    <row r="397" spans="1:27" x14ac:dyDescent="0.25">
      <c r="A397" s="40">
        <v>45918.510277777779</v>
      </c>
      <c r="B397" s="41">
        <v>443319367</v>
      </c>
      <c r="C397" s="42" t="s">
        <v>36</v>
      </c>
      <c r="D397" s="42" t="s">
        <v>37</v>
      </c>
      <c r="E397" s="42" t="s">
        <v>38</v>
      </c>
      <c r="F397" s="43">
        <v>3667.21</v>
      </c>
      <c r="G397" s="43">
        <v>3664.23</v>
      </c>
      <c r="H397" s="43">
        <v>3670.73</v>
      </c>
      <c r="I397" s="42" t="s">
        <v>551</v>
      </c>
      <c r="J397" s="43">
        <v>3670.76</v>
      </c>
      <c r="K397" s="43">
        <v>0</v>
      </c>
      <c r="L397" s="43">
        <v>0</v>
      </c>
      <c r="M397" s="44">
        <v>3.55</v>
      </c>
      <c r="N397" s="10" t="str">
        <f t="shared" si="63"/>
        <v>W</v>
      </c>
      <c r="O397" s="11">
        <f t="shared" si="64"/>
        <v>45918</v>
      </c>
      <c r="P397" s="12" t="str">
        <f t="shared" si="65"/>
        <v>12</v>
      </c>
      <c r="Q397" s="13" t="str">
        <f>VLOOKUP($B397,Deals_Demo!$H:$N,7,0)</f>
        <v>strategy_08_demo</v>
      </c>
      <c r="R397" s="13" t="str">
        <f t="shared" si="66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67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0"/>
        <v>0.35499999999999998</v>
      </c>
      <c r="Y397" s="13">
        <f t="shared" si="61"/>
        <v>0.71</v>
      </c>
      <c r="Z397" s="13">
        <f t="shared" si="62"/>
        <v>1.0649999999999999</v>
      </c>
      <c r="AA397" s="13">
        <f t="shared" si="68"/>
        <v>3.55</v>
      </c>
    </row>
    <row r="398" spans="1:27" x14ac:dyDescent="0.25">
      <c r="A398" s="35">
        <v>45918.510381944441</v>
      </c>
      <c r="B398" s="36">
        <v>443319488</v>
      </c>
      <c r="C398" s="37" t="s">
        <v>36</v>
      </c>
      <c r="D398" s="37" t="s">
        <v>37</v>
      </c>
      <c r="E398" s="37" t="s">
        <v>38</v>
      </c>
      <c r="F398" s="38">
        <v>3667.73</v>
      </c>
      <c r="G398" s="38">
        <v>3668.35</v>
      </c>
      <c r="H398" s="38">
        <v>3671.26</v>
      </c>
      <c r="I398" s="37" t="s">
        <v>552</v>
      </c>
      <c r="J398" s="38">
        <v>3671.26</v>
      </c>
      <c r="K398" s="38">
        <v>0</v>
      </c>
      <c r="L398" s="38">
        <v>0</v>
      </c>
      <c r="M398" s="39">
        <v>3.53</v>
      </c>
      <c r="N398" s="10" t="str">
        <f t="shared" si="63"/>
        <v>W</v>
      </c>
      <c r="O398" s="11">
        <f t="shared" si="64"/>
        <v>45918</v>
      </c>
      <c r="P398" s="12" t="str">
        <f t="shared" si="65"/>
        <v>12</v>
      </c>
      <c r="Q398" s="13" t="str">
        <f>VLOOKUP($B398,Deals_Demo!$H:$N,7,0)</f>
        <v>strategy_11_demo</v>
      </c>
      <c r="R398" s="13" t="str">
        <f t="shared" si="66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67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0"/>
        <v>0.35299999999999998</v>
      </c>
      <c r="Y398" s="13">
        <f t="shared" si="61"/>
        <v>0.70599999999999996</v>
      </c>
      <c r="Z398" s="13">
        <f t="shared" si="62"/>
        <v>1.0589999999999999</v>
      </c>
      <c r="AA398" s="13">
        <f t="shared" si="68"/>
        <v>3.53</v>
      </c>
    </row>
    <row r="399" spans="1:27" x14ac:dyDescent="0.25">
      <c r="A399" s="40">
        <v>45918.520451388889</v>
      </c>
      <c r="B399" s="41">
        <v>443324265</v>
      </c>
      <c r="C399" s="42" t="s">
        <v>36</v>
      </c>
      <c r="D399" s="42" t="s">
        <v>37</v>
      </c>
      <c r="E399" s="42" t="s">
        <v>38</v>
      </c>
      <c r="F399" s="43">
        <v>3671.48</v>
      </c>
      <c r="G399" s="43">
        <v>3671.32</v>
      </c>
      <c r="H399" s="43">
        <v>3674.48</v>
      </c>
      <c r="I399" s="42" t="s">
        <v>553</v>
      </c>
      <c r="J399" s="43">
        <v>3671.25</v>
      </c>
      <c r="K399" s="43">
        <v>0</v>
      </c>
      <c r="L399" s="43">
        <v>0</v>
      </c>
      <c r="M399" s="44">
        <v>-0.23</v>
      </c>
      <c r="N399" s="10" t="str">
        <f t="shared" si="63"/>
        <v>L</v>
      </c>
      <c r="O399" s="11">
        <f t="shared" si="64"/>
        <v>45918</v>
      </c>
      <c r="P399" s="12" t="str">
        <f t="shared" si="65"/>
        <v>12</v>
      </c>
      <c r="Q399" s="13" t="str">
        <f>VLOOKUP($B399,Deals_Demo!$H:$N,7,0)</f>
        <v>strategy_09_demo</v>
      </c>
      <c r="R399" s="13" t="str">
        <f t="shared" si="66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67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0"/>
        <v>-2.3000000000000003E-2</v>
      </c>
      <c r="Y399" s="13">
        <f t="shared" si="61"/>
        <v>-4.6000000000000006E-2</v>
      </c>
      <c r="Z399" s="13">
        <f t="shared" si="62"/>
        <v>-6.9000000000000006E-2</v>
      </c>
      <c r="AA399" s="13">
        <f t="shared" si="68"/>
        <v>-3</v>
      </c>
    </row>
    <row r="400" spans="1:27" x14ac:dyDescent="0.25">
      <c r="A400" s="35">
        <v>45918.520462962966</v>
      </c>
      <c r="B400" s="36">
        <v>443324267</v>
      </c>
      <c r="C400" s="37" t="s">
        <v>36</v>
      </c>
      <c r="D400" s="37" t="s">
        <v>37</v>
      </c>
      <c r="E400" s="37" t="s">
        <v>38</v>
      </c>
      <c r="F400" s="38">
        <v>3671.48</v>
      </c>
      <c r="G400" s="38">
        <v>3668.48</v>
      </c>
      <c r="H400" s="38">
        <v>3672.98</v>
      </c>
      <c r="I400" s="37" t="s">
        <v>554</v>
      </c>
      <c r="J400" s="38">
        <v>3668.46</v>
      </c>
      <c r="K400" s="38">
        <v>0</v>
      </c>
      <c r="L400" s="38">
        <v>0</v>
      </c>
      <c r="M400" s="39">
        <v>-3.02</v>
      </c>
      <c r="N400" s="10" t="str">
        <f t="shared" si="63"/>
        <v>L</v>
      </c>
      <c r="O400" s="11">
        <f t="shared" si="64"/>
        <v>45918</v>
      </c>
      <c r="P400" s="12" t="str">
        <f t="shared" si="65"/>
        <v>12</v>
      </c>
      <c r="Q400" s="13" t="str">
        <f>VLOOKUP($B400,Deals_Demo!$H:$N,7,0)</f>
        <v>strategy_12_demo</v>
      </c>
      <c r="R400" s="13" t="str">
        <f t="shared" si="66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67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0"/>
        <v>-0.30200000000000005</v>
      </c>
      <c r="Y400" s="13">
        <f t="shared" si="61"/>
        <v>-0.60400000000000009</v>
      </c>
      <c r="Z400" s="13">
        <f t="shared" si="62"/>
        <v>-0.90599999999999992</v>
      </c>
      <c r="AA400" s="13">
        <f t="shared" si="68"/>
        <v>-3</v>
      </c>
    </row>
    <row r="401" spans="1:27" x14ac:dyDescent="0.25">
      <c r="A401" s="40">
        <v>45918.520462962966</v>
      </c>
      <c r="B401" s="41">
        <v>443324268</v>
      </c>
      <c r="C401" s="42" t="s">
        <v>36</v>
      </c>
      <c r="D401" s="42" t="s">
        <v>37</v>
      </c>
      <c r="E401" s="42" t="s">
        <v>38</v>
      </c>
      <c r="F401" s="43">
        <v>3671.48</v>
      </c>
      <c r="G401" s="43">
        <v>3668.48</v>
      </c>
      <c r="H401" s="43">
        <v>3672.98</v>
      </c>
      <c r="I401" s="42" t="s">
        <v>554</v>
      </c>
      <c r="J401" s="43">
        <v>3668.46</v>
      </c>
      <c r="K401" s="43">
        <v>0</v>
      </c>
      <c r="L401" s="43">
        <v>0</v>
      </c>
      <c r="M401" s="44">
        <v>-3.02</v>
      </c>
      <c r="N401" s="10" t="str">
        <f t="shared" si="63"/>
        <v>L</v>
      </c>
      <c r="O401" s="11">
        <f t="shared" si="64"/>
        <v>45918</v>
      </c>
      <c r="P401" s="12" t="str">
        <f t="shared" si="65"/>
        <v>12</v>
      </c>
      <c r="Q401" s="13" t="str">
        <f>VLOOKUP($B401,Deals_Demo!$H:$N,7,0)</f>
        <v>strategy_14_demo</v>
      </c>
      <c r="R401" s="13" t="str">
        <f t="shared" si="66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67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0"/>
        <v>-0.30200000000000005</v>
      </c>
      <c r="Y401" s="13">
        <f t="shared" si="61"/>
        <v>-0.60400000000000009</v>
      </c>
      <c r="Z401" s="13">
        <f t="shared" si="62"/>
        <v>-0.90599999999999992</v>
      </c>
      <c r="AA401" s="13">
        <f t="shared" si="68"/>
        <v>-3</v>
      </c>
    </row>
    <row r="402" spans="1:27" x14ac:dyDescent="0.25">
      <c r="A402" s="35">
        <v>45918.520462962966</v>
      </c>
      <c r="B402" s="36">
        <v>443324269</v>
      </c>
      <c r="C402" s="37" t="s">
        <v>36</v>
      </c>
      <c r="D402" s="37" t="s">
        <v>37</v>
      </c>
      <c r="E402" s="37" t="s">
        <v>38</v>
      </c>
      <c r="F402" s="38">
        <v>3671.48</v>
      </c>
      <c r="G402" s="38">
        <v>3669.98</v>
      </c>
      <c r="H402" s="38">
        <v>3672.98</v>
      </c>
      <c r="I402" s="37" t="s">
        <v>555</v>
      </c>
      <c r="J402" s="38">
        <v>3669.95</v>
      </c>
      <c r="K402" s="38">
        <v>0</v>
      </c>
      <c r="L402" s="38">
        <v>0</v>
      </c>
      <c r="M402" s="39">
        <v>-1.53</v>
      </c>
      <c r="N402" s="10" t="str">
        <f t="shared" si="63"/>
        <v>L</v>
      </c>
      <c r="O402" s="11">
        <f t="shared" si="64"/>
        <v>45918</v>
      </c>
      <c r="P402" s="12" t="str">
        <f t="shared" si="65"/>
        <v>12</v>
      </c>
      <c r="Q402" s="13" t="str">
        <f>VLOOKUP($B402,Deals_Demo!$H:$N,7,0)</f>
        <v>strategy_15_demo</v>
      </c>
      <c r="R402" s="13" t="str">
        <f t="shared" si="66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67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0"/>
        <v>-0.15300000000000002</v>
      </c>
      <c r="Y402" s="13">
        <f t="shared" si="61"/>
        <v>-0.30600000000000005</v>
      </c>
      <c r="Z402" s="13">
        <f t="shared" si="62"/>
        <v>-0.45899999999999996</v>
      </c>
      <c r="AA402" s="13">
        <f t="shared" si="68"/>
        <v>-3</v>
      </c>
    </row>
    <row r="403" spans="1:27" x14ac:dyDescent="0.25">
      <c r="A403" s="40">
        <v>45918.520462962966</v>
      </c>
      <c r="B403" s="41">
        <v>443324270</v>
      </c>
      <c r="C403" s="42" t="s">
        <v>36</v>
      </c>
      <c r="D403" s="42" t="s">
        <v>37</v>
      </c>
      <c r="E403" s="42" t="s">
        <v>38</v>
      </c>
      <c r="F403" s="43">
        <v>3671.48</v>
      </c>
      <c r="G403" s="43">
        <v>3671.32</v>
      </c>
      <c r="H403" s="43">
        <v>3674.98</v>
      </c>
      <c r="I403" s="42" t="s">
        <v>553</v>
      </c>
      <c r="J403" s="43">
        <v>3671.25</v>
      </c>
      <c r="K403" s="43">
        <v>0</v>
      </c>
      <c r="L403" s="43">
        <v>0</v>
      </c>
      <c r="M403" s="44">
        <v>-0.23</v>
      </c>
      <c r="N403" s="10" t="str">
        <f t="shared" si="63"/>
        <v>L</v>
      </c>
      <c r="O403" s="11">
        <f t="shared" si="64"/>
        <v>45918</v>
      </c>
      <c r="P403" s="12" t="str">
        <f t="shared" si="65"/>
        <v>12</v>
      </c>
      <c r="Q403" s="13" t="str">
        <f>VLOOKUP($B403,Deals_Demo!$H:$N,7,0)</f>
        <v>strategy_11_demo</v>
      </c>
      <c r="R403" s="13" t="str">
        <f t="shared" si="66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67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0"/>
        <v>-2.3000000000000003E-2</v>
      </c>
      <c r="Y403" s="13">
        <f t="shared" si="61"/>
        <v>-4.6000000000000006E-2</v>
      </c>
      <c r="Z403" s="13">
        <f t="shared" si="62"/>
        <v>-6.9000000000000006E-2</v>
      </c>
      <c r="AA403" s="13">
        <f t="shared" si="68"/>
        <v>-3</v>
      </c>
    </row>
    <row r="404" spans="1:27" x14ac:dyDescent="0.25">
      <c r="A404" s="35">
        <v>45918.520474537036</v>
      </c>
      <c r="B404" s="36">
        <v>443324272</v>
      </c>
      <c r="C404" s="37" t="s">
        <v>36</v>
      </c>
      <c r="D404" s="37" t="s">
        <v>37</v>
      </c>
      <c r="E404" s="37" t="s">
        <v>38</v>
      </c>
      <c r="F404" s="38">
        <v>3671.48</v>
      </c>
      <c r="G404" s="38">
        <v>3668.98</v>
      </c>
      <c r="H404" s="38">
        <v>3674.48</v>
      </c>
      <c r="I404" s="37" t="s">
        <v>556</v>
      </c>
      <c r="J404" s="38">
        <v>3668.84</v>
      </c>
      <c r="K404" s="38">
        <v>0</v>
      </c>
      <c r="L404" s="38">
        <v>0</v>
      </c>
      <c r="M404" s="39">
        <v>-2.64</v>
      </c>
      <c r="N404" s="10" t="str">
        <f t="shared" si="63"/>
        <v>L</v>
      </c>
      <c r="O404" s="11">
        <f t="shared" si="64"/>
        <v>45918</v>
      </c>
      <c r="P404" s="12" t="str">
        <f t="shared" si="65"/>
        <v>12</v>
      </c>
      <c r="Q404" s="13" t="str">
        <f>VLOOKUP($B404,Deals_Demo!$H:$N,7,0)</f>
        <v>strategy_10_demo</v>
      </c>
      <c r="R404" s="13" t="str">
        <f t="shared" si="66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67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0"/>
        <v>-0.26400000000000001</v>
      </c>
      <c r="Y404" s="13">
        <f t="shared" si="61"/>
        <v>-0.52800000000000002</v>
      </c>
      <c r="Z404" s="13">
        <f t="shared" si="62"/>
        <v>-0.79200000000000004</v>
      </c>
      <c r="AA404" s="13">
        <f t="shared" si="68"/>
        <v>-3</v>
      </c>
    </row>
    <row r="405" spans="1:27" x14ac:dyDescent="0.25">
      <c r="A405" s="40">
        <v>45918.523113425923</v>
      </c>
      <c r="B405" s="41">
        <v>443325377</v>
      </c>
      <c r="C405" s="42" t="s">
        <v>36</v>
      </c>
      <c r="D405" s="42" t="s">
        <v>37</v>
      </c>
      <c r="E405" s="42" t="s">
        <v>38</v>
      </c>
      <c r="F405" s="43">
        <v>3671.11</v>
      </c>
      <c r="G405" s="43">
        <v>3668.12</v>
      </c>
      <c r="H405" s="43">
        <v>3674.62</v>
      </c>
      <c r="I405" s="42" t="s">
        <v>557</v>
      </c>
      <c r="J405" s="43">
        <v>3668.05</v>
      </c>
      <c r="K405" s="43">
        <v>0</v>
      </c>
      <c r="L405" s="43">
        <v>0</v>
      </c>
      <c r="M405" s="44">
        <v>-3.06</v>
      </c>
      <c r="N405" s="10" t="str">
        <f t="shared" si="63"/>
        <v>L</v>
      </c>
      <c r="O405" s="11">
        <f t="shared" si="64"/>
        <v>45918</v>
      </c>
      <c r="P405" s="12" t="str">
        <f t="shared" si="65"/>
        <v>12</v>
      </c>
      <c r="Q405" s="13" t="str">
        <f>VLOOKUP($B405,Deals_Demo!$H:$N,7,0)</f>
        <v>strategy_08_demo</v>
      </c>
      <c r="R405" s="13" t="str">
        <f t="shared" si="66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67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0"/>
        <v>-0.30600000000000005</v>
      </c>
      <c r="Y405" s="13">
        <f t="shared" si="61"/>
        <v>-0.6120000000000001</v>
      </c>
      <c r="Z405" s="13">
        <f t="shared" si="62"/>
        <v>-0.91799999999999993</v>
      </c>
      <c r="AA405" s="13">
        <f t="shared" si="68"/>
        <v>-3</v>
      </c>
    </row>
    <row r="406" spans="1:27" x14ac:dyDescent="0.25">
      <c r="A406" s="35">
        <v>45918.523125</v>
      </c>
      <c r="B406" s="36">
        <v>443325378</v>
      </c>
      <c r="C406" s="37" t="s">
        <v>36</v>
      </c>
      <c r="D406" s="37" t="s">
        <v>37</v>
      </c>
      <c r="E406" s="37" t="s">
        <v>38</v>
      </c>
      <c r="F406" s="38">
        <v>3671.11</v>
      </c>
      <c r="G406" s="38">
        <v>3668.11</v>
      </c>
      <c r="H406" s="38">
        <v>3674.61</v>
      </c>
      <c r="I406" s="37" t="s">
        <v>557</v>
      </c>
      <c r="J406" s="38">
        <v>3668.05</v>
      </c>
      <c r="K406" s="38">
        <v>0</v>
      </c>
      <c r="L406" s="38">
        <v>0</v>
      </c>
      <c r="M406" s="39">
        <v>-3.06</v>
      </c>
      <c r="N406" s="10" t="str">
        <f t="shared" si="63"/>
        <v>L</v>
      </c>
      <c r="O406" s="11">
        <f t="shared" si="64"/>
        <v>45918</v>
      </c>
      <c r="P406" s="12" t="str">
        <f t="shared" si="65"/>
        <v>12</v>
      </c>
      <c r="Q406" s="13" t="str">
        <f>VLOOKUP($B406,Deals_Demo!$H:$N,7,0)</f>
        <v>strategy_07_demo</v>
      </c>
      <c r="R406" s="13" t="str">
        <f t="shared" si="66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67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0"/>
        <v>-0.30600000000000005</v>
      </c>
      <c r="Y406" s="13">
        <f t="shared" si="61"/>
        <v>-0.6120000000000001</v>
      </c>
      <c r="Z406" s="13">
        <f t="shared" si="62"/>
        <v>-0.91799999999999993</v>
      </c>
      <c r="AA406" s="13">
        <f t="shared" si="68"/>
        <v>-3</v>
      </c>
    </row>
    <row r="407" spans="1:27" x14ac:dyDescent="0.25">
      <c r="A407" s="40">
        <v>45918.523125</v>
      </c>
      <c r="B407" s="41">
        <v>443325380</v>
      </c>
      <c r="C407" s="42" t="s">
        <v>36</v>
      </c>
      <c r="D407" s="42" t="s">
        <v>37</v>
      </c>
      <c r="E407" s="42" t="s">
        <v>38</v>
      </c>
      <c r="F407" s="43">
        <v>3671.11</v>
      </c>
      <c r="G407" s="43">
        <v>3668.11</v>
      </c>
      <c r="H407" s="43">
        <v>3674.61</v>
      </c>
      <c r="I407" s="42" t="s">
        <v>557</v>
      </c>
      <c r="J407" s="43">
        <v>3668.05</v>
      </c>
      <c r="K407" s="43">
        <v>0</v>
      </c>
      <c r="L407" s="43">
        <v>0</v>
      </c>
      <c r="M407" s="44">
        <v>-3.06</v>
      </c>
      <c r="N407" s="10" t="str">
        <f t="shared" si="63"/>
        <v>L</v>
      </c>
      <c r="O407" s="11">
        <f t="shared" si="64"/>
        <v>45918</v>
      </c>
      <c r="P407" s="12" t="str">
        <f t="shared" si="65"/>
        <v>12</v>
      </c>
      <c r="Q407" s="13" t="str">
        <f>VLOOKUP($B407,Deals_Demo!$H:$N,7,0)</f>
        <v>strategy_13_demo</v>
      </c>
      <c r="R407" s="13" t="str">
        <f t="shared" si="66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67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0"/>
        <v>-0.30600000000000005</v>
      </c>
      <c r="Y407" s="13">
        <f t="shared" si="61"/>
        <v>-0.6120000000000001</v>
      </c>
      <c r="Z407" s="13">
        <f t="shared" si="62"/>
        <v>-0.91799999999999993</v>
      </c>
      <c r="AA407" s="13">
        <f t="shared" si="68"/>
        <v>-3</v>
      </c>
    </row>
    <row r="408" spans="1:27" x14ac:dyDescent="0.25">
      <c r="A408" s="35">
        <v>45918.523692129631</v>
      </c>
      <c r="B408" s="36">
        <v>443325590</v>
      </c>
      <c r="C408" s="37" t="s">
        <v>36</v>
      </c>
      <c r="D408" s="37" t="s">
        <v>37</v>
      </c>
      <c r="E408" s="37" t="s">
        <v>38</v>
      </c>
      <c r="F408" s="38">
        <v>3671.52</v>
      </c>
      <c r="G408" s="38">
        <v>3668.52</v>
      </c>
      <c r="H408" s="38">
        <v>3674.52</v>
      </c>
      <c r="I408" s="37" t="s">
        <v>558</v>
      </c>
      <c r="J408" s="38">
        <v>3668.52</v>
      </c>
      <c r="K408" s="38">
        <v>0</v>
      </c>
      <c r="L408" s="38">
        <v>0</v>
      </c>
      <c r="M408" s="39">
        <v>-3</v>
      </c>
      <c r="N408" s="10" t="str">
        <f t="shared" si="63"/>
        <v>L</v>
      </c>
      <c r="O408" s="11">
        <f t="shared" si="64"/>
        <v>45918</v>
      </c>
      <c r="P408" s="12" t="str">
        <f t="shared" si="65"/>
        <v>12</v>
      </c>
      <c r="Q408" s="13" t="str">
        <f>VLOOKUP($B408,Deals_Demo!$H:$N,7,0)</f>
        <v>strategy_09_demo</v>
      </c>
      <c r="R408" s="13" t="str">
        <f t="shared" si="66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67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0"/>
        <v>-0.30000000000000004</v>
      </c>
      <c r="Y408" s="13">
        <f t="shared" si="61"/>
        <v>-0.60000000000000009</v>
      </c>
      <c r="Z408" s="13">
        <f t="shared" si="62"/>
        <v>-0.89999999999999991</v>
      </c>
      <c r="AA408" s="13">
        <f t="shared" si="68"/>
        <v>-3</v>
      </c>
    </row>
    <row r="409" spans="1:27" x14ac:dyDescent="0.25">
      <c r="A409" s="40">
        <v>45918.5237037037</v>
      </c>
      <c r="B409" s="41">
        <v>443325592</v>
      </c>
      <c r="C409" s="42" t="s">
        <v>36</v>
      </c>
      <c r="D409" s="42" t="s">
        <v>37</v>
      </c>
      <c r="E409" s="42" t="s">
        <v>38</v>
      </c>
      <c r="F409" s="43">
        <v>3671.52</v>
      </c>
      <c r="G409" s="43">
        <v>3668.52</v>
      </c>
      <c r="H409" s="43">
        <v>3675.02</v>
      </c>
      <c r="I409" s="42" t="s">
        <v>558</v>
      </c>
      <c r="J409" s="43">
        <v>3668.52</v>
      </c>
      <c r="K409" s="43">
        <v>0</v>
      </c>
      <c r="L409" s="43">
        <v>0</v>
      </c>
      <c r="M409" s="44">
        <v>-3</v>
      </c>
      <c r="N409" s="10" t="str">
        <f t="shared" si="63"/>
        <v>L</v>
      </c>
      <c r="O409" s="11">
        <f t="shared" si="64"/>
        <v>45918</v>
      </c>
      <c r="P409" s="12" t="str">
        <f t="shared" si="65"/>
        <v>12</v>
      </c>
      <c r="Q409" s="13" t="str">
        <f>VLOOKUP($B409,Deals_Demo!$H:$N,7,0)</f>
        <v>strategy_11_demo</v>
      </c>
      <c r="R409" s="13" t="str">
        <f t="shared" si="66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67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0"/>
        <v>-0.30000000000000004</v>
      </c>
      <c r="Y409" s="13">
        <f t="shared" si="61"/>
        <v>-0.60000000000000009</v>
      </c>
      <c r="Z409" s="13">
        <f t="shared" si="62"/>
        <v>-0.89999999999999991</v>
      </c>
      <c r="AA409" s="13">
        <f t="shared" si="68"/>
        <v>-3</v>
      </c>
    </row>
    <row r="410" spans="1:27" x14ac:dyDescent="0.25">
      <c r="A410" s="35">
        <v>45918.544641203705</v>
      </c>
      <c r="B410" s="36">
        <v>443333033</v>
      </c>
      <c r="C410" s="37" t="s">
        <v>36</v>
      </c>
      <c r="D410" s="37" t="s">
        <v>37</v>
      </c>
      <c r="E410" s="37" t="s">
        <v>38</v>
      </c>
      <c r="F410" s="38">
        <v>3672.19</v>
      </c>
      <c r="G410" s="38">
        <v>3670.69</v>
      </c>
      <c r="H410" s="38">
        <v>3673.69</v>
      </c>
      <c r="I410" s="37" t="s">
        <v>559</v>
      </c>
      <c r="J410" s="38">
        <v>3670.63</v>
      </c>
      <c r="K410" s="38">
        <v>0</v>
      </c>
      <c r="L410" s="38">
        <v>0</v>
      </c>
      <c r="M410" s="39">
        <v>-1.56</v>
      </c>
      <c r="N410" s="10" t="str">
        <f t="shared" si="63"/>
        <v>L</v>
      </c>
      <c r="O410" s="11">
        <f t="shared" si="64"/>
        <v>45918</v>
      </c>
      <c r="P410" s="12" t="str">
        <f t="shared" si="65"/>
        <v>13</v>
      </c>
      <c r="Q410" s="13" t="str">
        <f>VLOOKUP($B410,Deals_Demo!$H:$N,7,0)</f>
        <v>strategy_15_demo</v>
      </c>
      <c r="R410" s="13" t="str">
        <f t="shared" si="66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67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0"/>
        <v>-0.15600000000000003</v>
      </c>
      <c r="Y410" s="13">
        <f t="shared" si="61"/>
        <v>-0.31200000000000006</v>
      </c>
      <c r="Z410" s="13">
        <f t="shared" si="62"/>
        <v>-0.46799999999999997</v>
      </c>
      <c r="AA410" s="13">
        <f t="shared" si="68"/>
        <v>-3</v>
      </c>
    </row>
    <row r="411" spans="1:27" x14ac:dyDescent="0.25">
      <c r="A411" s="40">
        <v>45918.550081018519</v>
      </c>
      <c r="B411" s="41">
        <v>443335228</v>
      </c>
      <c r="C411" s="42" t="s">
        <v>36</v>
      </c>
      <c r="D411" s="42" t="s">
        <v>39</v>
      </c>
      <c r="E411" s="42" t="s">
        <v>38</v>
      </c>
      <c r="F411" s="43">
        <v>3669.89</v>
      </c>
      <c r="G411" s="43">
        <v>3669.65</v>
      </c>
      <c r="H411" s="43">
        <v>3668.39</v>
      </c>
      <c r="I411" s="42" t="s">
        <v>560</v>
      </c>
      <c r="J411" s="43">
        <v>3668.37</v>
      </c>
      <c r="K411" s="43">
        <v>0</v>
      </c>
      <c r="L411" s="43">
        <v>0</v>
      </c>
      <c r="M411" s="44">
        <v>1.52</v>
      </c>
      <c r="N411" s="10" t="str">
        <f t="shared" si="63"/>
        <v>W</v>
      </c>
      <c r="O411" s="11">
        <f t="shared" si="64"/>
        <v>45918</v>
      </c>
      <c r="P411" s="12" t="str">
        <f t="shared" si="65"/>
        <v>13</v>
      </c>
      <c r="Q411" s="13" t="str">
        <f>VLOOKUP($B411,Deals_Demo!$H:$N,7,0)</f>
        <v>strategy_14_demo</v>
      </c>
      <c r="R411" s="13" t="str">
        <f t="shared" si="66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67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0"/>
        <v>0.15200000000000002</v>
      </c>
      <c r="Y411" s="13">
        <f t="shared" si="61"/>
        <v>0.30400000000000005</v>
      </c>
      <c r="Z411" s="13">
        <f t="shared" si="62"/>
        <v>0.45599999999999996</v>
      </c>
      <c r="AA411" s="13">
        <f t="shared" si="68"/>
        <v>-3</v>
      </c>
    </row>
    <row r="412" spans="1:27" x14ac:dyDescent="0.25">
      <c r="A412" s="35">
        <v>45918.550081018519</v>
      </c>
      <c r="B412" s="36">
        <v>443335230</v>
      </c>
      <c r="C412" s="37" t="s">
        <v>36</v>
      </c>
      <c r="D412" s="37" t="s">
        <v>39</v>
      </c>
      <c r="E412" s="37" t="s">
        <v>38</v>
      </c>
      <c r="F412" s="38">
        <v>3669.89</v>
      </c>
      <c r="G412" s="38">
        <v>3667.93</v>
      </c>
      <c r="H412" s="38">
        <v>3666.39</v>
      </c>
      <c r="I412" s="37" t="s">
        <v>561</v>
      </c>
      <c r="J412" s="38">
        <v>3666.34</v>
      </c>
      <c r="K412" s="38">
        <v>0</v>
      </c>
      <c r="L412" s="38">
        <v>0</v>
      </c>
      <c r="M412" s="39">
        <v>3.55</v>
      </c>
      <c r="N412" s="10" t="str">
        <f t="shared" si="63"/>
        <v>W</v>
      </c>
      <c r="O412" s="11">
        <f t="shared" si="64"/>
        <v>45918</v>
      </c>
      <c r="P412" s="12" t="str">
        <f t="shared" si="65"/>
        <v>13</v>
      </c>
      <c r="Q412" s="13" t="str">
        <f>VLOOKUP($B412,Deals_Demo!$H:$N,7,0)</f>
        <v>strategy_11_demo</v>
      </c>
      <c r="R412" s="13" t="str">
        <f t="shared" si="66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67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0"/>
        <v>0.35499999999999998</v>
      </c>
      <c r="Y412" s="13">
        <f t="shared" si="61"/>
        <v>0.71</v>
      </c>
      <c r="Z412" s="13">
        <f t="shared" si="62"/>
        <v>1.0649999999999999</v>
      </c>
      <c r="AA412" s="13">
        <f t="shared" si="68"/>
        <v>3.55</v>
      </c>
    </row>
    <row r="413" spans="1:27" x14ac:dyDescent="0.25">
      <c r="A413" s="40">
        <v>45918.550092592595</v>
      </c>
      <c r="B413" s="41">
        <v>443335232</v>
      </c>
      <c r="C413" s="42" t="s">
        <v>36</v>
      </c>
      <c r="D413" s="42" t="s">
        <v>39</v>
      </c>
      <c r="E413" s="42" t="s">
        <v>38</v>
      </c>
      <c r="F413" s="43">
        <v>3669.88</v>
      </c>
      <c r="G413" s="43">
        <v>3669.65</v>
      </c>
      <c r="H413" s="43">
        <v>3668.39</v>
      </c>
      <c r="I413" s="42" t="s">
        <v>560</v>
      </c>
      <c r="J413" s="43">
        <v>3668.37</v>
      </c>
      <c r="K413" s="43">
        <v>0</v>
      </c>
      <c r="L413" s="43">
        <v>0</v>
      </c>
      <c r="M413" s="44">
        <v>1.51</v>
      </c>
      <c r="N413" s="10" t="str">
        <f t="shared" si="63"/>
        <v>W</v>
      </c>
      <c r="O413" s="11">
        <f t="shared" si="64"/>
        <v>45918</v>
      </c>
      <c r="P413" s="12" t="str">
        <f t="shared" si="65"/>
        <v>13</v>
      </c>
      <c r="Q413" s="13" t="str">
        <f>VLOOKUP($B413,Deals_Demo!$H:$N,7,0)</f>
        <v>strategy_12_demo</v>
      </c>
      <c r="R413" s="13" t="str">
        <f t="shared" si="66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67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0"/>
        <v>0.15100000000000002</v>
      </c>
      <c r="Y413" s="13">
        <f t="shared" si="61"/>
        <v>0.30200000000000005</v>
      </c>
      <c r="Z413" s="13">
        <f t="shared" si="62"/>
        <v>0.45299999999999996</v>
      </c>
      <c r="AA413" s="13">
        <f t="shared" si="68"/>
        <v>-3</v>
      </c>
    </row>
    <row r="414" spans="1:27" x14ac:dyDescent="0.25">
      <c r="A414" s="35">
        <v>45918.550092592595</v>
      </c>
      <c r="B414" s="36">
        <v>443335234</v>
      </c>
      <c r="C414" s="37" t="s">
        <v>36</v>
      </c>
      <c r="D414" s="37" t="s">
        <v>39</v>
      </c>
      <c r="E414" s="37" t="s">
        <v>38</v>
      </c>
      <c r="F414" s="38">
        <v>3669.85</v>
      </c>
      <c r="G414" s="38">
        <v>3668.37</v>
      </c>
      <c r="H414" s="38">
        <v>3666.89</v>
      </c>
      <c r="I414" s="37" t="s">
        <v>562</v>
      </c>
      <c r="J414" s="38">
        <v>3666.78</v>
      </c>
      <c r="K414" s="38">
        <v>0</v>
      </c>
      <c r="L414" s="38">
        <v>0</v>
      </c>
      <c r="M414" s="39">
        <v>3.07</v>
      </c>
      <c r="N414" s="10" t="str">
        <f t="shared" si="63"/>
        <v>W</v>
      </c>
      <c r="O414" s="11">
        <f t="shared" si="64"/>
        <v>45918</v>
      </c>
      <c r="P414" s="12" t="str">
        <f t="shared" si="65"/>
        <v>13</v>
      </c>
      <c r="Q414" s="13" t="str">
        <f>VLOOKUP($B414,Deals_Demo!$H:$N,7,0)</f>
        <v>strategy_10_demo</v>
      </c>
      <c r="R414" s="13" t="str">
        <f t="shared" si="66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67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0"/>
        <v>0.307</v>
      </c>
      <c r="Y414" s="13">
        <f t="shared" si="61"/>
        <v>0.61399999999999999</v>
      </c>
      <c r="Z414" s="13">
        <f t="shared" si="62"/>
        <v>0.92099999999999993</v>
      </c>
      <c r="AA414" s="13">
        <f t="shared" si="68"/>
        <v>3.07</v>
      </c>
    </row>
    <row r="415" spans="1:27" x14ac:dyDescent="0.25">
      <c r="A415" s="40">
        <v>45918.550092592595</v>
      </c>
      <c r="B415" s="41">
        <v>443335235</v>
      </c>
      <c r="C415" s="42" t="s">
        <v>36</v>
      </c>
      <c r="D415" s="42" t="s">
        <v>39</v>
      </c>
      <c r="E415" s="42" t="s">
        <v>38</v>
      </c>
      <c r="F415" s="43">
        <v>3669.85</v>
      </c>
      <c r="G415" s="43">
        <v>3668.37</v>
      </c>
      <c r="H415" s="43">
        <v>3666.89</v>
      </c>
      <c r="I415" s="42" t="s">
        <v>562</v>
      </c>
      <c r="J415" s="43">
        <v>3666.78</v>
      </c>
      <c r="K415" s="43">
        <v>0</v>
      </c>
      <c r="L415" s="43">
        <v>0</v>
      </c>
      <c r="M415" s="44">
        <v>3.07</v>
      </c>
      <c r="N415" s="10" t="str">
        <f t="shared" si="63"/>
        <v>W</v>
      </c>
      <c r="O415" s="11">
        <f t="shared" si="64"/>
        <v>45918</v>
      </c>
      <c r="P415" s="12" t="str">
        <f t="shared" si="65"/>
        <v>13</v>
      </c>
      <c r="Q415" s="13" t="str">
        <f>VLOOKUP($B415,Deals_Demo!$H:$N,7,0)</f>
        <v>strategy_09_demo</v>
      </c>
      <c r="R415" s="13" t="str">
        <f t="shared" si="66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67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0"/>
        <v>0.307</v>
      </c>
      <c r="Y415" s="13">
        <f t="shared" si="61"/>
        <v>0.61399999999999999</v>
      </c>
      <c r="Z415" s="13">
        <f t="shared" si="62"/>
        <v>0.92099999999999993</v>
      </c>
      <c r="AA415" s="13">
        <f t="shared" si="68"/>
        <v>3.07</v>
      </c>
    </row>
    <row r="416" spans="1:27" x14ac:dyDescent="0.25">
      <c r="A416" s="35">
        <v>45918.550092592595</v>
      </c>
      <c r="B416" s="36">
        <v>443335238</v>
      </c>
      <c r="C416" s="37" t="s">
        <v>36</v>
      </c>
      <c r="D416" s="37" t="s">
        <v>39</v>
      </c>
      <c r="E416" s="37" t="s">
        <v>38</v>
      </c>
      <c r="F416" s="38">
        <v>3669.85</v>
      </c>
      <c r="G416" s="38">
        <v>3669.65</v>
      </c>
      <c r="H416" s="38">
        <v>3668.39</v>
      </c>
      <c r="I416" s="37" t="s">
        <v>560</v>
      </c>
      <c r="J416" s="38">
        <v>3668.37</v>
      </c>
      <c r="K416" s="38">
        <v>0</v>
      </c>
      <c r="L416" s="38">
        <v>0</v>
      </c>
      <c r="M416" s="39">
        <v>1.48</v>
      </c>
      <c r="N416" s="10" t="str">
        <f t="shared" si="63"/>
        <v>W</v>
      </c>
      <c r="O416" s="11">
        <f t="shared" si="64"/>
        <v>45918</v>
      </c>
      <c r="P416" s="12" t="str">
        <f t="shared" si="65"/>
        <v>13</v>
      </c>
      <c r="Q416" s="13" t="str">
        <f>VLOOKUP($B416,Deals_Demo!$H:$N,7,0)</f>
        <v>strategy_15_demo</v>
      </c>
      <c r="R416" s="13" t="str">
        <f t="shared" si="66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67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0"/>
        <v>0.14799999999999999</v>
      </c>
      <c r="Y416" s="13">
        <f t="shared" si="61"/>
        <v>0.29599999999999999</v>
      </c>
      <c r="Z416" s="13">
        <f t="shared" si="62"/>
        <v>0.44400000000000001</v>
      </c>
      <c r="AA416" s="13">
        <f t="shared" si="68"/>
        <v>-3</v>
      </c>
    </row>
    <row r="417" spans="1:27" x14ac:dyDescent="0.25">
      <c r="A417" s="40">
        <v>45918.555752314816</v>
      </c>
      <c r="B417" s="41">
        <v>443337877</v>
      </c>
      <c r="C417" s="42" t="s">
        <v>36</v>
      </c>
      <c r="D417" s="42" t="s">
        <v>39</v>
      </c>
      <c r="E417" s="42" t="s">
        <v>38</v>
      </c>
      <c r="F417" s="43">
        <v>3666.51</v>
      </c>
      <c r="G417" s="43">
        <v>3669.5</v>
      </c>
      <c r="H417" s="43">
        <v>3665</v>
      </c>
      <c r="I417" s="42" t="s">
        <v>563</v>
      </c>
      <c r="J417" s="43">
        <v>3669.53</v>
      </c>
      <c r="K417" s="43">
        <v>0</v>
      </c>
      <c r="L417" s="43">
        <v>0</v>
      </c>
      <c r="M417" s="44">
        <v>-3.02</v>
      </c>
      <c r="N417" s="10" t="str">
        <f t="shared" si="63"/>
        <v>L</v>
      </c>
      <c r="O417" s="11">
        <f t="shared" si="64"/>
        <v>45918</v>
      </c>
      <c r="P417" s="12" t="str">
        <f t="shared" si="65"/>
        <v>13</v>
      </c>
      <c r="Q417" s="13" t="str">
        <f>VLOOKUP($B417,Deals_Demo!$H:$N,7,0)</f>
        <v>strategy_12_demo</v>
      </c>
      <c r="R417" s="13" t="str">
        <f t="shared" si="66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67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0"/>
        <v>-0.30200000000000005</v>
      </c>
      <c r="Y417" s="13">
        <f t="shared" si="61"/>
        <v>-0.60400000000000009</v>
      </c>
      <c r="Z417" s="13">
        <f t="shared" si="62"/>
        <v>-0.90599999999999992</v>
      </c>
      <c r="AA417" s="13">
        <f t="shared" si="68"/>
        <v>-3</v>
      </c>
    </row>
    <row r="418" spans="1:27" x14ac:dyDescent="0.25">
      <c r="A418" s="35">
        <v>45918.555752314816</v>
      </c>
      <c r="B418" s="36">
        <v>443337880</v>
      </c>
      <c r="C418" s="37" t="s">
        <v>36</v>
      </c>
      <c r="D418" s="37" t="s">
        <v>39</v>
      </c>
      <c r="E418" s="37" t="s">
        <v>38</v>
      </c>
      <c r="F418" s="38">
        <v>3666.51</v>
      </c>
      <c r="G418" s="38">
        <v>3668.01</v>
      </c>
      <c r="H418" s="38">
        <v>3665.01</v>
      </c>
      <c r="I418" s="37" t="s">
        <v>564</v>
      </c>
      <c r="J418" s="38">
        <v>3668.02</v>
      </c>
      <c r="K418" s="38">
        <v>0</v>
      </c>
      <c r="L418" s="38">
        <v>0</v>
      </c>
      <c r="M418" s="39">
        <v>-1.51</v>
      </c>
      <c r="N418" s="10" t="str">
        <f t="shared" si="63"/>
        <v>L</v>
      </c>
      <c r="O418" s="11">
        <f t="shared" si="64"/>
        <v>45918</v>
      </c>
      <c r="P418" s="12" t="str">
        <f t="shared" si="65"/>
        <v>13</v>
      </c>
      <c r="Q418" s="13" t="str">
        <f>VLOOKUP($B418,Deals_Demo!$H:$N,7,0)</f>
        <v>strategy_15_demo</v>
      </c>
      <c r="R418" s="13" t="str">
        <f t="shared" si="66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67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0"/>
        <v>-0.15100000000000002</v>
      </c>
      <c r="Y418" s="13">
        <f t="shared" si="61"/>
        <v>-0.30200000000000005</v>
      </c>
      <c r="Z418" s="13">
        <f t="shared" si="62"/>
        <v>-0.45299999999999996</v>
      </c>
      <c r="AA418" s="13">
        <f t="shared" si="68"/>
        <v>-3</v>
      </c>
    </row>
    <row r="419" spans="1:27" x14ac:dyDescent="0.25">
      <c r="A419" s="40">
        <v>45918.555763888886</v>
      </c>
      <c r="B419" s="41">
        <v>443337884</v>
      </c>
      <c r="C419" s="42" t="s">
        <v>36</v>
      </c>
      <c r="D419" s="42" t="s">
        <v>39</v>
      </c>
      <c r="E419" s="42" t="s">
        <v>38</v>
      </c>
      <c r="F419" s="43">
        <v>3666.51</v>
      </c>
      <c r="G419" s="43">
        <v>3669.51</v>
      </c>
      <c r="H419" s="43">
        <v>3665.01</v>
      </c>
      <c r="I419" s="42" t="s">
        <v>563</v>
      </c>
      <c r="J419" s="43">
        <v>3669.53</v>
      </c>
      <c r="K419" s="43">
        <v>0</v>
      </c>
      <c r="L419" s="43">
        <v>0</v>
      </c>
      <c r="M419" s="44">
        <v>-3.02</v>
      </c>
      <c r="N419" s="10" t="str">
        <f t="shared" si="63"/>
        <v>L</v>
      </c>
      <c r="O419" s="11">
        <f t="shared" si="64"/>
        <v>45918</v>
      </c>
      <c r="P419" s="12" t="str">
        <f t="shared" si="65"/>
        <v>13</v>
      </c>
      <c r="Q419" s="13" t="str">
        <f>VLOOKUP($B419,Deals_Demo!$H:$N,7,0)</f>
        <v>strategy_14_demo</v>
      </c>
      <c r="R419" s="13" t="str">
        <f t="shared" si="66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67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0"/>
        <v>-0.30200000000000005</v>
      </c>
      <c r="Y419" s="13">
        <f t="shared" si="61"/>
        <v>-0.60400000000000009</v>
      </c>
      <c r="Z419" s="13">
        <f t="shared" si="62"/>
        <v>-0.90599999999999992</v>
      </c>
      <c r="AA419" s="13">
        <f t="shared" si="68"/>
        <v>-3</v>
      </c>
    </row>
    <row r="420" spans="1:27" x14ac:dyDescent="0.25">
      <c r="A420" s="35">
        <v>45918.555763888886</v>
      </c>
      <c r="B420" s="36">
        <v>443337886</v>
      </c>
      <c r="C420" s="37" t="s">
        <v>36</v>
      </c>
      <c r="D420" s="37" t="s">
        <v>39</v>
      </c>
      <c r="E420" s="37" t="s">
        <v>38</v>
      </c>
      <c r="F420" s="38">
        <v>3666.52</v>
      </c>
      <c r="G420" s="38">
        <v>3669.51</v>
      </c>
      <c r="H420" s="38">
        <v>3663.51</v>
      </c>
      <c r="I420" s="37" t="s">
        <v>563</v>
      </c>
      <c r="J420" s="38">
        <v>3669.53</v>
      </c>
      <c r="K420" s="38">
        <v>0</v>
      </c>
      <c r="L420" s="38">
        <v>0</v>
      </c>
      <c r="M420" s="39">
        <v>-3.01</v>
      </c>
      <c r="N420" s="10" t="str">
        <f t="shared" si="63"/>
        <v>L</v>
      </c>
      <c r="O420" s="11">
        <f t="shared" si="64"/>
        <v>45918</v>
      </c>
      <c r="P420" s="12" t="str">
        <f t="shared" si="65"/>
        <v>13</v>
      </c>
      <c r="Q420" s="13" t="str">
        <f>VLOOKUP($B420,Deals_Demo!$H:$N,7,0)</f>
        <v>strategy_09_demo</v>
      </c>
      <c r="R420" s="13" t="str">
        <f t="shared" si="66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67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0"/>
        <v>-0.30099999999999999</v>
      </c>
      <c r="Y420" s="13">
        <f t="shared" si="61"/>
        <v>-0.60199999999999998</v>
      </c>
      <c r="Z420" s="13">
        <f t="shared" si="62"/>
        <v>-0.90299999999999991</v>
      </c>
      <c r="AA420" s="13">
        <f t="shared" si="68"/>
        <v>-3</v>
      </c>
    </row>
    <row r="421" spans="1:27" x14ac:dyDescent="0.25">
      <c r="A421" s="40">
        <v>45918.555763888886</v>
      </c>
      <c r="B421" s="41">
        <v>443337912</v>
      </c>
      <c r="C421" s="42" t="s">
        <v>36</v>
      </c>
      <c r="D421" s="42" t="s">
        <v>39</v>
      </c>
      <c r="E421" s="42" t="s">
        <v>38</v>
      </c>
      <c r="F421" s="43">
        <v>3666.52</v>
      </c>
      <c r="G421" s="43">
        <v>3669.51</v>
      </c>
      <c r="H421" s="43">
        <v>3663.01</v>
      </c>
      <c r="I421" s="42" t="s">
        <v>563</v>
      </c>
      <c r="J421" s="43">
        <v>3669.53</v>
      </c>
      <c r="K421" s="43">
        <v>0</v>
      </c>
      <c r="L421" s="43">
        <v>0</v>
      </c>
      <c r="M421" s="44">
        <v>-3.01</v>
      </c>
      <c r="N421" s="10" t="str">
        <f t="shared" si="63"/>
        <v>L</v>
      </c>
      <c r="O421" s="11">
        <f t="shared" si="64"/>
        <v>45918</v>
      </c>
      <c r="P421" s="12" t="str">
        <f t="shared" si="65"/>
        <v>13</v>
      </c>
      <c r="Q421" s="13" t="str">
        <f>VLOOKUP($B421,Deals_Demo!$H:$N,7,0)</f>
        <v>strategy_11_demo</v>
      </c>
      <c r="R421" s="13" t="str">
        <f t="shared" si="66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67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0"/>
        <v>-0.30099999999999999</v>
      </c>
      <c r="Y421" s="13">
        <f t="shared" si="61"/>
        <v>-0.60199999999999998</v>
      </c>
      <c r="Z421" s="13">
        <f t="shared" si="62"/>
        <v>-0.90299999999999991</v>
      </c>
      <c r="AA421" s="13">
        <f t="shared" si="68"/>
        <v>-3</v>
      </c>
    </row>
    <row r="422" spans="1:27" x14ac:dyDescent="0.25">
      <c r="A422" s="35">
        <v>45918.555763888886</v>
      </c>
      <c r="B422" s="36">
        <v>443337926</v>
      </c>
      <c r="C422" s="37" t="s">
        <v>36</v>
      </c>
      <c r="D422" s="37" t="s">
        <v>39</v>
      </c>
      <c r="E422" s="37" t="s">
        <v>38</v>
      </c>
      <c r="F422" s="38">
        <v>3666.52</v>
      </c>
      <c r="G422" s="38">
        <v>3669.01</v>
      </c>
      <c r="H422" s="38">
        <v>3663.51</v>
      </c>
      <c r="I422" s="37" t="s">
        <v>565</v>
      </c>
      <c r="J422" s="38">
        <v>3669.01</v>
      </c>
      <c r="K422" s="38">
        <v>0</v>
      </c>
      <c r="L422" s="38">
        <v>0</v>
      </c>
      <c r="M422" s="39">
        <v>-2.4900000000000002</v>
      </c>
      <c r="N422" s="10" t="str">
        <f t="shared" si="63"/>
        <v>L</v>
      </c>
      <c r="O422" s="11">
        <f t="shared" si="64"/>
        <v>45918</v>
      </c>
      <c r="P422" s="12" t="str">
        <f t="shared" si="65"/>
        <v>13</v>
      </c>
      <c r="Q422" s="13" t="str">
        <f>VLOOKUP($B422,Deals_Demo!$H:$N,7,0)</f>
        <v>strategy_10_demo</v>
      </c>
      <c r="R422" s="13" t="str">
        <f t="shared" si="66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67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0"/>
        <v>-0.24900000000000003</v>
      </c>
      <c r="Y422" s="13">
        <f t="shared" si="61"/>
        <v>-0.49800000000000005</v>
      </c>
      <c r="Z422" s="13">
        <f t="shared" si="62"/>
        <v>-0.747</v>
      </c>
      <c r="AA422" s="13">
        <f t="shared" si="68"/>
        <v>-3</v>
      </c>
    </row>
    <row r="423" spans="1:27" x14ac:dyDescent="0.25">
      <c r="A423" s="40">
        <v>45918.569756944446</v>
      </c>
      <c r="B423" s="41">
        <v>443345743</v>
      </c>
      <c r="C423" s="42" t="s">
        <v>36</v>
      </c>
      <c r="D423" s="42" t="s">
        <v>39</v>
      </c>
      <c r="E423" s="42" t="s">
        <v>38</v>
      </c>
      <c r="F423" s="43">
        <v>3667.2</v>
      </c>
      <c r="G423" s="43">
        <v>3670.2</v>
      </c>
      <c r="H423" s="43">
        <v>3665.7</v>
      </c>
      <c r="I423" s="42" t="s">
        <v>566</v>
      </c>
      <c r="J423" s="43">
        <v>3670.23</v>
      </c>
      <c r="K423" s="43">
        <v>0</v>
      </c>
      <c r="L423" s="43">
        <v>0</v>
      </c>
      <c r="M423" s="44">
        <v>-3.03</v>
      </c>
      <c r="N423" s="10" t="str">
        <f t="shared" si="63"/>
        <v>L</v>
      </c>
      <c r="O423" s="11">
        <f t="shared" si="64"/>
        <v>45918</v>
      </c>
      <c r="P423" s="12" t="str">
        <f t="shared" si="65"/>
        <v>13</v>
      </c>
      <c r="Q423" s="13" t="str">
        <f>VLOOKUP($B423,Deals_Demo!$H:$N,7,0)</f>
        <v>strategy_12_demo</v>
      </c>
      <c r="R423" s="13" t="str">
        <f t="shared" si="66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67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0"/>
        <v>-0.30299999999999999</v>
      </c>
      <c r="Y423" s="13">
        <f t="shared" si="61"/>
        <v>-0.60599999999999998</v>
      </c>
      <c r="Z423" s="13">
        <f t="shared" si="62"/>
        <v>-0.90899999999999992</v>
      </c>
      <c r="AA423" s="13">
        <f t="shared" si="68"/>
        <v>-3</v>
      </c>
    </row>
    <row r="424" spans="1:27" x14ac:dyDescent="0.25">
      <c r="A424" s="35">
        <v>45918.569756944446</v>
      </c>
      <c r="B424" s="36">
        <v>443345744</v>
      </c>
      <c r="C424" s="37" t="s">
        <v>36</v>
      </c>
      <c r="D424" s="37" t="s">
        <v>39</v>
      </c>
      <c r="E424" s="37" t="s">
        <v>38</v>
      </c>
      <c r="F424" s="38">
        <v>3667.2</v>
      </c>
      <c r="G424" s="38">
        <v>3670.2</v>
      </c>
      <c r="H424" s="38">
        <v>3664.2</v>
      </c>
      <c r="I424" s="37" t="s">
        <v>566</v>
      </c>
      <c r="J424" s="38">
        <v>3670.23</v>
      </c>
      <c r="K424" s="38">
        <v>0</v>
      </c>
      <c r="L424" s="38">
        <v>0</v>
      </c>
      <c r="M424" s="39">
        <v>-3.03</v>
      </c>
      <c r="N424" s="10" t="str">
        <f t="shared" si="63"/>
        <v>L</v>
      </c>
      <c r="O424" s="11">
        <f t="shared" si="64"/>
        <v>45918</v>
      </c>
      <c r="P424" s="12" t="str">
        <f t="shared" si="65"/>
        <v>13</v>
      </c>
      <c r="Q424" s="13" t="str">
        <f>VLOOKUP($B424,Deals_Demo!$H:$N,7,0)</f>
        <v>strategy_09_demo</v>
      </c>
      <c r="R424" s="13" t="str">
        <f t="shared" si="66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67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0"/>
        <v>-0.30299999999999999</v>
      </c>
      <c r="Y424" s="13">
        <f t="shared" si="61"/>
        <v>-0.60599999999999998</v>
      </c>
      <c r="Z424" s="13">
        <f t="shared" si="62"/>
        <v>-0.90899999999999992</v>
      </c>
      <c r="AA424" s="13">
        <f t="shared" si="68"/>
        <v>-3</v>
      </c>
    </row>
    <row r="425" spans="1:27" x14ac:dyDescent="0.25">
      <c r="A425" s="40">
        <v>45918.569768518515</v>
      </c>
      <c r="B425" s="41">
        <v>443345746</v>
      </c>
      <c r="C425" s="42" t="s">
        <v>36</v>
      </c>
      <c r="D425" s="42" t="s">
        <v>39</v>
      </c>
      <c r="E425" s="42" t="s">
        <v>38</v>
      </c>
      <c r="F425" s="43">
        <v>3667.15</v>
      </c>
      <c r="G425" s="43">
        <v>3669.7</v>
      </c>
      <c r="H425" s="43">
        <v>3664.2</v>
      </c>
      <c r="I425" s="42" t="s">
        <v>567</v>
      </c>
      <c r="J425" s="43">
        <v>3669.72</v>
      </c>
      <c r="K425" s="43">
        <v>0</v>
      </c>
      <c r="L425" s="43">
        <v>0</v>
      </c>
      <c r="M425" s="44">
        <v>-2.57</v>
      </c>
      <c r="N425" s="10" t="str">
        <f t="shared" si="63"/>
        <v>L</v>
      </c>
      <c r="O425" s="11">
        <f t="shared" si="64"/>
        <v>45918</v>
      </c>
      <c r="P425" s="12" t="str">
        <f t="shared" si="65"/>
        <v>13</v>
      </c>
      <c r="Q425" s="13" t="str">
        <f>VLOOKUP($B425,Deals_Demo!$H:$N,7,0)</f>
        <v>strategy_10_demo</v>
      </c>
      <c r="R425" s="13" t="str">
        <f t="shared" si="66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67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0"/>
        <v>-0.25700000000000001</v>
      </c>
      <c r="Y425" s="13">
        <f t="shared" si="61"/>
        <v>-0.51400000000000001</v>
      </c>
      <c r="Z425" s="13">
        <f t="shared" si="62"/>
        <v>-0.77099999999999991</v>
      </c>
      <c r="AA425" s="13">
        <f t="shared" si="68"/>
        <v>-3</v>
      </c>
    </row>
    <row r="426" spans="1:27" x14ac:dyDescent="0.25">
      <c r="A426" s="35">
        <v>45918.569768518515</v>
      </c>
      <c r="B426" s="36">
        <v>443345749</v>
      </c>
      <c r="C426" s="37" t="s">
        <v>36</v>
      </c>
      <c r="D426" s="37" t="s">
        <v>39</v>
      </c>
      <c r="E426" s="37" t="s">
        <v>38</v>
      </c>
      <c r="F426" s="38">
        <v>3667.12</v>
      </c>
      <c r="G426" s="38">
        <v>3670.2</v>
      </c>
      <c r="H426" s="38">
        <v>3663.7</v>
      </c>
      <c r="I426" s="37" t="s">
        <v>566</v>
      </c>
      <c r="J426" s="38">
        <v>3670.23</v>
      </c>
      <c r="K426" s="38">
        <v>0</v>
      </c>
      <c r="L426" s="38">
        <v>0</v>
      </c>
      <c r="M426" s="39">
        <v>-3.11</v>
      </c>
      <c r="N426" s="10" t="str">
        <f t="shared" si="63"/>
        <v>L</v>
      </c>
      <c r="O426" s="11">
        <f t="shared" si="64"/>
        <v>45918</v>
      </c>
      <c r="P426" s="12" t="str">
        <f t="shared" si="65"/>
        <v>13</v>
      </c>
      <c r="Q426" s="13" t="str">
        <f>VLOOKUP($B426,Deals_Demo!$H:$N,7,0)</f>
        <v>strategy_11_demo</v>
      </c>
      <c r="R426" s="13" t="str">
        <f t="shared" si="66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67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0"/>
        <v>-0.311</v>
      </c>
      <c r="Y426" s="13">
        <f t="shared" si="61"/>
        <v>-0.622</v>
      </c>
      <c r="Z426" s="13">
        <f t="shared" si="62"/>
        <v>-0.93299999999999994</v>
      </c>
      <c r="AA426" s="13">
        <f t="shared" si="68"/>
        <v>-3</v>
      </c>
    </row>
    <row r="427" spans="1:27" x14ac:dyDescent="0.25">
      <c r="A427" s="40">
        <v>45918.574502314812</v>
      </c>
      <c r="B427" s="41">
        <v>443347406</v>
      </c>
      <c r="C427" s="42" t="s">
        <v>36</v>
      </c>
      <c r="D427" s="42" t="s">
        <v>39</v>
      </c>
      <c r="E427" s="42" t="s">
        <v>38</v>
      </c>
      <c r="F427" s="43">
        <v>3666.23</v>
      </c>
      <c r="G427" s="43">
        <v>3667.72</v>
      </c>
      <c r="H427" s="43">
        <v>3664.72</v>
      </c>
      <c r="I427" s="42" t="s">
        <v>568</v>
      </c>
      <c r="J427" s="43">
        <v>3667.75</v>
      </c>
      <c r="K427" s="43">
        <v>0</v>
      </c>
      <c r="L427" s="43">
        <v>0</v>
      </c>
      <c r="M427" s="44">
        <v>-1.52</v>
      </c>
      <c r="N427" s="10" t="str">
        <f t="shared" si="63"/>
        <v>L</v>
      </c>
      <c r="O427" s="11">
        <f t="shared" si="64"/>
        <v>45918</v>
      </c>
      <c r="P427" s="12" t="str">
        <f t="shared" si="65"/>
        <v>13</v>
      </c>
      <c r="Q427" s="13" t="str">
        <f>VLOOKUP($B427,Deals_Demo!$H:$N,7,0)</f>
        <v>strategy_15_demo</v>
      </c>
      <c r="R427" s="13" t="str">
        <f t="shared" si="66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67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0"/>
        <v>-0.15200000000000002</v>
      </c>
      <c r="Y427" s="13">
        <f t="shared" si="61"/>
        <v>-0.30400000000000005</v>
      </c>
      <c r="Z427" s="13">
        <f t="shared" si="62"/>
        <v>-0.45599999999999996</v>
      </c>
      <c r="AA427" s="13">
        <f t="shared" si="68"/>
        <v>-3</v>
      </c>
    </row>
    <row r="428" spans="1:27" x14ac:dyDescent="0.25">
      <c r="A428" s="35">
        <v>45918.574502314812</v>
      </c>
      <c r="B428" s="36">
        <v>443347408</v>
      </c>
      <c r="C428" s="37" t="s">
        <v>36</v>
      </c>
      <c r="D428" s="37" t="s">
        <v>39</v>
      </c>
      <c r="E428" s="37" t="s">
        <v>38</v>
      </c>
      <c r="F428" s="38">
        <v>3666.23</v>
      </c>
      <c r="G428" s="38">
        <v>3669.23</v>
      </c>
      <c r="H428" s="38">
        <v>3664.73</v>
      </c>
      <c r="I428" s="37" t="s">
        <v>569</v>
      </c>
      <c r="J428" s="38">
        <v>3669.25</v>
      </c>
      <c r="K428" s="38">
        <v>0</v>
      </c>
      <c r="L428" s="38">
        <v>0</v>
      </c>
      <c r="M428" s="39">
        <v>-3.02</v>
      </c>
      <c r="N428" s="10" t="str">
        <f t="shared" si="63"/>
        <v>L</v>
      </c>
      <c r="O428" s="11">
        <f t="shared" si="64"/>
        <v>45918</v>
      </c>
      <c r="P428" s="12" t="str">
        <f t="shared" si="65"/>
        <v>13</v>
      </c>
      <c r="Q428" s="13" t="str">
        <f>VLOOKUP($B428,Deals_Demo!$H:$N,7,0)</f>
        <v>strategy_14_demo</v>
      </c>
      <c r="R428" s="13" t="str">
        <f t="shared" si="66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67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0"/>
        <v>-0.30200000000000005</v>
      </c>
      <c r="Y428" s="13">
        <f t="shared" si="61"/>
        <v>-0.60400000000000009</v>
      </c>
      <c r="Z428" s="13">
        <f t="shared" si="62"/>
        <v>-0.90599999999999992</v>
      </c>
      <c r="AA428" s="13">
        <f t="shared" si="68"/>
        <v>-3</v>
      </c>
    </row>
    <row r="429" spans="1:27" x14ac:dyDescent="0.25">
      <c r="A429" s="40">
        <v>45918.598807870374</v>
      </c>
      <c r="B429" s="41">
        <v>443356771</v>
      </c>
      <c r="C429" s="42" t="s">
        <v>36</v>
      </c>
      <c r="D429" s="42" t="s">
        <v>37</v>
      </c>
      <c r="E429" s="42" t="s">
        <v>38</v>
      </c>
      <c r="F429" s="43">
        <v>3669.85</v>
      </c>
      <c r="G429" s="43">
        <v>3666.89</v>
      </c>
      <c r="H429" s="43">
        <v>3671.39</v>
      </c>
      <c r="I429" s="42" t="s">
        <v>570</v>
      </c>
      <c r="J429" s="43">
        <v>3666.89</v>
      </c>
      <c r="K429" s="43">
        <v>0</v>
      </c>
      <c r="L429" s="43">
        <v>0</v>
      </c>
      <c r="M429" s="44">
        <v>-2.96</v>
      </c>
      <c r="N429" s="10" t="str">
        <f t="shared" si="63"/>
        <v>L</v>
      </c>
      <c r="O429" s="11">
        <f t="shared" si="64"/>
        <v>45918</v>
      </c>
      <c r="P429" s="12" t="str">
        <f t="shared" si="65"/>
        <v>14</v>
      </c>
      <c r="Q429" s="13" t="str">
        <f>VLOOKUP($B429,Deals_Demo!$H:$N,7,0)</f>
        <v>strategy_12_demo</v>
      </c>
      <c r="R429" s="13" t="str">
        <f t="shared" si="66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67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0"/>
        <v>-0.29599999999999999</v>
      </c>
      <c r="Y429" s="13">
        <f t="shared" si="61"/>
        <v>-0.59199999999999997</v>
      </c>
      <c r="Z429" s="13">
        <f t="shared" si="62"/>
        <v>-0.88800000000000001</v>
      </c>
      <c r="AA429" s="13">
        <f t="shared" si="68"/>
        <v>-3</v>
      </c>
    </row>
    <row r="430" spans="1:27" x14ac:dyDescent="0.25">
      <c r="A430" s="35">
        <v>45918.598807870374</v>
      </c>
      <c r="B430" s="36">
        <v>443356772</v>
      </c>
      <c r="C430" s="37" t="s">
        <v>36</v>
      </c>
      <c r="D430" s="37" t="s">
        <v>37</v>
      </c>
      <c r="E430" s="37" t="s">
        <v>38</v>
      </c>
      <c r="F430" s="38">
        <v>3669.84</v>
      </c>
      <c r="G430" s="38">
        <v>3668.35</v>
      </c>
      <c r="H430" s="38">
        <v>3671.35</v>
      </c>
      <c r="I430" s="37" t="s">
        <v>571</v>
      </c>
      <c r="J430" s="38">
        <v>3668.27</v>
      </c>
      <c r="K430" s="38">
        <v>0</v>
      </c>
      <c r="L430" s="38">
        <v>0</v>
      </c>
      <c r="M430" s="39">
        <v>-1.57</v>
      </c>
      <c r="N430" s="10" t="str">
        <f t="shared" si="63"/>
        <v>L</v>
      </c>
      <c r="O430" s="11">
        <f t="shared" si="64"/>
        <v>45918</v>
      </c>
      <c r="P430" s="12" t="str">
        <f t="shared" si="65"/>
        <v>14</v>
      </c>
      <c r="Q430" s="13" t="str">
        <f>VLOOKUP($B430,Deals_Demo!$H:$N,7,0)</f>
        <v>strategy_15_demo</v>
      </c>
      <c r="R430" s="13" t="str">
        <f t="shared" si="66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67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0"/>
        <v>-0.15700000000000003</v>
      </c>
      <c r="Y430" s="13">
        <f t="shared" si="61"/>
        <v>-0.31400000000000006</v>
      </c>
      <c r="Z430" s="13">
        <f t="shared" si="62"/>
        <v>-0.47099999999999997</v>
      </c>
      <c r="AA430" s="13">
        <f t="shared" si="68"/>
        <v>-3</v>
      </c>
    </row>
    <row r="431" spans="1:27" x14ac:dyDescent="0.25">
      <c r="A431" s="40">
        <v>45918.598807870374</v>
      </c>
      <c r="B431" s="41">
        <v>443356773</v>
      </c>
      <c r="C431" s="42" t="s">
        <v>36</v>
      </c>
      <c r="D431" s="42" t="s">
        <v>37</v>
      </c>
      <c r="E431" s="42" t="s">
        <v>38</v>
      </c>
      <c r="F431" s="43">
        <v>3669.84</v>
      </c>
      <c r="G431" s="43">
        <v>3666.85</v>
      </c>
      <c r="H431" s="43">
        <v>3671.35</v>
      </c>
      <c r="I431" s="42" t="s">
        <v>572</v>
      </c>
      <c r="J431" s="43">
        <v>3666.85</v>
      </c>
      <c r="K431" s="43">
        <v>0</v>
      </c>
      <c r="L431" s="43">
        <v>0</v>
      </c>
      <c r="M431" s="44">
        <v>-2.99</v>
      </c>
      <c r="N431" s="10" t="str">
        <f t="shared" si="63"/>
        <v>L</v>
      </c>
      <c r="O431" s="11">
        <f t="shared" si="64"/>
        <v>45918</v>
      </c>
      <c r="P431" s="12" t="str">
        <f t="shared" si="65"/>
        <v>14</v>
      </c>
      <c r="Q431" s="13" t="str">
        <f>VLOOKUP($B431,Deals_Demo!$H:$N,7,0)</f>
        <v>strategy_14_demo</v>
      </c>
      <c r="R431" s="13" t="str">
        <f t="shared" si="66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67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0"/>
        <v>-0.29900000000000004</v>
      </c>
      <c r="Y431" s="13">
        <f t="shared" si="61"/>
        <v>-0.59800000000000009</v>
      </c>
      <c r="Z431" s="13">
        <f t="shared" si="62"/>
        <v>-0.89700000000000002</v>
      </c>
      <c r="AA431" s="13">
        <f t="shared" si="68"/>
        <v>-3</v>
      </c>
    </row>
    <row r="432" spans="1:27" x14ac:dyDescent="0.25">
      <c r="A432" s="35">
        <v>45918.598819444444</v>
      </c>
      <c r="B432" s="36">
        <v>443356774</v>
      </c>
      <c r="C432" s="37" t="s">
        <v>36</v>
      </c>
      <c r="D432" s="37" t="s">
        <v>37</v>
      </c>
      <c r="E432" s="37" t="s">
        <v>38</v>
      </c>
      <c r="F432" s="38">
        <v>3669.87</v>
      </c>
      <c r="G432" s="38">
        <v>3667.35</v>
      </c>
      <c r="H432" s="38">
        <v>3672.85</v>
      </c>
      <c r="I432" s="37" t="s">
        <v>573</v>
      </c>
      <c r="J432" s="38">
        <v>3667.34</v>
      </c>
      <c r="K432" s="38">
        <v>0</v>
      </c>
      <c r="L432" s="38">
        <v>0</v>
      </c>
      <c r="M432" s="39">
        <v>-2.5299999999999998</v>
      </c>
      <c r="N432" s="10" t="str">
        <f t="shared" si="63"/>
        <v>L</v>
      </c>
      <c r="O432" s="11">
        <f t="shared" si="64"/>
        <v>45918</v>
      </c>
      <c r="P432" s="12" t="str">
        <f t="shared" si="65"/>
        <v>14</v>
      </c>
      <c r="Q432" s="13" t="str">
        <f>VLOOKUP($B432,Deals_Demo!$H:$N,7,0)</f>
        <v>strategy_10_demo</v>
      </c>
      <c r="R432" s="13" t="str">
        <f t="shared" si="66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67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0"/>
        <v>-0.253</v>
      </c>
      <c r="Y432" s="13">
        <f t="shared" si="61"/>
        <v>-0.50600000000000001</v>
      </c>
      <c r="Z432" s="13">
        <f t="shared" si="62"/>
        <v>-0.7589999999999999</v>
      </c>
      <c r="AA432" s="13">
        <f t="shared" si="68"/>
        <v>-3</v>
      </c>
    </row>
    <row r="433" spans="1:27" x14ac:dyDescent="0.25">
      <c r="A433" s="40">
        <v>45918.598819444444</v>
      </c>
      <c r="B433" s="41">
        <v>443356775</v>
      </c>
      <c r="C433" s="42" t="s">
        <v>36</v>
      </c>
      <c r="D433" s="42" t="s">
        <v>37</v>
      </c>
      <c r="E433" s="42" t="s">
        <v>38</v>
      </c>
      <c r="F433" s="43">
        <v>3669.87</v>
      </c>
      <c r="G433" s="43">
        <v>3666.85</v>
      </c>
      <c r="H433" s="43">
        <v>3673.35</v>
      </c>
      <c r="I433" s="42" t="s">
        <v>572</v>
      </c>
      <c r="J433" s="43">
        <v>3666.85</v>
      </c>
      <c r="K433" s="43">
        <v>0</v>
      </c>
      <c r="L433" s="43">
        <v>0</v>
      </c>
      <c r="M433" s="44">
        <v>-3.02</v>
      </c>
      <c r="N433" s="10" t="str">
        <f t="shared" si="63"/>
        <v>L</v>
      </c>
      <c r="O433" s="11">
        <f t="shared" si="64"/>
        <v>45918</v>
      </c>
      <c r="P433" s="12" t="str">
        <f t="shared" si="65"/>
        <v>14</v>
      </c>
      <c r="Q433" s="13" t="str">
        <f>VLOOKUP($B433,Deals_Demo!$H:$N,7,0)</f>
        <v>strategy_11_demo</v>
      </c>
      <c r="R433" s="13" t="str">
        <f t="shared" si="66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67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0"/>
        <v>-0.30200000000000005</v>
      </c>
      <c r="Y433" s="13">
        <f t="shared" si="61"/>
        <v>-0.60400000000000009</v>
      </c>
      <c r="Z433" s="13">
        <f t="shared" si="62"/>
        <v>-0.90599999999999992</v>
      </c>
      <c r="AA433" s="13">
        <f t="shared" si="68"/>
        <v>-3</v>
      </c>
    </row>
    <row r="434" spans="1:27" x14ac:dyDescent="0.25">
      <c r="A434" s="35">
        <v>45918.598819444444</v>
      </c>
      <c r="B434" s="36">
        <v>443356777</v>
      </c>
      <c r="C434" s="37" t="s">
        <v>36</v>
      </c>
      <c r="D434" s="37" t="s">
        <v>37</v>
      </c>
      <c r="E434" s="37" t="s">
        <v>38</v>
      </c>
      <c r="F434" s="38">
        <v>3669.87</v>
      </c>
      <c r="G434" s="38">
        <v>3666.85</v>
      </c>
      <c r="H434" s="38">
        <v>3672.85</v>
      </c>
      <c r="I434" s="37" t="s">
        <v>572</v>
      </c>
      <c r="J434" s="38">
        <v>3666.85</v>
      </c>
      <c r="K434" s="38">
        <v>0</v>
      </c>
      <c r="L434" s="38">
        <v>0</v>
      </c>
      <c r="M434" s="39">
        <v>-3.02</v>
      </c>
      <c r="N434" s="10" t="str">
        <f t="shared" si="63"/>
        <v>L</v>
      </c>
      <c r="O434" s="11">
        <f t="shared" si="64"/>
        <v>45918</v>
      </c>
      <c r="P434" s="12" t="str">
        <f t="shared" si="65"/>
        <v>14</v>
      </c>
      <c r="Q434" s="13" t="str">
        <f>VLOOKUP($B434,Deals_Demo!$H:$N,7,0)</f>
        <v>strategy_09_demo</v>
      </c>
      <c r="R434" s="13" t="str">
        <f t="shared" si="66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67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0"/>
        <v>-0.30200000000000005</v>
      </c>
      <c r="Y434" s="13">
        <f t="shared" si="61"/>
        <v>-0.60400000000000009</v>
      </c>
      <c r="Z434" s="13">
        <f t="shared" si="62"/>
        <v>-0.90599999999999992</v>
      </c>
      <c r="AA434" s="13">
        <f t="shared" si="68"/>
        <v>-3</v>
      </c>
    </row>
    <row r="435" spans="1:27" x14ac:dyDescent="0.25">
      <c r="A435" s="40">
        <v>45918.607719907406</v>
      </c>
      <c r="B435" s="41">
        <v>443361991</v>
      </c>
      <c r="C435" s="42" t="s">
        <v>36</v>
      </c>
      <c r="D435" s="42" t="s">
        <v>39</v>
      </c>
      <c r="E435" s="42" t="s">
        <v>38</v>
      </c>
      <c r="F435" s="43">
        <v>3665.73</v>
      </c>
      <c r="G435" s="43">
        <v>3668.51</v>
      </c>
      <c r="H435" s="43">
        <v>3664.01</v>
      </c>
      <c r="I435" s="42" t="s">
        <v>574</v>
      </c>
      <c r="J435" s="43">
        <v>3668.56</v>
      </c>
      <c r="K435" s="43">
        <v>0</v>
      </c>
      <c r="L435" s="43">
        <v>0</v>
      </c>
      <c r="M435" s="44">
        <v>-2.83</v>
      </c>
      <c r="N435" s="10" t="str">
        <f t="shared" si="63"/>
        <v>L</v>
      </c>
      <c r="O435" s="11">
        <f t="shared" si="64"/>
        <v>45918</v>
      </c>
      <c r="P435" s="12" t="str">
        <f t="shared" si="65"/>
        <v>14</v>
      </c>
      <c r="Q435" s="13" t="str">
        <f>VLOOKUP($B435,Deals_Demo!$H:$N,7,0)</f>
        <v>strategy_12_demo</v>
      </c>
      <c r="R435" s="13" t="str">
        <f t="shared" si="66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67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0"/>
        <v>-0.28300000000000003</v>
      </c>
      <c r="Y435" s="13">
        <f t="shared" si="61"/>
        <v>-0.56600000000000006</v>
      </c>
      <c r="Z435" s="13">
        <f t="shared" si="62"/>
        <v>-0.84899999999999998</v>
      </c>
      <c r="AA435" s="13">
        <f t="shared" si="68"/>
        <v>-3</v>
      </c>
    </row>
    <row r="436" spans="1:27" x14ac:dyDescent="0.25">
      <c r="A436" s="35">
        <v>45918.607719907406</v>
      </c>
      <c r="B436" s="36">
        <v>443361994</v>
      </c>
      <c r="C436" s="37" t="s">
        <v>36</v>
      </c>
      <c r="D436" s="37" t="s">
        <v>39</v>
      </c>
      <c r="E436" s="37" t="s">
        <v>38</v>
      </c>
      <c r="F436" s="38">
        <v>3665.71</v>
      </c>
      <c r="G436" s="38">
        <v>3667.23</v>
      </c>
      <c r="H436" s="38">
        <v>3664.23</v>
      </c>
      <c r="I436" s="37" t="s">
        <v>575</v>
      </c>
      <c r="J436" s="38">
        <v>3667.25</v>
      </c>
      <c r="K436" s="38">
        <v>0</v>
      </c>
      <c r="L436" s="38">
        <v>0</v>
      </c>
      <c r="M436" s="39">
        <v>-1.54</v>
      </c>
      <c r="N436" s="10" t="str">
        <f t="shared" si="63"/>
        <v>L</v>
      </c>
      <c r="O436" s="11">
        <f t="shared" si="64"/>
        <v>45918</v>
      </c>
      <c r="P436" s="12" t="str">
        <f t="shared" si="65"/>
        <v>14</v>
      </c>
      <c r="Q436" s="13" t="str">
        <f>VLOOKUP($B436,Deals_Demo!$H:$N,7,0)</f>
        <v>strategy_15_demo</v>
      </c>
      <c r="R436" s="13" t="str">
        <f t="shared" si="66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67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0"/>
        <v>-0.15400000000000003</v>
      </c>
      <c r="Y436" s="13">
        <f t="shared" si="61"/>
        <v>-0.30800000000000005</v>
      </c>
      <c r="Z436" s="13">
        <f t="shared" si="62"/>
        <v>-0.46199999999999997</v>
      </c>
      <c r="AA436" s="13">
        <f t="shared" si="68"/>
        <v>-3</v>
      </c>
    </row>
    <row r="437" spans="1:27" x14ac:dyDescent="0.25">
      <c r="A437" s="40">
        <v>45918.607719907406</v>
      </c>
      <c r="B437" s="41">
        <v>443361997</v>
      </c>
      <c r="C437" s="42" t="s">
        <v>36</v>
      </c>
      <c r="D437" s="42" t="s">
        <v>39</v>
      </c>
      <c r="E437" s="42" t="s">
        <v>38</v>
      </c>
      <c r="F437" s="43">
        <v>3665.79</v>
      </c>
      <c r="G437" s="43">
        <v>3668.73</v>
      </c>
      <c r="H437" s="43">
        <v>3664.23</v>
      </c>
      <c r="I437" s="42" t="s">
        <v>576</v>
      </c>
      <c r="J437" s="43">
        <v>3668.78</v>
      </c>
      <c r="K437" s="43">
        <v>0</v>
      </c>
      <c r="L437" s="43">
        <v>0</v>
      </c>
      <c r="M437" s="44">
        <v>-2.99</v>
      </c>
      <c r="N437" s="10" t="str">
        <f t="shared" si="63"/>
        <v>L</v>
      </c>
      <c r="O437" s="11">
        <f t="shared" si="64"/>
        <v>45918</v>
      </c>
      <c r="P437" s="12" t="str">
        <f t="shared" si="65"/>
        <v>14</v>
      </c>
      <c r="Q437" s="13" t="str">
        <f>VLOOKUP($B437,Deals_Demo!$H:$N,7,0)</f>
        <v>strategy_14_demo</v>
      </c>
      <c r="R437" s="13" t="str">
        <f t="shared" si="66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67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0"/>
        <v>-0.29900000000000004</v>
      </c>
      <c r="Y437" s="13">
        <f t="shared" si="61"/>
        <v>-0.59800000000000009</v>
      </c>
      <c r="Z437" s="13">
        <f t="shared" si="62"/>
        <v>-0.89700000000000002</v>
      </c>
      <c r="AA437" s="13">
        <f t="shared" si="68"/>
        <v>-3</v>
      </c>
    </row>
    <row r="438" spans="1:27" x14ac:dyDescent="0.25">
      <c r="A438" s="35">
        <v>45918.607731481483</v>
      </c>
      <c r="B438" s="36">
        <v>443361999</v>
      </c>
      <c r="C438" s="37" t="s">
        <v>36</v>
      </c>
      <c r="D438" s="37" t="s">
        <v>39</v>
      </c>
      <c r="E438" s="37" t="s">
        <v>38</v>
      </c>
      <c r="F438" s="38">
        <v>3665.84</v>
      </c>
      <c r="G438" s="38">
        <v>3668.73</v>
      </c>
      <c r="H438" s="38">
        <v>3662.73</v>
      </c>
      <c r="I438" s="37" t="s">
        <v>576</v>
      </c>
      <c r="J438" s="38">
        <v>3668.78</v>
      </c>
      <c r="K438" s="38">
        <v>0</v>
      </c>
      <c r="L438" s="38">
        <v>0</v>
      </c>
      <c r="M438" s="39">
        <v>-2.94</v>
      </c>
      <c r="N438" s="10" t="str">
        <f t="shared" si="63"/>
        <v>L</v>
      </c>
      <c r="O438" s="11">
        <f t="shared" si="64"/>
        <v>45918</v>
      </c>
      <c r="P438" s="12" t="str">
        <f t="shared" si="65"/>
        <v>14</v>
      </c>
      <c r="Q438" s="13" t="str">
        <f>VLOOKUP($B438,Deals_Demo!$H:$N,7,0)</f>
        <v>strategy_09_demo</v>
      </c>
      <c r="R438" s="13" t="str">
        <f t="shared" si="66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67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0"/>
        <v>-0.29399999999999998</v>
      </c>
      <c r="Y438" s="13">
        <f t="shared" si="61"/>
        <v>-0.58799999999999997</v>
      </c>
      <c r="Z438" s="13">
        <f t="shared" si="62"/>
        <v>-0.88200000000000001</v>
      </c>
      <c r="AA438" s="13">
        <f t="shared" si="68"/>
        <v>-3</v>
      </c>
    </row>
    <row r="439" spans="1:27" x14ac:dyDescent="0.25">
      <c r="A439" s="40">
        <v>45918.607731481483</v>
      </c>
      <c r="B439" s="41">
        <v>443362001</v>
      </c>
      <c r="C439" s="42" t="s">
        <v>36</v>
      </c>
      <c r="D439" s="42" t="s">
        <v>39</v>
      </c>
      <c r="E439" s="42" t="s">
        <v>38</v>
      </c>
      <c r="F439" s="43">
        <v>3665.83</v>
      </c>
      <c r="G439" s="43">
        <v>3668.23</v>
      </c>
      <c r="H439" s="43">
        <v>3662.73</v>
      </c>
      <c r="I439" s="42" t="s">
        <v>577</v>
      </c>
      <c r="J439" s="43">
        <v>3668.28</v>
      </c>
      <c r="K439" s="43">
        <v>0</v>
      </c>
      <c r="L439" s="43">
        <v>0</v>
      </c>
      <c r="M439" s="44">
        <v>-2.4500000000000002</v>
      </c>
      <c r="N439" s="10" t="str">
        <f t="shared" si="63"/>
        <v>L</v>
      </c>
      <c r="O439" s="11">
        <f t="shared" si="64"/>
        <v>45918</v>
      </c>
      <c r="P439" s="12" t="str">
        <f t="shared" si="65"/>
        <v>14</v>
      </c>
      <c r="Q439" s="13" t="str">
        <f>VLOOKUP($B439,Deals_Demo!$H:$N,7,0)</f>
        <v>strategy_10_demo</v>
      </c>
      <c r="R439" s="13" t="str">
        <f t="shared" si="66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67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0"/>
        <v>-0.24500000000000002</v>
      </c>
      <c r="Y439" s="13">
        <f t="shared" si="61"/>
        <v>-0.49000000000000005</v>
      </c>
      <c r="Z439" s="13">
        <f t="shared" si="62"/>
        <v>-0.73499999999999999</v>
      </c>
      <c r="AA439" s="13">
        <f t="shared" si="68"/>
        <v>-3</v>
      </c>
    </row>
    <row r="440" spans="1:27" x14ac:dyDescent="0.25">
      <c r="A440" s="35">
        <v>45918.607731481483</v>
      </c>
      <c r="B440" s="36">
        <v>443362005</v>
      </c>
      <c r="C440" s="37" t="s">
        <v>36</v>
      </c>
      <c r="D440" s="37" t="s">
        <v>39</v>
      </c>
      <c r="E440" s="37" t="s">
        <v>38</v>
      </c>
      <c r="F440" s="38">
        <v>3665.84</v>
      </c>
      <c r="G440" s="38">
        <v>3668.73</v>
      </c>
      <c r="H440" s="38">
        <v>3662.23</v>
      </c>
      <c r="I440" s="37" t="s">
        <v>576</v>
      </c>
      <c r="J440" s="38">
        <v>3668.78</v>
      </c>
      <c r="K440" s="38">
        <v>0</v>
      </c>
      <c r="L440" s="38">
        <v>0</v>
      </c>
      <c r="M440" s="39">
        <v>-2.94</v>
      </c>
      <c r="N440" s="10" t="str">
        <f t="shared" si="63"/>
        <v>L</v>
      </c>
      <c r="O440" s="11">
        <f t="shared" si="64"/>
        <v>45918</v>
      </c>
      <c r="P440" s="12" t="str">
        <f t="shared" si="65"/>
        <v>14</v>
      </c>
      <c r="Q440" s="13" t="str">
        <f>VLOOKUP($B440,Deals_Demo!$H:$N,7,0)</f>
        <v>strategy_11_demo</v>
      </c>
      <c r="R440" s="13" t="str">
        <f t="shared" si="66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67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0"/>
        <v>-0.29399999999999998</v>
      </c>
      <c r="Y440" s="13">
        <f t="shared" si="61"/>
        <v>-0.58799999999999997</v>
      </c>
      <c r="Z440" s="13">
        <f t="shared" si="62"/>
        <v>-0.88200000000000001</v>
      </c>
      <c r="AA440" s="13">
        <f t="shared" si="68"/>
        <v>-3</v>
      </c>
    </row>
    <row r="441" spans="1:27" x14ac:dyDescent="0.25">
      <c r="A441" s="40">
        <v>45918.617094907408</v>
      </c>
      <c r="B441" s="41">
        <v>443366994</v>
      </c>
      <c r="C441" s="42" t="s">
        <v>36</v>
      </c>
      <c r="D441" s="42" t="s">
        <v>39</v>
      </c>
      <c r="E441" s="42" t="s">
        <v>38</v>
      </c>
      <c r="F441" s="43">
        <v>3666.24</v>
      </c>
      <c r="G441" s="43">
        <v>3669.24</v>
      </c>
      <c r="H441" s="43">
        <v>3664.74</v>
      </c>
      <c r="I441" s="42" t="s">
        <v>708</v>
      </c>
      <c r="J441" s="43">
        <v>3669.24</v>
      </c>
      <c r="K441" s="43">
        <v>0</v>
      </c>
      <c r="L441" s="43">
        <v>0</v>
      </c>
      <c r="M441" s="44">
        <v>-3</v>
      </c>
      <c r="N441" s="10" t="str">
        <f t="shared" ref="N441:N504" si="69">IF(M441&gt;0,"W",IF(M441&lt;0,"L","BE"))</f>
        <v>L</v>
      </c>
      <c r="O441" s="11">
        <f t="shared" ref="O441:O504" si="70">INT(LEFT(A441,10))</f>
        <v>45918</v>
      </c>
      <c r="P441" s="12" t="str">
        <f t="shared" ref="P441:P504" si="71">TEXT(A441,"hh")</f>
        <v>14</v>
      </c>
      <c r="Q441" s="13" t="str">
        <f>VLOOKUP($B441,Deals_Demo!$H:$N,7,0)</f>
        <v>strategy_12_demo</v>
      </c>
      <c r="R441" s="13" t="str">
        <f t="shared" ref="R441:R504" si="72">TEXT(O441,"ddd")</f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ref="U441:U504" si="73">TEXT(T441,"yyyy-mm-dd")</f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0"/>
        <v>-0.30000000000000004</v>
      </c>
      <c r="Y441" s="13">
        <f t="shared" si="61"/>
        <v>-0.60000000000000009</v>
      </c>
      <c r="Z441" s="13">
        <f t="shared" si="62"/>
        <v>-0.89999999999999991</v>
      </c>
      <c r="AA441" s="13">
        <f t="shared" ref="AA441:AA504" si="74">IF(M441&lt;2.9,-3,M441)</f>
        <v>-3</v>
      </c>
    </row>
    <row r="442" spans="1:27" x14ac:dyDescent="0.25">
      <c r="A442" s="35">
        <v>45918.617094907408</v>
      </c>
      <c r="B442" s="36">
        <v>443366996</v>
      </c>
      <c r="C442" s="37" t="s">
        <v>36</v>
      </c>
      <c r="D442" s="37" t="s">
        <v>39</v>
      </c>
      <c r="E442" s="37" t="s">
        <v>38</v>
      </c>
      <c r="F442" s="38">
        <v>3666.24</v>
      </c>
      <c r="G442" s="38">
        <v>3669.24</v>
      </c>
      <c r="H442" s="38">
        <v>3662.74</v>
      </c>
      <c r="I442" s="37" t="s">
        <v>708</v>
      </c>
      <c r="J442" s="38">
        <v>3669.24</v>
      </c>
      <c r="K442" s="38">
        <v>0</v>
      </c>
      <c r="L442" s="38">
        <v>0</v>
      </c>
      <c r="M442" s="39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0"/>
        <v>-0.30000000000000004</v>
      </c>
      <c r="Y442" s="13">
        <f t="shared" si="61"/>
        <v>-0.60000000000000009</v>
      </c>
      <c r="Z442" s="13">
        <f t="shared" si="62"/>
        <v>-0.89999999999999991</v>
      </c>
      <c r="AA442" s="13">
        <f t="shared" si="74"/>
        <v>-3</v>
      </c>
    </row>
    <row r="443" spans="1:27" x14ac:dyDescent="0.25">
      <c r="A443" s="40">
        <v>45918.617094907408</v>
      </c>
      <c r="B443" s="41">
        <v>443366997</v>
      </c>
      <c r="C443" s="42" t="s">
        <v>36</v>
      </c>
      <c r="D443" s="42" t="s">
        <v>39</v>
      </c>
      <c r="E443" s="42" t="s">
        <v>38</v>
      </c>
      <c r="F443" s="43">
        <v>3666.24</v>
      </c>
      <c r="G443" s="43">
        <v>3668.74</v>
      </c>
      <c r="H443" s="43">
        <v>3663.24</v>
      </c>
      <c r="I443" s="42" t="s">
        <v>709</v>
      </c>
      <c r="J443" s="43">
        <v>3668.79</v>
      </c>
      <c r="K443" s="43">
        <v>0</v>
      </c>
      <c r="L443" s="43">
        <v>0</v>
      </c>
      <c r="M443" s="44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0"/>
        <v>-0.255</v>
      </c>
      <c r="Y443" s="13">
        <f t="shared" si="61"/>
        <v>-0.51</v>
      </c>
      <c r="Z443" s="13">
        <f t="shared" si="62"/>
        <v>-0.7649999999999999</v>
      </c>
      <c r="AA443" s="13">
        <f t="shared" si="74"/>
        <v>-3</v>
      </c>
    </row>
    <row r="444" spans="1:27" x14ac:dyDescent="0.25">
      <c r="A444" s="35">
        <v>45918.617106481484</v>
      </c>
      <c r="B444" s="36">
        <v>443366998</v>
      </c>
      <c r="C444" s="37" t="s">
        <v>36</v>
      </c>
      <c r="D444" s="37" t="s">
        <v>39</v>
      </c>
      <c r="E444" s="37" t="s">
        <v>38</v>
      </c>
      <c r="F444" s="38">
        <v>3666.24</v>
      </c>
      <c r="G444" s="38">
        <v>3669.24</v>
      </c>
      <c r="H444" s="38">
        <v>3663.24</v>
      </c>
      <c r="I444" s="37" t="s">
        <v>708</v>
      </c>
      <c r="J444" s="38">
        <v>3669.24</v>
      </c>
      <c r="K444" s="38">
        <v>0</v>
      </c>
      <c r="L444" s="38">
        <v>0</v>
      </c>
      <c r="M444" s="39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0"/>
        <v>-0.30000000000000004</v>
      </c>
      <c r="Y444" s="13">
        <f t="shared" si="61"/>
        <v>-0.60000000000000009</v>
      </c>
      <c r="Z444" s="13">
        <f t="shared" si="62"/>
        <v>-0.89999999999999991</v>
      </c>
      <c r="AA444" s="13">
        <f t="shared" si="74"/>
        <v>-3</v>
      </c>
    </row>
    <row r="445" spans="1:27" x14ac:dyDescent="0.25">
      <c r="A445" s="40">
        <v>45918.625069444446</v>
      </c>
      <c r="B445" s="41">
        <v>443370365</v>
      </c>
      <c r="C445" s="42" t="s">
        <v>36</v>
      </c>
      <c r="D445" s="42" t="s">
        <v>37</v>
      </c>
      <c r="E445" s="42" t="s">
        <v>38</v>
      </c>
      <c r="F445" s="43">
        <v>3668.36</v>
      </c>
      <c r="G445" s="43">
        <v>3669.49</v>
      </c>
      <c r="H445" s="43">
        <v>3672.86</v>
      </c>
      <c r="I445" s="42" t="s">
        <v>710</v>
      </c>
      <c r="J445" s="43">
        <v>3669.11</v>
      </c>
      <c r="K445" s="43">
        <v>0</v>
      </c>
      <c r="L445" s="43">
        <v>0</v>
      </c>
      <c r="M445" s="44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0"/>
        <v>7.5000000000000011E-2</v>
      </c>
      <c r="Y445" s="13">
        <f t="shared" si="61"/>
        <v>0.15000000000000002</v>
      </c>
      <c r="Z445" s="13">
        <f t="shared" si="62"/>
        <v>0.22499999999999998</v>
      </c>
      <c r="AA445" s="13">
        <f t="shared" si="74"/>
        <v>-3</v>
      </c>
    </row>
    <row r="446" spans="1:27" x14ac:dyDescent="0.25">
      <c r="A446" s="35">
        <v>45918.626354166663</v>
      </c>
      <c r="B446" s="36">
        <v>443370836</v>
      </c>
      <c r="C446" s="37" t="s">
        <v>36</v>
      </c>
      <c r="D446" s="37" t="s">
        <v>37</v>
      </c>
      <c r="E446" s="37" t="s">
        <v>38</v>
      </c>
      <c r="F446" s="38">
        <v>3667.67</v>
      </c>
      <c r="G446" s="38">
        <v>3669.72</v>
      </c>
      <c r="H446" s="38">
        <v>3673.7</v>
      </c>
      <c r="I446" s="37" t="s">
        <v>710</v>
      </c>
      <c r="J446" s="38">
        <v>3669.11</v>
      </c>
      <c r="K446" s="38">
        <v>0</v>
      </c>
      <c r="L446" s="38">
        <v>0</v>
      </c>
      <c r="M446" s="39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0"/>
        <v>0.14399999999999999</v>
      </c>
      <c r="Y446" s="13">
        <f t="shared" si="61"/>
        <v>0.28799999999999998</v>
      </c>
      <c r="Z446" s="13">
        <f t="shared" si="62"/>
        <v>0.432</v>
      </c>
      <c r="AA446" s="13">
        <f t="shared" si="74"/>
        <v>-3</v>
      </c>
    </row>
    <row r="447" spans="1:27" x14ac:dyDescent="0.25">
      <c r="A447" s="40">
        <v>45918.626354166663</v>
      </c>
      <c r="B447" s="41">
        <v>443370838</v>
      </c>
      <c r="C447" s="42" t="s">
        <v>36</v>
      </c>
      <c r="D447" s="42" t="s">
        <v>37</v>
      </c>
      <c r="E447" s="42" t="s">
        <v>38</v>
      </c>
      <c r="F447" s="43">
        <v>3667.62</v>
      </c>
      <c r="G447" s="43">
        <v>3669.72</v>
      </c>
      <c r="H447" s="42"/>
      <c r="I447" s="42" t="s">
        <v>710</v>
      </c>
      <c r="J447" s="43">
        <v>3669.11</v>
      </c>
      <c r="K447" s="43">
        <v>0</v>
      </c>
      <c r="L447" s="43">
        <v>0</v>
      </c>
      <c r="M447" s="44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0"/>
        <v>0.14899999999999999</v>
      </c>
      <c r="Y447" s="13">
        <f t="shared" si="61"/>
        <v>0.29799999999999999</v>
      </c>
      <c r="Z447" s="13">
        <f t="shared" si="62"/>
        <v>0.44700000000000001</v>
      </c>
      <c r="AA447" s="13">
        <f t="shared" si="74"/>
        <v>-3</v>
      </c>
    </row>
    <row r="448" spans="1:27" x14ac:dyDescent="0.25">
      <c r="A448" s="35">
        <v>45918.643368055556</v>
      </c>
      <c r="B448" s="36">
        <v>443379656</v>
      </c>
      <c r="C448" s="37" t="s">
        <v>36</v>
      </c>
      <c r="D448" s="37" t="s">
        <v>37</v>
      </c>
      <c r="E448" s="37" t="s">
        <v>38</v>
      </c>
      <c r="F448" s="38">
        <v>3670.86</v>
      </c>
      <c r="G448" s="38">
        <v>3669.36</v>
      </c>
      <c r="H448" s="38">
        <v>3672.36</v>
      </c>
      <c r="I448" s="37" t="s">
        <v>710</v>
      </c>
      <c r="J448" s="38">
        <v>3669.11</v>
      </c>
      <c r="K448" s="38">
        <v>0</v>
      </c>
      <c r="L448" s="38">
        <v>0</v>
      </c>
      <c r="M448" s="39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0"/>
        <v>-0.17500000000000002</v>
      </c>
      <c r="Y448" s="13">
        <f t="shared" si="61"/>
        <v>-0.35000000000000003</v>
      </c>
      <c r="Z448" s="13">
        <f t="shared" si="62"/>
        <v>-0.52500000000000002</v>
      </c>
      <c r="AA448" s="13">
        <f t="shared" si="74"/>
        <v>-3</v>
      </c>
    </row>
    <row r="449" spans="1:27" x14ac:dyDescent="0.25">
      <c r="A449" s="40">
        <v>45918.643368055556</v>
      </c>
      <c r="B449" s="41">
        <v>443379657</v>
      </c>
      <c r="C449" s="42" t="s">
        <v>36</v>
      </c>
      <c r="D449" s="42" t="s">
        <v>37</v>
      </c>
      <c r="E449" s="42" t="s">
        <v>38</v>
      </c>
      <c r="F449" s="43">
        <v>3670.86</v>
      </c>
      <c r="G449" s="43">
        <v>3667.86</v>
      </c>
      <c r="H449" s="43">
        <v>3672.36</v>
      </c>
      <c r="I449" s="42" t="s">
        <v>711</v>
      </c>
      <c r="J449" s="43">
        <v>3667.69</v>
      </c>
      <c r="K449" s="43">
        <v>0</v>
      </c>
      <c r="L449" s="43">
        <v>0</v>
      </c>
      <c r="M449" s="44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0"/>
        <v>-0.317</v>
      </c>
      <c r="Y449" s="13">
        <f t="shared" si="61"/>
        <v>-0.63400000000000001</v>
      </c>
      <c r="Z449" s="13">
        <f t="shared" si="62"/>
        <v>-0.95099999999999996</v>
      </c>
      <c r="AA449" s="13">
        <f t="shared" si="74"/>
        <v>-3</v>
      </c>
    </row>
    <row r="450" spans="1:27" x14ac:dyDescent="0.25">
      <c r="A450" s="35">
        <v>45918.643368055556</v>
      </c>
      <c r="B450" s="36">
        <v>443379659</v>
      </c>
      <c r="C450" s="37" t="s">
        <v>36</v>
      </c>
      <c r="D450" s="37" t="s">
        <v>37</v>
      </c>
      <c r="E450" s="37" t="s">
        <v>38</v>
      </c>
      <c r="F450" s="38">
        <v>3670.86</v>
      </c>
      <c r="G450" s="38">
        <v>3667.86</v>
      </c>
      <c r="H450" s="38">
        <v>3672.36</v>
      </c>
      <c r="I450" s="37" t="s">
        <v>711</v>
      </c>
      <c r="J450" s="38">
        <v>3667.69</v>
      </c>
      <c r="K450" s="38">
        <v>0</v>
      </c>
      <c r="L450" s="38">
        <v>0</v>
      </c>
      <c r="M450" s="39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0"/>
        <v>-0.317</v>
      </c>
      <c r="Y450" s="13">
        <f t="shared" si="61"/>
        <v>-0.63400000000000001</v>
      </c>
      <c r="Z450" s="13">
        <f t="shared" si="62"/>
        <v>-0.95099999999999996</v>
      </c>
      <c r="AA450" s="13">
        <f t="shared" si="74"/>
        <v>-3</v>
      </c>
    </row>
    <row r="451" spans="1:27" x14ac:dyDescent="0.25">
      <c r="A451" s="40">
        <v>45918.643379629626</v>
      </c>
      <c r="B451" s="41">
        <v>443379661</v>
      </c>
      <c r="C451" s="42" t="s">
        <v>36</v>
      </c>
      <c r="D451" s="42" t="s">
        <v>37</v>
      </c>
      <c r="E451" s="42" t="s">
        <v>38</v>
      </c>
      <c r="F451" s="43">
        <v>3670.86</v>
      </c>
      <c r="G451" s="43">
        <v>3667.86</v>
      </c>
      <c r="H451" s="43">
        <v>3673.86</v>
      </c>
      <c r="I451" s="42" t="s">
        <v>711</v>
      </c>
      <c r="J451" s="43">
        <v>3667.69</v>
      </c>
      <c r="K451" s="43">
        <v>0</v>
      </c>
      <c r="L451" s="43">
        <v>0</v>
      </c>
      <c r="M451" s="44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35">
        <v>45918.643379629626</v>
      </c>
      <c r="B452" s="36">
        <v>443379662</v>
      </c>
      <c r="C452" s="37" t="s">
        <v>36</v>
      </c>
      <c r="D452" s="37" t="s">
        <v>37</v>
      </c>
      <c r="E452" s="37" t="s">
        <v>38</v>
      </c>
      <c r="F452" s="38">
        <v>3670.81</v>
      </c>
      <c r="G452" s="38">
        <v>3668.36</v>
      </c>
      <c r="H452" s="38">
        <v>3673.86</v>
      </c>
      <c r="I452" s="37" t="s">
        <v>712</v>
      </c>
      <c r="J452" s="38">
        <v>3668.15</v>
      </c>
      <c r="K452" s="38">
        <v>0</v>
      </c>
      <c r="L452" s="38">
        <v>0</v>
      </c>
      <c r="M452" s="39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40">
        <v>45918.643379629626</v>
      </c>
      <c r="B453" s="41">
        <v>443379666</v>
      </c>
      <c r="C453" s="42" t="s">
        <v>36</v>
      </c>
      <c r="D453" s="42" t="s">
        <v>37</v>
      </c>
      <c r="E453" s="42" t="s">
        <v>38</v>
      </c>
      <c r="F453" s="43">
        <v>3670.81</v>
      </c>
      <c r="G453" s="43">
        <v>3667.86</v>
      </c>
      <c r="H453" s="43">
        <v>3674.36</v>
      </c>
      <c r="I453" s="42" t="s">
        <v>711</v>
      </c>
      <c r="J453" s="43">
        <v>3667.69</v>
      </c>
      <c r="K453" s="43">
        <v>0</v>
      </c>
      <c r="L453" s="43">
        <v>0</v>
      </c>
      <c r="M453" s="44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35">
        <v>45918.648576388892</v>
      </c>
      <c r="B454" s="36">
        <v>443385332</v>
      </c>
      <c r="C454" s="37" t="s">
        <v>36</v>
      </c>
      <c r="D454" s="37" t="s">
        <v>37</v>
      </c>
      <c r="E454" s="37" t="s">
        <v>38</v>
      </c>
      <c r="F454" s="38">
        <v>3668.94</v>
      </c>
      <c r="G454" s="38">
        <v>3665.94</v>
      </c>
      <c r="H454" s="38">
        <v>3673.44</v>
      </c>
      <c r="I454" s="37" t="s">
        <v>713</v>
      </c>
      <c r="J454" s="38">
        <v>3665.68</v>
      </c>
      <c r="K454" s="38">
        <v>0</v>
      </c>
      <c r="L454" s="38">
        <v>0</v>
      </c>
      <c r="M454" s="39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40">
        <v>45918.652743055558</v>
      </c>
      <c r="B455" s="41">
        <v>443390657</v>
      </c>
      <c r="C455" s="42" t="s">
        <v>36</v>
      </c>
      <c r="D455" s="42" t="s">
        <v>37</v>
      </c>
      <c r="E455" s="42" t="s">
        <v>38</v>
      </c>
      <c r="F455" s="43">
        <v>3669.23</v>
      </c>
      <c r="G455" s="43">
        <v>3666.22</v>
      </c>
      <c r="H455" s="43">
        <v>3673.72</v>
      </c>
      <c r="I455" s="42" t="s">
        <v>714</v>
      </c>
      <c r="J455" s="43">
        <v>3665.86</v>
      </c>
      <c r="K455" s="43">
        <v>0</v>
      </c>
      <c r="L455" s="43">
        <v>0</v>
      </c>
      <c r="M455" s="44">
        <v>-3.37</v>
      </c>
      <c r="N455" s="10" t="str">
        <f t="shared" si="69"/>
        <v>L</v>
      </c>
      <c r="O455" s="11">
        <f t="shared" si="70"/>
        <v>45918</v>
      </c>
      <c r="P455" s="12" t="str">
        <f t="shared" si="71"/>
        <v>15</v>
      </c>
      <c r="Q455" s="13" t="str">
        <f>VLOOKUP($B455,Deals_Demo!$H:$N,7,0)</f>
        <v>DEMO_strategy_03</v>
      </c>
      <c r="R455" s="13" t="str">
        <f t="shared" si="72"/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si="73"/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si="74"/>
        <v>-3</v>
      </c>
    </row>
    <row r="456" spans="1:27" x14ac:dyDescent="0.25">
      <c r="A456" s="35">
        <v>45918.652743055558</v>
      </c>
      <c r="B456" s="36">
        <v>443390659</v>
      </c>
      <c r="C456" s="37" t="s">
        <v>36</v>
      </c>
      <c r="D456" s="37" t="s">
        <v>37</v>
      </c>
      <c r="E456" s="37" t="s">
        <v>38</v>
      </c>
      <c r="F456" s="38">
        <v>3669.22</v>
      </c>
      <c r="G456" s="38">
        <v>3666.23</v>
      </c>
      <c r="H456" s="37"/>
      <c r="I456" s="37" t="s">
        <v>714</v>
      </c>
      <c r="J456" s="38">
        <v>3665.86</v>
      </c>
      <c r="K456" s="38">
        <v>0</v>
      </c>
      <c r="L456" s="38">
        <v>0</v>
      </c>
      <c r="M456" s="39">
        <v>-3.36</v>
      </c>
      <c r="N456" s="10" t="str">
        <f t="shared" si="69"/>
        <v>L</v>
      </c>
      <c r="O456" s="11">
        <f t="shared" si="70"/>
        <v>45918</v>
      </c>
      <c r="P456" s="12" t="str">
        <f t="shared" si="71"/>
        <v>15</v>
      </c>
      <c r="Q456" s="13" t="str">
        <f>VLOOKUP($B456,Deals_Demo!$H:$N,7,0)</f>
        <v>DEMO_strategy_01</v>
      </c>
      <c r="R456" s="13" t="str">
        <f t="shared" si="72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73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74"/>
        <v>-3</v>
      </c>
    </row>
    <row r="457" spans="1:27" x14ac:dyDescent="0.25">
      <c r="A457" s="40">
        <v>45918.652743055558</v>
      </c>
      <c r="B457" s="41">
        <v>443390678</v>
      </c>
      <c r="C457" s="42" t="s">
        <v>36</v>
      </c>
      <c r="D457" s="42" t="s">
        <v>37</v>
      </c>
      <c r="E457" s="42" t="s">
        <v>38</v>
      </c>
      <c r="F457" s="43">
        <v>3669.22</v>
      </c>
      <c r="G457" s="43">
        <v>3666.22</v>
      </c>
      <c r="H457" s="43">
        <v>3675.22</v>
      </c>
      <c r="I457" s="42" t="s">
        <v>714</v>
      </c>
      <c r="J457" s="43">
        <v>3665.86</v>
      </c>
      <c r="K457" s="43">
        <v>0</v>
      </c>
      <c r="L457" s="43">
        <v>0</v>
      </c>
      <c r="M457" s="44">
        <v>-3.36</v>
      </c>
      <c r="N457" s="10" t="str">
        <f t="shared" si="69"/>
        <v>L</v>
      </c>
      <c r="O457" s="11">
        <f t="shared" si="70"/>
        <v>45918</v>
      </c>
      <c r="P457" s="12" t="str">
        <f t="shared" si="71"/>
        <v>15</v>
      </c>
      <c r="Q457" s="13" t="str">
        <f>VLOOKUP($B457,Deals_Demo!$H:$N,7,0)</f>
        <v>DEMO_strategy_02</v>
      </c>
      <c r="R457" s="13" t="str">
        <f t="shared" si="72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73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74"/>
        <v>-3</v>
      </c>
    </row>
    <row r="458" spans="1:27" x14ac:dyDescent="0.25">
      <c r="A458" s="35">
        <v>45918.669525462959</v>
      </c>
      <c r="B458" s="36">
        <v>443408014</v>
      </c>
      <c r="C458" s="37" t="s">
        <v>36</v>
      </c>
      <c r="D458" s="37" t="s">
        <v>39</v>
      </c>
      <c r="E458" s="37" t="s">
        <v>38</v>
      </c>
      <c r="F458" s="38">
        <v>3662.75</v>
      </c>
      <c r="G458" s="38">
        <v>3662.37</v>
      </c>
      <c r="H458" s="38">
        <v>3659.54</v>
      </c>
      <c r="I458" s="37" t="s">
        <v>715</v>
      </c>
      <c r="J458" s="38">
        <v>3659.51</v>
      </c>
      <c r="K458" s="38">
        <v>0</v>
      </c>
      <c r="L458" s="38">
        <v>0</v>
      </c>
      <c r="M458" s="39">
        <v>3.24</v>
      </c>
      <c r="N458" s="10" t="str">
        <f t="shared" si="69"/>
        <v>W</v>
      </c>
      <c r="O458" s="11">
        <f t="shared" si="70"/>
        <v>45918</v>
      </c>
      <c r="P458" s="12" t="str">
        <f t="shared" si="71"/>
        <v>16</v>
      </c>
      <c r="Q458" s="13" t="str">
        <f>VLOOKUP($B458,Deals_Demo!$H:$N,7,0)</f>
        <v>strategy_10_demo</v>
      </c>
      <c r="R458" s="13" t="str">
        <f t="shared" si="72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73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74"/>
        <v>3.24</v>
      </c>
    </row>
    <row r="459" spans="1:27" x14ac:dyDescent="0.25">
      <c r="A459" s="40">
        <v>45918.669525462959</v>
      </c>
      <c r="B459" s="41">
        <v>443408019</v>
      </c>
      <c r="C459" s="42" t="s">
        <v>36</v>
      </c>
      <c r="D459" s="42" t="s">
        <v>39</v>
      </c>
      <c r="E459" s="42" t="s">
        <v>38</v>
      </c>
      <c r="F459" s="43">
        <v>3662.76</v>
      </c>
      <c r="G459" s="43">
        <v>3665.75</v>
      </c>
      <c r="H459" s="43">
        <v>3661.25</v>
      </c>
      <c r="I459" s="42" t="s">
        <v>716</v>
      </c>
      <c r="J459" s="43">
        <v>3661.02</v>
      </c>
      <c r="K459" s="43">
        <v>0</v>
      </c>
      <c r="L459" s="43">
        <v>0</v>
      </c>
      <c r="M459" s="44">
        <v>1.74</v>
      </c>
      <c r="N459" s="10" t="str">
        <f t="shared" si="69"/>
        <v>W</v>
      </c>
      <c r="O459" s="11">
        <f t="shared" si="70"/>
        <v>45918</v>
      </c>
      <c r="P459" s="12" t="str">
        <f t="shared" si="71"/>
        <v>16</v>
      </c>
      <c r="Q459" s="13" t="str">
        <f>VLOOKUP($B459,Deals_Demo!$H:$N,7,0)</f>
        <v>strategy_14_demo</v>
      </c>
      <c r="R459" s="13" t="str">
        <f t="shared" si="72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73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74"/>
        <v>-3</v>
      </c>
    </row>
    <row r="460" spans="1:27" x14ac:dyDescent="0.25">
      <c r="A460" s="35">
        <v>45918.669525462959</v>
      </c>
      <c r="B460" s="36">
        <v>443408022</v>
      </c>
      <c r="C460" s="37" t="s">
        <v>36</v>
      </c>
      <c r="D460" s="37" t="s">
        <v>39</v>
      </c>
      <c r="E460" s="37" t="s">
        <v>38</v>
      </c>
      <c r="F460" s="38">
        <v>3662.86</v>
      </c>
      <c r="G460" s="38">
        <v>3665.75</v>
      </c>
      <c r="H460" s="38">
        <v>3661.25</v>
      </c>
      <c r="I460" s="37" t="s">
        <v>716</v>
      </c>
      <c r="J460" s="38">
        <v>3661.02</v>
      </c>
      <c r="K460" s="38">
        <v>0</v>
      </c>
      <c r="L460" s="38">
        <v>0</v>
      </c>
      <c r="M460" s="39">
        <v>1.84</v>
      </c>
      <c r="N460" s="10" t="str">
        <f t="shared" si="69"/>
        <v>W</v>
      </c>
      <c r="O460" s="11">
        <f t="shared" si="70"/>
        <v>45918</v>
      </c>
      <c r="P460" s="12" t="str">
        <f t="shared" si="71"/>
        <v>16</v>
      </c>
      <c r="Q460" s="13" t="str">
        <f>VLOOKUP($B460,Deals_Demo!$H:$N,7,0)</f>
        <v>strategy_12_demo</v>
      </c>
      <c r="R460" s="13" t="str">
        <f t="shared" si="72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73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74"/>
        <v>-3</v>
      </c>
    </row>
    <row r="461" spans="1:27" x14ac:dyDescent="0.25">
      <c r="A461" s="40">
        <v>45918.669525462959</v>
      </c>
      <c r="B461" s="41">
        <v>443408028</v>
      </c>
      <c r="C461" s="42" t="s">
        <v>36</v>
      </c>
      <c r="D461" s="42" t="s">
        <v>39</v>
      </c>
      <c r="E461" s="42" t="s">
        <v>38</v>
      </c>
      <c r="F461" s="43">
        <v>3662.76</v>
      </c>
      <c r="G461" s="43">
        <v>3662.36</v>
      </c>
      <c r="H461" s="43">
        <v>3659.25</v>
      </c>
      <c r="I461" s="42" t="s">
        <v>717</v>
      </c>
      <c r="J461" s="43">
        <v>3659.25</v>
      </c>
      <c r="K461" s="43">
        <v>0</v>
      </c>
      <c r="L461" s="43">
        <v>0</v>
      </c>
      <c r="M461" s="44">
        <v>3.51</v>
      </c>
      <c r="N461" s="10" t="str">
        <f t="shared" si="69"/>
        <v>W</v>
      </c>
      <c r="O461" s="11">
        <f t="shared" si="70"/>
        <v>45918</v>
      </c>
      <c r="P461" s="12" t="str">
        <f t="shared" si="71"/>
        <v>16</v>
      </c>
      <c r="Q461" s="13" t="str">
        <f>VLOOKUP($B461,Deals_Demo!$H:$N,7,0)</f>
        <v>strategy_11_demo</v>
      </c>
      <c r="R461" s="13" t="str">
        <f t="shared" si="72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73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74"/>
        <v>3.51</v>
      </c>
    </row>
    <row r="462" spans="1:27" x14ac:dyDescent="0.25">
      <c r="A462" s="35">
        <v>45918.669537037036</v>
      </c>
      <c r="B462" s="36">
        <v>443408034</v>
      </c>
      <c r="C462" s="37" t="s">
        <v>36</v>
      </c>
      <c r="D462" s="37" t="s">
        <v>39</v>
      </c>
      <c r="E462" s="37" t="s">
        <v>38</v>
      </c>
      <c r="F462" s="38">
        <v>3662.76</v>
      </c>
      <c r="G462" s="38">
        <v>3664.25</v>
      </c>
      <c r="H462" s="38">
        <v>3661.25</v>
      </c>
      <c r="I462" s="37" t="s">
        <v>718</v>
      </c>
      <c r="J462" s="38">
        <v>3664.33</v>
      </c>
      <c r="K462" s="38">
        <v>0</v>
      </c>
      <c r="L462" s="38">
        <v>0</v>
      </c>
      <c r="M462" s="39">
        <v>-1.57</v>
      </c>
      <c r="N462" s="10" t="str">
        <f t="shared" si="69"/>
        <v>L</v>
      </c>
      <c r="O462" s="11">
        <f t="shared" si="70"/>
        <v>45918</v>
      </c>
      <c r="P462" s="12" t="str">
        <f t="shared" si="71"/>
        <v>16</v>
      </c>
      <c r="Q462" s="13" t="str">
        <f>VLOOKUP($B462,Deals_Demo!$H:$N,7,0)</f>
        <v>strategy_15_demo</v>
      </c>
      <c r="R462" s="13" t="str">
        <f t="shared" si="72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73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74"/>
        <v>-3</v>
      </c>
    </row>
    <row r="463" spans="1:27" x14ac:dyDescent="0.25">
      <c r="A463" s="40">
        <v>45918.669537037036</v>
      </c>
      <c r="B463" s="41">
        <v>443408037</v>
      </c>
      <c r="C463" s="42" t="s">
        <v>36</v>
      </c>
      <c r="D463" s="42" t="s">
        <v>39</v>
      </c>
      <c r="E463" s="42" t="s">
        <v>38</v>
      </c>
      <c r="F463" s="43">
        <v>3662.76</v>
      </c>
      <c r="G463" s="43">
        <v>3662.64</v>
      </c>
      <c r="H463" s="43">
        <v>3659.75</v>
      </c>
      <c r="I463" s="42" t="s">
        <v>719</v>
      </c>
      <c r="J463" s="43">
        <v>3659.72</v>
      </c>
      <c r="K463" s="43">
        <v>0</v>
      </c>
      <c r="L463" s="43">
        <v>0</v>
      </c>
      <c r="M463" s="44">
        <v>3.04</v>
      </c>
      <c r="N463" s="10" t="str">
        <f t="shared" si="69"/>
        <v>W</v>
      </c>
      <c r="O463" s="11">
        <f t="shared" si="70"/>
        <v>45918</v>
      </c>
      <c r="P463" s="12" t="str">
        <f t="shared" si="71"/>
        <v>16</v>
      </c>
      <c r="Q463" s="13" t="str">
        <f>VLOOKUP($B463,Deals_Demo!$H:$N,7,0)</f>
        <v>strategy_09_demo</v>
      </c>
      <c r="R463" s="13" t="str">
        <f t="shared" si="72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73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74"/>
        <v>3.04</v>
      </c>
    </row>
    <row r="464" spans="1:27" x14ac:dyDescent="0.25">
      <c r="A464" s="35">
        <v>45918.669537037036</v>
      </c>
      <c r="B464" s="36">
        <v>443408042</v>
      </c>
      <c r="C464" s="37" t="s">
        <v>36</v>
      </c>
      <c r="D464" s="37" t="s">
        <v>39</v>
      </c>
      <c r="E464" s="37" t="s">
        <v>38</v>
      </c>
      <c r="F464" s="38">
        <v>3662.75</v>
      </c>
      <c r="G464" s="38">
        <v>3662.34</v>
      </c>
      <c r="H464" s="38">
        <v>3659.25</v>
      </c>
      <c r="I464" s="37" t="s">
        <v>717</v>
      </c>
      <c r="J464" s="38">
        <v>3659.25</v>
      </c>
      <c r="K464" s="38">
        <v>0</v>
      </c>
      <c r="L464" s="38">
        <v>0</v>
      </c>
      <c r="M464" s="39">
        <v>3.5</v>
      </c>
      <c r="N464" s="10" t="str">
        <f t="shared" si="69"/>
        <v>W</v>
      </c>
      <c r="O464" s="11">
        <f t="shared" si="70"/>
        <v>45918</v>
      </c>
      <c r="P464" s="12" t="str">
        <f t="shared" si="71"/>
        <v>16</v>
      </c>
      <c r="Q464" s="13" t="str">
        <f>VLOOKUP($B464,Deals_Demo!$H:$N,7,0)</f>
        <v>strategy_16_demo</v>
      </c>
      <c r="R464" s="13" t="str">
        <f t="shared" si="72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73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74"/>
        <v>3.5</v>
      </c>
    </row>
    <row r="465" spans="1:27" x14ac:dyDescent="0.25">
      <c r="A465" s="40">
        <v>45918.669988425929</v>
      </c>
      <c r="B465" s="41">
        <v>443408730</v>
      </c>
      <c r="C465" s="42" t="s">
        <v>36</v>
      </c>
      <c r="D465" s="42" t="s">
        <v>39</v>
      </c>
      <c r="E465" s="42" t="s">
        <v>38</v>
      </c>
      <c r="F465" s="43">
        <v>3662.63</v>
      </c>
      <c r="G465" s="43">
        <v>3664.1</v>
      </c>
      <c r="H465" s="43">
        <v>3661.1</v>
      </c>
      <c r="I465" s="42" t="s">
        <v>716</v>
      </c>
      <c r="J465" s="43">
        <v>3661.02</v>
      </c>
      <c r="K465" s="43">
        <v>0</v>
      </c>
      <c r="L465" s="43">
        <v>0</v>
      </c>
      <c r="M465" s="44">
        <v>1.61</v>
      </c>
      <c r="N465" s="10" t="str">
        <f t="shared" si="69"/>
        <v>W</v>
      </c>
      <c r="O465" s="11">
        <f t="shared" si="70"/>
        <v>45918</v>
      </c>
      <c r="P465" s="12" t="str">
        <f t="shared" si="71"/>
        <v>16</v>
      </c>
      <c r="Q465" s="13" t="str">
        <f>VLOOKUP($B465,Deals_Demo!$H:$N,7,0)</f>
        <v>strategy_15_demo</v>
      </c>
      <c r="R465" s="13" t="str">
        <f t="shared" si="72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73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74"/>
        <v>-3</v>
      </c>
    </row>
    <row r="466" spans="1:27" x14ac:dyDescent="0.25">
      <c r="A466" s="35">
        <v>45918.674502314818</v>
      </c>
      <c r="B466" s="36">
        <v>443416002</v>
      </c>
      <c r="C466" s="37" t="s">
        <v>36</v>
      </c>
      <c r="D466" s="37" t="s">
        <v>39</v>
      </c>
      <c r="E466" s="37" t="s">
        <v>38</v>
      </c>
      <c r="F466" s="38">
        <v>3658.52</v>
      </c>
      <c r="G466" s="38">
        <v>3658.07</v>
      </c>
      <c r="H466" s="38">
        <v>3655.55</v>
      </c>
      <c r="I466" s="37" t="s">
        <v>720</v>
      </c>
      <c r="J466" s="38">
        <v>3658.08</v>
      </c>
      <c r="K466" s="38">
        <v>0</v>
      </c>
      <c r="L466" s="38">
        <v>0</v>
      </c>
      <c r="M466" s="39">
        <v>0.44</v>
      </c>
      <c r="N466" s="10" t="str">
        <f t="shared" si="69"/>
        <v>W</v>
      </c>
      <c r="O466" s="11">
        <f t="shared" si="70"/>
        <v>45918</v>
      </c>
      <c r="P466" s="12" t="str">
        <f t="shared" si="71"/>
        <v>16</v>
      </c>
      <c r="Q466" s="13" t="str">
        <f>VLOOKUP($B466,Deals_Demo!$H:$N,7,0)</f>
        <v>strategy_10_demo</v>
      </c>
      <c r="R466" s="13" t="str">
        <f t="shared" si="72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73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74"/>
        <v>-3</v>
      </c>
    </row>
    <row r="467" spans="1:27" x14ac:dyDescent="0.25">
      <c r="A467" s="40">
        <v>45918.674502314818</v>
      </c>
      <c r="B467" s="41">
        <v>443416004</v>
      </c>
      <c r="C467" s="42" t="s">
        <v>36</v>
      </c>
      <c r="D467" s="42" t="s">
        <v>39</v>
      </c>
      <c r="E467" s="42" t="s">
        <v>38</v>
      </c>
      <c r="F467" s="43">
        <v>3658.52</v>
      </c>
      <c r="G467" s="43">
        <v>3658.07</v>
      </c>
      <c r="H467" s="43">
        <v>3655.02</v>
      </c>
      <c r="I467" s="42" t="s">
        <v>720</v>
      </c>
      <c r="J467" s="43">
        <v>3658.08</v>
      </c>
      <c r="K467" s="43">
        <v>0</v>
      </c>
      <c r="L467" s="43">
        <v>0</v>
      </c>
      <c r="M467" s="44">
        <v>0.44</v>
      </c>
      <c r="N467" s="10" t="str">
        <f t="shared" si="69"/>
        <v>W</v>
      </c>
      <c r="O467" s="11">
        <f t="shared" si="70"/>
        <v>45918</v>
      </c>
      <c r="P467" s="12" t="str">
        <f t="shared" si="71"/>
        <v>16</v>
      </c>
      <c r="Q467" s="13" t="str">
        <f>VLOOKUP($B467,Deals_Demo!$H:$N,7,0)</f>
        <v>strategy_11_demo</v>
      </c>
      <c r="R467" s="13" t="str">
        <f t="shared" si="72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73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74"/>
        <v>-3</v>
      </c>
    </row>
    <row r="468" spans="1:27" x14ac:dyDescent="0.25">
      <c r="A468" s="35">
        <v>45918.674502314818</v>
      </c>
      <c r="B468" s="36">
        <v>443416005</v>
      </c>
      <c r="C468" s="37" t="s">
        <v>36</v>
      </c>
      <c r="D468" s="37" t="s">
        <v>39</v>
      </c>
      <c r="E468" s="37" t="s">
        <v>38</v>
      </c>
      <c r="F468" s="38">
        <v>3658.6</v>
      </c>
      <c r="G468" s="38">
        <v>3660.02</v>
      </c>
      <c r="H468" s="38">
        <v>3657.02</v>
      </c>
      <c r="I468" s="37" t="s">
        <v>721</v>
      </c>
      <c r="J468" s="38">
        <v>3657.01</v>
      </c>
      <c r="K468" s="38">
        <v>0</v>
      </c>
      <c r="L468" s="38">
        <v>0</v>
      </c>
      <c r="M468" s="39">
        <v>1.59</v>
      </c>
      <c r="N468" s="10" t="str">
        <f t="shared" si="69"/>
        <v>W</v>
      </c>
      <c r="O468" s="11">
        <f t="shared" si="70"/>
        <v>45918</v>
      </c>
      <c r="P468" s="12" t="str">
        <f t="shared" si="71"/>
        <v>16</v>
      </c>
      <c r="Q468" s="13" t="str">
        <f>VLOOKUP($B468,Deals_Demo!$H:$N,7,0)</f>
        <v>strategy_15_demo</v>
      </c>
      <c r="R468" s="13" t="str">
        <f t="shared" si="72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73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74"/>
        <v>-3</v>
      </c>
    </row>
    <row r="469" spans="1:27" x14ac:dyDescent="0.25">
      <c r="A469" s="40">
        <v>45918.674502314818</v>
      </c>
      <c r="B469" s="41">
        <v>443416007</v>
      </c>
      <c r="C469" s="42" t="s">
        <v>36</v>
      </c>
      <c r="D469" s="42" t="s">
        <v>39</v>
      </c>
      <c r="E469" s="42" t="s">
        <v>38</v>
      </c>
      <c r="F469" s="43">
        <v>3658.59</v>
      </c>
      <c r="G469" s="43">
        <v>3658.09</v>
      </c>
      <c r="H469" s="43">
        <v>3655.52</v>
      </c>
      <c r="I469" s="42" t="s">
        <v>722</v>
      </c>
      <c r="J469" s="43">
        <v>3658.11</v>
      </c>
      <c r="K469" s="43">
        <v>0</v>
      </c>
      <c r="L469" s="43">
        <v>0</v>
      </c>
      <c r="M469" s="44">
        <v>0.48</v>
      </c>
      <c r="N469" s="10" t="str">
        <f t="shared" si="69"/>
        <v>W</v>
      </c>
      <c r="O469" s="11">
        <f t="shared" si="70"/>
        <v>45918</v>
      </c>
      <c r="P469" s="12" t="str">
        <f t="shared" si="71"/>
        <v>16</v>
      </c>
      <c r="Q469" s="13" t="str">
        <f>VLOOKUP($B469,Deals_Demo!$H:$N,7,0)</f>
        <v>strategy_09_demo</v>
      </c>
      <c r="R469" s="13" t="str">
        <f t="shared" si="72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73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74"/>
        <v>-3</v>
      </c>
    </row>
    <row r="470" spans="1:27" x14ac:dyDescent="0.25">
      <c r="A470" s="35">
        <v>45918.674513888887</v>
      </c>
      <c r="B470" s="36">
        <v>443416009</v>
      </c>
      <c r="C470" s="37" t="s">
        <v>36</v>
      </c>
      <c r="D470" s="37" t="s">
        <v>39</v>
      </c>
      <c r="E470" s="37" t="s">
        <v>38</v>
      </c>
      <c r="F470" s="38">
        <v>3658.59</v>
      </c>
      <c r="G470" s="38">
        <v>3661.52</v>
      </c>
      <c r="H470" s="38">
        <v>3657.02</v>
      </c>
      <c r="I470" s="37" t="s">
        <v>721</v>
      </c>
      <c r="J470" s="38">
        <v>3657.01</v>
      </c>
      <c r="K470" s="38">
        <v>0</v>
      </c>
      <c r="L470" s="38">
        <v>0</v>
      </c>
      <c r="M470" s="39">
        <v>1.58</v>
      </c>
      <c r="N470" s="10" t="str">
        <f t="shared" si="69"/>
        <v>W</v>
      </c>
      <c r="O470" s="11">
        <f t="shared" si="70"/>
        <v>45918</v>
      </c>
      <c r="P470" s="12" t="str">
        <f t="shared" si="71"/>
        <v>16</v>
      </c>
      <c r="Q470" s="13" t="str">
        <f>VLOOKUP($B470,Deals_Demo!$H:$N,7,0)</f>
        <v>strategy_14_demo</v>
      </c>
      <c r="R470" s="13" t="str">
        <f t="shared" si="72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73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74"/>
        <v>-3</v>
      </c>
    </row>
    <row r="471" spans="1:27" x14ac:dyDescent="0.25">
      <c r="A471" s="40">
        <v>45918.674513888887</v>
      </c>
      <c r="B471" s="41">
        <v>443416011</v>
      </c>
      <c r="C471" s="42" t="s">
        <v>36</v>
      </c>
      <c r="D471" s="42" t="s">
        <v>39</v>
      </c>
      <c r="E471" s="42" t="s">
        <v>38</v>
      </c>
      <c r="F471" s="43">
        <v>3658.58</v>
      </c>
      <c r="G471" s="43">
        <v>3658.09</v>
      </c>
      <c r="H471" s="43">
        <v>3655.02</v>
      </c>
      <c r="I471" s="42" t="s">
        <v>722</v>
      </c>
      <c r="J471" s="43">
        <v>3658.11</v>
      </c>
      <c r="K471" s="43">
        <v>0</v>
      </c>
      <c r="L471" s="43">
        <v>0</v>
      </c>
      <c r="M471" s="44">
        <v>0.47</v>
      </c>
      <c r="N471" s="10" t="str">
        <f t="shared" si="69"/>
        <v>W</v>
      </c>
      <c r="O471" s="11">
        <f t="shared" si="70"/>
        <v>45918</v>
      </c>
      <c r="P471" s="12" t="str">
        <f t="shared" si="71"/>
        <v>16</v>
      </c>
      <c r="Q471" s="13" t="str">
        <f>VLOOKUP($B471,Deals_Demo!$H:$N,7,0)</f>
        <v>strategy_16_demo</v>
      </c>
      <c r="R471" s="13" t="str">
        <f t="shared" si="72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73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74"/>
        <v>-3</v>
      </c>
    </row>
    <row r="472" spans="1:27" x14ac:dyDescent="0.25">
      <c r="A472" s="35">
        <v>45918.674513888887</v>
      </c>
      <c r="B472" s="36">
        <v>443416014</v>
      </c>
      <c r="C472" s="37" t="s">
        <v>36</v>
      </c>
      <c r="D472" s="37" t="s">
        <v>39</v>
      </c>
      <c r="E472" s="37" t="s">
        <v>38</v>
      </c>
      <c r="F472" s="38">
        <v>3658.63</v>
      </c>
      <c r="G472" s="38">
        <v>3661.52</v>
      </c>
      <c r="H472" s="38">
        <v>3657.02</v>
      </c>
      <c r="I472" s="37" t="s">
        <v>721</v>
      </c>
      <c r="J472" s="38">
        <v>3657.01</v>
      </c>
      <c r="K472" s="38">
        <v>0</v>
      </c>
      <c r="L472" s="38">
        <v>0</v>
      </c>
      <c r="M472" s="39">
        <v>1.62</v>
      </c>
      <c r="N472" s="10" t="str">
        <f t="shared" si="69"/>
        <v>W</v>
      </c>
      <c r="O472" s="11">
        <f t="shared" si="70"/>
        <v>45918</v>
      </c>
      <c r="P472" s="12" t="str">
        <f t="shared" si="71"/>
        <v>16</v>
      </c>
      <c r="Q472" s="13" t="str">
        <f>VLOOKUP($B472,Deals_Demo!$H:$N,7,0)</f>
        <v>strategy_12_demo</v>
      </c>
      <c r="R472" s="13" t="str">
        <f t="shared" si="72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73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74"/>
        <v>-3</v>
      </c>
    </row>
    <row r="473" spans="1:27" x14ac:dyDescent="0.25">
      <c r="A473" s="40">
        <v>45918.676354166666</v>
      </c>
      <c r="B473" s="41">
        <v>443417617</v>
      </c>
      <c r="C473" s="42" t="s">
        <v>36</v>
      </c>
      <c r="D473" s="42" t="s">
        <v>39</v>
      </c>
      <c r="E473" s="42" t="s">
        <v>38</v>
      </c>
      <c r="F473" s="43">
        <v>3658.28</v>
      </c>
      <c r="G473" s="43">
        <v>3659.78</v>
      </c>
      <c r="H473" s="43">
        <v>3656.78</v>
      </c>
      <c r="I473" s="42" t="s">
        <v>723</v>
      </c>
      <c r="J473" s="43">
        <v>3659.78</v>
      </c>
      <c r="K473" s="43">
        <v>0</v>
      </c>
      <c r="L473" s="43">
        <v>0</v>
      </c>
      <c r="M473" s="44">
        <v>-1.5</v>
      </c>
      <c r="N473" s="10" t="str">
        <f t="shared" si="69"/>
        <v>L</v>
      </c>
      <c r="O473" s="11">
        <f t="shared" si="70"/>
        <v>45918</v>
      </c>
      <c r="P473" s="12" t="str">
        <f t="shared" si="71"/>
        <v>16</v>
      </c>
      <c r="Q473" s="13" t="str">
        <f>VLOOKUP($B473,Deals_Demo!$H:$N,7,0)</f>
        <v>strategy_15_demo</v>
      </c>
      <c r="R473" s="13" t="str">
        <f t="shared" si="72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73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74"/>
        <v>-3</v>
      </c>
    </row>
    <row r="474" spans="1:27" x14ac:dyDescent="0.25">
      <c r="A474" s="35">
        <v>45918.676354166666</v>
      </c>
      <c r="B474" s="36">
        <v>443417619</v>
      </c>
      <c r="C474" s="37" t="s">
        <v>36</v>
      </c>
      <c r="D474" s="37" t="s">
        <v>39</v>
      </c>
      <c r="E474" s="37" t="s">
        <v>38</v>
      </c>
      <c r="F474" s="38">
        <v>3658.2</v>
      </c>
      <c r="G474" s="38">
        <v>3661.28</v>
      </c>
      <c r="H474" s="38">
        <v>3656.78</v>
      </c>
      <c r="I474" s="37" t="s">
        <v>724</v>
      </c>
      <c r="J474" s="38">
        <v>3661.29</v>
      </c>
      <c r="K474" s="38">
        <v>0</v>
      </c>
      <c r="L474" s="38">
        <v>0</v>
      </c>
      <c r="M474" s="39">
        <v>-3.09</v>
      </c>
      <c r="N474" s="10" t="str">
        <f t="shared" si="69"/>
        <v>L</v>
      </c>
      <c r="O474" s="11">
        <f t="shared" si="70"/>
        <v>45918</v>
      </c>
      <c r="P474" s="12" t="str">
        <f t="shared" si="71"/>
        <v>16</v>
      </c>
      <c r="Q474" s="13" t="str">
        <f>VLOOKUP($B474,Deals_Demo!$H:$N,7,0)</f>
        <v>strategy_12_demo</v>
      </c>
      <c r="R474" s="13" t="str">
        <f t="shared" si="72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73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74"/>
        <v>-3</v>
      </c>
    </row>
    <row r="475" spans="1:27" x14ac:dyDescent="0.25">
      <c r="A475" s="40">
        <v>45918.676354166666</v>
      </c>
      <c r="B475" s="41">
        <v>443417620</v>
      </c>
      <c r="C475" s="42" t="s">
        <v>36</v>
      </c>
      <c r="D475" s="42" t="s">
        <v>39</v>
      </c>
      <c r="E475" s="42" t="s">
        <v>38</v>
      </c>
      <c r="F475" s="43">
        <v>3658.22</v>
      </c>
      <c r="G475" s="43">
        <v>3661.28</v>
      </c>
      <c r="H475" s="43">
        <v>3654.78</v>
      </c>
      <c r="I475" s="42" t="s">
        <v>724</v>
      </c>
      <c r="J475" s="43">
        <v>3661.29</v>
      </c>
      <c r="K475" s="43">
        <v>0</v>
      </c>
      <c r="L475" s="43">
        <v>0</v>
      </c>
      <c r="M475" s="44">
        <v>-3.07</v>
      </c>
      <c r="N475" s="10" t="str">
        <f t="shared" si="69"/>
        <v>L</v>
      </c>
      <c r="O475" s="11">
        <f t="shared" si="70"/>
        <v>45918</v>
      </c>
      <c r="P475" s="12" t="str">
        <f t="shared" si="71"/>
        <v>16</v>
      </c>
      <c r="Q475" s="13" t="str">
        <f>VLOOKUP($B475,Deals_Demo!$H:$N,7,0)</f>
        <v>strategy_16_demo</v>
      </c>
      <c r="R475" s="13" t="str">
        <f t="shared" si="72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73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74"/>
        <v>-3</v>
      </c>
    </row>
    <row r="476" spans="1:27" x14ac:dyDescent="0.25">
      <c r="A476" s="35">
        <v>45918.676354166666</v>
      </c>
      <c r="B476" s="36">
        <v>443417624</v>
      </c>
      <c r="C476" s="37" t="s">
        <v>36</v>
      </c>
      <c r="D476" s="37" t="s">
        <v>39</v>
      </c>
      <c r="E476" s="37" t="s">
        <v>38</v>
      </c>
      <c r="F476" s="38">
        <v>3658.25</v>
      </c>
      <c r="G476" s="38">
        <v>3661.28</v>
      </c>
      <c r="H476" s="38">
        <v>3656.78</v>
      </c>
      <c r="I476" s="37" t="s">
        <v>724</v>
      </c>
      <c r="J476" s="38">
        <v>3661.29</v>
      </c>
      <c r="K476" s="38">
        <v>0</v>
      </c>
      <c r="L476" s="38">
        <v>0</v>
      </c>
      <c r="M476" s="39">
        <v>-3.04</v>
      </c>
      <c r="N476" s="10" t="str">
        <f t="shared" si="69"/>
        <v>L</v>
      </c>
      <c r="O476" s="11">
        <f t="shared" si="70"/>
        <v>45918</v>
      </c>
      <c r="P476" s="12" t="str">
        <f t="shared" si="71"/>
        <v>16</v>
      </c>
      <c r="Q476" s="13" t="str">
        <f>VLOOKUP($B476,Deals_Demo!$H:$N,7,0)</f>
        <v>strategy_14_demo</v>
      </c>
      <c r="R476" s="13" t="str">
        <f t="shared" si="72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73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74"/>
        <v>-3</v>
      </c>
    </row>
    <row r="477" spans="1:27" x14ac:dyDescent="0.25">
      <c r="A477" s="40">
        <v>45918.676365740743</v>
      </c>
      <c r="B477" s="41">
        <v>443417626</v>
      </c>
      <c r="C477" s="42" t="s">
        <v>36</v>
      </c>
      <c r="D477" s="42" t="s">
        <v>39</v>
      </c>
      <c r="E477" s="42" t="s">
        <v>38</v>
      </c>
      <c r="F477" s="43">
        <v>3658.24</v>
      </c>
      <c r="G477" s="43">
        <v>3660.78</v>
      </c>
      <c r="H477" s="43">
        <v>3655.28</v>
      </c>
      <c r="I477" s="42" t="s">
        <v>725</v>
      </c>
      <c r="J477" s="43">
        <v>3660.87</v>
      </c>
      <c r="K477" s="43">
        <v>0</v>
      </c>
      <c r="L477" s="43">
        <v>0</v>
      </c>
      <c r="M477" s="44">
        <v>-2.63</v>
      </c>
      <c r="N477" s="10" t="str">
        <f t="shared" si="69"/>
        <v>L</v>
      </c>
      <c r="O477" s="11">
        <f t="shared" si="70"/>
        <v>45918</v>
      </c>
      <c r="P477" s="12" t="str">
        <f t="shared" si="71"/>
        <v>16</v>
      </c>
      <c r="Q477" s="13" t="str">
        <f>VLOOKUP($B477,Deals_Demo!$H:$N,7,0)</f>
        <v>strategy_10_demo</v>
      </c>
      <c r="R477" s="13" t="str">
        <f t="shared" si="72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73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74"/>
        <v>-3</v>
      </c>
    </row>
    <row r="478" spans="1:27" x14ac:dyDescent="0.25">
      <c r="A478" s="35">
        <v>45918.676365740743</v>
      </c>
      <c r="B478" s="36">
        <v>443417628</v>
      </c>
      <c r="C478" s="37" t="s">
        <v>36</v>
      </c>
      <c r="D478" s="37" t="s">
        <v>39</v>
      </c>
      <c r="E478" s="37" t="s">
        <v>38</v>
      </c>
      <c r="F478" s="38">
        <v>3658.24</v>
      </c>
      <c r="G478" s="38">
        <v>3661.28</v>
      </c>
      <c r="H478" s="38">
        <v>3655.28</v>
      </c>
      <c r="I478" s="37" t="s">
        <v>724</v>
      </c>
      <c r="J478" s="38">
        <v>3661.29</v>
      </c>
      <c r="K478" s="38">
        <v>0</v>
      </c>
      <c r="L478" s="38">
        <v>0</v>
      </c>
      <c r="M478" s="39">
        <v>-3.05</v>
      </c>
      <c r="N478" s="10" t="str">
        <f t="shared" si="69"/>
        <v>L</v>
      </c>
      <c r="O478" s="11">
        <f t="shared" si="70"/>
        <v>45918</v>
      </c>
      <c r="P478" s="12" t="str">
        <f t="shared" si="71"/>
        <v>16</v>
      </c>
      <c r="Q478" s="13" t="str">
        <f>VLOOKUP($B478,Deals_Demo!$H:$N,7,0)</f>
        <v>strategy_09_demo</v>
      </c>
      <c r="R478" s="13" t="str">
        <f t="shared" si="72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73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74"/>
        <v>-3</v>
      </c>
    </row>
    <row r="479" spans="1:27" x14ac:dyDescent="0.25">
      <c r="A479" s="40">
        <v>45918.676365740743</v>
      </c>
      <c r="B479" s="41">
        <v>443417630</v>
      </c>
      <c r="C479" s="42" t="s">
        <v>36</v>
      </c>
      <c r="D479" s="42" t="s">
        <v>39</v>
      </c>
      <c r="E479" s="42" t="s">
        <v>38</v>
      </c>
      <c r="F479" s="43">
        <v>3658.24</v>
      </c>
      <c r="G479" s="43">
        <v>3661.28</v>
      </c>
      <c r="H479" s="43">
        <v>3654.78</v>
      </c>
      <c r="I479" s="42" t="s">
        <v>724</v>
      </c>
      <c r="J479" s="43">
        <v>3661.29</v>
      </c>
      <c r="K479" s="43">
        <v>0</v>
      </c>
      <c r="L479" s="43">
        <v>0</v>
      </c>
      <c r="M479" s="44">
        <v>-3.05</v>
      </c>
      <c r="N479" s="10" t="str">
        <f t="shared" si="69"/>
        <v>L</v>
      </c>
      <c r="O479" s="11">
        <f t="shared" si="70"/>
        <v>45918</v>
      </c>
      <c r="P479" s="12" t="str">
        <f t="shared" si="71"/>
        <v>16</v>
      </c>
      <c r="Q479" s="13" t="str">
        <f>VLOOKUP($B479,Deals_Demo!$H:$N,7,0)</f>
        <v>strategy_11_demo</v>
      </c>
      <c r="R479" s="13" t="str">
        <f t="shared" si="72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73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74"/>
        <v>-3</v>
      </c>
    </row>
    <row r="480" spans="1:27" x14ac:dyDescent="0.25">
      <c r="A480" s="35">
        <v>45918.67728009259</v>
      </c>
      <c r="B480" s="36">
        <v>443419399</v>
      </c>
      <c r="C480" s="37" t="s">
        <v>36</v>
      </c>
      <c r="D480" s="37" t="s">
        <v>39</v>
      </c>
      <c r="E480" s="37" t="s">
        <v>38</v>
      </c>
      <c r="F480" s="38">
        <v>3659.96</v>
      </c>
      <c r="G480" s="38">
        <v>3658.77</v>
      </c>
      <c r="H480" s="38">
        <v>3656.44</v>
      </c>
      <c r="I480" s="37" t="s">
        <v>726</v>
      </c>
      <c r="J480" s="38">
        <v>3656.4</v>
      </c>
      <c r="K480" s="38">
        <v>0</v>
      </c>
      <c r="L480" s="38">
        <v>0</v>
      </c>
      <c r="M480" s="39">
        <v>3.56</v>
      </c>
      <c r="N480" s="10" t="str">
        <f t="shared" si="69"/>
        <v>W</v>
      </c>
      <c r="O480" s="11">
        <f t="shared" si="70"/>
        <v>45918</v>
      </c>
      <c r="P480" s="12" t="str">
        <f t="shared" si="71"/>
        <v>16</v>
      </c>
      <c r="Q480" s="13" t="str">
        <f>VLOOKUP($B480,Deals_Demo!$H:$N,7,0)</f>
        <v>strategy_08_demo</v>
      </c>
      <c r="R480" s="13" t="str">
        <f t="shared" si="72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73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74"/>
        <v>3.56</v>
      </c>
    </row>
    <row r="481" spans="1:27" x14ac:dyDescent="0.25">
      <c r="A481" s="40">
        <v>45918.67728009259</v>
      </c>
      <c r="B481" s="41">
        <v>443419402</v>
      </c>
      <c r="C481" s="42" t="s">
        <v>36</v>
      </c>
      <c r="D481" s="42" t="s">
        <v>39</v>
      </c>
      <c r="E481" s="42" t="s">
        <v>38</v>
      </c>
      <c r="F481" s="43">
        <v>3659.92</v>
      </c>
      <c r="G481" s="43">
        <v>3658.77</v>
      </c>
      <c r="H481" s="43">
        <v>3656.46</v>
      </c>
      <c r="I481" s="42" t="s">
        <v>726</v>
      </c>
      <c r="J481" s="43">
        <v>3656.4</v>
      </c>
      <c r="K481" s="43">
        <v>0</v>
      </c>
      <c r="L481" s="43">
        <v>0</v>
      </c>
      <c r="M481" s="44">
        <v>3.52</v>
      </c>
      <c r="N481" s="10" t="str">
        <f t="shared" si="69"/>
        <v>W</v>
      </c>
      <c r="O481" s="11">
        <f t="shared" si="70"/>
        <v>45918</v>
      </c>
      <c r="P481" s="12" t="str">
        <f t="shared" si="71"/>
        <v>16</v>
      </c>
      <c r="Q481" s="13" t="str">
        <f>VLOOKUP($B481,Deals_Demo!$H:$N,7,0)</f>
        <v>strategy_07_demo</v>
      </c>
      <c r="R481" s="13" t="str">
        <f t="shared" si="72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73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74"/>
        <v>3.52</v>
      </c>
    </row>
    <row r="482" spans="1:27" x14ac:dyDescent="0.25">
      <c r="A482" s="35">
        <v>45918.680289351854</v>
      </c>
      <c r="B482" s="36">
        <v>443422430</v>
      </c>
      <c r="C482" s="37" t="s">
        <v>36</v>
      </c>
      <c r="D482" s="37" t="s">
        <v>39</v>
      </c>
      <c r="E482" s="37" t="s">
        <v>38</v>
      </c>
      <c r="F482" s="38">
        <v>3659.49</v>
      </c>
      <c r="G482" s="38">
        <v>3659.31</v>
      </c>
      <c r="H482" s="38">
        <v>3657.97</v>
      </c>
      <c r="I482" s="37" t="s">
        <v>727</v>
      </c>
      <c r="J482" s="38">
        <v>3657.91</v>
      </c>
      <c r="K482" s="38">
        <v>0</v>
      </c>
      <c r="L482" s="38">
        <v>0</v>
      </c>
      <c r="M482" s="39">
        <v>1.58</v>
      </c>
      <c r="N482" s="10" t="str">
        <f t="shared" si="69"/>
        <v>W</v>
      </c>
      <c r="O482" s="11">
        <f t="shared" si="70"/>
        <v>45918</v>
      </c>
      <c r="P482" s="12" t="str">
        <f t="shared" si="71"/>
        <v>16</v>
      </c>
      <c r="Q482" s="13" t="str">
        <f>VLOOKUP($B482,Deals_Demo!$H:$N,7,0)</f>
        <v>strategy_12_demo</v>
      </c>
      <c r="R482" s="13" t="str">
        <f t="shared" si="72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73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74"/>
        <v>-3</v>
      </c>
    </row>
    <row r="483" spans="1:27" x14ac:dyDescent="0.25">
      <c r="A483" s="40">
        <v>45918.680289351854</v>
      </c>
      <c r="B483" s="41">
        <v>443422434</v>
      </c>
      <c r="C483" s="42" t="s">
        <v>36</v>
      </c>
      <c r="D483" s="42" t="s">
        <v>39</v>
      </c>
      <c r="E483" s="42" t="s">
        <v>38</v>
      </c>
      <c r="F483" s="43">
        <v>3659.49</v>
      </c>
      <c r="G483" s="43">
        <v>3658.07</v>
      </c>
      <c r="H483" s="43">
        <v>3656.49</v>
      </c>
      <c r="I483" s="42" t="s">
        <v>728</v>
      </c>
      <c r="J483" s="43">
        <v>3656.48</v>
      </c>
      <c r="K483" s="43">
        <v>0</v>
      </c>
      <c r="L483" s="43">
        <v>0</v>
      </c>
      <c r="M483" s="44">
        <v>3.01</v>
      </c>
      <c r="N483" s="10" t="str">
        <f t="shared" si="69"/>
        <v>W</v>
      </c>
      <c r="O483" s="11">
        <f t="shared" si="70"/>
        <v>45918</v>
      </c>
      <c r="P483" s="12" t="str">
        <f t="shared" si="71"/>
        <v>16</v>
      </c>
      <c r="Q483" s="13" t="str">
        <f>VLOOKUP($B483,Deals_Demo!$H:$N,7,0)</f>
        <v>strategy_10_demo</v>
      </c>
      <c r="R483" s="13" t="str">
        <f t="shared" si="72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73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74"/>
        <v>3.01</v>
      </c>
    </row>
    <row r="484" spans="1:27" x14ac:dyDescent="0.25">
      <c r="A484" s="35">
        <v>45918.680289351854</v>
      </c>
      <c r="B484" s="36">
        <v>443422437</v>
      </c>
      <c r="C484" s="37" t="s">
        <v>36</v>
      </c>
      <c r="D484" s="37" t="s">
        <v>39</v>
      </c>
      <c r="E484" s="37" t="s">
        <v>38</v>
      </c>
      <c r="F484" s="38">
        <v>3659.51</v>
      </c>
      <c r="G484" s="38">
        <v>3658.07</v>
      </c>
      <c r="H484" s="38">
        <v>3655.99</v>
      </c>
      <c r="I484" s="37" t="s">
        <v>729</v>
      </c>
      <c r="J484" s="38">
        <v>3655.99</v>
      </c>
      <c r="K484" s="38">
        <v>0</v>
      </c>
      <c r="L484" s="38">
        <v>0</v>
      </c>
      <c r="M484" s="39">
        <v>3.52</v>
      </c>
      <c r="N484" s="10" t="str">
        <f t="shared" si="69"/>
        <v>W</v>
      </c>
      <c r="O484" s="11">
        <f t="shared" si="70"/>
        <v>45918</v>
      </c>
      <c r="P484" s="12" t="str">
        <f t="shared" si="71"/>
        <v>16</v>
      </c>
      <c r="Q484" s="13" t="str">
        <f>VLOOKUP($B484,Deals_Demo!$H:$N,7,0)</f>
        <v>strategy_11_demo</v>
      </c>
      <c r="R484" s="13" t="str">
        <f t="shared" si="72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73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74"/>
        <v>3.52</v>
      </c>
    </row>
    <row r="485" spans="1:27" x14ac:dyDescent="0.25">
      <c r="A485" s="40">
        <v>45918.680289351854</v>
      </c>
      <c r="B485" s="41">
        <v>443422439</v>
      </c>
      <c r="C485" s="42" t="s">
        <v>36</v>
      </c>
      <c r="D485" s="42" t="s">
        <v>39</v>
      </c>
      <c r="E485" s="42" t="s">
        <v>38</v>
      </c>
      <c r="F485" s="43">
        <v>3659.51</v>
      </c>
      <c r="G485" s="43">
        <v>3658.48</v>
      </c>
      <c r="H485" s="43">
        <v>3656.49</v>
      </c>
      <c r="I485" s="42" t="s">
        <v>728</v>
      </c>
      <c r="J485" s="43">
        <v>3656.48</v>
      </c>
      <c r="K485" s="43">
        <v>0</v>
      </c>
      <c r="L485" s="43">
        <v>0</v>
      </c>
      <c r="M485" s="44">
        <v>3.03</v>
      </c>
      <c r="N485" s="10" t="str">
        <f t="shared" si="69"/>
        <v>W</v>
      </c>
      <c r="O485" s="11">
        <f t="shared" si="70"/>
        <v>45918</v>
      </c>
      <c r="P485" s="12" t="str">
        <f t="shared" si="71"/>
        <v>16</v>
      </c>
      <c r="Q485" s="13" t="str">
        <f>VLOOKUP($B485,Deals_Demo!$H:$N,7,0)</f>
        <v>strategy_09_demo</v>
      </c>
      <c r="R485" s="13" t="str">
        <f t="shared" si="72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73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74"/>
        <v>3.03</v>
      </c>
    </row>
    <row r="486" spans="1:27" x14ac:dyDescent="0.25">
      <c r="A486" s="35">
        <v>45918.699733796297</v>
      </c>
      <c r="B486" s="36">
        <v>443461444</v>
      </c>
      <c r="C486" s="37" t="s">
        <v>36</v>
      </c>
      <c r="D486" s="37" t="s">
        <v>39</v>
      </c>
      <c r="E486" s="37" t="s">
        <v>38</v>
      </c>
      <c r="F486" s="38">
        <v>3635.2</v>
      </c>
      <c r="G486" s="38">
        <v>3638.21</v>
      </c>
      <c r="H486" s="38">
        <v>3633.71</v>
      </c>
      <c r="I486" s="37" t="s">
        <v>730</v>
      </c>
      <c r="J486" s="38">
        <v>3633.63</v>
      </c>
      <c r="K486" s="38">
        <v>0</v>
      </c>
      <c r="L486" s="38">
        <v>0</v>
      </c>
      <c r="M486" s="39">
        <v>1.57</v>
      </c>
      <c r="N486" s="10" t="str">
        <f t="shared" si="69"/>
        <v>W</v>
      </c>
      <c r="O486" s="11">
        <f t="shared" si="70"/>
        <v>45918</v>
      </c>
      <c r="P486" s="12" t="str">
        <f t="shared" si="71"/>
        <v>16</v>
      </c>
      <c r="Q486" s="13" t="str">
        <f>VLOOKUP($B486,Deals_Demo!$H:$N,7,0)</f>
        <v>strategy_14_demo</v>
      </c>
      <c r="R486" s="13" t="str">
        <f t="shared" si="72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73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74"/>
        <v>-3</v>
      </c>
    </row>
    <row r="487" spans="1:27" x14ac:dyDescent="0.25">
      <c r="A487" s="40">
        <v>45918.699733796297</v>
      </c>
      <c r="B487" s="41">
        <v>443461450</v>
      </c>
      <c r="C487" s="42" t="s">
        <v>36</v>
      </c>
      <c r="D487" s="42" t="s">
        <v>39</v>
      </c>
      <c r="E487" s="42" t="s">
        <v>38</v>
      </c>
      <c r="F487" s="43">
        <v>3634.93</v>
      </c>
      <c r="G487" s="43">
        <v>3638.2</v>
      </c>
      <c r="H487" s="43">
        <v>3633.7</v>
      </c>
      <c r="I487" s="42" t="s">
        <v>730</v>
      </c>
      <c r="J487" s="43">
        <v>3633.63</v>
      </c>
      <c r="K487" s="43">
        <v>0</v>
      </c>
      <c r="L487" s="43">
        <v>0</v>
      </c>
      <c r="M487" s="44">
        <v>1.3</v>
      </c>
      <c r="N487" s="10" t="str">
        <f t="shared" si="69"/>
        <v>W</v>
      </c>
      <c r="O487" s="11">
        <f t="shared" si="70"/>
        <v>45918</v>
      </c>
      <c r="P487" s="12" t="str">
        <f t="shared" si="71"/>
        <v>16</v>
      </c>
      <c r="Q487" s="13" t="str">
        <f>VLOOKUP($B487,Deals_Demo!$H:$N,7,0)</f>
        <v>strategy_12_demo</v>
      </c>
      <c r="R487" s="13" t="str">
        <f t="shared" si="72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73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74"/>
        <v>-3</v>
      </c>
    </row>
    <row r="488" spans="1:27" x14ac:dyDescent="0.25">
      <c r="A488" s="35">
        <v>45918.699733796297</v>
      </c>
      <c r="B488" s="36">
        <v>443461457</v>
      </c>
      <c r="C488" s="37" t="s">
        <v>36</v>
      </c>
      <c r="D488" s="37" t="s">
        <v>39</v>
      </c>
      <c r="E488" s="37" t="s">
        <v>38</v>
      </c>
      <c r="F488" s="38">
        <v>3634.92</v>
      </c>
      <c r="G488" s="38">
        <v>3636.7</v>
      </c>
      <c r="H488" s="38">
        <v>3633.7</v>
      </c>
      <c r="I488" s="37" t="s">
        <v>730</v>
      </c>
      <c r="J488" s="38">
        <v>3633.63</v>
      </c>
      <c r="K488" s="38">
        <v>0</v>
      </c>
      <c r="L488" s="38">
        <v>0</v>
      </c>
      <c r="M488" s="39">
        <v>1.29</v>
      </c>
      <c r="N488" s="10" t="str">
        <f t="shared" si="69"/>
        <v>W</v>
      </c>
      <c r="O488" s="11">
        <f t="shared" si="70"/>
        <v>45918</v>
      </c>
      <c r="P488" s="12" t="str">
        <f t="shared" si="71"/>
        <v>16</v>
      </c>
      <c r="Q488" s="13" t="str">
        <f>VLOOKUP($B488,Deals_Demo!$H:$N,7,0)</f>
        <v>strategy_15_demo</v>
      </c>
      <c r="R488" s="13" t="str">
        <f t="shared" si="72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73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74"/>
        <v>-3</v>
      </c>
    </row>
    <row r="489" spans="1:27" x14ac:dyDescent="0.25">
      <c r="A489" s="40">
        <v>45918.699733796297</v>
      </c>
      <c r="B489" s="41">
        <v>443461467</v>
      </c>
      <c r="C489" s="42" t="s">
        <v>36</v>
      </c>
      <c r="D489" s="42" t="s">
        <v>39</v>
      </c>
      <c r="E489" s="42" t="s">
        <v>38</v>
      </c>
      <c r="F489" s="43">
        <v>3634.89</v>
      </c>
      <c r="G489" s="43">
        <v>3635.25</v>
      </c>
      <c r="H489" s="43">
        <v>3631.7</v>
      </c>
      <c r="I489" s="42" t="s">
        <v>731</v>
      </c>
      <c r="J489" s="43">
        <v>3635.26</v>
      </c>
      <c r="K489" s="43">
        <v>0</v>
      </c>
      <c r="L489" s="43">
        <v>0</v>
      </c>
      <c r="M489" s="44">
        <v>-0.37</v>
      </c>
      <c r="N489" s="10" t="str">
        <f t="shared" si="69"/>
        <v>L</v>
      </c>
      <c r="O489" s="11">
        <f t="shared" si="70"/>
        <v>45918</v>
      </c>
      <c r="P489" s="12" t="str">
        <f t="shared" si="71"/>
        <v>16</v>
      </c>
      <c r="Q489" s="13" t="str">
        <f>VLOOKUP($B489,Deals_Demo!$H:$N,7,0)</f>
        <v>strategy_16_demo</v>
      </c>
      <c r="R489" s="13" t="str">
        <f t="shared" si="72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73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74"/>
        <v>-3</v>
      </c>
    </row>
    <row r="490" spans="1:27" x14ac:dyDescent="0.25">
      <c r="A490" s="35">
        <v>45918.699745370373</v>
      </c>
      <c r="B490" s="36">
        <v>443461475</v>
      </c>
      <c r="C490" s="37" t="s">
        <v>36</v>
      </c>
      <c r="D490" s="37" t="s">
        <v>39</v>
      </c>
      <c r="E490" s="37" t="s">
        <v>38</v>
      </c>
      <c r="F490" s="38">
        <v>3634.82</v>
      </c>
      <c r="G490" s="38">
        <v>3635.25</v>
      </c>
      <c r="H490" s="38">
        <v>3632.2</v>
      </c>
      <c r="I490" s="37" t="s">
        <v>731</v>
      </c>
      <c r="J490" s="38">
        <v>3635.26</v>
      </c>
      <c r="K490" s="38">
        <v>0</v>
      </c>
      <c r="L490" s="38">
        <v>0</v>
      </c>
      <c r="M490" s="39">
        <v>-0.44</v>
      </c>
      <c r="N490" s="10" t="str">
        <f t="shared" si="69"/>
        <v>L</v>
      </c>
      <c r="O490" s="11">
        <f t="shared" si="70"/>
        <v>45918</v>
      </c>
      <c r="P490" s="12" t="str">
        <f t="shared" si="71"/>
        <v>16</v>
      </c>
      <c r="Q490" s="13" t="str">
        <f>VLOOKUP($B490,Deals_Demo!$H:$N,7,0)</f>
        <v>strategy_09_demo</v>
      </c>
      <c r="R490" s="13" t="str">
        <f t="shared" si="72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73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74"/>
        <v>-3</v>
      </c>
    </row>
    <row r="491" spans="1:27" x14ac:dyDescent="0.25">
      <c r="A491" s="40">
        <v>45918.699745370373</v>
      </c>
      <c r="B491" s="41">
        <v>443461478</v>
      </c>
      <c r="C491" s="42" t="s">
        <v>36</v>
      </c>
      <c r="D491" s="42" t="s">
        <v>39</v>
      </c>
      <c r="E491" s="42" t="s">
        <v>38</v>
      </c>
      <c r="F491" s="43">
        <v>3634.76</v>
      </c>
      <c r="G491" s="43">
        <v>3637.7</v>
      </c>
      <c r="H491" s="43">
        <v>3632.2</v>
      </c>
      <c r="I491" s="42" t="s">
        <v>732</v>
      </c>
      <c r="J491" s="43">
        <v>3637.74</v>
      </c>
      <c r="K491" s="43">
        <v>0</v>
      </c>
      <c r="L491" s="43">
        <v>0</v>
      </c>
      <c r="M491" s="44">
        <v>-2.98</v>
      </c>
      <c r="N491" s="10" t="str">
        <f t="shared" si="69"/>
        <v>L</v>
      </c>
      <c r="O491" s="11">
        <f t="shared" si="70"/>
        <v>45918</v>
      </c>
      <c r="P491" s="12" t="str">
        <f t="shared" si="71"/>
        <v>16</v>
      </c>
      <c r="Q491" s="13" t="str">
        <f>VLOOKUP($B491,Deals_Demo!$H:$N,7,0)</f>
        <v>strategy_10_demo</v>
      </c>
      <c r="R491" s="13" t="str">
        <f t="shared" si="72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73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74"/>
        <v>-3</v>
      </c>
    </row>
    <row r="492" spans="1:27" x14ac:dyDescent="0.25">
      <c r="A492" s="35">
        <v>45918.699745370373</v>
      </c>
      <c r="B492" s="36">
        <v>443461483</v>
      </c>
      <c r="C492" s="37" t="s">
        <v>36</v>
      </c>
      <c r="D492" s="37" t="s">
        <v>39</v>
      </c>
      <c r="E492" s="37" t="s">
        <v>38</v>
      </c>
      <c r="F492" s="38">
        <v>3634.72</v>
      </c>
      <c r="G492" s="38">
        <v>3638.2</v>
      </c>
      <c r="H492" s="38">
        <v>3631.7</v>
      </c>
      <c r="I492" s="37" t="s">
        <v>733</v>
      </c>
      <c r="J492" s="38">
        <v>3638.2</v>
      </c>
      <c r="K492" s="38">
        <v>0</v>
      </c>
      <c r="L492" s="38">
        <v>0</v>
      </c>
      <c r="M492" s="39">
        <v>-3.48</v>
      </c>
      <c r="N492" s="10" t="str">
        <f t="shared" si="69"/>
        <v>L</v>
      </c>
      <c r="O492" s="11">
        <f t="shared" si="70"/>
        <v>45918</v>
      </c>
      <c r="P492" s="12" t="str">
        <f t="shared" si="71"/>
        <v>16</v>
      </c>
      <c r="Q492" s="13" t="str">
        <f>VLOOKUP($B492,Deals_Demo!$H:$N,7,0)</f>
        <v>strategy_11_demo</v>
      </c>
      <c r="R492" s="13" t="str">
        <f t="shared" si="72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73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74"/>
        <v>-3</v>
      </c>
    </row>
    <row r="493" spans="1:27" x14ac:dyDescent="0.25">
      <c r="A493" s="40">
        <v>45918.700196759259</v>
      </c>
      <c r="B493" s="41">
        <v>443462449</v>
      </c>
      <c r="C493" s="42" t="s">
        <v>36</v>
      </c>
      <c r="D493" s="42" t="s">
        <v>39</v>
      </c>
      <c r="E493" s="42" t="s">
        <v>38</v>
      </c>
      <c r="F493" s="43">
        <v>3635.28</v>
      </c>
      <c r="G493" s="43">
        <v>3636.8</v>
      </c>
      <c r="H493" s="43">
        <v>3633.8</v>
      </c>
      <c r="I493" s="42" t="s">
        <v>734</v>
      </c>
      <c r="J493" s="43">
        <v>3636.8</v>
      </c>
      <c r="K493" s="43">
        <v>0</v>
      </c>
      <c r="L493" s="43">
        <v>0</v>
      </c>
      <c r="M493" s="44">
        <v>-1.52</v>
      </c>
      <c r="N493" s="10" t="str">
        <f t="shared" si="69"/>
        <v>L</v>
      </c>
      <c r="O493" s="11">
        <f t="shared" si="70"/>
        <v>45918</v>
      </c>
      <c r="P493" s="12" t="str">
        <f t="shared" si="71"/>
        <v>16</v>
      </c>
      <c r="Q493" s="13" t="str">
        <f>VLOOKUP($B493,Deals_Demo!$H:$N,7,0)</f>
        <v>strategy_15_demo</v>
      </c>
      <c r="R493" s="13" t="str">
        <f t="shared" si="72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73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74"/>
        <v>-3</v>
      </c>
    </row>
    <row r="494" spans="1:27" x14ac:dyDescent="0.25">
      <c r="A494" s="35">
        <v>45918.700196759259</v>
      </c>
      <c r="B494" s="36">
        <v>443462459</v>
      </c>
      <c r="C494" s="37" t="s">
        <v>36</v>
      </c>
      <c r="D494" s="37" t="s">
        <v>39</v>
      </c>
      <c r="E494" s="37" t="s">
        <v>38</v>
      </c>
      <c r="F494" s="38">
        <v>3635.37</v>
      </c>
      <c r="G494" s="38">
        <v>3638.28</v>
      </c>
      <c r="H494" s="38">
        <v>3631.78</v>
      </c>
      <c r="I494" s="37" t="s">
        <v>733</v>
      </c>
      <c r="J494" s="38">
        <v>3638.36</v>
      </c>
      <c r="K494" s="38">
        <v>0</v>
      </c>
      <c r="L494" s="38">
        <v>0</v>
      </c>
      <c r="M494" s="39">
        <v>-2.99</v>
      </c>
      <c r="N494" s="10" t="str">
        <f t="shared" si="69"/>
        <v>L</v>
      </c>
      <c r="O494" s="11">
        <f t="shared" si="70"/>
        <v>45918</v>
      </c>
      <c r="P494" s="12" t="str">
        <f t="shared" si="71"/>
        <v>16</v>
      </c>
      <c r="Q494" s="13" t="str">
        <f>VLOOKUP($B494,Deals_Demo!$H:$N,7,0)</f>
        <v>strategy_16_demo</v>
      </c>
      <c r="R494" s="13" t="str">
        <f t="shared" si="72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73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74"/>
        <v>-3</v>
      </c>
    </row>
    <row r="495" spans="1:27" x14ac:dyDescent="0.25">
      <c r="A495" s="40">
        <v>45918.700196759259</v>
      </c>
      <c r="B495" s="41">
        <v>443462463</v>
      </c>
      <c r="C495" s="42" t="s">
        <v>36</v>
      </c>
      <c r="D495" s="42" t="s">
        <v>39</v>
      </c>
      <c r="E495" s="42" t="s">
        <v>38</v>
      </c>
      <c r="F495" s="43">
        <v>3635.36</v>
      </c>
      <c r="G495" s="43">
        <v>3638.28</v>
      </c>
      <c r="H495" s="43">
        <v>3633.78</v>
      </c>
      <c r="I495" s="42" t="s">
        <v>733</v>
      </c>
      <c r="J495" s="43">
        <v>3638.36</v>
      </c>
      <c r="K495" s="43">
        <v>0</v>
      </c>
      <c r="L495" s="43">
        <v>0</v>
      </c>
      <c r="M495" s="44">
        <v>-3</v>
      </c>
      <c r="N495" s="10" t="str">
        <f t="shared" si="69"/>
        <v>L</v>
      </c>
      <c r="O495" s="11">
        <f t="shared" si="70"/>
        <v>45918</v>
      </c>
      <c r="P495" s="12" t="str">
        <f t="shared" si="71"/>
        <v>16</v>
      </c>
      <c r="Q495" s="13" t="str">
        <f>VLOOKUP($B495,Deals_Demo!$H:$N,7,0)</f>
        <v>strategy_14_demo</v>
      </c>
      <c r="R495" s="13" t="str">
        <f t="shared" si="72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73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74"/>
        <v>-3</v>
      </c>
    </row>
    <row r="496" spans="1:27" x14ac:dyDescent="0.25">
      <c r="A496" s="35">
        <v>45918.700196759259</v>
      </c>
      <c r="B496" s="36">
        <v>443462470</v>
      </c>
      <c r="C496" s="37" t="s">
        <v>36</v>
      </c>
      <c r="D496" s="37" t="s">
        <v>39</v>
      </c>
      <c r="E496" s="37" t="s">
        <v>38</v>
      </c>
      <c r="F496" s="38">
        <v>3635.47</v>
      </c>
      <c r="G496" s="38">
        <v>3638.28</v>
      </c>
      <c r="H496" s="38">
        <v>3633.78</v>
      </c>
      <c r="I496" s="37" t="s">
        <v>733</v>
      </c>
      <c r="J496" s="38">
        <v>3638.36</v>
      </c>
      <c r="K496" s="38">
        <v>0</v>
      </c>
      <c r="L496" s="38">
        <v>0</v>
      </c>
      <c r="M496" s="39">
        <v>-2.89</v>
      </c>
      <c r="N496" s="10" t="str">
        <f t="shared" si="69"/>
        <v>L</v>
      </c>
      <c r="O496" s="11">
        <f t="shared" si="70"/>
        <v>45918</v>
      </c>
      <c r="P496" s="12" t="str">
        <f t="shared" si="71"/>
        <v>16</v>
      </c>
      <c r="Q496" s="13" t="str">
        <f>VLOOKUP($B496,Deals_Demo!$H:$N,7,0)</f>
        <v>strategy_12_demo</v>
      </c>
      <c r="R496" s="13" t="str">
        <f t="shared" si="72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73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74"/>
        <v>-3</v>
      </c>
    </row>
    <row r="497" spans="1:27" x14ac:dyDescent="0.25">
      <c r="A497" s="40">
        <v>45918.700208333335</v>
      </c>
      <c r="B497" s="41">
        <v>443462479</v>
      </c>
      <c r="C497" s="42" t="s">
        <v>36</v>
      </c>
      <c r="D497" s="42" t="s">
        <v>39</v>
      </c>
      <c r="E497" s="42" t="s">
        <v>38</v>
      </c>
      <c r="F497" s="43">
        <v>3635.49</v>
      </c>
      <c r="G497" s="43">
        <v>3638.28</v>
      </c>
      <c r="H497" s="43">
        <v>3632.28</v>
      </c>
      <c r="I497" s="42" t="s">
        <v>733</v>
      </c>
      <c r="J497" s="43">
        <v>3638.36</v>
      </c>
      <c r="K497" s="43">
        <v>0</v>
      </c>
      <c r="L497" s="43">
        <v>0</v>
      </c>
      <c r="M497" s="44">
        <v>-2.87</v>
      </c>
      <c r="N497" s="10" t="str">
        <f t="shared" si="69"/>
        <v>L</v>
      </c>
      <c r="O497" s="11">
        <f t="shared" si="70"/>
        <v>45918</v>
      </c>
      <c r="P497" s="12" t="str">
        <f t="shared" si="71"/>
        <v>16</v>
      </c>
      <c r="Q497" s="13" t="str">
        <f>VLOOKUP($B497,Deals_Demo!$H:$N,7,0)</f>
        <v>strategy_09_demo</v>
      </c>
      <c r="R497" s="13" t="str">
        <f t="shared" si="72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73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74"/>
        <v>-3</v>
      </c>
    </row>
    <row r="498" spans="1:27" x14ac:dyDescent="0.25">
      <c r="A498" s="35">
        <v>45918.701469907406</v>
      </c>
      <c r="B498" s="36">
        <v>443464484</v>
      </c>
      <c r="C498" s="37" t="s">
        <v>36</v>
      </c>
      <c r="D498" s="37" t="s">
        <v>39</v>
      </c>
      <c r="E498" s="37" t="s">
        <v>38</v>
      </c>
      <c r="F498" s="38">
        <v>3636.03</v>
      </c>
      <c r="G498" s="38">
        <v>3639</v>
      </c>
      <c r="H498" s="38">
        <v>3632.5</v>
      </c>
      <c r="I498" s="37" t="s">
        <v>735</v>
      </c>
      <c r="J498" s="38">
        <v>3639.05</v>
      </c>
      <c r="K498" s="38">
        <v>0</v>
      </c>
      <c r="L498" s="38">
        <v>0</v>
      </c>
      <c r="M498" s="39">
        <v>-3.02</v>
      </c>
      <c r="N498" s="10" t="str">
        <f t="shared" si="69"/>
        <v>L</v>
      </c>
      <c r="O498" s="11">
        <f t="shared" si="70"/>
        <v>45918</v>
      </c>
      <c r="P498" s="12" t="str">
        <f t="shared" si="71"/>
        <v>16</v>
      </c>
      <c r="Q498" s="13" t="str">
        <f>VLOOKUP($B498,Deals_Demo!$H:$N,7,0)</f>
        <v>strategy_17_demo</v>
      </c>
      <c r="R498" s="13" t="str">
        <f t="shared" si="72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73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74"/>
        <v>-3</v>
      </c>
    </row>
    <row r="499" spans="1:27" x14ac:dyDescent="0.25">
      <c r="A499" s="40">
        <v>45918.702048611114</v>
      </c>
      <c r="B499" s="41">
        <v>443465832</v>
      </c>
      <c r="C499" s="42" t="s">
        <v>36</v>
      </c>
      <c r="D499" s="42" t="s">
        <v>39</v>
      </c>
      <c r="E499" s="42" t="s">
        <v>38</v>
      </c>
      <c r="F499" s="43">
        <v>3638.13</v>
      </c>
      <c r="G499" s="43">
        <v>3641.12</v>
      </c>
      <c r="H499" s="43">
        <v>3634.62</v>
      </c>
      <c r="I499" s="42" t="s">
        <v>736</v>
      </c>
      <c r="J499" s="43">
        <v>3641.17</v>
      </c>
      <c r="K499" s="43">
        <v>0</v>
      </c>
      <c r="L499" s="43">
        <v>0</v>
      </c>
      <c r="M499" s="44">
        <v>-3.04</v>
      </c>
      <c r="N499" s="10" t="str">
        <f t="shared" si="69"/>
        <v>L</v>
      </c>
      <c r="O499" s="11">
        <f t="shared" si="70"/>
        <v>45918</v>
      </c>
      <c r="P499" s="12" t="str">
        <f t="shared" si="71"/>
        <v>16</v>
      </c>
      <c r="Q499" s="13" t="str">
        <f>VLOOKUP($B499,Deals_Demo!$H:$N,7,0)</f>
        <v>strategy_08_demo</v>
      </c>
      <c r="R499" s="13" t="str">
        <f t="shared" si="72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73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74"/>
        <v>-3</v>
      </c>
    </row>
    <row r="500" spans="1:27" x14ac:dyDescent="0.25">
      <c r="A500" s="35">
        <v>45918.702048611114</v>
      </c>
      <c r="B500" s="36">
        <v>443465833</v>
      </c>
      <c r="C500" s="37" t="s">
        <v>36</v>
      </c>
      <c r="D500" s="37" t="s">
        <v>39</v>
      </c>
      <c r="E500" s="37" t="s">
        <v>38</v>
      </c>
      <c r="F500" s="38">
        <v>3638.27</v>
      </c>
      <c r="G500" s="38">
        <v>3641.13</v>
      </c>
      <c r="H500" s="38">
        <v>3634.63</v>
      </c>
      <c r="I500" s="37" t="s">
        <v>736</v>
      </c>
      <c r="J500" s="38">
        <v>3641.17</v>
      </c>
      <c r="K500" s="38">
        <v>0</v>
      </c>
      <c r="L500" s="38">
        <v>0</v>
      </c>
      <c r="M500" s="39">
        <v>-2.9</v>
      </c>
      <c r="N500" s="10" t="str">
        <f t="shared" si="69"/>
        <v>L</v>
      </c>
      <c r="O500" s="11">
        <f t="shared" si="70"/>
        <v>45918</v>
      </c>
      <c r="P500" s="12" t="str">
        <f t="shared" si="71"/>
        <v>16</v>
      </c>
      <c r="Q500" s="13" t="str">
        <f>VLOOKUP($B500,Deals_Demo!$H:$N,7,0)</f>
        <v>strategy_13_demo</v>
      </c>
      <c r="R500" s="13" t="str">
        <f t="shared" si="72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73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74"/>
        <v>-3</v>
      </c>
    </row>
    <row r="501" spans="1:27" x14ac:dyDescent="0.25">
      <c r="A501" s="40">
        <v>45918.704016203701</v>
      </c>
      <c r="B501" s="41">
        <v>443469036</v>
      </c>
      <c r="C501" s="42" t="s">
        <v>36</v>
      </c>
      <c r="D501" s="42" t="s">
        <v>37</v>
      </c>
      <c r="E501" s="42" t="s">
        <v>38</v>
      </c>
      <c r="F501" s="43">
        <v>3639.73</v>
      </c>
      <c r="G501" s="43">
        <v>3637.06</v>
      </c>
      <c r="H501" s="43">
        <v>3643.56</v>
      </c>
      <c r="I501" s="42" t="s">
        <v>737</v>
      </c>
      <c r="J501" s="43">
        <v>3637.05</v>
      </c>
      <c r="K501" s="43">
        <v>0</v>
      </c>
      <c r="L501" s="43">
        <v>0</v>
      </c>
      <c r="M501" s="44">
        <v>-2.68</v>
      </c>
      <c r="N501" s="10" t="str">
        <f t="shared" si="69"/>
        <v>L</v>
      </c>
      <c r="O501" s="11">
        <f t="shared" si="70"/>
        <v>45918</v>
      </c>
      <c r="P501" s="12" t="str">
        <f t="shared" si="71"/>
        <v>16</v>
      </c>
      <c r="Q501" s="13" t="str">
        <f>VLOOKUP($B501,Deals_Demo!$H:$N,7,0)</f>
        <v>strategy_17_demo</v>
      </c>
      <c r="R501" s="13" t="str">
        <f t="shared" si="72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73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74"/>
        <v>-3</v>
      </c>
    </row>
    <row r="502" spans="1:27" x14ac:dyDescent="0.25">
      <c r="A502" s="35">
        <v>45918.705983796295</v>
      </c>
      <c r="B502" s="36">
        <v>443472079</v>
      </c>
      <c r="C502" s="37" t="s">
        <v>36</v>
      </c>
      <c r="D502" s="37" t="s">
        <v>39</v>
      </c>
      <c r="E502" s="37" t="s">
        <v>38</v>
      </c>
      <c r="F502" s="38">
        <v>3638.22</v>
      </c>
      <c r="G502" s="38">
        <v>3641.2</v>
      </c>
      <c r="H502" s="38">
        <v>3634.7</v>
      </c>
      <c r="I502" s="37" t="s">
        <v>738</v>
      </c>
      <c r="J502" s="38">
        <v>3641.25</v>
      </c>
      <c r="K502" s="38">
        <v>0</v>
      </c>
      <c r="L502" s="38">
        <v>0</v>
      </c>
      <c r="M502" s="39">
        <v>-3.03</v>
      </c>
      <c r="N502" s="10" t="str">
        <f t="shared" si="69"/>
        <v>L</v>
      </c>
      <c r="O502" s="11">
        <f t="shared" si="70"/>
        <v>45918</v>
      </c>
      <c r="P502" s="12" t="str">
        <f t="shared" si="71"/>
        <v>16</v>
      </c>
      <c r="Q502" s="13" t="str">
        <f>VLOOKUP($B502,Deals_Demo!$H:$N,7,0)</f>
        <v>strategy_08_demo</v>
      </c>
      <c r="R502" s="13" t="str">
        <f t="shared" si="72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73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74"/>
        <v>-3</v>
      </c>
    </row>
    <row r="503" spans="1:27" x14ac:dyDescent="0.25">
      <c r="A503" s="40">
        <v>45918.705983796295</v>
      </c>
      <c r="B503" s="41">
        <v>443472082</v>
      </c>
      <c r="C503" s="42" t="s">
        <v>36</v>
      </c>
      <c r="D503" s="42" t="s">
        <v>39</v>
      </c>
      <c r="E503" s="42" t="s">
        <v>38</v>
      </c>
      <c r="F503" s="43">
        <v>3638.16</v>
      </c>
      <c r="G503" s="43">
        <v>3641.22</v>
      </c>
      <c r="H503" s="43">
        <v>3634.72</v>
      </c>
      <c r="I503" s="42" t="s">
        <v>738</v>
      </c>
      <c r="J503" s="43">
        <v>3641.25</v>
      </c>
      <c r="K503" s="43">
        <v>0</v>
      </c>
      <c r="L503" s="43">
        <v>0</v>
      </c>
      <c r="M503" s="44">
        <v>-3.09</v>
      </c>
      <c r="N503" s="10" t="str">
        <f t="shared" si="69"/>
        <v>L</v>
      </c>
      <c r="O503" s="11">
        <f t="shared" si="70"/>
        <v>45918</v>
      </c>
      <c r="P503" s="12" t="str">
        <f t="shared" si="71"/>
        <v>16</v>
      </c>
      <c r="Q503" s="13" t="str">
        <f>VLOOKUP($B503,Deals_Demo!$H:$N,7,0)</f>
        <v>strategy_13_demo</v>
      </c>
      <c r="R503" s="13" t="str">
        <f t="shared" si="72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73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74"/>
        <v>-3</v>
      </c>
    </row>
    <row r="504" spans="1:27" x14ac:dyDescent="0.25">
      <c r="A504" s="35">
        <v>45918.710034722222</v>
      </c>
      <c r="B504" s="36">
        <v>443478769</v>
      </c>
      <c r="C504" s="37" t="s">
        <v>36</v>
      </c>
      <c r="D504" s="37" t="s">
        <v>37</v>
      </c>
      <c r="E504" s="37" t="s">
        <v>38</v>
      </c>
      <c r="F504" s="38">
        <v>3644.36</v>
      </c>
      <c r="G504" s="38">
        <v>3644.72</v>
      </c>
      <c r="H504" s="38">
        <v>3647.94</v>
      </c>
      <c r="I504" s="37" t="s">
        <v>739</v>
      </c>
      <c r="J504" s="38">
        <v>3644.68</v>
      </c>
      <c r="K504" s="38">
        <v>0</v>
      </c>
      <c r="L504" s="38">
        <v>0</v>
      </c>
      <c r="M504" s="39">
        <v>0.32</v>
      </c>
      <c r="N504" s="10" t="str">
        <f t="shared" si="69"/>
        <v>W</v>
      </c>
      <c r="O504" s="11">
        <f t="shared" si="70"/>
        <v>45918</v>
      </c>
      <c r="P504" s="12" t="str">
        <f t="shared" si="71"/>
        <v>17</v>
      </c>
      <c r="Q504" s="13" t="str">
        <f>VLOOKUP($B504,Deals_Demo!$H:$N,7,0)</f>
        <v>strategy_17_demo</v>
      </c>
      <c r="R504" s="13" t="str">
        <f t="shared" si="72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73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74"/>
        <v>-3</v>
      </c>
    </row>
    <row r="505" spans="1:27" x14ac:dyDescent="0.25">
      <c r="A505" s="40">
        <v>45918.712002314816</v>
      </c>
      <c r="B505" s="41">
        <v>443481851</v>
      </c>
      <c r="C505" s="42" t="s">
        <v>36</v>
      </c>
      <c r="D505" s="42" t="s">
        <v>37</v>
      </c>
      <c r="E505" s="42" t="s">
        <v>38</v>
      </c>
      <c r="F505" s="43">
        <v>3645.36</v>
      </c>
      <c r="G505" s="43">
        <v>3642.31</v>
      </c>
      <c r="H505" s="43">
        <v>3648.81</v>
      </c>
      <c r="I505" s="42" t="s">
        <v>740</v>
      </c>
      <c r="J505" s="43">
        <v>3642.14</v>
      </c>
      <c r="K505" s="43">
        <v>0</v>
      </c>
      <c r="L505" s="43">
        <v>0</v>
      </c>
      <c r="M505" s="44">
        <v>-3.22</v>
      </c>
      <c r="N505" s="10" t="str">
        <f t="shared" ref="N505:N544" si="78">IF(M505&gt;0,"W",IF(M505&lt;0,"L","BE"))</f>
        <v>L</v>
      </c>
      <c r="O505" s="11">
        <f t="shared" ref="O505:O544" si="79">INT(LEFT(A505,10))</f>
        <v>45918</v>
      </c>
      <c r="P505" s="12" t="str">
        <f t="shared" ref="P505:P544" si="80">TEXT(A505,"hh")</f>
        <v>17</v>
      </c>
      <c r="Q505" s="13" t="str">
        <f>VLOOKUP($B505,Deals_Demo!$H:$N,7,0)</f>
        <v>strategy_17_demo</v>
      </c>
      <c r="R505" s="13" t="str">
        <f t="shared" ref="R505:R544" si="81">TEXT(O505,"ddd")</f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ref="U505:U544" si="82">TEXT(T505,"yyyy-mm-dd")</f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ref="AA505:AA544" si="83">IF(M505&lt;2.9,-3,M505)</f>
        <v>-3</v>
      </c>
    </row>
    <row r="506" spans="1:27" x14ac:dyDescent="0.25">
      <c r="A506" s="35">
        <v>45918.71234953704</v>
      </c>
      <c r="B506" s="36">
        <v>443482184</v>
      </c>
      <c r="C506" s="37" t="s">
        <v>36</v>
      </c>
      <c r="D506" s="37" t="s">
        <v>37</v>
      </c>
      <c r="E506" s="37" t="s">
        <v>38</v>
      </c>
      <c r="F506" s="38">
        <v>3643.74</v>
      </c>
      <c r="G506" s="38">
        <v>3640.74</v>
      </c>
      <c r="H506" s="38">
        <v>3645.24</v>
      </c>
      <c r="I506" s="37" t="s">
        <v>741</v>
      </c>
      <c r="J506" s="38">
        <v>3640.71</v>
      </c>
      <c r="K506" s="38">
        <v>0</v>
      </c>
      <c r="L506" s="38">
        <v>0</v>
      </c>
      <c r="M506" s="39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40">
        <v>45918.71234953704</v>
      </c>
      <c r="B507" s="41">
        <v>443482189</v>
      </c>
      <c r="C507" s="42" t="s">
        <v>36</v>
      </c>
      <c r="D507" s="42" t="s">
        <v>37</v>
      </c>
      <c r="E507" s="42" t="s">
        <v>38</v>
      </c>
      <c r="F507" s="43">
        <v>3643.74</v>
      </c>
      <c r="G507" s="43">
        <v>3640.74</v>
      </c>
      <c r="H507" s="43">
        <v>3647.24</v>
      </c>
      <c r="I507" s="42" t="s">
        <v>741</v>
      </c>
      <c r="J507" s="43">
        <v>3640.71</v>
      </c>
      <c r="K507" s="43">
        <v>0</v>
      </c>
      <c r="L507" s="43">
        <v>0</v>
      </c>
      <c r="M507" s="44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35">
        <v>45918.71234953704</v>
      </c>
      <c r="B508" s="36">
        <v>443482192</v>
      </c>
      <c r="C508" s="37" t="s">
        <v>36</v>
      </c>
      <c r="D508" s="37" t="s">
        <v>37</v>
      </c>
      <c r="E508" s="37" t="s">
        <v>38</v>
      </c>
      <c r="F508" s="38">
        <v>3643.74</v>
      </c>
      <c r="G508" s="38">
        <v>3642.24</v>
      </c>
      <c r="H508" s="38">
        <v>3645.24</v>
      </c>
      <c r="I508" s="37" t="s">
        <v>740</v>
      </c>
      <c r="J508" s="38">
        <v>3642.14</v>
      </c>
      <c r="K508" s="38">
        <v>0</v>
      </c>
      <c r="L508" s="38">
        <v>0</v>
      </c>
      <c r="M508" s="39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40">
        <v>45918.713159722225</v>
      </c>
      <c r="B509" s="41">
        <v>443483284</v>
      </c>
      <c r="C509" s="42" t="s">
        <v>36</v>
      </c>
      <c r="D509" s="42" t="s">
        <v>39</v>
      </c>
      <c r="E509" s="42" t="s">
        <v>38</v>
      </c>
      <c r="F509" s="43">
        <v>3642</v>
      </c>
      <c r="G509" s="43">
        <v>3642.47</v>
      </c>
      <c r="H509" s="43">
        <v>3638.56</v>
      </c>
      <c r="I509" s="42" t="s">
        <v>742</v>
      </c>
      <c r="J509" s="43">
        <v>3642.55</v>
      </c>
      <c r="K509" s="43">
        <v>0</v>
      </c>
      <c r="L509" s="43">
        <v>0</v>
      </c>
      <c r="M509" s="44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35">
        <v>45918.713159722225</v>
      </c>
      <c r="B510" s="36">
        <v>443483298</v>
      </c>
      <c r="C510" s="37" t="s">
        <v>36</v>
      </c>
      <c r="D510" s="37" t="s">
        <v>39</v>
      </c>
      <c r="E510" s="37" t="s">
        <v>38</v>
      </c>
      <c r="F510" s="38">
        <v>3642</v>
      </c>
      <c r="G510" s="38">
        <v>3642.47</v>
      </c>
      <c r="H510" s="38">
        <v>3638.5</v>
      </c>
      <c r="I510" s="37" t="s">
        <v>742</v>
      </c>
      <c r="J510" s="38">
        <v>3642.55</v>
      </c>
      <c r="K510" s="38">
        <v>0</v>
      </c>
      <c r="L510" s="38">
        <v>0</v>
      </c>
      <c r="M510" s="39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40">
        <v>45918.718136574076</v>
      </c>
      <c r="B511" s="41">
        <v>443488543</v>
      </c>
      <c r="C511" s="42" t="s">
        <v>36</v>
      </c>
      <c r="D511" s="42" t="s">
        <v>37</v>
      </c>
      <c r="E511" s="42" t="s">
        <v>38</v>
      </c>
      <c r="F511" s="43">
        <v>3643.49</v>
      </c>
      <c r="G511" s="43">
        <v>3640.5</v>
      </c>
      <c r="H511" s="43">
        <v>3647</v>
      </c>
      <c r="I511" s="42" t="s">
        <v>743</v>
      </c>
      <c r="J511" s="43">
        <v>3640.46</v>
      </c>
      <c r="K511" s="43">
        <v>0</v>
      </c>
      <c r="L511" s="43">
        <v>0</v>
      </c>
      <c r="M511" s="44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35">
        <v>45918.721493055556</v>
      </c>
      <c r="B512" s="36">
        <v>443491780</v>
      </c>
      <c r="C512" s="37" t="s">
        <v>36</v>
      </c>
      <c r="D512" s="37" t="s">
        <v>39</v>
      </c>
      <c r="E512" s="37" t="s">
        <v>38</v>
      </c>
      <c r="F512" s="38">
        <v>3637.94</v>
      </c>
      <c r="G512" s="38">
        <v>3636.94</v>
      </c>
      <c r="H512" s="38">
        <v>3634.47</v>
      </c>
      <c r="I512" s="37" t="s">
        <v>744</v>
      </c>
      <c r="J512" s="38">
        <v>3636.95</v>
      </c>
      <c r="K512" s="38">
        <v>0</v>
      </c>
      <c r="L512" s="38">
        <v>0</v>
      </c>
      <c r="M512" s="39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40">
        <v>45918.721493055556</v>
      </c>
      <c r="B513" s="41">
        <v>443491783</v>
      </c>
      <c r="C513" s="42" t="s">
        <v>36</v>
      </c>
      <c r="D513" s="42" t="s">
        <v>39</v>
      </c>
      <c r="E513" s="42" t="s">
        <v>38</v>
      </c>
      <c r="F513" s="43">
        <v>3638.05</v>
      </c>
      <c r="G513" s="43">
        <v>3636.85</v>
      </c>
      <c r="H513" s="42"/>
      <c r="I513" s="42" t="s">
        <v>744</v>
      </c>
      <c r="J513" s="43">
        <v>3636.95</v>
      </c>
      <c r="K513" s="43">
        <v>0</v>
      </c>
      <c r="L513" s="43">
        <v>0</v>
      </c>
      <c r="M513" s="44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35">
        <v>45918.721608796295</v>
      </c>
      <c r="B514" s="36">
        <v>443491852</v>
      </c>
      <c r="C514" s="37" t="s">
        <v>36</v>
      </c>
      <c r="D514" s="37" t="s">
        <v>39</v>
      </c>
      <c r="E514" s="37" t="s">
        <v>38</v>
      </c>
      <c r="F514" s="38">
        <v>3639.35</v>
      </c>
      <c r="G514" s="38">
        <v>3642.29</v>
      </c>
      <c r="H514" s="38">
        <v>3637.79</v>
      </c>
      <c r="I514" s="37" t="s">
        <v>745</v>
      </c>
      <c r="J514" s="38">
        <v>3637.56</v>
      </c>
      <c r="K514" s="38">
        <v>0</v>
      </c>
      <c r="L514" s="38">
        <v>0</v>
      </c>
      <c r="M514" s="39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40">
        <v>45918.721608796295</v>
      </c>
      <c r="B515" s="41">
        <v>443491853</v>
      </c>
      <c r="C515" s="42" t="s">
        <v>36</v>
      </c>
      <c r="D515" s="42" t="s">
        <v>39</v>
      </c>
      <c r="E515" s="42" t="s">
        <v>38</v>
      </c>
      <c r="F515" s="43">
        <v>3639.36</v>
      </c>
      <c r="G515" s="43">
        <v>3639.08</v>
      </c>
      <c r="H515" s="43">
        <v>3636.35</v>
      </c>
      <c r="I515" s="42" t="s">
        <v>746</v>
      </c>
      <c r="J515" s="43">
        <v>3639.26</v>
      </c>
      <c r="K515" s="43">
        <v>0</v>
      </c>
      <c r="L515" s="43">
        <v>0</v>
      </c>
      <c r="M515" s="44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78" si="84">$M515*0.1</f>
        <v>1.0000000000000002E-2</v>
      </c>
      <c r="Y515" s="13">
        <f t="shared" ref="Y515:Y578" si="85">$M515*0.2</f>
        <v>2.0000000000000004E-2</v>
      </c>
      <c r="Z515" s="13">
        <f t="shared" ref="Z515:Z578" si="86">$M515*0.3</f>
        <v>0.03</v>
      </c>
      <c r="AA515" s="13">
        <f t="shared" si="83"/>
        <v>-3</v>
      </c>
    </row>
    <row r="516" spans="1:27" x14ac:dyDescent="0.25">
      <c r="A516" s="35">
        <v>45918.721608796295</v>
      </c>
      <c r="B516" s="36">
        <v>443491857</v>
      </c>
      <c r="C516" s="37" t="s">
        <v>36</v>
      </c>
      <c r="D516" s="37" t="s">
        <v>39</v>
      </c>
      <c r="E516" s="37" t="s">
        <v>38</v>
      </c>
      <c r="F516" s="38">
        <v>3639.36</v>
      </c>
      <c r="G516" s="38">
        <v>3639.08</v>
      </c>
      <c r="H516" s="38">
        <v>3636.35</v>
      </c>
      <c r="I516" s="37" t="s">
        <v>746</v>
      </c>
      <c r="J516" s="38">
        <v>3639.26</v>
      </c>
      <c r="K516" s="38">
        <v>0</v>
      </c>
      <c r="L516" s="38">
        <v>0</v>
      </c>
      <c r="M516" s="39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40">
        <v>45918.721608796295</v>
      </c>
      <c r="B517" s="41">
        <v>443491860</v>
      </c>
      <c r="C517" s="42" t="s">
        <v>36</v>
      </c>
      <c r="D517" s="42" t="s">
        <v>39</v>
      </c>
      <c r="E517" s="42" t="s">
        <v>38</v>
      </c>
      <c r="F517" s="43">
        <v>3639.35</v>
      </c>
      <c r="G517" s="43">
        <v>3639.25</v>
      </c>
      <c r="H517" s="43">
        <v>3635.85</v>
      </c>
      <c r="I517" s="42" t="s">
        <v>746</v>
      </c>
      <c r="J517" s="43">
        <v>3639.26</v>
      </c>
      <c r="K517" s="43">
        <v>0</v>
      </c>
      <c r="L517" s="43">
        <v>0</v>
      </c>
      <c r="M517" s="44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35">
        <v>45918.722881944443</v>
      </c>
      <c r="B518" s="36">
        <v>443493132</v>
      </c>
      <c r="C518" s="37" t="s">
        <v>36</v>
      </c>
      <c r="D518" s="37" t="s">
        <v>39</v>
      </c>
      <c r="E518" s="37" t="s">
        <v>38</v>
      </c>
      <c r="F518" s="38">
        <v>3638.8</v>
      </c>
      <c r="G518" s="38">
        <v>3641.71</v>
      </c>
      <c r="H518" s="38">
        <v>3637.21</v>
      </c>
      <c r="I518" s="37" t="s">
        <v>747</v>
      </c>
      <c r="J518" s="38">
        <v>3637.11</v>
      </c>
      <c r="K518" s="38">
        <v>0</v>
      </c>
      <c r="L518" s="38">
        <v>0</v>
      </c>
      <c r="M518" s="39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40">
        <v>45918.724386574075</v>
      </c>
      <c r="B519" s="41">
        <v>443494828</v>
      </c>
      <c r="C519" s="42" t="s">
        <v>36</v>
      </c>
      <c r="D519" s="42" t="s">
        <v>39</v>
      </c>
      <c r="E519" s="42" t="s">
        <v>38</v>
      </c>
      <c r="F519" s="43">
        <v>3636.64</v>
      </c>
      <c r="G519" s="43">
        <v>3636.41</v>
      </c>
      <c r="H519" s="43">
        <v>3633.22</v>
      </c>
      <c r="I519" s="42" t="s">
        <v>748</v>
      </c>
      <c r="J519" s="43">
        <v>3636.44</v>
      </c>
      <c r="K519" s="43">
        <v>0</v>
      </c>
      <c r="L519" s="43">
        <v>0</v>
      </c>
      <c r="M519" s="44">
        <v>0.2</v>
      </c>
      <c r="N519" s="10" t="str">
        <f t="shared" si="78"/>
        <v>W</v>
      </c>
      <c r="O519" s="11">
        <f t="shared" si="79"/>
        <v>45918</v>
      </c>
      <c r="P519" s="12" t="str">
        <f t="shared" si="80"/>
        <v>17</v>
      </c>
      <c r="Q519" s="13" t="str">
        <f>VLOOKUP($B519,Deals_Demo!$H:$N,7,0)</f>
        <v>strategy_17_demo</v>
      </c>
      <c r="R519" s="13" t="str">
        <f t="shared" si="81"/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si="82"/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si="83"/>
        <v>-3</v>
      </c>
    </row>
    <row r="520" spans="1:27" x14ac:dyDescent="0.25">
      <c r="A520" s="35">
        <v>45918.724386574075</v>
      </c>
      <c r="B520" s="36">
        <v>443494833</v>
      </c>
      <c r="C520" s="37" t="s">
        <v>36</v>
      </c>
      <c r="D520" s="37" t="s">
        <v>39</v>
      </c>
      <c r="E520" s="37" t="s">
        <v>38</v>
      </c>
      <c r="F520" s="38">
        <v>3636.64</v>
      </c>
      <c r="G520" s="38">
        <v>3636.43</v>
      </c>
      <c r="H520" s="37"/>
      <c r="I520" s="37" t="s">
        <v>748</v>
      </c>
      <c r="J520" s="38">
        <v>3636.44</v>
      </c>
      <c r="K520" s="38">
        <v>0</v>
      </c>
      <c r="L520" s="38">
        <v>0</v>
      </c>
      <c r="M520" s="39">
        <v>0.2</v>
      </c>
      <c r="N520" s="10" t="str">
        <f t="shared" si="78"/>
        <v>W</v>
      </c>
      <c r="O520" s="11">
        <f t="shared" si="79"/>
        <v>45918</v>
      </c>
      <c r="P520" s="12" t="str">
        <f t="shared" si="80"/>
        <v>17</v>
      </c>
      <c r="Q520" s="13" t="str">
        <f>VLOOKUP($B520,Deals_Demo!$H:$N,7,0)</f>
        <v>strategy_18_demo</v>
      </c>
      <c r="R520" s="13" t="str">
        <f t="shared" si="81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82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83"/>
        <v>-3</v>
      </c>
    </row>
    <row r="521" spans="1:27" x14ac:dyDescent="0.25">
      <c r="A521" s="40">
        <v>45918.72519675926</v>
      </c>
      <c r="B521" s="41">
        <v>443495717</v>
      </c>
      <c r="C521" s="42" t="s">
        <v>36</v>
      </c>
      <c r="D521" s="42" t="s">
        <v>39</v>
      </c>
      <c r="E521" s="42" t="s">
        <v>38</v>
      </c>
      <c r="F521" s="43">
        <v>3636.46</v>
      </c>
      <c r="G521" s="43">
        <v>3635.81</v>
      </c>
      <c r="H521" s="42"/>
      <c r="I521" s="42" t="s">
        <v>749</v>
      </c>
      <c r="J521" s="43">
        <v>3635.83</v>
      </c>
      <c r="K521" s="43">
        <v>0</v>
      </c>
      <c r="L521" s="43">
        <v>0</v>
      </c>
      <c r="M521" s="44">
        <v>0.63</v>
      </c>
      <c r="N521" s="10" t="str">
        <f t="shared" si="78"/>
        <v>W</v>
      </c>
      <c r="O521" s="11">
        <f t="shared" si="79"/>
        <v>45918</v>
      </c>
      <c r="P521" s="12" t="str">
        <f t="shared" si="80"/>
        <v>17</v>
      </c>
      <c r="Q521" s="13" t="str">
        <f>VLOOKUP($B521,Deals_Demo!$H:$N,7,0)</f>
        <v>strategy_18_demo</v>
      </c>
      <c r="R521" s="13" t="str">
        <f t="shared" si="81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82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83"/>
        <v>-3</v>
      </c>
    </row>
    <row r="522" spans="1:27" x14ac:dyDescent="0.25">
      <c r="A522" s="35">
        <v>45918.72519675926</v>
      </c>
      <c r="B522" s="36">
        <v>443495721</v>
      </c>
      <c r="C522" s="37" t="s">
        <v>36</v>
      </c>
      <c r="D522" s="37" t="s">
        <v>39</v>
      </c>
      <c r="E522" s="37" t="s">
        <v>38</v>
      </c>
      <c r="F522" s="38">
        <v>3636.46</v>
      </c>
      <c r="G522" s="38">
        <v>3635.81</v>
      </c>
      <c r="H522" s="38">
        <v>3632.96</v>
      </c>
      <c r="I522" s="37" t="s">
        <v>749</v>
      </c>
      <c r="J522" s="38">
        <v>3635.83</v>
      </c>
      <c r="K522" s="38">
        <v>0</v>
      </c>
      <c r="L522" s="38">
        <v>0</v>
      </c>
      <c r="M522" s="39">
        <v>0.63</v>
      </c>
      <c r="N522" s="10" t="str">
        <f t="shared" si="78"/>
        <v>W</v>
      </c>
      <c r="O522" s="11">
        <f t="shared" si="79"/>
        <v>45918</v>
      </c>
      <c r="P522" s="12" t="str">
        <f t="shared" si="80"/>
        <v>17</v>
      </c>
      <c r="Q522" s="13" t="str">
        <f>VLOOKUP($B522,Deals_Demo!$H:$N,7,0)</f>
        <v>strategy_17_demo</v>
      </c>
      <c r="R522" s="13" t="str">
        <f t="shared" si="81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82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83"/>
        <v>-3</v>
      </c>
    </row>
    <row r="523" spans="1:27" x14ac:dyDescent="0.25">
      <c r="A523" s="40">
        <v>45918.725775462961</v>
      </c>
      <c r="B523" s="41">
        <v>443496531</v>
      </c>
      <c r="C523" s="42" t="s">
        <v>36</v>
      </c>
      <c r="D523" s="42" t="s">
        <v>39</v>
      </c>
      <c r="E523" s="42" t="s">
        <v>38</v>
      </c>
      <c r="F523" s="43">
        <v>3636.28</v>
      </c>
      <c r="G523" s="43">
        <v>3639.28</v>
      </c>
      <c r="H523" s="43">
        <v>3632.78</v>
      </c>
      <c r="I523" s="42" t="s">
        <v>750</v>
      </c>
      <c r="J523" s="43">
        <v>3639.29</v>
      </c>
      <c r="K523" s="43">
        <v>0</v>
      </c>
      <c r="L523" s="43">
        <v>0</v>
      </c>
      <c r="M523" s="44">
        <v>-3.01</v>
      </c>
      <c r="N523" s="10" t="str">
        <f t="shared" si="78"/>
        <v>L</v>
      </c>
      <c r="O523" s="11">
        <f t="shared" si="79"/>
        <v>45918</v>
      </c>
      <c r="P523" s="12" t="str">
        <f t="shared" si="80"/>
        <v>17</v>
      </c>
      <c r="Q523" s="13" t="str">
        <f>VLOOKUP($B523,Deals_Demo!$H:$N,7,0)</f>
        <v>strategy_17_demo</v>
      </c>
      <c r="R523" s="13" t="str">
        <f t="shared" si="81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82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83"/>
        <v>-3</v>
      </c>
    </row>
    <row r="524" spans="1:27" x14ac:dyDescent="0.25">
      <c r="A524" s="35">
        <v>45918.725775462961</v>
      </c>
      <c r="B524" s="36">
        <v>443496539</v>
      </c>
      <c r="C524" s="37" t="s">
        <v>36</v>
      </c>
      <c r="D524" s="37" t="s">
        <v>39</v>
      </c>
      <c r="E524" s="37" t="s">
        <v>38</v>
      </c>
      <c r="F524" s="38">
        <v>3636.47</v>
      </c>
      <c r="G524" s="38">
        <v>3639.28</v>
      </c>
      <c r="H524" s="37"/>
      <c r="I524" s="37" t="s">
        <v>750</v>
      </c>
      <c r="J524" s="38">
        <v>3639.29</v>
      </c>
      <c r="K524" s="38">
        <v>0</v>
      </c>
      <c r="L524" s="38">
        <v>0</v>
      </c>
      <c r="M524" s="39">
        <v>-2.82</v>
      </c>
      <c r="N524" s="10" t="str">
        <f t="shared" si="78"/>
        <v>L</v>
      </c>
      <c r="O524" s="11">
        <f t="shared" si="79"/>
        <v>45918</v>
      </c>
      <c r="P524" s="12" t="str">
        <f t="shared" si="80"/>
        <v>17</v>
      </c>
      <c r="Q524" s="13" t="str">
        <f>VLOOKUP($B524,Deals_Demo!$H:$N,7,0)</f>
        <v>strategy_18_demo</v>
      </c>
      <c r="R524" s="13" t="str">
        <f t="shared" si="81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82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83"/>
        <v>-3</v>
      </c>
    </row>
    <row r="525" spans="1:27" x14ac:dyDescent="0.25">
      <c r="A525" s="40">
        <v>45918.725995370369</v>
      </c>
      <c r="B525" s="41">
        <v>443496838</v>
      </c>
      <c r="C525" s="42" t="s">
        <v>36</v>
      </c>
      <c r="D525" s="42" t="s">
        <v>39</v>
      </c>
      <c r="E525" s="42" t="s">
        <v>38</v>
      </c>
      <c r="F525" s="43">
        <v>3636.78</v>
      </c>
      <c r="G525" s="43">
        <v>3639.81</v>
      </c>
      <c r="H525" s="43">
        <v>3635.31</v>
      </c>
      <c r="I525" s="42" t="s">
        <v>751</v>
      </c>
      <c r="J525" s="43">
        <v>3635.17</v>
      </c>
      <c r="K525" s="43">
        <v>0</v>
      </c>
      <c r="L525" s="43">
        <v>0</v>
      </c>
      <c r="M525" s="44">
        <v>1.61</v>
      </c>
      <c r="N525" s="10" t="str">
        <f t="shared" si="78"/>
        <v>W</v>
      </c>
      <c r="O525" s="11">
        <f t="shared" si="79"/>
        <v>45918</v>
      </c>
      <c r="P525" s="12" t="str">
        <f t="shared" si="80"/>
        <v>17</v>
      </c>
      <c r="Q525" s="13" t="str">
        <f>VLOOKUP($B525,Deals_Demo!$H:$N,7,0)</f>
        <v>strategy_14_demo</v>
      </c>
      <c r="R525" s="13" t="str">
        <f t="shared" si="81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82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83"/>
        <v>-3</v>
      </c>
    </row>
    <row r="526" spans="1:27" x14ac:dyDescent="0.25">
      <c r="A526" s="35">
        <v>45918.726006944446</v>
      </c>
      <c r="B526" s="36">
        <v>443496841</v>
      </c>
      <c r="C526" s="37" t="s">
        <v>36</v>
      </c>
      <c r="D526" s="37" t="s">
        <v>39</v>
      </c>
      <c r="E526" s="37" t="s">
        <v>38</v>
      </c>
      <c r="F526" s="38">
        <v>3636.79</v>
      </c>
      <c r="G526" s="38">
        <v>3638.28</v>
      </c>
      <c r="H526" s="38">
        <v>3635.28</v>
      </c>
      <c r="I526" s="37" t="s">
        <v>751</v>
      </c>
      <c r="J526" s="38">
        <v>3635.17</v>
      </c>
      <c r="K526" s="38">
        <v>0</v>
      </c>
      <c r="L526" s="38">
        <v>0</v>
      </c>
      <c r="M526" s="39">
        <v>1.62</v>
      </c>
      <c r="N526" s="10" t="str">
        <f t="shared" si="78"/>
        <v>W</v>
      </c>
      <c r="O526" s="11">
        <f t="shared" si="79"/>
        <v>45918</v>
      </c>
      <c r="P526" s="12" t="str">
        <f t="shared" si="80"/>
        <v>17</v>
      </c>
      <c r="Q526" s="13" t="str">
        <f>VLOOKUP($B526,Deals_Demo!$H:$N,7,0)</f>
        <v>strategy_15_demo</v>
      </c>
      <c r="R526" s="13" t="str">
        <f t="shared" si="81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82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83"/>
        <v>-3</v>
      </c>
    </row>
    <row r="527" spans="1:27" x14ac:dyDescent="0.25">
      <c r="A527" s="40">
        <v>45918.726006944446</v>
      </c>
      <c r="B527" s="41">
        <v>443496843</v>
      </c>
      <c r="C527" s="42" t="s">
        <v>36</v>
      </c>
      <c r="D527" s="42" t="s">
        <v>39</v>
      </c>
      <c r="E527" s="42" t="s">
        <v>38</v>
      </c>
      <c r="F527" s="43">
        <v>3636.75</v>
      </c>
      <c r="G527" s="43">
        <v>3639.78</v>
      </c>
      <c r="H527" s="43">
        <v>3635.28</v>
      </c>
      <c r="I527" s="42" t="s">
        <v>751</v>
      </c>
      <c r="J527" s="43">
        <v>3635.17</v>
      </c>
      <c r="K527" s="43">
        <v>0</v>
      </c>
      <c r="L527" s="43">
        <v>0</v>
      </c>
      <c r="M527" s="44">
        <v>1.58</v>
      </c>
      <c r="N527" s="10" t="str">
        <f t="shared" si="78"/>
        <v>W</v>
      </c>
      <c r="O527" s="11">
        <f t="shared" si="79"/>
        <v>45918</v>
      </c>
      <c r="P527" s="12" t="str">
        <f t="shared" si="80"/>
        <v>17</v>
      </c>
      <c r="Q527" s="13" t="str">
        <f>VLOOKUP($B527,Deals_Demo!$H:$N,7,0)</f>
        <v>strategy_12_demo</v>
      </c>
      <c r="R527" s="13" t="str">
        <f t="shared" si="81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82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83"/>
        <v>-3</v>
      </c>
    </row>
    <row r="528" spans="1:27" x14ac:dyDescent="0.25">
      <c r="A528" s="35">
        <v>45918.726006944446</v>
      </c>
      <c r="B528" s="36">
        <v>443496846</v>
      </c>
      <c r="C528" s="37" t="s">
        <v>36</v>
      </c>
      <c r="D528" s="37" t="s">
        <v>39</v>
      </c>
      <c r="E528" s="37" t="s">
        <v>38</v>
      </c>
      <c r="F528" s="38">
        <v>3636.42</v>
      </c>
      <c r="G528" s="38">
        <v>3639.78</v>
      </c>
      <c r="H528" s="38">
        <v>3633.28</v>
      </c>
      <c r="I528" s="37" t="s">
        <v>752</v>
      </c>
      <c r="J528" s="38">
        <v>3639.81</v>
      </c>
      <c r="K528" s="38">
        <v>0</v>
      </c>
      <c r="L528" s="38">
        <v>0</v>
      </c>
      <c r="M528" s="39">
        <v>-3.39</v>
      </c>
      <c r="N528" s="10" t="str">
        <f t="shared" si="78"/>
        <v>L</v>
      </c>
      <c r="O528" s="11">
        <f t="shared" si="79"/>
        <v>45918</v>
      </c>
      <c r="P528" s="12" t="str">
        <f t="shared" si="80"/>
        <v>17</v>
      </c>
      <c r="Q528" s="13" t="str">
        <f>VLOOKUP($B528,Deals_Demo!$H:$N,7,0)</f>
        <v>strategy_16_demo</v>
      </c>
      <c r="R528" s="13" t="str">
        <f t="shared" si="81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82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83"/>
        <v>-3</v>
      </c>
    </row>
    <row r="529" spans="1:27" x14ac:dyDescent="0.25">
      <c r="A529" s="40">
        <v>45918.726006944446</v>
      </c>
      <c r="B529" s="41">
        <v>443496850</v>
      </c>
      <c r="C529" s="42" t="s">
        <v>36</v>
      </c>
      <c r="D529" s="42" t="s">
        <v>39</v>
      </c>
      <c r="E529" s="42" t="s">
        <v>38</v>
      </c>
      <c r="F529" s="43">
        <v>3636.32</v>
      </c>
      <c r="G529" s="43">
        <v>3639.28</v>
      </c>
      <c r="H529" s="43">
        <v>3633.78</v>
      </c>
      <c r="I529" s="42" t="s">
        <v>750</v>
      </c>
      <c r="J529" s="43">
        <v>3639.29</v>
      </c>
      <c r="K529" s="43">
        <v>0</v>
      </c>
      <c r="L529" s="43">
        <v>0</v>
      </c>
      <c r="M529" s="44">
        <v>-2.97</v>
      </c>
      <c r="N529" s="10" t="str">
        <f t="shared" si="78"/>
        <v>L</v>
      </c>
      <c r="O529" s="11">
        <f t="shared" si="79"/>
        <v>45918</v>
      </c>
      <c r="P529" s="12" t="str">
        <f t="shared" si="80"/>
        <v>17</v>
      </c>
      <c r="Q529" s="13" t="str">
        <f>VLOOKUP($B529,Deals_Demo!$H:$N,7,0)</f>
        <v>strategy_10_demo</v>
      </c>
      <c r="R529" s="13" t="str">
        <f t="shared" si="81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82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83"/>
        <v>-3</v>
      </c>
    </row>
    <row r="530" spans="1:27" x14ac:dyDescent="0.25">
      <c r="A530" s="35">
        <v>45918.726018518515</v>
      </c>
      <c r="B530" s="36">
        <v>443496855</v>
      </c>
      <c r="C530" s="37" t="s">
        <v>36</v>
      </c>
      <c r="D530" s="37" t="s">
        <v>39</v>
      </c>
      <c r="E530" s="37" t="s">
        <v>38</v>
      </c>
      <c r="F530" s="38">
        <v>3636.29</v>
      </c>
      <c r="G530" s="38">
        <v>3639.78</v>
      </c>
      <c r="H530" s="38">
        <v>3633.28</v>
      </c>
      <c r="I530" s="37" t="s">
        <v>752</v>
      </c>
      <c r="J530" s="38">
        <v>3639.81</v>
      </c>
      <c r="K530" s="38">
        <v>0</v>
      </c>
      <c r="L530" s="38">
        <v>0</v>
      </c>
      <c r="M530" s="39">
        <v>-3.52</v>
      </c>
      <c r="N530" s="10" t="str">
        <f t="shared" si="78"/>
        <v>L</v>
      </c>
      <c r="O530" s="11">
        <f t="shared" si="79"/>
        <v>45918</v>
      </c>
      <c r="P530" s="12" t="str">
        <f t="shared" si="80"/>
        <v>17</v>
      </c>
      <c r="Q530" s="13" t="str">
        <f>VLOOKUP($B530,Deals_Demo!$H:$N,7,0)</f>
        <v>strategy_11_demo</v>
      </c>
      <c r="R530" s="13" t="str">
        <f t="shared" si="81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82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83"/>
        <v>-3</v>
      </c>
    </row>
    <row r="531" spans="1:27" x14ac:dyDescent="0.25">
      <c r="A531" s="40">
        <v>45918.726018518515</v>
      </c>
      <c r="B531" s="41">
        <v>443496862</v>
      </c>
      <c r="C531" s="42" t="s">
        <v>36</v>
      </c>
      <c r="D531" s="42" t="s">
        <v>39</v>
      </c>
      <c r="E531" s="42" t="s">
        <v>38</v>
      </c>
      <c r="F531" s="43">
        <v>3636.35</v>
      </c>
      <c r="G531" s="43">
        <v>3639.78</v>
      </c>
      <c r="H531" s="43">
        <v>3633.78</v>
      </c>
      <c r="I531" s="42" t="s">
        <v>752</v>
      </c>
      <c r="J531" s="43">
        <v>3639.81</v>
      </c>
      <c r="K531" s="43">
        <v>0</v>
      </c>
      <c r="L531" s="43">
        <v>0</v>
      </c>
      <c r="M531" s="44">
        <v>-3.46</v>
      </c>
      <c r="N531" s="10" t="str">
        <f t="shared" si="78"/>
        <v>L</v>
      </c>
      <c r="O531" s="11">
        <f t="shared" si="79"/>
        <v>45918</v>
      </c>
      <c r="P531" s="12" t="str">
        <f t="shared" si="80"/>
        <v>17</v>
      </c>
      <c r="Q531" s="13" t="str">
        <f>VLOOKUP($B531,Deals_Demo!$H:$N,7,0)</f>
        <v>strategy_09_demo</v>
      </c>
      <c r="R531" s="13" t="str">
        <f t="shared" si="81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82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83"/>
        <v>-3</v>
      </c>
    </row>
    <row r="532" spans="1:27" x14ac:dyDescent="0.25">
      <c r="A532" s="35">
        <v>45918.729004629633</v>
      </c>
      <c r="B532" s="36">
        <v>443499117</v>
      </c>
      <c r="C532" s="37" t="s">
        <v>36</v>
      </c>
      <c r="D532" s="37" t="s">
        <v>39</v>
      </c>
      <c r="E532" s="37" t="s">
        <v>38</v>
      </c>
      <c r="F532" s="38">
        <v>3636.36</v>
      </c>
      <c r="G532" s="38">
        <v>3639.38</v>
      </c>
      <c r="H532" s="38">
        <v>3634.88</v>
      </c>
      <c r="I532" s="37" t="s">
        <v>753</v>
      </c>
      <c r="J532" s="38">
        <v>3639.38</v>
      </c>
      <c r="K532" s="38">
        <v>0</v>
      </c>
      <c r="L532" s="38">
        <v>0</v>
      </c>
      <c r="M532" s="39">
        <v>-3.02</v>
      </c>
      <c r="N532" s="10" t="str">
        <f t="shared" si="78"/>
        <v>L</v>
      </c>
      <c r="O532" s="11">
        <f t="shared" si="79"/>
        <v>45918</v>
      </c>
      <c r="P532" s="12" t="str">
        <f t="shared" si="80"/>
        <v>17</v>
      </c>
      <c r="Q532" s="13" t="str">
        <f>VLOOKUP($B532,Deals_Demo!$H:$N,7,0)</f>
        <v>strategy_12_demo</v>
      </c>
      <c r="R532" s="13" t="str">
        <f t="shared" si="81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82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83"/>
        <v>-3</v>
      </c>
    </row>
    <row r="533" spans="1:27" x14ac:dyDescent="0.25">
      <c r="A533" s="40">
        <v>45918.729351851849</v>
      </c>
      <c r="B533" s="41">
        <v>443499544</v>
      </c>
      <c r="C533" s="42" t="s">
        <v>36</v>
      </c>
      <c r="D533" s="42" t="s">
        <v>39</v>
      </c>
      <c r="E533" s="42" t="s">
        <v>38</v>
      </c>
      <c r="F533" s="43">
        <v>3636.8</v>
      </c>
      <c r="G533" s="43">
        <v>3639.83</v>
      </c>
      <c r="H533" s="43">
        <v>3633.33</v>
      </c>
      <c r="I533" s="42" t="s">
        <v>754</v>
      </c>
      <c r="J533" s="43">
        <v>3639.83</v>
      </c>
      <c r="K533" s="43">
        <v>0</v>
      </c>
      <c r="L533" s="43">
        <v>0</v>
      </c>
      <c r="M533" s="44">
        <v>-3.03</v>
      </c>
      <c r="N533" s="10" t="str">
        <f t="shared" si="78"/>
        <v>L</v>
      </c>
      <c r="O533" s="11">
        <f t="shared" si="79"/>
        <v>45918</v>
      </c>
      <c r="P533" s="12" t="str">
        <f t="shared" si="80"/>
        <v>17</v>
      </c>
      <c r="Q533" s="13" t="str">
        <f>VLOOKUP($B533,Deals_Demo!$H:$N,7,0)</f>
        <v>strategy_08_demo</v>
      </c>
      <c r="R533" s="13" t="str">
        <f t="shared" si="81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82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83"/>
        <v>-3</v>
      </c>
    </row>
    <row r="534" spans="1:27" x14ac:dyDescent="0.25">
      <c r="A534" s="35">
        <v>45918.729363425926</v>
      </c>
      <c r="B534" s="36">
        <v>443499547</v>
      </c>
      <c r="C534" s="37" t="s">
        <v>36</v>
      </c>
      <c r="D534" s="37" t="s">
        <v>39</v>
      </c>
      <c r="E534" s="37" t="s">
        <v>38</v>
      </c>
      <c r="F534" s="38">
        <v>3636.8</v>
      </c>
      <c r="G534" s="38">
        <v>3639.8</v>
      </c>
      <c r="H534" s="38">
        <v>3633.3</v>
      </c>
      <c r="I534" s="37" t="s">
        <v>752</v>
      </c>
      <c r="J534" s="38">
        <v>3639.81</v>
      </c>
      <c r="K534" s="38">
        <v>0</v>
      </c>
      <c r="L534" s="38">
        <v>0</v>
      </c>
      <c r="M534" s="39">
        <v>-3.01</v>
      </c>
      <c r="N534" s="10" t="str">
        <f t="shared" si="78"/>
        <v>L</v>
      </c>
      <c r="O534" s="11">
        <f t="shared" si="79"/>
        <v>45918</v>
      </c>
      <c r="P534" s="12" t="str">
        <f t="shared" si="80"/>
        <v>17</v>
      </c>
      <c r="Q534" s="13" t="str">
        <f>VLOOKUP($B534,Deals_Demo!$H:$N,7,0)</f>
        <v>strategy_13_demo</v>
      </c>
      <c r="R534" s="13" t="str">
        <f t="shared" si="81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82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83"/>
        <v>-3</v>
      </c>
    </row>
    <row r="535" spans="1:27" x14ac:dyDescent="0.25">
      <c r="A535" s="40">
        <v>45918.736527777779</v>
      </c>
      <c r="B535" s="41">
        <v>443506618</v>
      </c>
      <c r="C535" s="42" t="s">
        <v>36</v>
      </c>
      <c r="D535" s="42" t="s">
        <v>37</v>
      </c>
      <c r="E535" s="42" t="s">
        <v>38</v>
      </c>
      <c r="F535" s="43">
        <v>3642.66</v>
      </c>
      <c r="G535" s="43">
        <v>3644.63</v>
      </c>
      <c r="H535" s="43">
        <v>3646.16</v>
      </c>
      <c r="I535" s="42" t="s">
        <v>755</v>
      </c>
      <c r="J535" s="43">
        <v>3646.2</v>
      </c>
      <c r="K535" s="43">
        <v>0</v>
      </c>
      <c r="L535" s="43">
        <v>0</v>
      </c>
      <c r="M535" s="44">
        <v>3.54</v>
      </c>
      <c r="N535" s="10" t="str">
        <f t="shared" si="78"/>
        <v>W</v>
      </c>
      <c r="O535" s="11">
        <f t="shared" si="79"/>
        <v>45918</v>
      </c>
      <c r="P535" s="12" t="str">
        <f t="shared" si="80"/>
        <v>17</v>
      </c>
      <c r="Q535" s="13" t="str">
        <f>VLOOKUP($B535,Deals_Demo!$H:$N,7,0)</f>
        <v>strategy_17_demo</v>
      </c>
      <c r="R535" s="13" t="str">
        <f t="shared" si="81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82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83"/>
        <v>3.54</v>
      </c>
    </row>
    <row r="536" spans="1:27" x14ac:dyDescent="0.25">
      <c r="A536" s="35">
        <v>45918.736539351848</v>
      </c>
      <c r="B536" s="36">
        <v>443506620</v>
      </c>
      <c r="C536" s="37" t="s">
        <v>36</v>
      </c>
      <c r="D536" s="37" t="s">
        <v>37</v>
      </c>
      <c r="E536" s="37" t="s">
        <v>38</v>
      </c>
      <c r="F536" s="38">
        <v>3642.69</v>
      </c>
      <c r="G536" s="38">
        <v>3645.41</v>
      </c>
      <c r="H536" s="37"/>
      <c r="I536" s="37" t="s">
        <v>756</v>
      </c>
      <c r="J536" s="38">
        <v>3645.41</v>
      </c>
      <c r="K536" s="38">
        <v>0</v>
      </c>
      <c r="L536" s="38">
        <v>0</v>
      </c>
      <c r="M536" s="39">
        <v>2.72</v>
      </c>
      <c r="N536" s="10" t="str">
        <f t="shared" si="78"/>
        <v>W</v>
      </c>
      <c r="O536" s="11">
        <f t="shared" si="79"/>
        <v>45918</v>
      </c>
      <c r="P536" s="12" t="str">
        <f t="shared" si="80"/>
        <v>17</v>
      </c>
      <c r="Q536" s="13" t="str">
        <f>VLOOKUP($B536,Deals_Demo!$H:$N,7,0)</f>
        <v>strategy_18_demo</v>
      </c>
      <c r="R536" s="13" t="str">
        <f t="shared" si="81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82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83"/>
        <v>-3</v>
      </c>
    </row>
    <row r="537" spans="1:27" x14ac:dyDescent="0.25">
      <c r="A537" s="40">
        <v>45918.738032407404</v>
      </c>
      <c r="B537" s="41">
        <v>443507805</v>
      </c>
      <c r="C537" s="42" t="s">
        <v>36</v>
      </c>
      <c r="D537" s="42" t="s">
        <v>37</v>
      </c>
      <c r="E537" s="42" t="s">
        <v>38</v>
      </c>
      <c r="F537" s="43">
        <v>3641.93</v>
      </c>
      <c r="G537" s="43">
        <v>3640.4</v>
      </c>
      <c r="H537" s="43">
        <v>3643.4</v>
      </c>
      <c r="I537" s="42" t="s">
        <v>757</v>
      </c>
      <c r="J537" s="43">
        <v>3643.4</v>
      </c>
      <c r="K537" s="43">
        <v>0</v>
      </c>
      <c r="L537" s="43">
        <v>0</v>
      </c>
      <c r="M537" s="44">
        <v>1.47</v>
      </c>
      <c r="N537" s="10" t="str">
        <f t="shared" si="78"/>
        <v>W</v>
      </c>
      <c r="O537" s="11">
        <f t="shared" si="79"/>
        <v>45918</v>
      </c>
      <c r="P537" s="12" t="str">
        <f t="shared" si="80"/>
        <v>17</v>
      </c>
      <c r="Q537" s="13" t="str">
        <f>VLOOKUP($B537,Deals_Demo!$H:$N,7,0)</f>
        <v>strategy_15_demo</v>
      </c>
      <c r="R537" s="13" t="str">
        <f t="shared" si="81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82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83"/>
        <v>-3</v>
      </c>
    </row>
    <row r="538" spans="1:27" x14ac:dyDescent="0.25">
      <c r="A538" s="35">
        <v>45918.738043981481</v>
      </c>
      <c r="B538" s="36">
        <v>443507807</v>
      </c>
      <c r="C538" s="37" t="s">
        <v>36</v>
      </c>
      <c r="D538" s="37" t="s">
        <v>37</v>
      </c>
      <c r="E538" s="37" t="s">
        <v>38</v>
      </c>
      <c r="F538" s="38">
        <v>3641.9</v>
      </c>
      <c r="G538" s="38">
        <v>3642.56</v>
      </c>
      <c r="H538" s="38">
        <v>3645.43</v>
      </c>
      <c r="I538" s="37" t="s">
        <v>758</v>
      </c>
      <c r="J538" s="38">
        <v>3645.48</v>
      </c>
      <c r="K538" s="38">
        <v>0</v>
      </c>
      <c r="L538" s="38">
        <v>0</v>
      </c>
      <c r="M538" s="39">
        <v>3.58</v>
      </c>
      <c r="N538" s="10" t="str">
        <f t="shared" si="78"/>
        <v>W</v>
      </c>
      <c r="O538" s="11">
        <f t="shared" si="79"/>
        <v>45918</v>
      </c>
      <c r="P538" s="12" t="str">
        <f t="shared" si="80"/>
        <v>17</v>
      </c>
      <c r="Q538" s="13" t="str">
        <f>VLOOKUP($B538,Deals_Demo!$H:$N,7,0)</f>
        <v>strategy_16_demo</v>
      </c>
      <c r="R538" s="13" t="str">
        <f t="shared" si="81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82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83"/>
        <v>3.58</v>
      </c>
    </row>
    <row r="539" spans="1:27" x14ac:dyDescent="0.25">
      <c r="A539" s="40">
        <v>45918.738043981481</v>
      </c>
      <c r="B539" s="41">
        <v>443507809</v>
      </c>
      <c r="C539" s="42" t="s">
        <v>36</v>
      </c>
      <c r="D539" s="42" t="s">
        <v>37</v>
      </c>
      <c r="E539" s="42" t="s">
        <v>38</v>
      </c>
      <c r="F539" s="43">
        <v>3641.92</v>
      </c>
      <c r="G539" s="43">
        <v>3641.92</v>
      </c>
      <c r="H539" s="43">
        <v>3643.43</v>
      </c>
      <c r="I539" s="42" t="s">
        <v>759</v>
      </c>
      <c r="J539" s="43">
        <v>3643.43</v>
      </c>
      <c r="K539" s="43">
        <v>0</v>
      </c>
      <c r="L539" s="43">
        <v>0</v>
      </c>
      <c r="M539" s="44">
        <v>1.51</v>
      </c>
      <c r="N539" s="10" t="str">
        <f t="shared" si="78"/>
        <v>W</v>
      </c>
      <c r="O539" s="11">
        <f t="shared" si="79"/>
        <v>45918</v>
      </c>
      <c r="P539" s="12" t="str">
        <f t="shared" si="80"/>
        <v>17</v>
      </c>
      <c r="Q539" s="13" t="str">
        <f>VLOOKUP($B539,Deals_Demo!$H:$N,7,0)</f>
        <v>strategy_12_demo</v>
      </c>
      <c r="R539" s="13" t="str">
        <f t="shared" si="81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82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83"/>
        <v>-3</v>
      </c>
    </row>
    <row r="540" spans="1:27" x14ac:dyDescent="0.25">
      <c r="A540" s="35">
        <v>45918.738043981481</v>
      </c>
      <c r="B540" s="36">
        <v>443507811</v>
      </c>
      <c r="C540" s="37" t="s">
        <v>36</v>
      </c>
      <c r="D540" s="37" t="s">
        <v>37</v>
      </c>
      <c r="E540" s="37" t="s">
        <v>38</v>
      </c>
      <c r="F540" s="38">
        <v>3641.89</v>
      </c>
      <c r="G540" s="38">
        <v>3641.94</v>
      </c>
      <c r="H540" s="38">
        <v>3643.43</v>
      </c>
      <c r="I540" s="37" t="s">
        <v>759</v>
      </c>
      <c r="J540" s="38">
        <v>3643.43</v>
      </c>
      <c r="K540" s="38">
        <v>0</v>
      </c>
      <c r="L540" s="38">
        <v>0</v>
      </c>
      <c r="M540" s="39">
        <v>1.54</v>
      </c>
      <c r="N540" s="10" t="str">
        <f t="shared" si="78"/>
        <v>W</v>
      </c>
      <c r="O540" s="11">
        <f t="shared" si="79"/>
        <v>45918</v>
      </c>
      <c r="P540" s="12" t="str">
        <f t="shared" si="80"/>
        <v>17</v>
      </c>
      <c r="Q540" s="13" t="str">
        <f>VLOOKUP($B540,Deals_Demo!$H:$N,7,0)</f>
        <v>strategy_14_demo</v>
      </c>
      <c r="R540" s="13" t="str">
        <f t="shared" si="81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82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83"/>
        <v>-3</v>
      </c>
    </row>
    <row r="541" spans="1:27" x14ac:dyDescent="0.25">
      <c r="A541" s="40">
        <v>45918.738043981481</v>
      </c>
      <c r="B541" s="41">
        <v>443507814</v>
      </c>
      <c r="C541" s="42" t="s">
        <v>36</v>
      </c>
      <c r="D541" s="42" t="s">
        <v>37</v>
      </c>
      <c r="E541" s="42" t="s">
        <v>38</v>
      </c>
      <c r="F541" s="43">
        <v>3641.86</v>
      </c>
      <c r="G541" s="43">
        <v>3642.56</v>
      </c>
      <c r="H541" s="43">
        <v>3644.93</v>
      </c>
      <c r="I541" s="42" t="s">
        <v>758</v>
      </c>
      <c r="J541" s="43">
        <v>3644.94</v>
      </c>
      <c r="K541" s="43">
        <v>0</v>
      </c>
      <c r="L541" s="43">
        <v>0</v>
      </c>
      <c r="M541" s="44">
        <v>3.08</v>
      </c>
      <c r="N541" s="10" t="str">
        <f t="shared" si="78"/>
        <v>W</v>
      </c>
      <c r="O541" s="11">
        <f t="shared" si="79"/>
        <v>45918</v>
      </c>
      <c r="P541" s="12" t="str">
        <f t="shared" si="80"/>
        <v>17</v>
      </c>
      <c r="Q541" s="13" t="str">
        <f>VLOOKUP($B541,Deals_Demo!$H:$N,7,0)</f>
        <v>strategy_10_demo</v>
      </c>
      <c r="R541" s="13" t="str">
        <f t="shared" si="81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82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83"/>
        <v>3.08</v>
      </c>
    </row>
    <row r="542" spans="1:27" x14ac:dyDescent="0.25">
      <c r="A542" s="35">
        <v>45918.738055555557</v>
      </c>
      <c r="B542" s="36">
        <v>443507819</v>
      </c>
      <c r="C542" s="37" t="s">
        <v>36</v>
      </c>
      <c r="D542" s="37" t="s">
        <v>37</v>
      </c>
      <c r="E542" s="37" t="s">
        <v>38</v>
      </c>
      <c r="F542" s="38">
        <v>3641.87</v>
      </c>
      <c r="G542" s="38">
        <v>3642.55</v>
      </c>
      <c r="H542" s="38">
        <v>3644.93</v>
      </c>
      <c r="I542" s="37" t="s">
        <v>758</v>
      </c>
      <c r="J542" s="38">
        <v>3644.94</v>
      </c>
      <c r="K542" s="38">
        <v>0</v>
      </c>
      <c r="L542" s="38">
        <v>0</v>
      </c>
      <c r="M542" s="39">
        <v>3.07</v>
      </c>
      <c r="N542" s="10" t="str">
        <f t="shared" si="78"/>
        <v>W</v>
      </c>
      <c r="O542" s="11">
        <f t="shared" si="79"/>
        <v>45918</v>
      </c>
      <c r="P542" s="12" t="str">
        <f t="shared" si="80"/>
        <v>17</v>
      </c>
      <c r="Q542" s="13" t="str">
        <f>VLOOKUP($B542,Deals_Demo!$H:$N,7,0)</f>
        <v>strategy_09_demo</v>
      </c>
      <c r="R542" s="13" t="str">
        <f t="shared" si="81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82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83"/>
        <v>3.07</v>
      </c>
    </row>
    <row r="543" spans="1:27" x14ac:dyDescent="0.25">
      <c r="A543" s="40">
        <v>45918.738055555557</v>
      </c>
      <c r="B543" s="41">
        <v>443507820</v>
      </c>
      <c r="C543" s="42" t="s">
        <v>36</v>
      </c>
      <c r="D543" s="42" t="s">
        <v>37</v>
      </c>
      <c r="E543" s="42" t="s">
        <v>38</v>
      </c>
      <c r="F543" s="43">
        <v>3641.86</v>
      </c>
      <c r="G543" s="43">
        <v>3642.52</v>
      </c>
      <c r="H543" s="43">
        <v>3645.43</v>
      </c>
      <c r="I543" s="42" t="s">
        <v>758</v>
      </c>
      <c r="J543" s="43">
        <v>3645.48</v>
      </c>
      <c r="K543" s="43">
        <v>0</v>
      </c>
      <c r="L543" s="43">
        <v>0</v>
      </c>
      <c r="M543" s="44">
        <v>3.62</v>
      </c>
      <c r="N543" s="10" t="str">
        <f t="shared" si="78"/>
        <v>W</v>
      </c>
      <c r="O543" s="11">
        <f t="shared" si="79"/>
        <v>45918</v>
      </c>
      <c r="P543" s="12" t="str">
        <f t="shared" si="80"/>
        <v>17</v>
      </c>
      <c r="Q543" s="13" t="str">
        <f>VLOOKUP($B543,Deals_Demo!$H:$N,7,0)</f>
        <v>strategy_11_demo</v>
      </c>
      <c r="R543" s="13" t="str">
        <f t="shared" si="81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82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83"/>
        <v>3.62</v>
      </c>
    </row>
    <row r="544" spans="1:27" x14ac:dyDescent="0.25">
      <c r="A544" s="35">
        <v>45918.74</v>
      </c>
      <c r="B544" s="36">
        <v>443508965</v>
      </c>
      <c r="C544" s="37" t="s">
        <v>36</v>
      </c>
      <c r="D544" s="37" t="s">
        <v>39</v>
      </c>
      <c r="E544" s="37" t="s">
        <v>38</v>
      </c>
      <c r="F544" s="38">
        <v>3640.72</v>
      </c>
      <c r="G544" s="38">
        <v>3643.72</v>
      </c>
      <c r="H544" s="38">
        <v>3637.22</v>
      </c>
      <c r="I544" s="37" t="s">
        <v>760</v>
      </c>
      <c r="J544" s="38">
        <v>3643.73</v>
      </c>
      <c r="K544" s="38">
        <v>0</v>
      </c>
      <c r="L544" s="38">
        <v>0</v>
      </c>
      <c r="M544" s="39">
        <v>-3.01</v>
      </c>
      <c r="N544" s="10" t="str">
        <f t="shared" si="78"/>
        <v>L</v>
      </c>
      <c r="O544" s="11">
        <f t="shared" si="79"/>
        <v>45918</v>
      </c>
      <c r="P544" s="12" t="str">
        <f t="shared" si="80"/>
        <v>17</v>
      </c>
      <c r="Q544" s="13" t="str">
        <f>VLOOKUP($B544,Deals_Demo!$H:$N,7,0)</f>
        <v>strategy_08_demo</v>
      </c>
      <c r="R544" s="13" t="str">
        <f t="shared" si="81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82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83"/>
        <v>-3</v>
      </c>
    </row>
    <row r="545" spans="1:27" x14ac:dyDescent="0.25">
      <c r="A545" s="40">
        <v>45918.743009259262</v>
      </c>
      <c r="B545" s="41">
        <v>443511962</v>
      </c>
      <c r="C545" s="42" t="s">
        <v>36</v>
      </c>
      <c r="D545" s="42" t="s">
        <v>37</v>
      </c>
      <c r="E545" s="42" t="s">
        <v>38</v>
      </c>
      <c r="F545" s="43">
        <v>3645.31</v>
      </c>
      <c r="G545" s="43">
        <v>3642.33</v>
      </c>
      <c r="H545" s="43">
        <v>3648.83</v>
      </c>
      <c r="I545" s="42" t="s">
        <v>831</v>
      </c>
      <c r="J545" s="43">
        <v>3642.33</v>
      </c>
      <c r="K545" s="43">
        <v>0</v>
      </c>
      <c r="L545" s="43">
        <v>0</v>
      </c>
      <c r="M545" s="44">
        <v>-2.98</v>
      </c>
      <c r="N545" s="10" t="str">
        <f t="shared" ref="N545:N591" si="87">IF(M545&gt;0,"W",IF(M545&lt;0,"L","BE"))</f>
        <v>L</v>
      </c>
      <c r="O545" s="11">
        <f t="shared" ref="O545:O591" si="88">INT(LEFT(A545,10))</f>
        <v>45918</v>
      </c>
      <c r="P545" s="12" t="str">
        <f t="shared" ref="P545:P591" si="89">TEXT(A545,"hh")</f>
        <v>17</v>
      </c>
      <c r="Q545" s="13" t="str">
        <f>VLOOKUP($B545,Deals_Demo!$H:$N,7,0)</f>
        <v>strategy_17_demo</v>
      </c>
      <c r="R545" s="13" t="str">
        <f t="shared" ref="R545:R591" si="90">TEXT(O545,"ddd")</f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ref="U545:U591" si="91">TEXT(T545,"yyyy-mm-dd")</f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>
        <f t="shared" si="84"/>
        <v>-0.29799999999999999</v>
      </c>
      <c r="Y545" s="13">
        <f t="shared" si="85"/>
        <v>-0.59599999999999997</v>
      </c>
      <c r="Z545" s="13">
        <f t="shared" si="86"/>
        <v>-0.89400000000000002</v>
      </c>
      <c r="AA545" s="13">
        <f t="shared" ref="AA545:AA591" si="92">IF(M545&lt;2.9,-3,M545)</f>
        <v>-3</v>
      </c>
    </row>
    <row r="546" spans="1:27" x14ac:dyDescent="0.25">
      <c r="A546" s="35">
        <v>45918.743020833332</v>
      </c>
      <c r="B546" s="36">
        <v>443511969</v>
      </c>
      <c r="C546" s="37" t="s">
        <v>36</v>
      </c>
      <c r="D546" s="37" t="s">
        <v>37</v>
      </c>
      <c r="E546" s="37" t="s">
        <v>38</v>
      </c>
      <c r="F546" s="38">
        <v>3645.16</v>
      </c>
      <c r="G546" s="38">
        <v>3642.31</v>
      </c>
      <c r="H546" s="37"/>
      <c r="I546" s="37" t="s">
        <v>831</v>
      </c>
      <c r="J546" s="38">
        <v>3642.31</v>
      </c>
      <c r="K546" s="38">
        <v>0</v>
      </c>
      <c r="L546" s="38">
        <v>0</v>
      </c>
      <c r="M546" s="39">
        <v>-2.85</v>
      </c>
      <c r="N546" s="10" t="str">
        <f t="shared" si="87"/>
        <v>L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>
        <f t="shared" si="84"/>
        <v>-0.28500000000000003</v>
      </c>
      <c r="Y546" s="13">
        <f t="shared" si="85"/>
        <v>-0.57000000000000006</v>
      </c>
      <c r="Z546" s="13">
        <f t="shared" si="86"/>
        <v>-0.85499999999999998</v>
      </c>
      <c r="AA546" s="13">
        <f t="shared" si="92"/>
        <v>-3</v>
      </c>
    </row>
    <row r="547" spans="1:27" x14ac:dyDescent="0.25">
      <c r="A547" s="40">
        <v>45918.74659722222</v>
      </c>
      <c r="B547" s="41">
        <v>443515164</v>
      </c>
      <c r="C547" s="42" t="s">
        <v>36</v>
      </c>
      <c r="D547" s="42" t="s">
        <v>39</v>
      </c>
      <c r="E547" s="42" t="s">
        <v>38</v>
      </c>
      <c r="F547" s="43">
        <v>3641.9</v>
      </c>
      <c r="G547" s="43">
        <v>3640.63</v>
      </c>
      <c r="H547" s="42"/>
      <c r="I547" s="42" t="s">
        <v>832</v>
      </c>
      <c r="J547" s="43">
        <v>3640.64</v>
      </c>
      <c r="K547" s="43">
        <v>0</v>
      </c>
      <c r="L547" s="43">
        <v>0</v>
      </c>
      <c r="M547" s="44">
        <v>1.26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0.126</v>
      </c>
      <c r="Y547" s="13">
        <f t="shared" si="85"/>
        <v>0.252</v>
      </c>
      <c r="Z547" s="13">
        <f t="shared" si="86"/>
        <v>0.378</v>
      </c>
      <c r="AA547" s="13">
        <f t="shared" si="92"/>
        <v>-3</v>
      </c>
    </row>
    <row r="548" spans="1:27" x14ac:dyDescent="0.25">
      <c r="A548" s="35">
        <v>45918.746608796297</v>
      </c>
      <c r="B548" s="36">
        <v>443515166</v>
      </c>
      <c r="C548" s="37" t="s">
        <v>36</v>
      </c>
      <c r="D548" s="37" t="s">
        <v>39</v>
      </c>
      <c r="E548" s="37" t="s">
        <v>38</v>
      </c>
      <c r="F548" s="38">
        <v>3641.87</v>
      </c>
      <c r="G548" s="38">
        <v>3640.64</v>
      </c>
      <c r="H548" s="38">
        <v>3638.4</v>
      </c>
      <c r="I548" s="37" t="s">
        <v>832</v>
      </c>
      <c r="J548" s="38">
        <v>3640.64</v>
      </c>
      <c r="K548" s="38">
        <v>0</v>
      </c>
      <c r="L548" s="38">
        <v>0</v>
      </c>
      <c r="M548" s="39">
        <v>1.23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0.123</v>
      </c>
      <c r="Y548" s="13">
        <f t="shared" si="85"/>
        <v>0.246</v>
      </c>
      <c r="Z548" s="13">
        <f t="shared" si="86"/>
        <v>0.36899999999999999</v>
      </c>
      <c r="AA548" s="13">
        <f t="shared" si="92"/>
        <v>-3</v>
      </c>
    </row>
    <row r="549" spans="1:27" x14ac:dyDescent="0.25">
      <c r="A549" s="40">
        <v>45918.748912037037</v>
      </c>
      <c r="B549" s="41">
        <v>443516693</v>
      </c>
      <c r="C549" s="42" t="s">
        <v>36</v>
      </c>
      <c r="D549" s="42" t="s">
        <v>39</v>
      </c>
      <c r="E549" s="42" t="s">
        <v>38</v>
      </c>
      <c r="F549" s="43">
        <v>3640.23</v>
      </c>
      <c r="G549" s="43">
        <v>3639.18</v>
      </c>
      <c r="H549" s="42"/>
      <c r="I549" s="42" t="s">
        <v>833</v>
      </c>
      <c r="J549" s="43">
        <v>3639.19</v>
      </c>
      <c r="K549" s="43">
        <v>0</v>
      </c>
      <c r="L549" s="43">
        <v>0</v>
      </c>
      <c r="M549" s="44">
        <v>1.04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0.10400000000000001</v>
      </c>
      <c r="Y549" s="13">
        <f t="shared" si="85"/>
        <v>0.20800000000000002</v>
      </c>
      <c r="Z549" s="13">
        <f t="shared" si="86"/>
        <v>0.312</v>
      </c>
      <c r="AA549" s="13">
        <f t="shared" si="92"/>
        <v>-3</v>
      </c>
    </row>
    <row r="550" spans="1:27" x14ac:dyDescent="0.25">
      <c r="A550" s="35">
        <v>45918.748923611114</v>
      </c>
      <c r="B550" s="36">
        <v>443516695</v>
      </c>
      <c r="C550" s="37" t="s">
        <v>36</v>
      </c>
      <c r="D550" s="37" t="s">
        <v>39</v>
      </c>
      <c r="E550" s="37" t="s">
        <v>38</v>
      </c>
      <c r="F550" s="38">
        <v>3640.23</v>
      </c>
      <c r="G550" s="38">
        <v>3639.23</v>
      </c>
      <c r="H550" s="38">
        <v>3636.73</v>
      </c>
      <c r="I550" s="37" t="s">
        <v>834</v>
      </c>
      <c r="J550" s="38">
        <v>3639.26</v>
      </c>
      <c r="K550" s="38">
        <v>0</v>
      </c>
      <c r="L550" s="38">
        <v>0</v>
      </c>
      <c r="M550" s="39">
        <v>0.97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>
        <f t="shared" si="84"/>
        <v>9.7000000000000003E-2</v>
      </c>
      <c r="Y550" s="13">
        <f t="shared" si="85"/>
        <v>0.19400000000000001</v>
      </c>
      <c r="Z550" s="13">
        <f t="shared" si="86"/>
        <v>0.29099999999999998</v>
      </c>
      <c r="AA550" s="13">
        <f t="shared" si="92"/>
        <v>-3</v>
      </c>
    </row>
    <row r="551" spans="1:27" x14ac:dyDescent="0.25">
      <c r="A551" s="40">
        <v>45918.750416666669</v>
      </c>
      <c r="B551" s="41">
        <v>443518337</v>
      </c>
      <c r="C551" s="42" t="s">
        <v>36</v>
      </c>
      <c r="D551" s="42" t="s">
        <v>39</v>
      </c>
      <c r="E551" s="42" t="s">
        <v>38</v>
      </c>
      <c r="F551" s="43">
        <v>3639.25</v>
      </c>
      <c r="G551" s="43">
        <v>3638.08</v>
      </c>
      <c r="H551" s="43">
        <v>3635.85</v>
      </c>
      <c r="I551" s="42" t="s">
        <v>835</v>
      </c>
      <c r="J551" s="43">
        <v>3638.09</v>
      </c>
      <c r="K551" s="43">
        <v>0</v>
      </c>
      <c r="L551" s="43">
        <v>0</v>
      </c>
      <c r="M551" s="44">
        <v>1.1599999999999999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0.11599999999999999</v>
      </c>
      <c r="Y551" s="13">
        <f t="shared" si="85"/>
        <v>0.23199999999999998</v>
      </c>
      <c r="Z551" s="13">
        <f t="shared" si="86"/>
        <v>0.34799999999999998</v>
      </c>
      <c r="AA551" s="13">
        <f t="shared" si="92"/>
        <v>-3</v>
      </c>
    </row>
    <row r="552" spans="1:27" x14ac:dyDescent="0.25">
      <c r="A552" s="35">
        <v>45918.750428240739</v>
      </c>
      <c r="B552" s="36">
        <v>443518341</v>
      </c>
      <c r="C552" s="37" t="s">
        <v>36</v>
      </c>
      <c r="D552" s="37" t="s">
        <v>39</v>
      </c>
      <c r="E552" s="37" t="s">
        <v>38</v>
      </c>
      <c r="F552" s="38">
        <v>3639.45</v>
      </c>
      <c r="G552" s="38">
        <v>3638.07</v>
      </c>
      <c r="H552" s="37"/>
      <c r="I552" s="37" t="s">
        <v>835</v>
      </c>
      <c r="J552" s="38">
        <v>3638.09</v>
      </c>
      <c r="K552" s="38">
        <v>0</v>
      </c>
      <c r="L552" s="38">
        <v>0</v>
      </c>
      <c r="M552" s="39">
        <v>1.36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0.13600000000000001</v>
      </c>
      <c r="Y552" s="13">
        <f t="shared" si="85"/>
        <v>0.27200000000000002</v>
      </c>
      <c r="Z552" s="13">
        <f t="shared" si="86"/>
        <v>0.40800000000000003</v>
      </c>
      <c r="AA552" s="13">
        <f t="shared" si="92"/>
        <v>-3</v>
      </c>
    </row>
    <row r="553" spans="1:27" x14ac:dyDescent="0.25">
      <c r="A553" s="40">
        <v>45918.750879629632</v>
      </c>
      <c r="B553" s="41">
        <v>443518796</v>
      </c>
      <c r="C553" s="42" t="s">
        <v>36</v>
      </c>
      <c r="D553" s="42" t="s">
        <v>39</v>
      </c>
      <c r="E553" s="42" t="s">
        <v>38</v>
      </c>
      <c r="F553" s="43">
        <v>3640.33</v>
      </c>
      <c r="G553" s="43">
        <v>3643.38</v>
      </c>
      <c r="H553" s="43">
        <v>3638.88</v>
      </c>
      <c r="I553" s="42" t="s">
        <v>836</v>
      </c>
      <c r="J553" s="43">
        <v>3638.87</v>
      </c>
      <c r="K553" s="43">
        <v>0</v>
      </c>
      <c r="L553" s="43">
        <v>0</v>
      </c>
      <c r="M553" s="44">
        <v>1.46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0.14599999999999999</v>
      </c>
      <c r="Y553" s="13">
        <f t="shared" si="85"/>
        <v>0.29199999999999998</v>
      </c>
      <c r="Z553" s="13">
        <f t="shared" si="86"/>
        <v>0.438</v>
      </c>
      <c r="AA553" s="13">
        <f t="shared" si="92"/>
        <v>-3</v>
      </c>
    </row>
    <row r="554" spans="1:27" x14ac:dyDescent="0.25">
      <c r="A554" s="35">
        <v>45918.750891203701</v>
      </c>
      <c r="B554" s="36">
        <v>443518798</v>
      </c>
      <c r="C554" s="37" t="s">
        <v>36</v>
      </c>
      <c r="D554" s="37" t="s">
        <v>39</v>
      </c>
      <c r="E554" s="37" t="s">
        <v>38</v>
      </c>
      <c r="F554" s="38">
        <v>3640.33</v>
      </c>
      <c r="G554" s="38">
        <v>3638.89</v>
      </c>
      <c r="H554" s="38">
        <v>3636.83</v>
      </c>
      <c r="I554" s="37" t="s">
        <v>837</v>
      </c>
      <c r="J554" s="38">
        <v>3638.89</v>
      </c>
      <c r="K554" s="38">
        <v>0</v>
      </c>
      <c r="L554" s="38">
        <v>0</v>
      </c>
      <c r="M554" s="39">
        <v>1.44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0.14399999999999999</v>
      </c>
      <c r="Y554" s="13">
        <f t="shared" si="85"/>
        <v>0.28799999999999998</v>
      </c>
      <c r="Z554" s="13">
        <f t="shared" si="86"/>
        <v>0.432</v>
      </c>
      <c r="AA554" s="13">
        <f t="shared" si="92"/>
        <v>-3</v>
      </c>
    </row>
    <row r="555" spans="1:27" x14ac:dyDescent="0.25">
      <c r="A555" s="40">
        <v>45918.750891203701</v>
      </c>
      <c r="B555" s="41">
        <v>443518800</v>
      </c>
      <c r="C555" s="42" t="s">
        <v>36</v>
      </c>
      <c r="D555" s="42" t="s">
        <v>39</v>
      </c>
      <c r="E555" s="42" t="s">
        <v>38</v>
      </c>
      <c r="F555" s="43">
        <v>3640.32</v>
      </c>
      <c r="G555" s="43">
        <v>3639.92</v>
      </c>
      <c r="H555" s="43">
        <v>3638.83</v>
      </c>
      <c r="I555" s="42" t="s">
        <v>838</v>
      </c>
      <c r="J555" s="43">
        <v>3638.83</v>
      </c>
      <c r="K555" s="43">
        <v>0</v>
      </c>
      <c r="L555" s="43">
        <v>0</v>
      </c>
      <c r="M555" s="44">
        <v>1.49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0.14899999999999999</v>
      </c>
      <c r="Y555" s="13">
        <f t="shared" si="85"/>
        <v>0.29799999999999999</v>
      </c>
      <c r="Z555" s="13">
        <f t="shared" si="86"/>
        <v>0.44700000000000001</v>
      </c>
      <c r="AA555" s="13">
        <f t="shared" si="92"/>
        <v>-3</v>
      </c>
    </row>
    <row r="556" spans="1:27" x14ac:dyDescent="0.25">
      <c r="A556" s="35">
        <v>45918.750891203701</v>
      </c>
      <c r="B556" s="36">
        <v>443518801</v>
      </c>
      <c r="C556" s="37" t="s">
        <v>36</v>
      </c>
      <c r="D556" s="37" t="s">
        <v>39</v>
      </c>
      <c r="E556" s="37" t="s">
        <v>38</v>
      </c>
      <c r="F556" s="38">
        <v>3640.31</v>
      </c>
      <c r="G556" s="38">
        <v>3641.83</v>
      </c>
      <c r="H556" s="38">
        <v>3638.83</v>
      </c>
      <c r="I556" s="37" t="s">
        <v>839</v>
      </c>
      <c r="J556" s="38">
        <v>3641.83</v>
      </c>
      <c r="K556" s="38">
        <v>0</v>
      </c>
      <c r="L556" s="38">
        <v>0</v>
      </c>
      <c r="M556" s="39">
        <v>-1.52</v>
      </c>
      <c r="N556" s="10" t="str">
        <f t="shared" si="87"/>
        <v>L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>
        <f t="shared" si="84"/>
        <v>-0.15200000000000002</v>
      </c>
      <c r="Y556" s="13">
        <f t="shared" si="85"/>
        <v>-0.30400000000000005</v>
      </c>
      <c r="Z556" s="13">
        <f t="shared" si="86"/>
        <v>-0.45599999999999996</v>
      </c>
      <c r="AA556" s="13">
        <f t="shared" si="92"/>
        <v>-3</v>
      </c>
    </row>
    <row r="557" spans="1:27" x14ac:dyDescent="0.25">
      <c r="A557" s="40">
        <v>45918.750891203701</v>
      </c>
      <c r="B557" s="41">
        <v>443518803</v>
      </c>
      <c r="C557" s="42" t="s">
        <v>36</v>
      </c>
      <c r="D557" s="42" t="s">
        <v>39</v>
      </c>
      <c r="E557" s="42" t="s">
        <v>38</v>
      </c>
      <c r="F557" s="43">
        <v>3640.37</v>
      </c>
      <c r="G557" s="43">
        <v>3638.88</v>
      </c>
      <c r="H557" s="43">
        <v>3636.83</v>
      </c>
      <c r="I557" s="42" t="s">
        <v>837</v>
      </c>
      <c r="J557" s="43">
        <v>3638.89</v>
      </c>
      <c r="K557" s="43">
        <v>0</v>
      </c>
      <c r="L557" s="43">
        <v>0</v>
      </c>
      <c r="M557" s="44">
        <v>1.48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0.14799999999999999</v>
      </c>
      <c r="Y557" s="13">
        <f t="shared" si="85"/>
        <v>0.29599999999999999</v>
      </c>
      <c r="Z557" s="13">
        <f t="shared" si="86"/>
        <v>0.44400000000000001</v>
      </c>
      <c r="AA557" s="13">
        <f t="shared" si="92"/>
        <v>-3</v>
      </c>
    </row>
    <row r="558" spans="1:27" x14ac:dyDescent="0.25">
      <c r="A558" s="35">
        <v>45918.750902777778</v>
      </c>
      <c r="B558" s="36">
        <v>443518805</v>
      </c>
      <c r="C558" s="37" t="s">
        <v>36</v>
      </c>
      <c r="D558" s="37" t="s">
        <v>39</v>
      </c>
      <c r="E558" s="37" t="s">
        <v>38</v>
      </c>
      <c r="F558" s="38">
        <v>3640.39</v>
      </c>
      <c r="G558" s="38">
        <v>3639.29</v>
      </c>
      <c r="H558" s="38">
        <v>3637.33</v>
      </c>
      <c r="I558" s="37" t="s">
        <v>840</v>
      </c>
      <c r="J558" s="38">
        <v>3637.26</v>
      </c>
      <c r="K558" s="38">
        <v>0</v>
      </c>
      <c r="L558" s="38">
        <v>0</v>
      </c>
      <c r="M558" s="39">
        <v>3.13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0.313</v>
      </c>
      <c r="Y558" s="13">
        <f t="shared" si="85"/>
        <v>0.626</v>
      </c>
      <c r="Z558" s="13">
        <f t="shared" si="86"/>
        <v>0.93899999999999995</v>
      </c>
      <c r="AA558" s="13">
        <f t="shared" si="92"/>
        <v>3.13</v>
      </c>
    </row>
    <row r="559" spans="1:27" x14ac:dyDescent="0.25">
      <c r="A559" s="40">
        <v>45918.750902777778</v>
      </c>
      <c r="B559" s="41">
        <v>443518806</v>
      </c>
      <c r="C559" s="42" t="s">
        <v>36</v>
      </c>
      <c r="D559" s="42" t="s">
        <v>39</v>
      </c>
      <c r="E559" s="42" t="s">
        <v>38</v>
      </c>
      <c r="F559" s="43">
        <v>3640.3</v>
      </c>
      <c r="G559" s="43">
        <v>3639.29</v>
      </c>
      <c r="H559" s="43">
        <v>3637.33</v>
      </c>
      <c r="I559" s="42" t="s">
        <v>840</v>
      </c>
      <c r="J559" s="43">
        <v>3637.26</v>
      </c>
      <c r="K559" s="43">
        <v>0</v>
      </c>
      <c r="L559" s="43">
        <v>0</v>
      </c>
      <c r="M559" s="44">
        <v>3.04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0.30400000000000005</v>
      </c>
      <c r="Y559" s="13">
        <f t="shared" si="85"/>
        <v>0.6080000000000001</v>
      </c>
      <c r="Z559" s="13">
        <f t="shared" si="86"/>
        <v>0.91199999999999992</v>
      </c>
      <c r="AA559" s="13">
        <f t="shared" si="92"/>
        <v>3.04</v>
      </c>
    </row>
    <row r="560" spans="1:27" x14ac:dyDescent="0.25">
      <c r="A560" s="35">
        <v>45918.758055555554</v>
      </c>
      <c r="B560" s="36">
        <v>443522942</v>
      </c>
      <c r="C560" s="37" t="s">
        <v>36</v>
      </c>
      <c r="D560" s="37" t="s">
        <v>39</v>
      </c>
      <c r="E560" s="37" t="s">
        <v>38</v>
      </c>
      <c r="F560" s="38">
        <v>3638.17</v>
      </c>
      <c r="G560" s="38">
        <v>3641.15</v>
      </c>
      <c r="H560" s="37"/>
      <c r="I560" s="37" t="s">
        <v>841</v>
      </c>
      <c r="J560" s="38">
        <v>3641.16</v>
      </c>
      <c r="K560" s="38">
        <v>0</v>
      </c>
      <c r="L560" s="38">
        <v>0</v>
      </c>
      <c r="M560" s="39">
        <v>-2.99</v>
      </c>
      <c r="N560" s="10" t="str">
        <f t="shared" si="87"/>
        <v>L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>
        <f t="shared" si="84"/>
        <v>-0.29900000000000004</v>
      </c>
      <c r="Y560" s="13">
        <f t="shared" si="85"/>
        <v>-0.59800000000000009</v>
      </c>
      <c r="Z560" s="13">
        <f t="shared" si="86"/>
        <v>-0.89700000000000002</v>
      </c>
      <c r="AA560" s="13">
        <f t="shared" si="92"/>
        <v>-3</v>
      </c>
    </row>
    <row r="561" spans="1:27" x14ac:dyDescent="0.25">
      <c r="A561" s="40">
        <v>45918.758067129631</v>
      </c>
      <c r="B561" s="41">
        <v>443522944</v>
      </c>
      <c r="C561" s="42" t="s">
        <v>36</v>
      </c>
      <c r="D561" s="42" t="s">
        <v>39</v>
      </c>
      <c r="E561" s="42" t="s">
        <v>38</v>
      </c>
      <c r="F561" s="43">
        <v>3638.16</v>
      </c>
      <c r="G561" s="43">
        <v>3641.17</v>
      </c>
      <c r="H561" s="43">
        <v>3634.67</v>
      </c>
      <c r="I561" s="42" t="s">
        <v>841</v>
      </c>
      <c r="J561" s="43">
        <v>3641.3</v>
      </c>
      <c r="K561" s="43">
        <v>0</v>
      </c>
      <c r="L561" s="43">
        <v>0</v>
      </c>
      <c r="M561" s="44">
        <v>-3.14</v>
      </c>
      <c r="N561" s="10" t="str">
        <f t="shared" si="87"/>
        <v>L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>
        <f t="shared" si="84"/>
        <v>-0.31400000000000006</v>
      </c>
      <c r="Y561" s="13">
        <f t="shared" si="85"/>
        <v>-0.62800000000000011</v>
      </c>
      <c r="Z561" s="13">
        <f t="shared" si="86"/>
        <v>-0.94199999999999995</v>
      </c>
      <c r="AA561" s="13">
        <f t="shared" si="92"/>
        <v>-3</v>
      </c>
    </row>
    <row r="562" spans="1:27" x14ac:dyDescent="0.25">
      <c r="A562" s="35">
        <v>45918.758287037039</v>
      </c>
      <c r="B562" s="36">
        <v>443523045</v>
      </c>
      <c r="C562" s="37" t="s">
        <v>36</v>
      </c>
      <c r="D562" s="37" t="s">
        <v>39</v>
      </c>
      <c r="E562" s="37" t="s">
        <v>38</v>
      </c>
      <c r="F562" s="38">
        <v>3638.91</v>
      </c>
      <c r="G562" s="38">
        <v>3641.91</v>
      </c>
      <c r="H562" s="38">
        <v>3637.41</v>
      </c>
      <c r="I562" s="37" t="s">
        <v>842</v>
      </c>
      <c r="J562" s="38">
        <v>3641.91</v>
      </c>
      <c r="K562" s="38">
        <v>0</v>
      </c>
      <c r="L562" s="38">
        <v>0</v>
      </c>
      <c r="M562" s="39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40">
        <v>45918.758298611108</v>
      </c>
      <c r="B563" s="41">
        <v>443523046</v>
      </c>
      <c r="C563" s="42" t="s">
        <v>36</v>
      </c>
      <c r="D563" s="42" t="s">
        <v>39</v>
      </c>
      <c r="E563" s="42" t="s">
        <v>38</v>
      </c>
      <c r="F563" s="43">
        <v>3638.81</v>
      </c>
      <c r="G563" s="43">
        <v>3641.91</v>
      </c>
      <c r="H563" s="43">
        <v>3635.91</v>
      </c>
      <c r="I563" s="42" t="s">
        <v>842</v>
      </c>
      <c r="J563" s="43">
        <v>3641.91</v>
      </c>
      <c r="K563" s="43">
        <v>0</v>
      </c>
      <c r="L563" s="43">
        <v>0</v>
      </c>
      <c r="M563" s="44">
        <v>-3.1</v>
      </c>
      <c r="N563" s="10" t="str">
        <f t="shared" si="87"/>
        <v>L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>
        <f t="shared" si="84"/>
        <v>-0.31000000000000005</v>
      </c>
      <c r="Y563" s="13">
        <f t="shared" si="85"/>
        <v>-0.62000000000000011</v>
      </c>
      <c r="Z563" s="13">
        <f t="shared" si="86"/>
        <v>-0.92999999999999994</v>
      </c>
      <c r="AA563" s="13">
        <f t="shared" si="92"/>
        <v>-3</v>
      </c>
    </row>
    <row r="564" spans="1:27" x14ac:dyDescent="0.25">
      <c r="A564" s="35">
        <v>45918.758298611108</v>
      </c>
      <c r="B564" s="36">
        <v>443523047</v>
      </c>
      <c r="C564" s="37" t="s">
        <v>36</v>
      </c>
      <c r="D564" s="37" t="s">
        <v>39</v>
      </c>
      <c r="E564" s="37" t="s">
        <v>38</v>
      </c>
      <c r="F564" s="38">
        <v>3638.82</v>
      </c>
      <c r="G564" s="38">
        <v>3641.41</v>
      </c>
      <c r="H564" s="38">
        <v>3635.91</v>
      </c>
      <c r="I564" s="37" t="s">
        <v>843</v>
      </c>
      <c r="J564" s="38">
        <v>3641.46</v>
      </c>
      <c r="K564" s="38">
        <v>0</v>
      </c>
      <c r="L564" s="38">
        <v>0</v>
      </c>
      <c r="M564" s="39">
        <v>-2.64</v>
      </c>
      <c r="N564" s="10" t="str">
        <f t="shared" si="87"/>
        <v>L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>
        <f t="shared" si="84"/>
        <v>-0.26400000000000001</v>
      </c>
      <c r="Y564" s="13">
        <f t="shared" si="85"/>
        <v>-0.52800000000000002</v>
      </c>
      <c r="Z564" s="13">
        <f t="shared" si="86"/>
        <v>-0.79200000000000004</v>
      </c>
      <c r="AA564" s="13">
        <f t="shared" si="92"/>
        <v>-3</v>
      </c>
    </row>
    <row r="565" spans="1:27" x14ac:dyDescent="0.25">
      <c r="A565" s="40">
        <v>45918.758298611108</v>
      </c>
      <c r="B565" s="41">
        <v>443523048</v>
      </c>
      <c r="C565" s="42" t="s">
        <v>36</v>
      </c>
      <c r="D565" s="42" t="s">
        <v>39</v>
      </c>
      <c r="E565" s="42" t="s">
        <v>38</v>
      </c>
      <c r="F565" s="43">
        <v>3638.82</v>
      </c>
      <c r="G565" s="43">
        <v>3641.91</v>
      </c>
      <c r="H565" s="43">
        <v>3635.41</v>
      </c>
      <c r="I565" s="42" t="s">
        <v>842</v>
      </c>
      <c r="J565" s="43">
        <v>3641.91</v>
      </c>
      <c r="K565" s="43">
        <v>0</v>
      </c>
      <c r="L565" s="43">
        <v>0</v>
      </c>
      <c r="M565" s="44">
        <v>-3.09</v>
      </c>
      <c r="N565" s="10" t="str">
        <f t="shared" si="87"/>
        <v>L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>
        <f t="shared" si="84"/>
        <v>-0.309</v>
      </c>
      <c r="Y565" s="13">
        <f t="shared" si="85"/>
        <v>-0.61799999999999999</v>
      </c>
      <c r="Z565" s="13">
        <f t="shared" si="86"/>
        <v>-0.92699999999999994</v>
      </c>
      <c r="AA565" s="13">
        <f t="shared" si="92"/>
        <v>-3</v>
      </c>
    </row>
    <row r="566" spans="1:27" x14ac:dyDescent="0.25">
      <c r="A566" s="35">
        <v>45918.759444444448</v>
      </c>
      <c r="B566" s="36">
        <v>443523629</v>
      </c>
      <c r="C566" s="37" t="s">
        <v>36</v>
      </c>
      <c r="D566" s="37" t="s">
        <v>39</v>
      </c>
      <c r="E566" s="37" t="s">
        <v>38</v>
      </c>
      <c r="F566" s="38">
        <v>3639.44</v>
      </c>
      <c r="G566" s="38">
        <v>3642.42</v>
      </c>
      <c r="H566" s="38">
        <v>3635.92</v>
      </c>
      <c r="I566" s="37" t="s">
        <v>844</v>
      </c>
      <c r="J566" s="38">
        <v>3642.48</v>
      </c>
      <c r="K566" s="38">
        <v>0</v>
      </c>
      <c r="L566" s="38">
        <v>0</v>
      </c>
      <c r="M566" s="39">
        <v>-3.04</v>
      </c>
      <c r="N566" s="10" t="str">
        <f t="shared" si="87"/>
        <v>L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>
        <f t="shared" si="84"/>
        <v>-0.30400000000000005</v>
      </c>
      <c r="Y566" s="13">
        <f t="shared" si="85"/>
        <v>-0.6080000000000001</v>
      </c>
      <c r="Z566" s="13">
        <f t="shared" si="86"/>
        <v>-0.91199999999999992</v>
      </c>
      <c r="AA566" s="13">
        <f t="shared" si="92"/>
        <v>-3</v>
      </c>
    </row>
    <row r="567" spans="1:27" x14ac:dyDescent="0.25">
      <c r="A567" s="40">
        <v>45918.764421296299</v>
      </c>
      <c r="B567" s="41">
        <v>443527678</v>
      </c>
      <c r="C567" s="42" t="s">
        <v>36</v>
      </c>
      <c r="D567" s="42" t="s">
        <v>37</v>
      </c>
      <c r="E567" s="42" t="s">
        <v>38</v>
      </c>
      <c r="F567" s="43">
        <v>3641.18</v>
      </c>
      <c r="G567" s="43">
        <v>3641.66</v>
      </c>
      <c r="H567" s="43">
        <v>3644.68</v>
      </c>
      <c r="I567" s="42" t="s">
        <v>845</v>
      </c>
      <c r="J567" s="43">
        <v>3641.66</v>
      </c>
      <c r="K567" s="43">
        <v>0</v>
      </c>
      <c r="L567" s="43">
        <v>0</v>
      </c>
      <c r="M567" s="44">
        <v>0.48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>
        <f t="shared" si="84"/>
        <v>4.8000000000000001E-2</v>
      </c>
      <c r="Y567" s="13">
        <f t="shared" si="85"/>
        <v>9.6000000000000002E-2</v>
      </c>
      <c r="Z567" s="13">
        <f t="shared" si="86"/>
        <v>0.14399999999999999</v>
      </c>
      <c r="AA567" s="13">
        <f t="shared" si="92"/>
        <v>-3</v>
      </c>
    </row>
    <row r="568" spans="1:27" x14ac:dyDescent="0.25">
      <c r="A568" s="35">
        <v>45918.764432870368</v>
      </c>
      <c r="B568" s="36">
        <v>443527679</v>
      </c>
      <c r="C568" s="37" t="s">
        <v>36</v>
      </c>
      <c r="D568" s="37" t="s">
        <v>37</v>
      </c>
      <c r="E568" s="37" t="s">
        <v>38</v>
      </c>
      <c r="F568" s="38">
        <v>3641.12</v>
      </c>
      <c r="G568" s="38">
        <v>3641.7</v>
      </c>
      <c r="H568" s="37"/>
      <c r="I568" s="37" t="s">
        <v>845</v>
      </c>
      <c r="J568" s="38">
        <v>3641.66</v>
      </c>
      <c r="K568" s="38">
        <v>0</v>
      </c>
      <c r="L568" s="38">
        <v>0</v>
      </c>
      <c r="M568" s="39">
        <v>0.54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>
        <f t="shared" si="84"/>
        <v>5.4000000000000006E-2</v>
      </c>
      <c r="Y568" s="13">
        <f t="shared" si="85"/>
        <v>0.10800000000000001</v>
      </c>
      <c r="Z568" s="13">
        <f t="shared" si="86"/>
        <v>0.16200000000000001</v>
      </c>
      <c r="AA568" s="13">
        <f t="shared" si="92"/>
        <v>-3</v>
      </c>
    </row>
    <row r="569" spans="1:27" x14ac:dyDescent="0.25">
      <c r="A569" s="40">
        <v>45918.770902777775</v>
      </c>
      <c r="B569" s="41">
        <v>443530333</v>
      </c>
      <c r="C569" s="42" t="s">
        <v>36</v>
      </c>
      <c r="D569" s="42" t="s">
        <v>39</v>
      </c>
      <c r="E569" s="42" t="s">
        <v>38</v>
      </c>
      <c r="F569" s="43">
        <v>3639.61</v>
      </c>
      <c r="G569" s="43">
        <v>3642.66</v>
      </c>
      <c r="H569" s="43">
        <v>3636.16</v>
      </c>
      <c r="I569" s="42" t="s">
        <v>846</v>
      </c>
      <c r="J569" s="43">
        <v>3642.75</v>
      </c>
      <c r="K569" s="43">
        <v>0</v>
      </c>
      <c r="L569" s="43">
        <v>0</v>
      </c>
      <c r="M569" s="44">
        <v>-3.14</v>
      </c>
      <c r="N569" s="10" t="str">
        <f t="shared" si="87"/>
        <v>L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>
        <f t="shared" si="84"/>
        <v>-0.31400000000000006</v>
      </c>
      <c r="Y569" s="13">
        <f t="shared" si="85"/>
        <v>-0.62800000000000011</v>
      </c>
      <c r="Z569" s="13">
        <f t="shared" si="86"/>
        <v>-0.94199999999999995</v>
      </c>
      <c r="AA569" s="13">
        <f t="shared" si="92"/>
        <v>-3</v>
      </c>
    </row>
    <row r="570" spans="1:27" x14ac:dyDescent="0.25">
      <c r="A570" s="35">
        <v>45918.794282407405</v>
      </c>
      <c r="B570" s="36">
        <v>443535946</v>
      </c>
      <c r="C570" s="37" t="s">
        <v>36</v>
      </c>
      <c r="D570" s="37" t="s">
        <v>37</v>
      </c>
      <c r="E570" s="37" t="s">
        <v>38</v>
      </c>
      <c r="F570" s="38">
        <v>3641.76</v>
      </c>
      <c r="G570" s="38">
        <v>3638.71</v>
      </c>
      <c r="H570" s="38">
        <v>3643.21</v>
      </c>
      <c r="I570" s="37" t="s">
        <v>847</v>
      </c>
      <c r="J570" s="38">
        <v>3643.31</v>
      </c>
      <c r="K570" s="38">
        <v>0</v>
      </c>
      <c r="L570" s="38">
        <v>0</v>
      </c>
      <c r="M570" s="39">
        <v>1.55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0.15500000000000003</v>
      </c>
      <c r="Y570" s="13">
        <f t="shared" si="85"/>
        <v>0.31000000000000005</v>
      </c>
      <c r="Z570" s="13">
        <f t="shared" si="86"/>
        <v>0.46499999999999997</v>
      </c>
      <c r="AA570" s="13">
        <f t="shared" si="92"/>
        <v>-3</v>
      </c>
    </row>
    <row r="571" spans="1:27" x14ac:dyDescent="0.25">
      <c r="A571" s="40">
        <v>45918.794282407405</v>
      </c>
      <c r="B571" s="41">
        <v>443535947</v>
      </c>
      <c r="C571" s="42" t="s">
        <v>36</v>
      </c>
      <c r="D571" s="42" t="s">
        <v>37</v>
      </c>
      <c r="E571" s="42" t="s">
        <v>38</v>
      </c>
      <c r="F571" s="43">
        <v>3641.76</v>
      </c>
      <c r="G571" s="43">
        <v>3638.76</v>
      </c>
      <c r="H571" s="43">
        <v>3643.26</v>
      </c>
      <c r="I571" s="42" t="s">
        <v>847</v>
      </c>
      <c r="J571" s="43">
        <v>3643.31</v>
      </c>
      <c r="K571" s="43">
        <v>0</v>
      </c>
      <c r="L571" s="43">
        <v>0</v>
      </c>
      <c r="M571" s="44">
        <v>1.55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0.15500000000000003</v>
      </c>
      <c r="Y571" s="13">
        <f t="shared" si="85"/>
        <v>0.31000000000000005</v>
      </c>
      <c r="Z571" s="13">
        <f t="shared" si="86"/>
        <v>0.46499999999999997</v>
      </c>
      <c r="AA571" s="13">
        <f t="shared" si="92"/>
        <v>-3</v>
      </c>
    </row>
    <row r="572" spans="1:27" x14ac:dyDescent="0.25">
      <c r="A572" s="35">
        <v>45918.794293981482</v>
      </c>
      <c r="B572" s="36">
        <v>443535948</v>
      </c>
      <c r="C572" s="37" t="s">
        <v>36</v>
      </c>
      <c r="D572" s="37" t="s">
        <v>37</v>
      </c>
      <c r="E572" s="37" t="s">
        <v>38</v>
      </c>
      <c r="F572" s="38">
        <v>3641.76</v>
      </c>
      <c r="G572" s="38">
        <v>3641.77</v>
      </c>
      <c r="H572" s="38">
        <v>3644.76</v>
      </c>
      <c r="I572" s="37" t="s">
        <v>848</v>
      </c>
      <c r="J572" s="38">
        <v>3641.75</v>
      </c>
      <c r="K572" s="38">
        <v>0</v>
      </c>
      <c r="L572" s="38">
        <v>0</v>
      </c>
      <c r="M572" s="39">
        <v>-0.01</v>
      </c>
      <c r="N572" s="10" t="str">
        <f t="shared" si="87"/>
        <v>L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>
        <f t="shared" si="84"/>
        <v>-1E-3</v>
      </c>
      <c r="Y572" s="13">
        <f t="shared" si="85"/>
        <v>-2E-3</v>
      </c>
      <c r="Z572" s="13">
        <f t="shared" si="86"/>
        <v>-3.0000000000000001E-3</v>
      </c>
      <c r="AA572" s="13">
        <f t="shared" si="92"/>
        <v>-3</v>
      </c>
    </row>
    <row r="573" spans="1:27" x14ac:dyDescent="0.25">
      <c r="A573" s="40">
        <v>45918.794293981482</v>
      </c>
      <c r="B573" s="41">
        <v>443535950</v>
      </c>
      <c r="C573" s="42" t="s">
        <v>36</v>
      </c>
      <c r="D573" s="42" t="s">
        <v>37</v>
      </c>
      <c r="E573" s="42" t="s">
        <v>38</v>
      </c>
      <c r="F573" s="43">
        <v>3641.76</v>
      </c>
      <c r="G573" s="43">
        <v>3640.26</v>
      </c>
      <c r="H573" s="43">
        <v>3643.26</v>
      </c>
      <c r="I573" s="42" t="s">
        <v>847</v>
      </c>
      <c r="J573" s="43">
        <v>3643.31</v>
      </c>
      <c r="K573" s="43">
        <v>0</v>
      </c>
      <c r="L573" s="43">
        <v>0</v>
      </c>
      <c r="M573" s="44">
        <v>1.55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0.15500000000000003</v>
      </c>
      <c r="Y573" s="13">
        <f t="shared" si="85"/>
        <v>0.31000000000000005</v>
      </c>
      <c r="Z573" s="13">
        <f t="shared" si="86"/>
        <v>0.46499999999999997</v>
      </c>
      <c r="AA573" s="13">
        <f t="shared" si="92"/>
        <v>-3</v>
      </c>
    </row>
    <row r="574" spans="1:27" x14ac:dyDescent="0.25">
      <c r="A574" s="35">
        <v>45918.794293981482</v>
      </c>
      <c r="B574" s="36">
        <v>443535951</v>
      </c>
      <c r="C574" s="37" t="s">
        <v>36</v>
      </c>
      <c r="D574" s="37" t="s">
        <v>37</v>
      </c>
      <c r="E574" s="37" t="s">
        <v>38</v>
      </c>
      <c r="F574" s="38">
        <v>3641.89</v>
      </c>
      <c r="G574" s="38">
        <v>3641.77</v>
      </c>
      <c r="H574" s="38">
        <v>3645.26</v>
      </c>
      <c r="I574" s="37" t="s">
        <v>848</v>
      </c>
      <c r="J574" s="38">
        <v>3641.75</v>
      </c>
      <c r="K574" s="38">
        <v>0</v>
      </c>
      <c r="L574" s="38">
        <v>0</v>
      </c>
      <c r="M574" s="39">
        <v>-0.14000000000000001</v>
      </c>
      <c r="N574" s="10" t="str">
        <f t="shared" si="87"/>
        <v>L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>
        <f t="shared" si="84"/>
        <v>-1.4000000000000002E-2</v>
      </c>
      <c r="Y574" s="13">
        <f t="shared" si="85"/>
        <v>-2.8000000000000004E-2</v>
      </c>
      <c r="Z574" s="13">
        <f t="shared" si="86"/>
        <v>-4.2000000000000003E-2</v>
      </c>
      <c r="AA574" s="13">
        <f t="shared" si="92"/>
        <v>-3</v>
      </c>
    </row>
    <row r="575" spans="1:27" x14ac:dyDescent="0.25">
      <c r="A575" s="40">
        <v>45918.794293981482</v>
      </c>
      <c r="B575" s="41">
        <v>443535953</v>
      </c>
      <c r="C575" s="42" t="s">
        <v>36</v>
      </c>
      <c r="D575" s="42" t="s">
        <v>37</v>
      </c>
      <c r="E575" s="42" t="s">
        <v>38</v>
      </c>
      <c r="F575" s="43">
        <v>3641.85</v>
      </c>
      <c r="G575" s="43">
        <v>3641.79</v>
      </c>
      <c r="H575" s="43">
        <v>3645.26</v>
      </c>
      <c r="I575" s="42" t="s">
        <v>848</v>
      </c>
      <c r="J575" s="43">
        <v>3641.75</v>
      </c>
      <c r="K575" s="43">
        <v>0</v>
      </c>
      <c r="L575" s="43">
        <v>0</v>
      </c>
      <c r="M575" s="44">
        <v>-0.1</v>
      </c>
      <c r="N575" s="10" t="str">
        <f t="shared" si="87"/>
        <v>L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>
        <f t="shared" si="84"/>
        <v>-1.0000000000000002E-2</v>
      </c>
      <c r="Y575" s="13">
        <f t="shared" si="85"/>
        <v>-2.0000000000000004E-2</v>
      </c>
      <c r="Z575" s="13">
        <f t="shared" si="86"/>
        <v>-0.03</v>
      </c>
      <c r="AA575" s="13">
        <f t="shared" si="92"/>
        <v>-3</v>
      </c>
    </row>
    <row r="576" spans="1:27" x14ac:dyDescent="0.25">
      <c r="A576" s="35">
        <v>45918.794305555559</v>
      </c>
      <c r="B576" s="36">
        <v>443535956</v>
      </c>
      <c r="C576" s="37" t="s">
        <v>36</v>
      </c>
      <c r="D576" s="37" t="s">
        <v>37</v>
      </c>
      <c r="E576" s="37" t="s">
        <v>38</v>
      </c>
      <c r="F576" s="38">
        <v>3641.89</v>
      </c>
      <c r="G576" s="38">
        <v>3641.77</v>
      </c>
      <c r="H576" s="38">
        <v>3644.76</v>
      </c>
      <c r="I576" s="37" t="s">
        <v>848</v>
      </c>
      <c r="J576" s="38">
        <v>3641.75</v>
      </c>
      <c r="K576" s="38">
        <v>0</v>
      </c>
      <c r="L576" s="38">
        <v>0</v>
      </c>
      <c r="M576" s="39">
        <v>-0.14000000000000001</v>
      </c>
      <c r="N576" s="10" t="str">
        <f t="shared" si="87"/>
        <v>L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>
        <f t="shared" si="84"/>
        <v>-1.4000000000000002E-2</v>
      </c>
      <c r="Y576" s="13">
        <f t="shared" si="85"/>
        <v>-2.8000000000000004E-2</v>
      </c>
      <c r="Z576" s="13">
        <f t="shared" si="86"/>
        <v>-4.2000000000000003E-2</v>
      </c>
      <c r="AA576" s="13">
        <f t="shared" si="92"/>
        <v>-3</v>
      </c>
    </row>
    <row r="577" spans="1:27" x14ac:dyDescent="0.25">
      <c r="A577" s="40">
        <v>45918.794976851852</v>
      </c>
      <c r="B577" s="41">
        <v>443536211</v>
      </c>
      <c r="C577" s="42" t="s">
        <v>36</v>
      </c>
      <c r="D577" s="42" t="s">
        <v>37</v>
      </c>
      <c r="E577" s="42" t="s">
        <v>38</v>
      </c>
      <c r="F577" s="43">
        <v>3641.65</v>
      </c>
      <c r="G577" s="43">
        <v>3642.36</v>
      </c>
      <c r="H577" s="42"/>
      <c r="I577" s="42" t="s">
        <v>849</v>
      </c>
      <c r="J577" s="43">
        <v>3642.33</v>
      </c>
      <c r="K577" s="43">
        <v>0</v>
      </c>
      <c r="L577" s="43">
        <v>0</v>
      </c>
      <c r="M577" s="44">
        <v>0.68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>
        <f t="shared" si="84"/>
        <v>6.8000000000000005E-2</v>
      </c>
      <c r="Y577" s="13">
        <f t="shared" si="85"/>
        <v>0.13600000000000001</v>
      </c>
      <c r="Z577" s="13">
        <f t="shared" si="86"/>
        <v>0.20400000000000001</v>
      </c>
      <c r="AA577" s="13">
        <f t="shared" si="92"/>
        <v>-3</v>
      </c>
    </row>
    <row r="578" spans="1:27" x14ac:dyDescent="0.25">
      <c r="A578" s="35">
        <v>45918.794976851852</v>
      </c>
      <c r="B578" s="36">
        <v>443536212</v>
      </c>
      <c r="C578" s="37" t="s">
        <v>36</v>
      </c>
      <c r="D578" s="37" t="s">
        <v>37</v>
      </c>
      <c r="E578" s="37" t="s">
        <v>38</v>
      </c>
      <c r="F578" s="38">
        <v>3641.63</v>
      </c>
      <c r="G578" s="38">
        <v>3642.38</v>
      </c>
      <c r="H578" s="38">
        <v>3645.15</v>
      </c>
      <c r="I578" s="37" t="s">
        <v>849</v>
      </c>
      <c r="J578" s="38">
        <v>3642.33</v>
      </c>
      <c r="K578" s="38">
        <v>0</v>
      </c>
      <c r="L578" s="38">
        <v>0</v>
      </c>
      <c r="M578" s="39">
        <v>0.7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>
        <f t="shared" si="84"/>
        <v>6.9999999999999993E-2</v>
      </c>
      <c r="Y578" s="13">
        <f t="shared" si="85"/>
        <v>0.13999999999999999</v>
      </c>
      <c r="Z578" s="13">
        <f t="shared" si="86"/>
        <v>0.21</v>
      </c>
      <c r="AA578" s="13">
        <f t="shared" si="92"/>
        <v>-3</v>
      </c>
    </row>
    <row r="579" spans="1:27" x14ac:dyDescent="0.25">
      <c r="A579" s="40">
        <v>45918.796597222223</v>
      </c>
      <c r="B579" s="41">
        <v>443536668</v>
      </c>
      <c r="C579" s="42" t="s">
        <v>36</v>
      </c>
      <c r="D579" s="42" t="s">
        <v>37</v>
      </c>
      <c r="E579" s="42" t="s">
        <v>38</v>
      </c>
      <c r="F579" s="43">
        <v>3642.38</v>
      </c>
      <c r="G579" s="43">
        <v>3640.73</v>
      </c>
      <c r="H579" s="43">
        <v>3643.73</v>
      </c>
      <c r="I579" s="42" t="s">
        <v>850</v>
      </c>
      <c r="J579" s="43">
        <v>3644</v>
      </c>
      <c r="K579" s="43">
        <v>0</v>
      </c>
      <c r="L579" s="43">
        <v>0</v>
      </c>
      <c r="M579" s="44">
        <v>1.62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591" si="93">$M579*0.1</f>
        <v>0.16200000000000003</v>
      </c>
      <c r="Y579" s="13">
        <f t="shared" ref="Y579:Y591" si="94">$M579*0.2</f>
        <v>0.32400000000000007</v>
      </c>
      <c r="Z579" s="13">
        <f t="shared" ref="Z579:Z591" si="95">$M579*0.3</f>
        <v>0.48599999999999999</v>
      </c>
      <c r="AA579" s="13">
        <f t="shared" si="92"/>
        <v>-3</v>
      </c>
    </row>
    <row r="580" spans="1:27" x14ac:dyDescent="0.25">
      <c r="A580" s="35">
        <v>45918.796597222223</v>
      </c>
      <c r="B580" s="36">
        <v>443536669</v>
      </c>
      <c r="C580" s="37" t="s">
        <v>36</v>
      </c>
      <c r="D580" s="37" t="s">
        <v>37</v>
      </c>
      <c r="E580" s="37" t="s">
        <v>38</v>
      </c>
      <c r="F580" s="38">
        <v>3642.44</v>
      </c>
      <c r="G580" s="38">
        <v>3639.38</v>
      </c>
      <c r="H580" s="38">
        <v>3643.88</v>
      </c>
      <c r="I580" s="37" t="s">
        <v>850</v>
      </c>
      <c r="J580" s="38">
        <v>3644</v>
      </c>
      <c r="K580" s="38">
        <v>0</v>
      </c>
      <c r="L580" s="38">
        <v>0</v>
      </c>
      <c r="M580" s="39">
        <v>1.56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0.15600000000000003</v>
      </c>
      <c r="Y580" s="13">
        <f t="shared" si="94"/>
        <v>0.31200000000000006</v>
      </c>
      <c r="Z580" s="13">
        <f t="shared" si="95"/>
        <v>0.46799999999999997</v>
      </c>
      <c r="AA580" s="13">
        <f t="shared" si="92"/>
        <v>-3</v>
      </c>
    </row>
    <row r="581" spans="1:27" x14ac:dyDescent="0.25">
      <c r="A581" s="40">
        <v>45918.7966087963</v>
      </c>
      <c r="B581" s="41">
        <v>443536670</v>
      </c>
      <c r="C581" s="42" t="s">
        <v>36</v>
      </c>
      <c r="D581" s="42" t="s">
        <v>37</v>
      </c>
      <c r="E581" s="42" t="s">
        <v>38</v>
      </c>
      <c r="F581" s="43">
        <v>3642.51</v>
      </c>
      <c r="G581" s="43">
        <v>3642.97</v>
      </c>
      <c r="H581" s="43">
        <v>3645.88</v>
      </c>
      <c r="I581" s="42" t="s">
        <v>851</v>
      </c>
      <c r="J581" s="43">
        <v>3642.96</v>
      </c>
      <c r="K581" s="43">
        <v>0</v>
      </c>
      <c r="L581" s="43">
        <v>0</v>
      </c>
      <c r="M581" s="44">
        <v>0.45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>
        <f t="shared" si="93"/>
        <v>4.5000000000000005E-2</v>
      </c>
      <c r="Y581" s="13">
        <f t="shared" si="94"/>
        <v>9.0000000000000011E-2</v>
      </c>
      <c r="Z581" s="13">
        <f t="shared" si="95"/>
        <v>0.13500000000000001</v>
      </c>
      <c r="AA581" s="13">
        <f t="shared" si="92"/>
        <v>-3</v>
      </c>
    </row>
    <row r="582" spans="1:27" x14ac:dyDescent="0.25">
      <c r="A582" s="35">
        <v>45918.7966087963</v>
      </c>
      <c r="B582" s="36">
        <v>443536671</v>
      </c>
      <c r="C582" s="37" t="s">
        <v>36</v>
      </c>
      <c r="D582" s="37" t="s">
        <v>37</v>
      </c>
      <c r="E582" s="37" t="s">
        <v>38</v>
      </c>
      <c r="F582" s="38">
        <v>3642.55</v>
      </c>
      <c r="G582" s="38">
        <v>3639.38</v>
      </c>
      <c r="H582" s="38">
        <v>3643.88</v>
      </c>
      <c r="I582" s="37" t="s">
        <v>850</v>
      </c>
      <c r="J582" s="38">
        <v>3644</v>
      </c>
      <c r="K582" s="38">
        <v>0</v>
      </c>
      <c r="L582" s="38">
        <v>0</v>
      </c>
      <c r="M582" s="39">
        <v>1.45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0.14499999999999999</v>
      </c>
      <c r="Y582" s="13">
        <f t="shared" si="94"/>
        <v>0.28999999999999998</v>
      </c>
      <c r="Z582" s="13">
        <f t="shared" si="95"/>
        <v>0.435</v>
      </c>
      <c r="AA582" s="13">
        <f t="shared" si="92"/>
        <v>-3</v>
      </c>
    </row>
    <row r="583" spans="1:27" x14ac:dyDescent="0.25">
      <c r="A583" s="40">
        <v>45918.7966087963</v>
      </c>
      <c r="B583" s="41">
        <v>443536673</v>
      </c>
      <c r="C583" s="42" t="s">
        <v>36</v>
      </c>
      <c r="D583" s="42" t="s">
        <v>37</v>
      </c>
      <c r="E583" s="42" t="s">
        <v>38</v>
      </c>
      <c r="F583" s="43">
        <v>3642.77</v>
      </c>
      <c r="G583" s="43">
        <v>3645.01</v>
      </c>
      <c r="H583" s="42"/>
      <c r="I583" s="42" t="s">
        <v>852</v>
      </c>
      <c r="J583" s="43">
        <v>3644.99</v>
      </c>
      <c r="K583" s="43">
        <v>0</v>
      </c>
      <c r="L583" s="43">
        <v>0</v>
      </c>
      <c r="M583" s="44">
        <v>2.2200000000000002</v>
      </c>
      <c r="N583" s="10" t="str">
        <f t="shared" si="87"/>
        <v>W</v>
      </c>
      <c r="O583" s="11">
        <f t="shared" si="88"/>
        <v>45918</v>
      </c>
      <c r="P583" s="12" t="str">
        <f t="shared" si="89"/>
        <v>19</v>
      </c>
      <c r="Q583" s="13" t="str">
        <f>VLOOKUP($B583,Deals_Demo!$H:$N,7,0)</f>
        <v>strategy_18_demo</v>
      </c>
      <c r="R583" s="13" t="str">
        <f t="shared" si="90"/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si="91"/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0.22200000000000003</v>
      </c>
      <c r="Y583" s="13">
        <f t="shared" si="94"/>
        <v>0.44400000000000006</v>
      </c>
      <c r="Z583" s="13">
        <f t="shared" si="95"/>
        <v>0.66600000000000004</v>
      </c>
      <c r="AA583" s="13">
        <f t="shared" si="92"/>
        <v>-3</v>
      </c>
    </row>
    <row r="584" spans="1:27" x14ac:dyDescent="0.25">
      <c r="A584" s="35">
        <v>45918.797291666669</v>
      </c>
      <c r="B584" s="36">
        <v>443536975</v>
      </c>
      <c r="C584" s="37" t="s">
        <v>36</v>
      </c>
      <c r="D584" s="37" t="s">
        <v>37</v>
      </c>
      <c r="E584" s="37" t="s">
        <v>38</v>
      </c>
      <c r="F584" s="38">
        <v>3641.95</v>
      </c>
      <c r="G584" s="38">
        <v>3642.99</v>
      </c>
      <c r="H584" s="38">
        <v>3645.07</v>
      </c>
      <c r="I584" s="37" t="s">
        <v>853</v>
      </c>
      <c r="J584" s="38">
        <v>3645.13</v>
      </c>
      <c r="K584" s="38">
        <v>0</v>
      </c>
      <c r="L584" s="38">
        <v>0</v>
      </c>
      <c r="M584" s="39">
        <v>3.18</v>
      </c>
      <c r="N584" s="10" t="str">
        <f t="shared" si="87"/>
        <v>W</v>
      </c>
      <c r="O584" s="11">
        <f t="shared" si="88"/>
        <v>45918</v>
      </c>
      <c r="P584" s="12" t="str">
        <f t="shared" si="89"/>
        <v>19</v>
      </c>
      <c r="Q584" s="13" t="str">
        <f>VLOOKUP($B584,Deals_Demo!$H:$N,7,0)</f>
        <v>strategy_09_demo</v>
      </c>
      <c r="R584" s="13" t="str">
        <f t="shared" si="90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91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0.31800000000000006</v>
      </c>
      <c r="Y584" s="13">
        <f t="shared" si="94"/>
        <v>0.63600000000000012</v>
      </c>
      <c r="Z584" s="13">
        <f t="shared" si="95"/>
        <v>0.95399999999999996</v>
      </c>
      <c r="AA584" s="13">
        <f t="shared" si="92"/>
        <v>3.18</v>
      </c>
    </row>
    <row r="585" spans="1:27" x14ac:dyDescent="0.25">
      <c r="A585" s="40">
        <v>45918.797291666669</v>
      </c>
      <c r="B585" s="41">
        <v>443536978</v>
      </c>
      <c r="C585" s="42" t="s">
        <v>36</v>
      </c>
      <c r="D585" s="42" t="s">
        <v>37</v>
      </c>
      <c r="E585" s="42" t="s">
        <v>38</v>
      </c>
      <c r="F585" s="43">
        <v>3642</v>
      </c>
      <c r="G585" s="43">
        <v>3643.81</v>
      </c>
      <c r="H585" s="43">
        <v>3645.45</v>
      </c>
      <c r="I585" s="42" t="s">
        <v>854</v>
      </c>
      <c r="J585" s="43">
        <v>3645.45</v>
      </c>
      <c r="K585" s="43">
        <v>0</v>
      </c>
      <c r="L585" s="43">
        <v>0</v>
      </c>
      <c r="M585" s="44">
        <v>3.45</v>
      </c>
      <c r="N585" s="10" t="str">
        <f t="shared" si="87"/>
        <v>W</v>
      </c>
      <c r="O585" s="11">
        <f t="shared" si="88"/>
        <v>45918</v>
      </c>
      <c r="P585" s="12" t="str">
        <f t="shared" si="89"/>
        <v>19</v>
      </c>
      <c r="Q585" s="13" t="str">
        <f>VLOOKUP($B585,Deals_Demo!$H:$N,7,0)</f>
        <v>strategy_11_demo</v>
      </c>
      <c r="R585" s="13" t="str">
        <f t="shared" si="90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91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0.34500000000000003</v>
      </c>
      <c r="Y585" s="13">
        <f t="shared" si="94"/>
        <v>0.69000000000000006</v>
      </c>
      <c r="Z585" s="13">
        <f t="shared" si="95"/>
        <v>1.0349999999999999</v>
      </c>
      <c r="AA585" s="13">
        <f t="shared" si="92"/>
        <v>3.45</v>
      </c>
    </row>
    <row r="586" spans="1:27" x14ac:dyDescent="0.25">
      <c r="A586" s="35">
        <v>45918.797303240739</v>
      </c>
      <c r="B586" s="36">
        <v>443536979</v>
      </c>
      <c r="C586" s="37" t="s">
        <v>36</v>
      </c>
      <c r="D586" s="37" t="s">
        <v>37</v>
      </c>
      <c r="E586" s="37" t="s">
        <v>38</v>
      </c>
      <c r="F586" s="38">
        <v>3642</v>
      </c>
      <c r="G586" s="38">
        <v>3642.99</v>
      </c>
      <c r="H586" s="38">
        <v>3644.95</v>
      </c>
      <c r="I586" s="37" t="s">
        <v>855</v>
      </c>
      <c r="J586" s="38">
        <v>3644.96</v>
      </c>
      <c r="K586" s="38">
        <v>0</v>
      </c>
      <c r="L586" s="38">
        <v>0</v>
      </c>
      <c r="M586" s="39">
        <v>2.96</v>
      </c>
      <c r="N586" s="10" t="str">
        <f t="shared" si="87"/>
        <v>W</v>
      </c>
      <c r="O586" s="11">
        <f t="shared" si="88"/>
        <v>45918</v>
      </c>
      <c r="P586" s="12" t="str">
        <f t="shared" si="89"/>
        <v>19</v>
      </c>
      <c r="Q586" s="13" t="str">
        <f>VLOOKUP($B586,Deals_Demo!$H:$N,7,0)</f>
        <v>strategy_10_demo</v>
      </c>
      <c r="R586" s="13" t="str">
        <f t="shared" si="90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91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0.29599999999999999</v>
      </c>
      <c r="Y586" s="13">
        <f t="shared" si="94"/>
        <v>0.59199999999999997</v>
      </c>
      <c r="Z586" s="13">
        <f t="shared" si="95"/>
        <v>0.88800000000000001</v>
      </c>
      <c r="AA586" s="13">
        <f t="shared" si="92"/>
        <v>2.96</v>
      </c>
    </row>
    <row r="587" spans="1:27" x14ac:dyDescent="0.25">
      <c r="A587" s="40">
        <v>45918.800995370373</v>
      </c>
      <c r="B587" s="41">
        <v>443538309</v>
      </c>
      <c r="C587" s="42" t="s">
        <v>36</v>
      </c>
      <c r="D587" s="42" t="s">
        <v>37</v>
      </c>
      <c r="E587" s="42" t="s">
        <v>38</v>
      </c>
      <c r="F587" s="43">
        <v>3643.35</v>
      </c>
      <c r="G587" s="43">
        <v>3644.99</v>
      </c>
      <c r="H587" s="43">
        <v>3646.85</v>
      </c>
      <c r="I587" s="42" t="s">
        <v>852</v>
      </c>
      <c r="J587" s="43">
        <v>3644.99</v>
      </c>
      <c r="K587" s="43">
        <v>0</v>
      </c>
      <c r="L587" s="43">
        <v>0</v>
      </c>
      <c r="M587" s="44">
        <v>1.64</v>
      </c>
      <c r="N587" s="10" t="str">
        <f t="shared" si="87"/>
        <v>W</v>
      </c>
      <c r="O587" s="11">
        <f t="shared" si="88"/>
        <v>45918</v>
      </c>
      <c r="P587" s="12" t="str">
        <f t="shared" si="89"/>
        <v>19</v>
      </c>
      <c r="Q587" s="13" t="str">
        <f>VLOOKUP($B587,Deals_Demo!$H:$N,7,0)</f>
        <v>strategy_17_demo</v>
      </c>
      <c r="R587" s="13" t="str">
        <f t="shared" si="90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91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0.16400000000000001</v>
      </c>
      <c r="Y587" s="13">
        <f t="shared" si="94"/>
        <v>0.32800000000000001</v>
      </c>
      <c r="Z587" s="13">
        <f t="shared" si="95"/>
        <v>0.49199999999999994</v>
      </c>
      <c r="AA587" s="13">
        <f t="shared" si="92"/>
        <v>-3</v>
      </c>
    </row>
    <row r="588" spans="1:27" x14ac:dyDescent="0.25">
      <c r="A588" s="35">
        <v>45918.801921296297</v>
      </c>
      <c r="B588" s="36">
        <v>443538515</v>
      </c>
      <c r="C588" s="37" t="s">
        <v>36</v>
      </c>
      <c r="D588" s="37" t="s">
        <v>37</v>
      </c>
      <c r="E588" s="37" t="s">
        <v>38</v>
      </c>
      <c r="F588" s="38">
        <v>3643.28</v>
      </c>
      <c r="G588" s="38">
        <v>3643</v>
      </c>
      <c r="H588" s="38">
        <v>3644.78</v>
      </c>
      <c r="I588" s="37" t="s">
        <v>856</v>
      </c>
      <c r="J588" s="38">
        <v>3644.78</v>
      </c>
      <c r="K588" s="38">
        <v>0</v>
      </c>
      <c r="L588" s="38">
        <v>0</v>
      </c>
      <c r="M588" s="39">
        <v>1.5</v>
      </c>
      <c r="N588" s="10" t="str">
        <f t="shared" si="87"/>
        <v>W</v>
      </c>
      <c r="O588" s="11">
        <f t="shared" si="88"/>
        <v>45918</v>
      </c>
      <c r="P588" s="12" t="str">
        <f t="shared" si="89"/>
        <v>19</v>
      </c>
      <c r="Q588" s="13" t="str">
        <f>VLOOKUP($B588,Deals_Demo!$H:$N,7,0)</f>
        <v>strategy_14_demo</v>
      </c>
      <c r="R588" s="13" t="str">
        <f t="shared" si="90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91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0.15000000000000002</v>
      </c>
      <c r="Y588" s="13">
        <f t="shared" si="94"/>
        <v>0.30000000000000004</v>
      </c>
      <c r="Z588" s="13">
        <f t="shared" si="95"/>
        <v>0.44999999999999996</v>
      </c>
      <c r="AA588" s="13">
        <f t="shared" si="92"/>
        <v>-3</v>
      </c>
    </row>
    <row r="589" spans="1:27" x14ac:dyDescent="0.25">
      <c r="A589" s="40">
        <v>45918.801921296297</v>
      </c>
      <c r="B589" s="41">
        <v>443538516</v>
      </c>
      <c r="C589" s="42" t="s">
        <v>36</v>
      </c>
      <c r="D589" s="42" t="s">
        <v>37</v>
      </c>
      <c r="E589" s="42" t="s">
        <v>38</v>
      </c>
      <c r="F589" s="43">
        <v>3643.28</v>
      </c>
      <c r="G589" s="43">
        <v>3643</v>
      </c>
      <c r="H589" s="43">
        <v>3644.78</v>
      </c>
      <c r="I589" s="42" t="s">
        <v>856</v>
      </c>
      <c r="J589" s="43">
        <v>3644.78</v>
      </c>
      <c r="K589" s="43">
        <v>0</v>
      </c>
      <c r="L589" s="43">
        <v>0</v>
      </c>
      <c r="M589" s="44">
        <v>1.5</v>
      </c>
      <c r="N589" s="10" t="str">
        <f t="shared" si="87"/>
        <v>W</v>
      </c>
      <c r="O589" s="11">
        <f t="shared" si="88"/>
        <v>45918</v>
      </c>
      <c r="P589" s="12" t="str">
        <f t="shared" si="89"/>
        <v>19</v>
      </c>
      <c r="Q589" s="13" t="str">
        <f>VLOOKUP($B589,Deals_Demo!$H:$N,7,0)</f>
        <v>strategy_12_demo</v>
      </c>
      <c r="R589" s="13" t="str">
        <f t="shared" si="90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91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0.15000000000000002</v>
      </c>
      <c r="Y589" s="13">
        <f t="shared" si="94"/>
        <v>0.30000000000000004</v>
      </c>
      <c r="Z589" s="13">
        <f t="shared" si="95"/>
        <v>0.44999999999999996</v>
      </c>
      <c r="AA589" s="13">
        <f t="shared" si="92"/>
        <v>-3</v>
      </c>
    </row>
    <row r="590" spans="1:27" x14ac:dyDescent="0.25">
      <c r="A590" s="35">
        <v>45918.801932870374</v>
      </c>
      <c r="B590" s="36">
        <v>443538517</v>
      </c>
      <c r="C590" s="37" t="s">
        <v>36</v>
      </c>
      <c r="D590" s="37" t="s">
        <v>37</v>
      </c>
      <c r="E590" s="37" t="s">
        <v>38</v>
      </c>
      <c r="F590" s="38">
        <v>3643.28</v>
      </c>
      <c r="G590" s="38">
        <v>3644.38</v>
      </c>
      <c r="H590" s="38">
        <v>3646.78</v>
      </c>
      <c r="I590" s="37" t="s">
        <v>857</v>
      </c>
      <c r="J590" s="38">
        <v>3644.34</v>
      </c>
      <c r="K590" s="38">
        <v>0</v>
      </c>
      <c r="L590" s="38">
        <v>0</v>
      </c>
      <c r="M590" s="39">
        <v>1.06</v>
      </c>
      <c r="N590" s="10" t="str">
        <f t="shared" si="87"/>
        <v>W</v>
      </c>
      <c r="O590" s="11">
        <f t="shared" si="88"/>
        <v>45918</v>
      </c>
      <c r="P590" s="12" t="str">
        <f t="shared" si="89"/>
        <v>19</v>
      </c>
      <c r="Q590" s="13" t="str">
        <f>VLOOKUP($B590,Deals_Demo!$H:$N,7,0)</f>
        <v>strategy_16_demo</v>
      </c>
      <c r="R590" s="13" t="str">
        <f t="shared" si="90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91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0.10600000000000001</v>
      </c>
      <c r="Y590" s="13">
        <f t="shared" si="94"/>
        <v>0.21200000000000002</v>
      </c>
      <c r="Z590" s="13">
        <f t="shared" si="95"/>
        <v>0.318</v>
      </c>
      <c r="AA590" s="13">
        <f t="shared" si="92"/>
        <v>-3</v>
      </c>
    </row>
    <row r="591" spans="1:27" x14ac:dyDescent="0.25">
      <c r="A591" s="40">
        <v>45918.801932870374</v>
      </c>
      <c r="B591" s="41">
        <v>443538518</v>
      </c>
      <c r="C591" s="42" t="s">
        <v>36</v>
      </c>
      <c r="D591" s="42" t="s">
        <v>37</v>
      </c>
      <c r="E591" s="42" t="s">
        <v>38</v>
      </c>
      <c r="F591" s="43">
        <v>3643.28</v>
      </c>
      <c r="G591" s="43">
        <v>3643</v>
      </c>
      <c r="H591" s="43">
        <v>3644.78</v>
      </c>
      <c r="I591" s="42" t="s">
        <v>856</v>
      </c>
      <c r="J591" s="43">
        <v>3644.78</v>
      </c>
      <c r="K591" s="43">
        <v>0</v>
      </c>
      <c r="L591" s="43">
        <v>0</v>
      </c>
      <c r="M591" s="44">
        <v>1.5</v>
      </c>
      <c r="N591" s="10" t="str">
        <f t="shared" si="87"/>
        <v>W</v>
      </c>
      <c r="O591" s="11">
        <f t="shared" si="88"/>
        <v>45918</v>
      </c>
      <c r="P591" s="12" t="str">
        <f t="shared" si="89"/>
        <v>19</v>
      </c>
      <c r="Q591" s="13" t="str">
        <f>VLOOKUP($B591,Deals_Demo!$H:$N,7,0)</f>
        <v>strategy_15_demo</v>
      </c>
      <c r="R591" s="13" t="str">
        <f t="shared" si="90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91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0.15000000000000002</v>
      </c>
      <c r="Y591" s="13">
        <f t="shared" si="94"/>
        <v>0.30000000000000004</v>
      </c>
      <c r="Z591" s="13">
        <f t="shared" si="95"/>
        <v>0.44999999999999996</v>
      </c>
      <c r="AA591" s="13">
        <f t="shared" si="92"/>
        <v>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1190"/>
  <sheetViews>
    <sheetView showGridLines="0" topLeftCell="A1089" workbookViewId="0">
      <selection activeCell="N1112" sqref="N1112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40</v>
      </c>
      <c r="C1" s="3" t="s">
        <v>17</v>
      </c>
      <c r="D1" s="3" t="s">
        <v>18</v>
      </c>
      <c r="E1" s="3" t="s">
        <v>41</v>
      </c>
      <c r="F1" s="3" t="s">
        <v>19</v>
      </c>
      <c r="G1" s="3" t="s">
        <v>20</v>
      </c>
      <c r="H1" s="3" t="s">
        <v>42</v>
      </c>
      <c r="I1" s="3" t="s">
        <v>23</v>
      </c>
      <c r="J1" s="3" t="s">
        <v>43</v>
      </c>
      <c r="K1" s="3" t="s">
        <v>24</v>
      </c>
      <c r="L1" s="3" t="s">
        <v>25</v>
      </c>
      <c r="M1" s="3" t="s">
        <v>44</v>
      </c>
      <c r="N1" s="4" t="s">
        <v>45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40">
        <v>45917.666168981479</v>
      </c>
      <c r="B2" s="41">
        <v>443658705</v>
      </c>
      <c r="C2" s="42" t="s">
        <v>36</v>
      </c>
      <c r="D2" s="42" t="s">
        <v>37</v>
      </c>
      <c r="E2" s="42" t="s">
        <v>46</v>
      </c>
      <c r="F2" s="42" t="s">
        <v>38</v>
      </c>
      <c r="G2" s="43">
        <v>3678.6</v>
      </c>
      <c r="H2" s="41">
        <v>442874070</v>
      </c>
      <c r="I2" s="44">
        <v>0</v>
      </c>
      <c r="J2" s="43">
        <v>0</v>
      </c>
      <c r="K2" s="43">
        <v>0</v>
      </c>
      <c r="L2" s="43">
        <v>0</v>
      </c>
      <c r="M2" s="43">
        <v>10000</v>
      </c>
      <c r="N2" s="45" t="s">
        <v>48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35">
        <v>45917.666180555556</v>
      </c>
      <c r="B3" s="36">
        <v>443658706</v>
      </c>
      <c r="C3" s="37" t="s">
        <v>36</v>
      </c>
      <c r="D3" s="37" t="s">
        <v>37</v>
      </c>
      <c r="E3" s="37" t="s">
        <v>46</v>
      </c>
      <c r="F3" s="37" t="s">
        <v>38</v>
      </c>
      <c r="G3" s="38">
        <v>3678.55</v>
      </c>
      <c r="H3" s="36">
        <v>442874071</v>
      </c>
      <c r="I3" s="39">
        <v>0</v>
      </c>
      <c r="J3" s="38">
        <v>0</v>
      </c>
      <c r="K3" s="38">
        <v>0</v>
      </c>
      <c r="L3" s="38">
        <v>0</v>
      </c>
      <c r="M3" s="38">
        <v>10000</v>
      </c>
      <c r="N3" s="46" t="s">
        <v>53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40">
        <v>45917.666180555556</v>
      </c>
      <c r="B4" s="41">
        <v>443658708</v>
      </c>
      <c r="C4" s="42" t="s">
        <v>36</v>
      </c>
      <c r="D4" s="42" t="s">
        <v>37</v>
      </c>
      <c r="E4" s="42" t="s">
        <v>46</v>
      </c>
      <c r="F4" s="42" t="s">
        <v>38</v>
      </c>
      <c r="G4" s="43">
        <v>3678.55</v>
      </c>
      <c r="H4" s="41">
        <v>442874073</v>
      </c>
      <c r="I4" s="44">
        <v>0</v>
      </c>
      <c r="J4" s="43">
        <v>0</v>
      </c>
      <c r="K4" s="43">
        <v>0</v>
      </c>
      <c r="L4" s="43">
        <v>0</v>
      </c>
      <c r="M4" s="43">
        <v>10000</v>
      </c>
      <c r="N4" s="45" t="s">
        <v>49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35">
        <v>45917.668206018519</v>
      </c>
      <c r="B5" s="36">
        <v>443661063</v>
      </c>
      <c r="C5" s="37" t="s">
        <v>36</v>
      </c>
      <c r="D5" s="37" t="s">
        <v>39</v>
      </c>
      <c r="E5" s="37" t="s">
        <v>47</v>
      </c>
      <c r="F5" s="37" t="s">
        <v>38</v>
      </c>
      <c r="G5" s="38">
        <v>3676.1</v>
      </c>
      <c r="H5" s="36">
        <v>442876448</v>
      </c>
      <c r="I5" s="39">
        <v>0</v>
      </c>
      <c r="J5" s="38">
        <v>0</v>
      </c>
      <c r="K5" s="38">
        <v>0</v>
      </c>
      <c r="L5" s="38">
        <v>-2.4500000000000002</v>
      </c>
      <c r="M5" s="38">
        <v>9997.5499999999993</v>
      </c>
      <c r="N5" s="46" t="s">
        <v>121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40">
        <v>45917.66988425926</v>
      </c>
      <c r="B6" s="41">
        <v>443662736</v>
      </c>
      <c r="C6" s="42" t="s">
        <v>36</v>
      </c>
      <c r="D6" s="42" t="s">
        <v>39</v>
      </c>
      <c r="E6" s="42" t="s">
        <v>47</v>
      </c>
      <c r="F6" s="42" t="s">
        <v>38</v>
      </c>
      <c r="G6" s="43">
        <v>3675.56</v>
      </c>
      <c r="H6" s="41">
        <v>442878112</v>
      </c>
      <c r="I6" s="44">
        <v>0</v>
      </c>
      <c r="J6" s="43">
        <v>0</v>
      </c>
      <c r="K6" s="43">
        <v>0</v>
      </c>
      <c r="L6" s="43">
        <v>-3.04</v>
      </c>
      <c r="M6" s="43">
        <v>9994.51</v>
      </c>
      <c r="N6" s="45" t="s">
        <v>122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35">
        <v>45917.66988425926</v>
      </c>
      <c r="B7" s="36">
        <v>443662737</v>
      </c>
      <c r="C7" s="37" t="s">
        <v>36</v>
      </c>
      <c r="D7" s="37" t="s">
        <v>39</v>
      </c>
      <c r="E7" s="37" t="s">
        <v>47</v>
      </c>
      <c r="F7" s="37" t="s">
        <v>38</v>
      </c>
      <c r="G7" s="38">
        <v>3675.56</v>
      </c>
      <c r="H7" s="36">
        <v>442878114</v>
      </c>
      <c r="I7" s="39">
        <v>0</v>
      </c>
      <c r="J7" s="38">
        <v>0</v>
      </c>
      <c r="K7" s="38">
        <v>0</v>
      </c>
      <c r="L7" s="38">
        <v>-2.99</v>
      </c>
      <c r="M7" s="38">
        <v>9991.52</v>
      </c>
      <c r="N7" s="46" t="s">
        <v>122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40">
        <v>45917.670358796298</v>
      </c>
      <c r="B8" s="41">
        <v>443663714</v>
      </c>
      <c r="C8" s="42" t="s">
        <v>36</v>
      </c>
      <c r="D8" s="42" t="s">
        <v>37</v>
      </c>
      <c r="E8" s="42" t="s">
        <v>46</v>
      </c>
      <c r="F8" s="42" t="s">
        <v>38</v>
      </c>
      <c r="G8" s="43">
        <v>3675.65</v>
      </c>
      <c r="H8" s="41">
        <v>442879091</v>
      </c>
      <c r="I8" s="44">
        <v>0</v>
      </c>
      <c r="J8" s="43">
        <v>0</v>
      </c>
      <c r="K8" s="43">
        <v>0</v>
      </c>
      <c r="L8" s="43">
        <v>0</v>
      </c>
      <c r="M8" s="43">
        <v>9991.52</v>
      </c>
      <c r="N8" s="45" t="s">
        <v>123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35">
        <v>45917.673576388886</v>
      </c>
      <c r="B9" s="36">
        <v>443669440</v>
      </c>
      <c r="C9" s="37" t="s">
        <v>36</v>
      </c>
      <c r="D9" s="37" t="s">
        <v>37</v>
      </c>
      <c r="E9" s="37" t="s">
        <v>46</v>
      </c>
      <c r="F9" s="37" t="s">
        <v>38</v>
      </c>
      <c r="G9" s="38">
        <v>3676.65</v>
      </c>
      <c r="H9" s="36">
        <v>442884874</v>
      </c>
      <c r="I9" s="39">
        <v>0</v>
      </c>
      <c r="J9" s="38">
        <v>0</v>
      </c>
      <c r="K9" s="38">
        <v>0</v>
      </c>
      <c r="L9" s="38">
        <v>0</v>
      </c>
      <c r="M9" s="38">
        <v>9991.52</v>
      </c>
      <c r="N9" s="46" t="s">
        <v>124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40">
        <v>45917.673587962963</v>
      </c>
      <c r="B10" s="41">
        <v>443669445</v>
      </c>
      <c r="C10" s="42" t="s">
        <v>36</v>
      </c>
      <c r="D10" s="42" t="s">
        <v>37</v>
      </c>
      <c r="E10" s="42" t="s">
        <v>46</v>
      </c>
      <c r="F10" s="42" t="s">
        <v>38</v>
      </c>
      <c r="G10" s="43">
        <v>3676.65</v>
      </c>
      <c r="H10" s="41">
        <v>442884879</v>
      </c>
      <c r="I10" s="44">
        <v>0</v>
      </c>
      <c r="J10" s="43">
        <v>0</v>
      </c>
      <c r="K10" s="43">
        <v>0</v>
      </c>
      <c r="L10" s="43">
        <v>0</v>
      </c>
      <c r="M10" s="43">
        <v>9991.52</v>
      </c>
      <c r="N10" s="45" t="s">
        <v>125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35">
        <v>45917.677743055552</v>
      </c>
      <c r="B11" s="36">
        <v>443672222</v>
      </c>
      <c r="C11" s="37" t="s">
        <v>36</v>
      </c>
      <c r="D11" s="37" t="s">
        <v>37</v>
      </c>
      <c r="E11" s="37" t="s">
        <v>46</v>
      </c>
      <c r="F11" s="37" t="s">
        <v>38</v>
      </c>
      <c r="G11" s="38">
        <v>3678.04</v>
      </c>
      <c r="H11" s="36">
        <v>442887666</v>
      </c>
      <c r="I11" s="39">
        <v>0</v>
      </c>
      <c r="J11" s="38">
        <v>0</v>
      </c>
      <c r="K11" s="38">
        <v>0</v>
      </c>
      <c r="L11" s="38">
        <v>0</v>
      </c>
      <c r="M11" s="38">
        <v>9991.52</v>
      </c>
      <c r="N11" s="46" t="s">
        <v>49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40">
        <v>45917.677754629629</v>
      </c>
      <c r="B12" s="41">
        <v>443672224</v>
      </c>
      <c r="C12" s="42" t="s">
        <v>36</v>
      </c>
      <c r="D12" s="42" t="s">
        <v>37</v>
      </c>
      <c r="E12" s="42" t="s">
        <v>46</v>
      </c>
      <c r="F12" s="42" t="s">
        <v>38</v>
      </c>
      <c r="G12" s="43">
        <v>3678.02</v>
      </c>
      <c r="H12" s="41">
        <v>442887668</v>
      </c>
      <c r="I12" s="44">
        <v>0</v>
      </c>
      <c r="J12" s="43">
        <v>0</v>
      </c>
      <c r="K12" s="43">
        <v>0</v>
      </c>
      <c r="L12" s="43">
        <v>0</v>
      </c>
      <c r="M12" s="43">
        <v>9991.52</v>
      </c>
      <c r="N12" s="45" t="s">
        <v>48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35">
        <v>45917.677754629629</v>
      </c>
      <c r="B13" s="36">
        <v>443672226</v>
      </c>
      <c r="C13" s="37" t="s">
        <v>36</v>
      </c>
      <c r="D13" s="37" t="s">
        <v>37</v>
      </c>
      <c r="E13" s="37" t="s">
        <v>46</v>
      </c>
      <c r="F13" s="37" t="s">
        <v>38</v>
      </c>
      <c r="G13" s="38">
        <v>3677.94</v>
      </c>
      <c r="H13" s="36">
        <v>442887669</v>
      </c>
      <c r="I13" s="39">
        <v>0</v>
      </c>
      <c r="J13" s="38">
        <v>0</v>
      </c>
      <c r="K13" s="38">
        <v>0</v>
      </c>
      <c r="L13" s="38">
        <v>0</v>
      </c>
      <c r="M13" s="38">
        <v>9991.52</v>
      </c>
      <c r="N13" s="46" t="s">
        <v>53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40">
        <v>45917.678391203706</v>
      </c>
      <c r="B14" s="41">
        <v>443672679</v>
      </c>
      <c r="C14" s="42" t="s">
        <v>36</v>
      </c>
      <c r="D14" s="42" t="s">
        <v>39</v>
      </c>
      <c r="E14" s="42" t="s">
        <v>47</v>
      </c>
      <c r="F14" s="42" t="s">
        <v>38</v>
      </c>
      <c r="G14" s="43">
        <v>3676.33</v>
      </c>
      <c r="H14" s="41">
        <v>442888118</v>
      </c>
      <c r="I14" s="44">
        <v>0</v>
      </c>
      <c r="J14" s="43">
        <v>0</v>
      </c>
      <c r="K14" s="43">
        <v>0</v>
      </c>
      <c r="L14" s="43">
        <v>0.68</v>
      </c>
      <c r="M14" s="43">
        <v>9992.2000000000007</v>
      </c>
      <c r="N14" s="45" t="s">
        <v>126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35">
        <v>45917.679131944446</v>
      </c>
      <c r="B15" s="36">
        <v>443673162</v>
      </c>
      <c r="C15" s="37" t="s">
        <v>36</v>
      </c>
      <c r="D15" s="37" t="s">
        <v>37</v>
      </c>
      <c r="E15" s="37" t="s">
        <v>46</v>
      </c>
      <c r="F15" s="37" t="s">
        <v>38</v>
      </c>
      <c r="G15" s="38">
        <v>3677.06</v>
      </c>
      <c r="H15" s="36">
        <v>442888597</v>
      </c>
      <c r="I15" s="39">
        <v>0</v>
      </c>
      <c r="J15" s="38">
        <v>0</v>
      </c>
      <c r="K15" s="38">
        <v>0</v>
      </c>
      <c r="L15" s="38">
        <v>0</v>
      </c>
      <c r="M15" s="38">
        <v>9992.2000000000007</v>
      </c>
      <c r="N15" s="46" t="s">
        <v>123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40">
        <v>45917.680949074071</v>
      </c>
      <c r="B16" s="41">
        <v>443674131</v>
      </c>
      <c r="C16" s="42" t="s">
        <v>36</v>
      </c>
      <c r="D16" s="42" t="s">
        <v>39</v>
      </c>
      <c r="E16" s="42" t="s">
        <v>47</v>
      </c>
      <c r="F16" s="42" t="s">
        <v>38</v>
      </c>
      <c r="G16" s="43">
        <v>3675.42</v>
      </c>
      <c r="H16" s="41">
        <v>442889588</v>
      </c>
      <c r="I16" s="44">
        <v>0</v>
      </c>
      <c r="J16" s="43">
        <v>0</v>
      </c>
      <c r="K16" s="43">
        <v>0</v>
      </c>
      <c r="L16" s="43">
        <v>-2.62</v>
      </c>
      <c r="M16" s="43">
        <v>9989.58</v>
      </c>
      <c r="N16" s="45" t="s">
        <v>127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35">
        <v>45917.681562500002</v>
      </c>
      <c r="B17" s="36">
        <v>443674917</v>
      </c>
      <c r="C17" s="37" t="s">
        <v>36</v>
      </c>
      <c r="D17" s="37" t="s">
        <v>39</v>
      </c>
      <c r="E17" s="37" t="s">
        <v>47</v>
      </c>
      <c r="F17" s="37" t="s">
        <v>38</v>
      </c>
      <c r="G17" s="38">
        <v>3675</v>
      </c>
      <c r="H17" s="36">
        <v>442890375</v>
      </c>
      <c r="I17" s="39">
        <v>0</v>
      </c>
      <c r="J17" s="38">
        <v>0</v>
      </c>
      <c r="K17" s="38">
        <v>0</v>
      </c>
      <c r="L17" s="38">
        <v>-3.02</v>
      </c>
      <c r="M17" s="38">
        <v>9986.56</v>
      </c>
      <c r="N17" s="46" t="s">
        <v>128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40">
        <v>45917.681562500002</v>
      </c>
      <c r="B18" s="41">
        <v>443674918</v>
      </c>
      <c r="C18" s="42" t="s">
        <v>36</v>
      </c>
      <c r="D18" s="42" t="s">
        <v>39</v>
      </c>
      <c r="E18" s="42" t="s">
        <v>47</v>
      </c>
      <c r="F18" s="42" t="s">
        <v>38</v>
      </c>
      <c r="G18" s="43">
        <v>3675</v>
      </c>
      <c r="H18" s="41">
        <v>442890376</v>
      </c>
      <c r="I18" s="44">
        <v>0</v>
      </c>
      <c r="J18" s="43">
        <v>0</v>
      </c>
      <c r="K18" s="43">
        <v>0</v>
      </c>
      <c r="L18" s="43">
        <v>-2.94</v>
      </c>
      <c r="M18" s="43">
        <v>9983.6200000000008</v>
      </c>
      <c r="N18" s="45" t="s">
        <v>128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35">
        <v>45917.683333333334</v>
      </c>
      <c r="B19" s="36">
        <v>443676753</v>
      </c>
      <c r="C19" s="37" t="s">
        <v>36</v>
      </c>
      <c r="D19" s="37" t="s">
        <v>39</v>
      </c>
      <c r="E19" s="37" t="s">
        <v>47</v>
      </c>
      <c r="F19" s="37" t="s">
        <v>38</v>
      </c>
      <c r="G19" s="38">
        <v>3674.05</v>
      </c>
      <c r="H19" s="36">
        <v>442892188</v>
      </c>
      <c r="I19" s="39">
        <v>0</v>
      </c>
      <c r="J19" s="38">
        <v>0</v>
      </c>
      <c r="K19" s="38">
        <v>0</v>
      </c>
      <c r="L19" s="38">
        <v>-3.01</v>
      </c>
      <c r="M19" s="38">
        <v>9980.61</v>
      </c>
      <c r="N19" s="46" t="s">
        <v>129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40">
        <v>45917.684224537035</v>
      </c>
      <c r="B20" s="41">
        <v>443677515</v>
      </c>
      <c r="C20" s="42" t="s">
        <v>36</v>
      </c>
      <c r="D20" s="42" t="s">
        <v>39</v>
      </c>
      <c r="E20" s="42" t="s">
        <v>46</v>
      </c>
      <c r="F20" s="42" t="s">
        <v>38</v>
      </c>
      <c r="G20" s="43">
        <v>3675.51</v>
      </c>
      <c r="H20" s="41">
        <v>442892951</v>
      </c>
      <c r="I20" s="44">
        <v>0</v>
      </c>
      <c r="J20" s="43">
        <v>0</v>
      </c>
      <c r="K20" s="43">
        <v>0</v>
      </c>
      <c r="L20" s="43">
        <v>0</v>
      </c>
      <c r="M20" s="43">
        <v>9980.61</v>
      </c>
      <c r="N20" s="45" t="s">
        <v>53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35">
        <v>45917.684236111112</v>
      </c>
      <c r="B21" s="36">
        <v>443677518</v>
      </c>
      <c r="C21" s="37" t="s">
        <v>36</v>
      </c>
      <c r="D21" s="37" t="s">
        <v>39</v>
      </c>
      <c r="E21" s="37" t="s">
        <v>46</v>
      </c>
      <c r="F21" s="37" t="s">
        <v>38</v>
      </c>
      <c r="G21" s="38">
        <v>3675.52</v>
      </c>
      <c r="H21" s="36">
        <v>442892954</v>
      </c>
      <c r="I21" s="39">
        <v>0</v>
      </c>
      <c r="J21" s="38">
        <v>0</v>
      </c>
      <c r="K21" s="38">
        <v>0</v>
      </c>
      <c r="L21" s="38">
        <v>0</v>
      </c>
      <c r="M21" s="38">
        <v>9980.61</v>
      </c>
      <c r="N21" s="46" t="s">
        <v>49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40">
        <v>45917.684236111112</v>
      </c>
      <c r="B22" s="41">
        <v>443677519</v>
      </c>
      <c r="C22" s="42" t="s">
        <v>36</v>
      </c>
      <c r="D22" s="42" t="s">
        <v>39</v>
      </c>
      <c r="E22" s="42" t="s">
        <v>46</v>
      </c>
      <c r="F22" s="42" t="s">
        <v>38</v>
      </c>
      <c r="G22" s="43">
        <v>3675.48</v>
      </c>
      <c r="H22" s="41">
        <v>442892955</v>
      </c>
      <c r="I22" s="44">
        <v>0</v>
      </c>
      <c r="J22" s="43">
        <v>0</v>
      </c>
      <c r="K22" s="43">
        <v>0</v>
      </c>
      <c r="L22" s="43">
        <v>0</v>
      </c>
      <c r="M22" s="43">
        <v>9980.61</v>
      </c>
      <c r="N22" s="45" t="s">
        <v>48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35">
        <v>45917.688009259262</v>
      </c>
      <c r="B23" s="36">
        <v>443679845</v>
      </c>
      <c r="C23" s="37" t="s">
        <v>36</v>
      </c>
      <c r="D23" s="37" t="s">
        <v>37</v>
      </c>
      <c r="E23" s="37" t="s">
        <v>47</v>
      </c>
      <c r="F23" s="37" t="s">
        <v>38</v>
      </c>
      <c r="G23" s="38">
        <v>3678.06</v>
      </c>
      <c r="H23" s="36">
        <v>442895272</v>
      </c>
      <c r="I23" s="39">
        <v>0</v>
      </c>
      <c r="J23" s="38">
        <v>0</v>
      </c>
      <c r="K23" s="38">
        <v>0</v>
      </c>
      <c r="L23" s="38">
        <v>-2.54</v>
      </c>
      <c r="M23" s="38">
        <v>9978.07</v>
      </c>
      <c r="N23" s="46" t="s">
        <v>130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40">
        <v>45917.688518518517</v>
      </c>
      <c r="B24" s="41">
        <v>443680341</v>
      </c>
      <c r="C24" s="42" t="s">
        <v>36</v>
      </c>
      <c r="D24" s="42" t="s">
        <v>37</v>
      </c>
      <c r="E24" s="42" t="s">
        <v>47</v>
      </c>
      <c r="F24" s="42" t="s">
        <v>38</v>
      </c>
      <c r="G24" s="43">
        <v>3678.61</v>
      </c>
      <c r="H24" s="41">
        <v>442895763</v>
      </c>
      <c r="I24" s="44">
        <v>0</v>
      </c>
      <c r="J24" s="43">
        <v>0</v>
      </c>
      <c r="K24" s="43">
        <v>0</v>
      </c>
      <c r="L24" s="43">
        <v>-3.1</v>
      </c>
      <c r="M24" s="43">
        <v>9974.9699999999993</v>
      </c>
      <c r="N24" s="45" t="s">
        <v>131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35">
        <v>45917.688518518517</v>
      </c>
      <c r="B25" s="36">
        <v>443680342</v>
      </c>
      <c r="C25" s="37" t="s">
        <v>36</v>
      </c>
      <c r="D25" s="37" t="s">
        <v>37</v>
      </c>
      <c r="E25" s="37" t="s">
        <v>47</v>
      </c>
      <c r="F25" s="37" t="s">
        <v>38</v>
      </c>
      <c r="G25" s="38">
        <v>3678.61</v>
      </c>
      <c r="H25" s="36">
        <v>442895764</v>
      </c>
      <c r="I25" s="39">
        <v>0</v>
      </c>
      <c r="J25" s="38">
        <v>0</v>
      </c>
      <c r="K25" s="38">
        <v>0</v>
      </c>
      <c r="L25" s="38">
        <v>-3.13</v>
      </c>
      <c r="M25" s="38">
        <v>9971.84</v>
      </c>
      <c r="N25" s="46" t="s">
        <v>131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40">
        <v>45917.688854166663</v>
      </c>
      <c r="B26" s="41">
        <v>443680664</v>
      </c>
      <c r="C26" s="42" t="s">
        <v>36</v>
      </c>
      <c r="D26" s="42" t="s">
        <v>37</v>
      </c>
      <c r="E26" s="42" t="s">
        <v>46</v>
      </c>
      <c r="F26" s="42" t="s">
        <v>38</v>
      </c>
      <c r="G26" s="43">
        <v>3677.35</v>
      </c>
      <c r="H26" s="41">
        <v>442896085</v>
      </c>
      <c r="I26" s="44">
        <v>0</v>
      </c>
      <c r="J26" s="43">
        <v>0</v>
      </c>
      <c r="K26" s="43">
        <v>0</v>
      </c>
      <c r="L26" s="43">
        <v>0</v>
      </c>
      <c r="M26" s="43">
        <v>9971.84</v>
      </c>
      <c r="N26" s="45" t="s">
        <v>123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35">
        <v>45917.692384259259</v>
      </c>
      <c r="B27" s="36">
        <v>443685624</v>
      </c>
      <c r="C27" s="37" t="s">
        <v>36</v>
      </c>
      <c r="D27" s="37" t="s">
        <v>39</v>
      </c>
      <c r="E27" s="37" t="s">
        <v>47</v>
      </c>
      <c r="F27" s="37" t="s">
        <v>38</v>
      </c>
      <c r="G27" s="38">
        <v>3681.85</v>
      </c>
      <c r="H27" s="36">
        <v>442900968</v>
      </c>
      <c r="I27" s="39">
        <v>0</v>
      </c>
      <c r="J27" s="38">
        <v>0</v>
      </c>
      <c r="K27" s="38">
        <v>0</v>
      </c>
      <c r="L27" s="38">
        <v>4.5</v>
      </c>
      <c r="M27" s="38">
        <v>9976.34</v>
      </c>
      <c r="N27" s="46" t="s">
        <v>132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40">
        <v>45917.694525462961</v>
      </c>
      <c r="B28" s="41">
        <v>443687732</v>
      </c>
      <c r="C28" s="42" t="s">
        <v>36</v>
      </c>
      <c r="D28" s="42" t="s">
        <v>37</v>
      </c>
      <c r="E28" s="42" t="s">
        <v>46</v>
      </c>
      <c r="F28" s="42" t="s">
        <v>38</v>
      </c>
      <c r="G28" s="43">
        <v>3680.46</v>
      </c>
      <c r="H28" s="41">
        <v>442903050</v>
      </c>
      <c r="I28" s="44">
        <v>0</v>
      </c>
      <c r="J28" s="43">
        <v>0</v>
      </c>
      <c r="K28" s="43">
        <v>0</v>
      </c>
      <c r="L28" s="43">
        <v>0</v>
      </c>
      <c r="M28" s="43">
        <v>9976.34</v>
      </c>
      <c r="N28" s="45" t="s">
        <v>49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35">
        <v>45917.694537037038</v>
      </c>
      <c r="B29" s="36">
        <v>443687737</v>
      </c>
      <c r="C29" s="37" t="s">
        <v>36</v>
      </c>
      <c r="D29" s="37" t="s">
        <v>37</v>
      </c>
      <c r="E29" s="37" t="s">
        <v>46</v>
      </c>
      <c r="F29" s="37" t="s">
        <v>38</v>
      </c>
      <c r="G29" s="38">
        <v>3680.45</v>
      </c>
      <c r="H29" s="36">
        <v>442903055</v>
      </c>
      <c r="I29" s="39">
        <v>0</v>
      </c>
      <c r="J29" s="38">
        <v>0</v>
      </c>
      <c r="K29" s="38">
        <v>0</v>
      </c>
      <c r="L29" s="38">
        <v>0</v>
      </c>
      <c r="M29" s="38">
        <v>9976.34</v>
      </c>
      <c r="N29" s="46" t="s">
        <v>53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40">
        <v>45917.694537037038</v>
      </c>
      <c r="B30" s="41">
        <v>443687739</v>
      </c>
      <c r="C30" s="42" t="s">
        <v>36</v>
      </c>
      <c r="D30" s="42" t="s">
        <v>37</v>
      </c>
      <c r="E30" s="42" t="s">
        <v>46</v>
      </c>
      <c r="F30" s="42" t="s">
        <v>38</v>
      </c>
      <c r="G30" s="43">
        <v>3680.46</v>
      </c>
      <c r="H30" s="41">
        <v>442903057</v>
      </c>
      <c r="I30" s="44">
        <v>0</v>
      </c>
      <c r="J30" s="43">
        <v>0</v>
      </c>
      <c r="K30" s="43">
        <v>0</v>
      </c>
      <c r="L30" s="43">
        <v>0</v>
      </c>
      <c r="M30" s="43">
        <v>9976.34</v>
      </c>
      <c r="N30" s="45" t="s">
        <v>48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35">
        <v>45917.694687499999</v>
      </c>
      <c r="B31" s="36">
        <v>443687902</v>
      </c>
      <c r="C31" s="37" t="s">
        <v>36</v>
      </c>
      <c r="D31" s="37" t="s">
        <v>39</v>
      </c>
      <c r="E31" s="37" t="s">
        <v>47</v>
      </c>
      <c r="F31" s="37" t="s">
        <v>38</v>
      </c>
      <c r="G31" s="38">
        <v>3679.06</v>
      </c>
      <c r="H31" s="36">
        <v>442903220</v>
      </c>
      <c r="I31" s="39">
        <v>0</v>
      </c>
      <c r="J31" s="38">
        <v>0</v>
      </c>
      <c r="K31" s="38">
        <v>0</v>
      </c>
      <c r="L31" s="38">
        <v>2.41</v>
      </c>
      <c r="M31" s="38">
        <v>9978.75</v>
      </c>
      <c r="N31" s="46" t="s">
        <v>133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40">
        <v>45917.694687499999</v>
      </c>
      <c r="B32" s="41">
        <v>443687903</v>
      </c>
      <c r="C32" s="42" t="s">
        <v>36</v>
      </c>
      <c r="D32" s="42" t="s">
        <v>39</v>
      </c>
      <c r="E32" s="42" t="s">
        <v>47</v>
      </c>
      <c r="F32" s="42" t="s">
        <v>38</v>
      </c>
      <c r="G32" s="43">
        <v>3679.06</v>
      </c>
      <c r="H32" s="41">
        <v>442903221</v>
      </c>
      <c r="I32" s="44">
        <v>0</v>
      </c>
      <c r="J32" s="43">
        <v>0</v>
      </c>
      <c r="K32" s="43">
        <v>0</v>
      </c>
      <c r="L32" s="43">
        <v>2.41</v>
      </c>
      <c r="M32" s="43">
        <v>9981.16</v>
      </c>
      <c r="N32" s="45" t="s">
        <v>134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35">
        <v>45917.698217592595</v>
      </c>
      <c r="B33" s="36">
        <v>443690434</v>
      </c>
      <c r="C33" s="37" t="s">
        <v>36</v>
      </c>
      <c r="D33" s="37" t="s">
        <v>39</v>
      </c>
      <c r="E33" s="37" t="s">
        <v>47</v>
      </c>
      <c r="F33" s="37" t="s">
        <v>38</v>
      </c>
      <c r="G33" s="38">
        <v>3678.03</v>
      </c>
      <c r="H33" s="36">
        <v>442905726</v>
      </c>
      <c r="I33" s="39">
        <v>0</v>
      </c>
      <c r="J33" s="38">
        <v>0</v>
      </c>
      <c r="K33" s="38">
        <v>0</v>
      </c>
      <c r="L33" s="38">
        <v>-2.4300000000000002</v>
      </c>
      <c r="M33" s="38">
        <v>9978.73</v>
      </c>
      <c r="N33" s="46" t="s">
        <v>135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40">
        <v>45917.698587962965</v>
      </c>
      <c r="B34" s="41">
        <v>443691158</v>
      </c>
      <c r="C34" s="42" t="s">
        <v>36</v>
      </c>
      <c r="D34" s="42" t="s">
        <v>37</v>
      </c>
      <c r="E34" s="42" t="s">
        <v>46</v>
      </c>
      <c r="F34" s="42" t="s">
        <v>38</v>
      </c>
      <c r="G34" s="43">
        <v>3678.35</v>
      </c>
      <c r="H34" s="41">
        <v>442906378</v>
      </c>
      <c r="I34" s="44">
        <v>0</v>
      </c>
      <c r="J34" s="43">
        <v>0</v>
      </c>
      <c r="K34" s="43">
        <v>0</v>
      </c>
      <c r="L34" s="43">
        <v>0</v>
      </c>
      <c r="M34" s="43">
        <v>9978.73</v>
      </c>
      <c r="N34" s="45" t="s">
        <v>123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35">
        <v>45917.698587962965</v>
      </c>
      <c r="B35" s="36">
        <v>443691170</v>
      </c>
      <c r="C35" s="37" t="s">
        <v>36</v>
      </c>
      <c r="D35" s="37" t="s">
        <v>37</v>
      </c>
      <c r="E35" s="37" t="s">
        <v>46</v>
      </c>
      <c r="F35" s="37" t="s">
        <v>38</v>
      </c>
      <c r="G35" s="38">
        <v>3678.33</v>
      </c>
      <c r="H35" s="36">
        <v>442906390</v>
      </c>
      <c r="I35" s="39">
        <v>0</v>
      </c>
      <c r="J35" s="38">
        <v>0</v>
      </c>
      <c r="K35" s="38">
        <v>0</v>
      </c>
      <c r="L35" s="38">
        <v>0</v>
      </c>
      <c r="M35" s="38">
        <v>9978.73</v>
      </c>
      <c r="N35" s="46" t="s">
        <v>124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40">
        <v>45917.698587962965</v>
      </c>
      <c r="B36" s="41">
        <v>443691172</v>
      </c>
      <c r="C36" s="42" t="s">
        <v>36</v>
      </c>
      <c r="D36" s="42" t="s">
        <v>37</v>
      </c>
      <c r="E36" s="42" t="s">
        <v>46</v>
      </c>
      <c r="F36" s="42" t="s">
        <v>38</v>
      </c>
      <c r="G36" s="43">
        <v>3678.32</v>
      </c>
      <c r="H36" s="41">
        <v>442906392</v>
      </c>
      <c r="I36" s="44">
        <v>0</v>
      </c>
      <c r="J36" s="43">
        <v>0</v>
      </c>
      <c r="K36" s="43">
        <v>0</v>
      </c>
      <c r="L36" s="43">
        <v>0</v>
      </c>
      <c r="M36" s="43">
        <v>9978.73</v>
      </c>
      <c r="N36" s="45" t="s">
        <v>125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35">
        <v>45917.699108796296</v>
      </c>
      <c r="B37" s="36">
        <v>443691584</v>
      </c>
      <c r="C37" s="37" t="s">
        <v>36</v>
      </c>
      <c r="D37" s="37" t="s">
        <v>39</v>
      </c>
      <c r="E37" s="37" t="s">
        <v>47</v>
      </c>
      <c r="F37" s="37" t="s">
        <v>38</v>
      </c>
      <c r="G37" s="38">
        <v>3677.41</v>
      </c>
      <c r="H37" s="36">
        <v>442906817</v>
      </c>
      <c r="I37" s="39">
        <v>0</v>
      </c>
      <c r="J37" s="38">
        <v>0</v>
      </c>
      <c r="K37" s="38">
        <v>0</v>
      </c>
      <c r="L37" s="38">
        <v>-3.04</v>
      </c>
      <c r="M37" s="38">
        <v>9975.69</v>
      </c>
      <c r="N37" s="46" t="s">
        <v>136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40">
        <v>45917.699108796296</v>
      </c>
      <c r="B38" s="41">
        <v>443691585</v>
      </c>
      <c r="C38" s="42" t="s">
        <v>36</v>
      </c>
      <c r="D38" s="42" t="s">
        <v>39</v>
      </c>
      <c r="E38" s="42" t="s">
        <v>47</v>
      </c>
      <c r="F38" s="42" t="s">
        <v>38</v>
      </c>
      <c r="G38" s="43">
        <v>3677.41</v>
      </c>
      <c r="H38" s="41">
        <v>442906818</v>
      </c>
      <c r="I38" s="44">
        <v>0</v>
      </c>
      <c r="J38" s="43">
        <v>0</v>
      </c>
      <c r="K38" s="43">
        <v>0</v>
      </c>
      <c r="L38" s="43">
        <v>-3.05</v>
      </c>
      <c r="M38" s="43">
        <v>9972.64</v>
      </c>
      <c r="N38" s="45" t="s">
        <v>136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35">
        <v>45917.71733796296</v>
      </c>
      <c r="B39" s="36">
        <v>443705042</v>
      </c>
      <c r="C39" s="37" t="s">
        <v>36</v>
      </c>
      <c r="D39" s="37" t="s">
        <v>39</v>
      </c>
      <c r="E39" s="37" t="s">
        <v>47</v>
      </c>
      <c r="F39" s="37" t="s">
        <v>38</v>
      </c>
      <c r="G39" s="38">
        <v>3682.87</v>
      </c>
      <c r="H39" s="36">
        <v>442921298</v>
      </c>
      <c r="I39" s="39">
        <v>0</v>
      </c>
      <c r="J39" s="38">
        <v>0</v>
      </c>
      <c r="K39" s="38">
        <v>0</v>
      </c>
      <c r="L39" s="38">
        <v>4.5199999999999996</v>
      </c>
      <c r="M39" s="38">
        <v>9977.16</v>
      </c>
      <c r="N39" s="46" t="s">
        <v>137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40">
        <v>45917.720277777778</v>
      </c>
      <c r="B40" s="41">
        <v>443707430</v>
      </c>
      <c r="C40" s="42" t="s">
        <v>36</v>
      </c>
      <c r="D40" s="42" t="s">
        <v>39</v>
      </c>
      <c r="E40" s="42" t="s">
        <v>47</v>
      </c>
      <c r="F40" s="42" t="s">
        <v>38</v>
      </c>
      <c r="G40" s="43">
        <v>3684.42</v>
      </c>
      <c r="H40" s="41">
        <v>442923673</v>
      </c>
      <c r="I40" s="44">
        <v>0</v>
      </c>
      <c r="J40" s="43">
        <v>0</v>
      </c>
      <c r="K40" s="43">
        <v>0</v>
      </c>
      <c r="L40" s="43">
        <v>6.1</v>
      </c>
      <c r="M40" s="43">
        <v>9983.26</v>
      </c>
      <c r="N40" s="45" t="s">
        <v>138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35">
        <v>45917.721608796295</v>
      </c>
      <c r="B41" s="36">
        <v>443709668</v>
      </c>
      <c r="C41" s="37" t="s">
        <v>36</v>
      </c>
      <c r="D41" s="37" t="s">
        <v>37</v>
      </c>
      <c r="E41" s="37" t="s">
        <v>46</v>
      </c>
      <c r="F41" s="37" t="s">
        <v>38</v>
      </c>
      <c r="G41" s="38">
        <v>3683.82</v>
      </c>
      <c r="H41" s="36">
        <v>442925881</v>
      </c>
      <c r="I41" s="39">
        <v>0</v>
      </c>
      <c r="J41" s="38">
        <v>0</v>
      </c>
      <c r="K41" s="38">
        <v>0</v>
      </c>
      <c r="L41" s="38">
        <v>0</v>
      </c>
      <c r="M41" s="38">
        <v>9983.26</v>
      </c>
      <c r="N41" s="46" t="s">
        <v>49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40">
        <v>45917.721608796295</v>
      </c>
      <c r="B42" s="41">
        <v>443709671</v>
      </c>
      <c r="C42" s="42" t="s">
        <v>36</v>
      </c>
      <c r="D42" s="42" t="s">
        <v>37</v>
      </c>
      <c r="E42" s="42" t="s">
        <v>46</v>
      </c>
      <c r="F42" s="42" t="s">
        <v>38</v>
      </c>
      <c r="G42" s="43">
        <v>3683.76</v>
      </c>
      <c r="H42" s="41">
        <v>442925884</v>
      </c>
      <c r="I42" s="44">
        <v>0</v>
      </c>
      <c r="J42" s="43">
        <v>0</v>
      </c>
      <c r="K42" s="43">
        <v>0</v>
      </c>
      <c r="L42" s="43">
        <v>0</v>
      </c>
      <c r="M42" s="43">
        <v>9983.26</v>
      </c>
      <c r="N42" s="45" t="s">
        <v>48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35">
        <v>45917.721620370372</v>
      </c>
      <c r="B43" s="36">
        <v>443709675</v>
      </c>
      <c r="C43" s="37" t="s">
        <v>36</v>
      </c>
      <c r="D43" s="37" t="s">
        <v>37</v>
      </c>
      <c r="E43" s="37" t="s">
        <v>46</v>
      </c>
      <c r="F43" s="37" t="s">
        <v>38</v>
      </c>
      <c r="G43" s="38">
        <v>3683.82</v>
      </c>
      <c r="H43" s="36">
        <v>442925888</v>
      </c>
      <c r="I43" s="39">
        <v>0</v>
      </c>
      <c r="J43" s="38">
        <v>0</v>
      </c>
      <c r="K43" s="38">
        <v>0</v>
      </c>
      <c r="L43" s="38">
        <v>0</v>
      </c>
      <c r="M43" s="38">
        <v>9983.26</v>
      </c>
      <c r="N43" s="46" t="s">
        <v>53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40">
        <v>45917.722222222219</v>
      </c>
      <c r="B44" s="41">
        <v>443710452</v>
      </c>
      <c r="C44" s="42" t="s">
        <v>36</v>
      </c>
      <c r="D44" s="42" t="s">
        <v>39</v>
      </c>
      <c r="E44" s="42" t="s">
        <v>47</v>
      </c>
      <c r="F44" s="42" t="s">
        <v>38</v>
      </c>
      <c r="G44" s="43">
        <v>3682.53</v>
      </c>
      <c r="H44" s="41">
        <v>442926658</v>
      </c>
      <c r="I44" s="44">
        <v>0</v>
      </c>
      <c r="J44" s="43">
        <v>0</v>
      </c>
      <c r="K44" s="43">
        <v>0</v>
      </c>
      <c r="L44" s="43">
        <v>4.2</v>
      </c>
      <c r="M44" s="43">
        <v>9987.4599999999991</v>
      </c>
      <c r="N44" s="45" t="s">
        <v>139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35">
        <v>45917.726365740738</v>
      </c>
      <c r="B45" s="36">
        <v>443713357</v>
      </c>
      <c r="C45" s="37" t="s">
        <v>36</v>
      </c>
      <c r="D45" s="37" t="s">
        <v>37</v>
      </c>
      <c r="E45" s="37" t="s">
        <v>46</v>
      </c>
      <c r="F45" s="37" t="s">
        <v>38</v>
      </c>
      <c r="G45" s="38">
        <v>3682.57</v>
      </c>
      <c r="H45" s="36">
        <v>442929514</v>
      </c>
      <c r="I45" s="39">
        <v>0</v>
      </c>
      <c r="J45" s="38">
        <v>0</v>
      </c>
      <c r="K45" s="38">
        <v>0</v>
      </c>
      <c r="L45" s="38">
        <v>0</v>
      </c>
      <c r="M45" s="38">
        <v>9987.4599999999991</v>
      </c>
      <c r="N45" s="46" t="s">
        <v>124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40">
        <v>45917.726365740738</v>
      </c>
      <c r="B46" s="41">
        <v>443713359</v>
      </c>
      <c r="C46" s="42" t="s">
        <v>36</v>
      </c>
      <c r="D46" s="42" t="s">
        <v>37</v>
      </c>
      <c r="E46" s="42" t="s">
        <v>46</v>
      </c>
      <c r="F46" s="42" t="s">
        <v>38</v>
      </c>
      <c r="G46" s="43">
        <v>3682.57</v>
      </c>
      <c r="H46" s="41">
        <v>442929515</v>
      </c>
      <c r="I46" s="44">
        <v>0</v>
      </c>
      <c r="J46" s="43">
        <v>0</v>
      </c>
      <c r="K46" s="43">
        <v>0</v>
      </c>
      <c r="L46" s="43">
        <v>0</v>
      </c>
      <c r="M46" s="43">
        <v>9987.4599999999991</v>
      </c>
      <c r="N46" s="45" t="s">
        <v>125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35">
        <v>45917.733310185184</v>
      </c>
      <c r="B47" s="36">
        <v>443718027</v>
      </c>
      <c r="C47" s="37" t="s">
        <v>36</v>
      </c>
      <c r="D47" s="37" t="s">
        <v>37</v>
      </c>
      <c r="E47" s="37" t="s">
        <v>46</v>
      </c>
      <c r="F47" s="37" t="s">
        <v>38</v>
      </c>
      <c r="G47" s="38">
        <v>3683.38</v>
      </c>
      <c r="H47" s="36">
        <v>442934114</v>
      </c>
      <c r="I47" s="39">
        <v>0</v>
      </c>
      <c r="J47" s="38">
        <v>0</v>
      </c>
      <c r="K47" s="38">
        <v>0</v>
      </c>
      <c r="L47" s="38">
        <v>0</v>
      </c>
      <c r="M47" s="38">
        <v>9987.4599999999991</v>
      </c>
      <c r="N47" s="46" t="s">
        <v>123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40">
        <v>45917.737546296295</v>
      </c>
      <c r="B48" s="41">
        <v>443720200</v>
      </c>
      <c r="C48" s="42" t="s">
        <v>36</v>
      </c>
      <c r="D48" s="42" t="s">
        <v>39</v>
      </c>
      <c r="E48" s="42" t="s">
        <v>47</v>
      </c>
      <c r="F48" s="42" t="s">
        <v>38</v>
      </c>
      <c r="G48" s="43">
        <v>3684.25</v>
      </c>
      <c r="H48" s="41">
        <v>442936310</v>
      </c>
      <c r="I48" s="44">
        <v>0</v>
      </c>
      <c r="J48" s="43">
        <v>0</v>
      </c>
      <c r="K48" s="43">
        <v>0</v>
      </c>
      <c r="L48" s="43">
        <v>0.43</v>
      </c>
      <c r="M48" s="43">
        <v>9987.89</v>
      </c>
      <c r="N48" s="45" t="s">
        <v>140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35">
        <v>45917.737546296295</v>
      </c>
      <c r="B49" s="36">
        <v>443720201</v>
      </c>
      <c r="C49" s="37" t="s">
        <v>36</v>
      </c>
      <c r="D49" s="37" t="s">
        <v>39</v>
      </c>
      <c r="E49" s="37" t="s">
        <v>47</v>
      </c>
      <c r="F49" s="37" t="s">
        <v>38</v>
      </c>
      <c r="G49" s="38">
        <v>3684.25</v>
      </c>
      <c r="H49" s="36">
        <v>442936311</v>
      </c>
      <c r="I49" s="39">
        <v>0</v>
      </c>
      <c r="J49" s="38">
        <v>0</v>
      </c>
      <c r="K49" s="38">
        <v>0</v>
      </c>
      <c r="L49" s="38">
        <v>0.49</v>
      </c>
      <c r="M49" s="38">
        <v>9988.3799999999992</v>
      </c>
      <c r="N49" s="46" t="s">
        <v>140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40">
        <v>45917.737546296295</v>
      </c>
      <c r="B50" s="41">
        <v>443720202</v>
      </c>
      <c r="C50" s="42" t="s">
        <v>36</v>
      </c>
      <c r="D50" s="42" t="s">
        <v>39</v>
      </c>
      <c r="E50" s="42" t="s">
        <v>47</v>
      </c>
      <c r="F50" s="42" t="s">
        <v>38</v>
      </c>
      <c r="G50" s="43">
        <v>3684.25</v>
      </c>
      <c r="H50" s="41">
        <v>442936312</v>
      </c>
      <c r="I50" s="44">
        <v>0</v>
      </c>
      <c r="J50" s="43">
        <v>0</v>
      </c>
      <c r="K50" s="43">
        <v>0</v>
      </c>
      <c r="L50" s="43">
        <v>0.43</v>
      </c>
      <c r="M50" s="43">
        <v>9988.81</v>
      </c>
      <c r="N50" s="45" t="s">
        <v>140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35">
        <v>45917.737812500003</v>
      </c>
      <c r="B51" s="36">
        <v>443720471</v>
      </c>
      <c r="C51" s="37" t="s">
        <v>36</v>
      </c>
      <c r="D51" s="37" t="s">
        <v>37</v>
      </c>
      <c r="E51" s="37" t="s">
        <v>46</v>
      </c>
      <c r="F51" s="37" t="s">
        <v>38</v>
      </c>
      <c r="G51" s="38">
        <v>3684.71</v>
      </c>
      <c r="H51" s="36">
        <v>442936578</v>
      </c>
      <c r="I51" s="39">
        <v>0</v>
      </c>
      <c r="J51" s="38">
        <v>0</v>
      </c>
      <c r="K51" s="38">
        <v>0</v>
      </c>
      <c r="L51" s="38">
        <v>0</v>
      </c>
      <c r="M51" s="38">
        <v>9988.81</v>
      </c>
      <c r="N51" s="46" t="s">
        <v>48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40">
        <v>45917.737812500003</v>
      </c>
      <c r="B52" s="41">
        <v>443720472</v>
      </c>
      <c r="C52" s="42" t="s">
        <v>36</v>
      </c>
      <c r="D52" s="42" t="s">
        <v>37</v>
      </c>
      <c r="E52" s="42" t="s">
        <v>46</v>
      </c>
      <c r="F52" s="42" t="s">
        <v>38</v>
      </c>
      <c r="G52" s="43">
        <v>3684.69</v>
      </c>
      <c r="H52" s="41">
        <v>442936579</v>
      </c>
      <c r="I52" s="44">
        <v>0</v>
      </c>
      <c r="J52" s="43">
        <v>0</v>
      </c>
      <c r="K52" s="43">
        <v>0</v>
      </c>
      <c r="L52" s="43">
        <v>0</v>
      </c>
      <c r="M52" s="43">
        <v>9988.81</v>
      </c>
      <c r="N52" s="45" t="s">
        <v>53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35">
        <v>45917.737824074073</v>
      </c>
      <c r="B53" s="36">
        <v>443720473</v>
      </c>
      <c r="C53" s="37" t="s">
        <v>36</v>
      </c>
      <c r="D53" s="37" t="s">
        <v>37</v>
      </c>
      <c r="E53" s="37" t="s">
        <v>46</v>
      </c>
      <c r="F53" s="37" t="s">
        <v>38</v>
      </c>
      <c r="G53" s="38">
        <v>3684.69</v>
      </c>
      <c r="H53" s="36">
        <v>442936580</v>
      </c>
      <c r="I53" s="39">
        <v>0</v>
      </c>
      <c r="J53" s="38">
        <v>0</v>
      </c>
      <c r="K53" s="38">
        <v>0</v>
      </c>
      <c r="L53" s="38">
        <v>0</v>
      </c>
      <c r="M53" s="38">
        <v>9988.81</v>
      </c>
      <c r="N53" s="46" t="s">
        <v>49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40">
        <v>45917.743159722224</v>
      </c>
      <c r="B54" s="41">
        <v>443722956</v>
      </c>
      <c r="C54" s="42" t="s">
        <v>36</v>
      </c>
      <c r="D54" s="42" t="s">
        <v>39</v>
      </c>
      <c r="E54" s="42" t="s">
        <v>47</v>
      </c>
      <c r="F54" s="42" t="s">
        <v>38</v>
      </c>
      <c r="G54" s="43">
        <v>3684.99</v>
      </c>
      <c r="H54" s="41">
        <v>442939152</v>
      </c>
      <c r="I54" s="44">
        <v>0</v>
      </c>
      <c r="J54" s="43">
        <v>0</v>
      </c>
      <c r="K54" s="43">
        <v>0</v>
      </c>
      <c r="L54" s="43">
        <v>0.28000000000000003</v>
      </c>
      <c r="M54" s="43">
        <v>9989.09</v>
      </c>
      <c r="N54" s="45" t="s">
        <v>141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35">
        <v>45917.743159722224</v>
      </c>
      <c r="B55" s="36">
        <v>443722957</v>
      </c>
      <c r="C55" s="37" t="s">
        <v>36</v>
      </c>
      <c r="D55" s="37" t="s">
        <v>39</v>
      </c>
      <c r="E55" s="37" t="s">
        <v>47</v>
      </c>
      <c r="F55" s="37" t="s">
        <v>38</v>
      </c>
      <c r="G55" s="38">
        <v>3684.99</v>
      </c>
      <c r="H55" s="36">
        <v>442939153</v>
      </c>
      <c r="I55" s="39">
        <v>0</v>
      </c>
      <c r="J55" s="38">
        <v>0</v>
      </c>
      <c r="K55" s="38">
        <v>0</v>
      </c>
      <c r="L55" s="38">
        <v>0.3</v>
      </c>
      <c r="M55" s="38">
        <v>9989.39</v>
      </c>
      <c r="N55" s="46" t="s">
        <v>141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40">
        <v>45917.743159722224</v>
      </c>
      <c r="B56" s="41">
        <v>443722958</v>
      </c>
      <c r="C56" s="42" t="s">
        <v>36</v>
      </c>
      <c r="D56" s="42" t="s">
        <v>39</v>
      </c>
      <c r="E56" s="42" t="s">
        <v>47</v>
      </c>
      <c r="F56" s="42" t="s">
        <v>38</v>
      </c>
      <c r="G56" s="43">
        <v>3684.99</v>
      </c>
      <c r="H56" s="41">
        <v>442939154</v>
      </c>
      <c r="I56" s="44">
        <v>0</v>
      </c>
      <c r="J56" s="43">
        <v>0</v>
      </c>
      <c r="K56" s="43">
        <v>0</v>
      </c>
      <c r="L56" s="43">
        <v>0.3</v>
      </c>
      <c r="M56" s="43">
        <v>9989.69</v>
      </c>
      <c r="N56" s="45" t="s">
        <v>141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35">
        <v>45917.743217592593</v>
      </c>
      <c r="B57" s="36">
        <v>443723002</v>
      </c>
      <c r="C57" s="37" t="s">
        <v>36</v>
      </c>
      <c r="D57" s="37" t="s">
        <v>39</v>
      </c>
      <c r="E57" s="37" t="s">
        <v>47</v>
      </c>
      <c r="F57" s="37" t="s">
        <v>38</v>
      </c>
      <c r="G57" s="38">
        <v>3684.6</v>
      </c>
      <c r="H57" s="36">
        <v>442939205</v>
      </c>
      <c r="I57" s="39">
        <v>0</v>
      </c>
      <c r="J57" s="38">
        <v>0</v>
      </c>
      <c r="K57" s="38">
        <v>0</v>
      </c>
      <c r="L57" s="38">
        <v>2.0299999999999998</v>
      </c>
      <c r="M57" s="38">
        <v>9991.7199999999993</v>
      </c>
      <c r="N57" s="46" t="s">
        <v>142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40">
        <v>45917.743217592593</v>
      </c>
      <c r="B58" s="41">
        <v>443723003</v>
      </c>
      <c r="C58" s="42" t="s">
        <v>36</v>
      </c>
      <c r="D58" s="42" t="s">
        <v>39</v>
      </c>
      <c r="E58" s="42" t="s">
        <v>47</v>
      </c>
      <c r="F58" s="42" t="s">
        <v>38</v>
      </c>
      <c r="G58" s="43">
        <v>3684.6</v>
      </c>
      <c r="H58" s="41">
        <v>442939206</v>
      </c>
      <c r="I58" s="44">
        <v>0</v>
      </c>
      <c r="J58" s="43">
        <v>0</v>
      </c>
      <c r="K58" s="43">
        <v>0</v>
      </c>
      <c r="L58" s="43">
        <v>2.0299999999999998</v>
      </c>
      <c r="M58" s="43">
        <v>9993.75</v>
      </c>
      <c r="N58" s="45" t="s">
        <v>142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35">
        <v>45917.745798611111</v>
      </c>
      <c r="B59" s="36">
        <v>443724128</v>
      </c>
      <c r="C59" s="37" t="s">
        <v>36</v>
      </c>
      <c r="D59" s="37" t="s">
        <v>37</v>
      </c>
      <c r="E59" s="37" t="s">
        <v>46</v>
      </c>
      <c r="F59" s="37" t="s">
        <v>38</v>
      </c>
      <c r="G59" s="38">
        <v>3683.89</v>
      </c>
      <c r="H59" s="36">
        <v>442940492</v>
      </c>
      <c r="I59" s="39">
        <v>0</v>
      </c>
      <c r="J59" s="38">
        <v>0</v>
      </c>
      <c r="K59" s="38">
        <v>0</v>
      </c>
      <c r="L59" s="38">
        <v>0</v>
      </c>
      <c r="M59" s="38">
        <v>9993.75</v>
      </c>
      <c r="N59" s="46" t="s">
        <v>125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40">
        <v>45917.745810185188</v>
      </c>
      <c r="B60" s="41">
        <v>443724130</v>
      </c>
      <c r="C60" s="42" t="s">
        <v>36</v>
      </c>
      <c r="D60" s="42" t="s">
        <v>37</v>
      </c>
      <c r="E60" s="42" t="s">
        <v>46</v>
      </c>
      <c r="F60" s="42" t="s">
        <v>38</v>
      </c>
      <c r="G60" s="43">
        <v>3683.78</v>
      </c>
      <c r="H60" s="41">
        <v>442940496</v>
      </c>
      <c r="I60" s="44">
        <v>0</v>
      </c>
      <c r="J60" s="43">
        <v>0</v>
      </c>
      <c r="K60" s="43">
        <v>0</v>
      </c>
      <c r="L60" s="43">
        <v>0</v>
      </c>
      <c r="M60" s="43">
        <v>9993.75</v>
      </c>
      <c r="N60" s="45" t="s">
        <v>124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35">
        <v>45917.748692129629</v>
      </c>
      <c r="B61" s="36">
        <v>443725916</v>
      </c>
      <c r="C61" s="37" t="s">
        <v>36</v>
      </c>
      <c r="D61" s="37" t="s">
        <v>39</v>
      </c>
      <c r="E61" s="37" t="s">
        <v>46</v>
      </c>
      <c r="F61" s="37" t="s">
        <v>38</v>
      </c>
      <c r="G61" s="38">
        <v>3683.15</v>
      </c>
      <c r="H61" s="36">
        <v>442942538</v>
      </c>
      <c r="I61" s="39">
        <v>0</v>
      </c>
      <c r="J61" s="38">
        <v>0</v>
      </c>
      <c r="K61" s="38">
        <v>0</v>
      </c>
      <c r="L61" s="38">
        <v>0</v>
      </c>
      <c r="M61" s="38">
        <v>9993.75</v>
      </c>
      <c r="N61" s="46" t="s">
        <v>49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40">
        <v>45917.748692129629</v>
      </c>
      <c r="B62" s="41">
        <v>443725919</v>
      </c>
      <c r="C62" s="42" t="s">
        <v>36</v>
      </c>
      <c r="D62" s="42" t="s">
        <v>39</v>
      </c>
      <c r="E62" s="42" t="s">
        <v>46</v>
      </c>
      <c r="F62" s="42" t="s">
        <v>38</v>
      </c>
      <c r="G62" s="43">
        <v>3683.15</v>
      </c>
      <c r="H62" s="41">
        <v>442942542</v>
      </c>
      <c r="I62" s="44">
        <v>0</v>
      </c>
      <c r="J62" s="43">
        <v>0</v>
      </c>
      <c r="K62" s="43">
        <v>0</v>
      </c>
      <c r="L62" s="43">
        <v>0</v>
      </c>
      <c r="M62" s="43">
        <v>9993.75</v>
      </c>
      <c r="N62" s="45" t="s">
        <v>53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35">
        <v>45917.748703703706</v>
      </c>
      <c r="B63" s="36">
        <v>443725920</v>
      </c>
      <c r="C63" s="37" t="s">
        <v>36</v>
      </c>
      <c r="D63" s="37" t="s">
        <v>39</v>
      </c>
      <c r="E63" s="37" t="s">
        <v>46</v>
      </c>
      <c r="F63" s="37" t="s">
        <v>38</v>
      </c>
      <c r="G63" s="38">
        <v>3683.15</v>
      </c>
      <c r="H63" s="36">
        <v>442942544</v>
      </c>
      <c r="I63" s="39">
        <v>0</v>
      </c>
      <c r="J63" s="38">
        <v>0</v>
      </c>
      <c r="K63" s="38">
        <v>0</v>
      </c>
      <c r="L63" s="38">
        <v>0</v>
      </c>
      <c r="M63" s="38">
        <v>9993.75</v>
      </c>
      <c r="N63" s="46" t="s">
        <v>48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40">
        <v>45917.752743055556</v>
      </c>
      <c r="B64" s="41">
        <v>443728023</v>
      </c>
      <c r="C64" s="42" t="s">
        <v>36</v>
      </c>
      <c r="D64" s="42" t="s">
        <v>37</v>
      </c>
      <c r="E64" s="42" t="s">
        <v>47</v>
      </c>
      <c r="F64" s="42" t="s">
        <v>38</v>
      </c>
      <c r="G64" s="43">
        <v>3685.65</v>
      </c>
      <c r="H64" s="41">
        <v>442944767</v>
      </c>
      <c r="I64" s="44">
        <v>0</v>
      </c>
      <c r="J64" s="43">
        <v>0</v>
      </c>
      <c r="K64" s="43">
        <v>0</v>
      </c>
      <c r="L64" s="43">
        <v>-2.5</v>
      </c>
      <c r="M64" s="43">
        <v>9991.25</v>
      </c>
      <c r="N64" s="45" t="s">
        <v>143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35">
        <v>45917.758414351854</v>
      </c>
      <c r="B65" s="36">
        <v>443730682</v>
      </c>
      <c r="C65" s="37" t="s">
        <v>36</v>
      </c>
      <c r="D65" s="37" t="s">
        <v>37</v>
      </c>
      <c r="E65" s="37" t="s">
        <v>46</v>
      </c>
      <c r="F65" s="37" t="s">
        <v>38</v>
      </c>
      <c r="G65" s="38">
        <v>3685.23</v>
      </c>
      <c r="H65" s="36">
        <v>442947400</v>
      </c>
      <c r="I65" s="39">
        <v>0</v>
      </c>
      <c r="J65" s="38">
        <v>0</v>
      </c>
      <c r="K65" s="38">
        <v>0</v>
      </c>
      <c r="L65" s="38">
        <v>0</v>
      </c>
      <c r="M65" s="38">
        <v>9991.25</v>
      </c>
      <c r="N65" s="46" t="s">
        <v>49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40">
        <v>45917.758750000001</v>
      </c>
      <c r="B66" s="41">
        <v>443730792</v>
      </c>
      <c r="C66" s="42" t="s">
        <v>36</v>
      </c>
      <c r="D66" s="42" t="s">
        <v>37</v>
      </c>
      <c r="E66" s="42" t="s">
        <v>47</v>
      </c>
      <c r="F66" s="42" t="s">
        <v>38</v>
      </c>
      <c r="G66" s="43">
        <v>3686.15</v>
      </c>
      <c r="H66" s="41">
        <v>442947505</v>
      </c>
      <c r="I66" s="44">
        <v>0</v>
      </c>
      <c r="J66" s="43">
        <v>0</v>
      </c>
      <c r="K66" s="43">
        <v>0</v>
      </c>
      <c r="L66" s="43">
        <v>-3</v>
      </c>
      <c r="M66" s="43">
        <v>9988.25</v>
      </c>
      <c r="N66" s="45" t="s">
        <v>144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35">
        <v>45917.758750000001</v>
      </c>
      <c r="B67" s="36">
        <v>443730793</v>
      </c>
      <c r="C67" s="37" t="s">
        <v>36</v>
      </c>
      <c r="D67" s="37" t="s">
        <v>37</v>
      </c>
      <c r="E67" s="37" t="s">
        <v>47</v>
      </c>
      <c r="F67" s="37" t="s">
        <v>38</v>
      </c>
      <c r="G67" s="38">
        <v>3686.15</v>
      </c>
      <c r="H67" s="36">
        <v>442947506</v>
      </c>
      <c r="I67" s="39">
        <v>0</v>
      </c>
      <c r="J67" s="38">
        <v>0</v>
      </c>
      <c r="K67" s="38">
        <v>0</v>
      </c>
      <c r="L67" s="38">
        <v>-3</v>
      </c>
      <c r="M67" s="38">
        <v>9985.25</v>
      </c>
      <c r="N67" s="46" t="s">
        <v>144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40">
        <v>45917.760034722225</v>
      </c>
      <c r="B68" s="41">
        <v>443732610</v>
      </c>
      <c r="C68" s="42" t="s">
        <v>36</v>
      </c>
      <c r="D68" s="42" t="s">
        <v>37</v>
      </c>
      <c r="E68" s="42" t="s">
        <v>46</v>
      </c>
      <c r="F68" s="42" t="s">
        <v>38</v>
      </c>
      <c r="G68" s="43">
        <v>3685.85</v>
      </c>
      <c r="H68" s="41">
        <v>442949291</v>
      </c>
      <c r="I68" s="44">
        <v>0</v>
      </c>
      <c r="J68" s="43">
        <v>0</v>
      </c>
      <c r="K68" s="43">
        <v>0</v>
      </c>
      <c r="L68" s="43">
        <v>0</v>
      </c>
      <c r="M68" s="43">
        <v>9985.25</v>
      </c>
      <c r="N68" s="45" t="s">
        <v>53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35">
        <v>45917.760034722225</v>
      </c>
      <c r="B69" s="36">
        <v>443732614</v>
      </c>
      <c r="C69" s="37" t="s">
        <v>36</v>
      </c>
      <c r="D69" s="37" t="s">
        <v>37</v>
      </c>
      <c r="E69" s="37" t="s">
        <v>46</v>
      </c>
      <c r="F69" s="37" t="s">
        <v>38</v>
      </c>
      <c r="G69" s="38">
        <v>3685.87</v>
      </c>
      <c r="H69" s="36">
        <v>442949294</v>
      </c>
      <c r="I69" s="39">
        <v>0</v>
      </c>
      <c r="J69" s="38">
        <v>0</v>
      </c>
      <c r="K69" s="38">
        <v>0</v>
      </c>
      <c r="L69" s="38">
        <v>0</v>
      </c>
      <c r="M69" s="38">
        <v>9985.25</v>
      </c>
      <c r="N69" s="46" t="s">
        <v>48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40">
        <v>45917.761006944442</v>
      </c>
      <c r="B70" s="41">
        <v>443733487</v>
      </c>
      <c r="C70" s="42" t="s">
        <v>36</v>
      </c>
      <c r="D70" s="42" t="s">
        <v>39</v>
      </c>
      <c r="E70" s="42" t="s">
        <v>47</v>
      </c>
      <c r="F70" s="42" t="s">
        <v>38</v>
      </c>
      <c r="G70" s="43">
        <v>3685.26</v>
      </c>
      <c r="H70" s="41">
        <v>442950169</v>
      </c>
      <c r="I70" s="44">
        <v>0</v>
      </c>
      <c r="J70" s="43">
        <v>0</v>
      </c>
      <c r="K70" s="43">
        <v>0</v>
      </c>
      <c r="L70" s="43">
        <v>0.03</v>
      </c>
      <c r="M70" s="43">
        <v>9985.2800000000007</v>
      </c>
      <c r="N70" s="45" t="s">
        <v>145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35">
        <v>45917.761076388888</v>
      </c>
      <c r="B71" s="36">
        <v>443733518</v>
      </c>
      <c r="C71" s="37" t="s">
        <v>36</v>
      </c>
      <c r="D71" s="37" t="s">
        <v>37</v>
      </c>
      <c r="E71" s="37" t="s">
        <v>46</v>
      </c>
      <c r="F71" s="37" t="s">
        <v>38</v>
      </c>
      <c r="G71" s="38">
        <v>3685.57</v>
      </c>
      <c r="H71" s="36">
        <v>442950199</v>
      </c>
      <c r="I71" s="39">
        <v>0</v>
      </c>
      <c r="J71" s="38">
        <v>0</v>
      </c>
      <c r="K71" s="38">
        <v>0</v>
      </c>
      <c r="L71" s="38">
        <v>0</v>
      </c>
      <c r="M71" s="38">
        <v>9985.2800000000007</v>
      </c>
      <c r="N71" s="46" t="s">
        <v>49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40">
        <v>45917.763958333337</v>
      </c>
      <c r="B72" s="41">
        <v>443734820</v>
      </c>
      <c r="C72" s="42" t="s">
        <v>36</v>
      </c>
      <c r="D72" s="42" t="s">
        <v>39</v>
      </c>
      <c r="E72" s="42" t="s">
        <v>47</v>
      </c>
      <c r="F72" s="42" t="s">
        <v>38</v>
      </c>
      <c r="G72" s="43">
        <v>3684.71</v>
      </c>
      <c r="H72" s="41">
        <v>442951489</v>
      </c>
      <c r="I72" s="44">
        <v>0</v>
      </c>
      <c r="J72" s="43">
        <v>0</v>
      </c>
      <c r="K72" s="43">
        <v>0</v>
      </c>
      <c r="L72" s="43">
        <v>0.82</v>
      </c>
      <c r="M72" s="43">
        <v>9986.1</v>
      </c>
      <c r="N72" s="45" t="s">
        <v>146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35">
        <v>45917.763958333337</v>
      </c>
      <c r="B73" s="36">
        <v>443734821</v>
      </c>
      <c r="C73" s="37" t="s">
        <v>36</v>
      </c>
      <c r="D73" s="37" t="s">
        <v>39</v>
      </c>
      <c r="E73" s="37" t="s">
        <v>47</v>
      </c>
      <c r="F73" s="37" t="s">
        <v>38</v>
      </c>
      <c r="G73" s="38">
        <v>3684.71</v>
      </c>
      <c r="H73" s="36">
        <v>442951490</v>
      </c>
      <c r="I73" s="39">
        <v>0</v>
      </c>
      <c r="J73" s="38">
        <v>0</v>
      </c>
      <c r="K73" s="38">
        <v>0</v>
      </c>
      <c r="L73" s="38">
        <v>0.93</v>
      </c>
      <c r="M73" s="38">
        <v>9987.0300000000007</v>
      </c>
      <c r="N73" s="46" t="s">
        <v>147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40">
        <v>45917.766631944447</v>
      </c>
      <c r="B74" s="41">
        <v>443735991</v>
      </c>
      <c r="C74" s="42" t="s">
        <v>36</v>
      </c>
      <c r="D74" s="42" t="s">
        <v>37</v>
      </c>
      <c r="E74" s="42" t="s">
        <v>46</v>
      </c>
      <c r="F74" s="42" t="s">
        <v>38</v>
      </c>
      <c r="G74" s="43">
        <v>3686.21</v>
      </c>
      <c r="H74" s="41">
        <v>442952638</v>
      </c>
      <c r="I74" s="44">
        <v>0</v>
      </c>
      <c r="J74" s="43">
        <v>0</v>
      </c>
      <c r="K74" s="43">
        <v>0</v>
      </c>
      <c r="L74" s="43">
        <v>0</v>
      </c>
      <c r="M74" s="43">
        <v>9987.0300000000007</v>
      </c>
      <c r="N74" s="45" t="s">
        <v>124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35">
        <v>45917.766643518517</v>
      </c>
      <c r="B75" s="36">
        <v>443735994</v>
      </c>
      <c r="C75" s="37" t="s">
        <v>36</v>
      </c>
      <c r="D75" s="37" t="s">
        <v>37</v>
      </c>
      <c r="E75" s="37" t="s">
        <v>46</v>
      </c>
      <c r="F75" s="37" t="s">
        <v>38</v>
      </c>
      <c r="G75" s="38">
        <v>3686.21</v>
      </c>
      <c r="H75" s="36">
        <v>442952641</v>
      </c>
      <c r="I75" s="39">
        <v>0</v>
      </c>
      <c r="J75" s="38">
        <v>0</v>
      </c>
      <c r="K75" s="38">
        <v>0</v>
      </c>
      <c r="L75" s="38">
        <v>0</v>
      </c>
      <c r="M75" s="38">
        <v>9987.0300000000007</v>
      </c>
      <c r="N75" s="46" t="s">
        <v>125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40">
        <v>45917.77</v>
      </c>
      <c r="B76" s="41">
        <v>443737783</v>
      </c>
      <c r="C76" s="42" t="s">
        <v>36</v>
      </c>
      <c r="D76" s="42" t="s">
        <v>39</v>
      </c>
      <c r="E76" s="42" t="s">
        <v>47</v>
      </c>
      <c r="F76" s="42" t="s">
        <v>38</v>
      </c>
      <c r="G76" s="43">
        <v>3684.42</v>
      </c>
      <c r="H76" s="41">
        <v>442954424</v>
      </c>
      <c r="I76" s="44">
        <v>0</v>
      </c>
      <c r="J76" s="43">
        <v>0</v>
      </c>
      <c r="K76" s="43">
        <v>0</v>
      </c>
      <c r="L76" s="43">
        <v>1.04</v>
      </c>
      <c r="M76" s="43">
        <v>9988.07</v>
      </c>
      <c r="N76" s="45" t="s">
        <v>148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35">
        <v>45917.770798611113</v>
      </c>
      <c r="B77" s="36">
        <v>443738088</v>
      </c>
      <c r="C77" s="37" t="s">
        <v>36</v>
      </c>
      <c r="D77" s="37" t="s">
        <v>37</v>
      </c>
      <c r="E77" s="37" t="s">
        <v>46</v>
      </c>
      <c r="F77" s="37" t="s">
        <v>38</v>
      </c>
      <c r="G77" s="38">
        <v>3685.35</v>
      </c>
      <c r="H77" s="36">
        <v>442954728</v>
      </c>
      <c r="I77" s="39">
        <v>0</v>
      </c>
      <c r="J77" s="38">
        <v>0</v>
      </c>
      <c r="K77" s="38">
        <v>0</v>
      </c>
      <c r="L77" s="38">
        <v>0</v>
      </c>
      <c r="M77" s="38">
        <v>9988.07</v>
      </c>
      <c r="N77" s="46" t="s">
        <v>123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40">
        <v>45917.776956018519</v>
      </c>
      <c r="B78" s="41">
        <v>443741538</v>
      </c>
      <c r="C78" s="42" t="s">
        <v>36</v>
      </c>
      <c r="D78" s="42" t="s">
        <v>39</v>
      </c>
      <c r="E78" s="42" t="s">
        <v>47</v>
      </c>
      <c r="F78" s="42" t="s">
        <v>38</v>
      </c>
      <c r="G78" s="43">
        <v>3685.31</v>
      </c>
      <c r="H78" s="41">
        <v>442958158</v>
      </c>
      <c r="I78" s="44">
        <v>0</v>
      </c>
      <c r="J78" s="43">
        <v>0</v>
      </c>
      <c r="K78" s="43">
        <v>0</v>
      </c>
      <c r="L78" s="43">
        <v>-0.26</v>
      </c>
      <c r="M78" s="43">
        <v>9987.81</v>
      </c>
      <c r="N78" s="45" t="s">
        <v>149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35">
        <v>45917.784918981481</v>
      </c>
      <c r="B79" s="36">
        <v>443744159</v>
      </c>
      <c r="C79" s="37" t="s">
        <v>36</v>
      </c>
      <c r="D79" s="37" t="s">
        <v>39</v>
      </c>
      <c r="E79" s="37" t="s">
        <v>46</v>
      </c>
      <c r="F79" s="37" t="s">
        <v>38</v>
      </c>
      <c r="G79" s="38">
        <v>3684.72</v>
      </c>
      <c r="H79" s="36">
        <v>442960760</v>
      </c>
      <c r="I79" s="39">
        <v>0</v>
      </c>
      <c r="J79" s="38">
        <v>0</v>
      </c>
      <c r="K79" s="38">
        <v>0</v>
      </c>
      <c r="L79" s="38">
        <v>0</v>
      </c>
      <c r="M79" s="38">
        <v>9987.81</v>
      </c>
      <c r="N79" s="46" t="s">
        <v>49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40">
        <v>45917.784918981481</v>
      </c>
      <c r="B80" s="41">
        <v>443744160</v>
      </c>
      <c r="C80" s="42" t="s">
        <v>36</v>
      </c>
      <c r="D80" s="42" t="s">
        <v>39</v>
      </c>
      <c r="E80" s="42" t="s">
        <v>46</v>
      </c>
      <c r="F80" s="42" t="s">
        <v>38</v>
      </c>
      <c r="G80" s="43">
        <v>3684.72</v>
      </c>
      <c r="H80" s="41">
        <v>442960761</v>
      </c>
      <c r="I80" s="44">
        <v>0</v>
      </c>
      <c r="J80" s="43">
        <v>0</v>
      </c>
      <c r="K80" s="43">
        <v>0</v>
      </c>
      <c r="L80" s="43">
        <v>0</v>
      </c>
      <c r="M80" s="43">
        <v>9987.81</v>
      </c>
      <c r="N80" s="45" t="s">
        <v>150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35">
        <v>45917.78765046296</v>
      </c>
      <c r="B81" s="36">
        <v>443744981</v>
      </c>
      <c r="C81" s="37" t="s">
        <v>36</v>
      </c>
      <c r="D81" s="37" t="s">
        <v>39</v>
      </c>
      <c r="E81" s="37" t="s">
        <v>47</v>
      </c>
      <c r="F81" s="37" t="s">
        <v>38</v>
      </c>
      <c r="G81" s="38">
        <v>3683.18</v>
      </c>
      <c r="H81" s="36">
        <v>442961562</v>
      </c>
      <c r="I81" s="39">
        <v>0</v>
      </c>
      <c r="J81" s="38">
        <v>0</v>
      </c>
      <c r="K81" s="38">
        <v>0</v>
      </c>
      <c r="L81" s="38">
        <v>-3.03</v>
      </c>
      <c r="M81" s="38">
        <v>9984.7800000000007</v>
      </c>
      <c r="N81" s="46" t="s">
        <v>151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40">
        <v>45917.78765046296</v>
      </c>
      <c r="B82" s="41">
        <v>443744982</v>
      </c>
      <c r="C82" s="42" t="s">
        <v>36</v>
      </c>
      <c r="D82" s="42" t="s">
        <v>39</v>
      </c>
      <c r="E82" s="42" t="s">
        <v>47</v>
      </c>
      <c r="F82" s="42" t="s">
        <v>38</v>
      </c>
      <c r="G82" s="43">
        <v>3683.18</v>
      </c>
      <c r="H82" s="41">
        <v>442961563</v>
      </c>
      <c r="I82" s="44">
        <v>0</v>
      </c>
      <c r="J82" s="43">
        <v>0</v>
      </c>
      <c r="K82" s="43">
        <v>0</v>
      </c>
      <c r="L82" s="43">
        <v>-3.03</v>
      </c>
      <c r="M82" s="43">
        <v>9981.75</v>
      </c>
      <c r="N82" s="45" t="s">
        <v>151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35">
        <v>45917.787928240738</v>
      </c>
      <c r="B83" s="36">
        <v>443745204</v>
      </c>
      <c r="C83" s="37" t="s">
        <v>36</v>
      </c>
      <c r="D83" s="37" t="s">
        <v>37</v>
      </c>
      <c r="E83" s="37" t="s">
        <v>47</v>
      </c>
      <c r="F83" s="37" t="s">
        <v>38</v>
      </c>
      <c r="G83" s="38">
        <v>3683.21</v>
      </c>
      <c r="H83" s="36">
        <v>442961785</v>
      </c>
      <c r="I83" s="39">
        <v>0</v>
      </c>
      <c r="J83" s="38">
        <v>0</v>
      </c>
      <c r="K83" s="38">
        <v>0</v>
      </c>
      <c r="L83" s="38">
        <v>1.51</v>
      </c>
      <c r="M83" s="38">
        <v>9983.26</v>
      </c>
      <c r="N83" s="46" t="s">
        <v>152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40">
        <v>45917.788206018522</v>
      </c>
      <c r="B84" s="41">
        <v>443745358</v>
      </c>
      <c r="C84" s="42" t="s">
        <v>36</v>
      </c>
      <c r="D84" s="42" t="s">
        <v>39</v>
      </c>
      <c r="E84" s="42" t="s">
        <v>47</v>
      </c>
      <c r="F84" s="42" t="s">
        <v>38</v>
      </c>
      <c r="G84" s="43">
        <v>3682.82</v>
      </c>
      <c r="H84" s="41">
        <v>442961940</v>
      </c>
      <c r="I84" s="44">
        <v>0</v>
      </c>
      <c r="J84" s="43">
        <v>0</v>
      </c>
      <c r="K84" s="43">
        <v>0</v>
      </c>
      <c r="L84" s="43">
        <v>-3.03</v>
      </c>
      <c r="M84" s="43">
        <v>9980.23</v>
      </c>
      <c r="N84" s="45" t="s">
        <v>153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35">
        <v>45917.788206018522</v>
      </c>
      <c r="B85" s="36">
        <v>443745360</v>
      </c>
      <c r="C85" s="37" t="s">
        <v>36</v>
      </c>
      <c r="D85" s="37" t="s">
        <v>39</v>
      </c>
      <c r="E85" s="37" t="s">
        <v>47</v>
      </c>
      <c r="F85" s="37" t="s">
        <v>38</v>
      </c>
      <c r="G85" s="38">
        <v>3682.82</v>
      </c>
      <c r="H85" s="36">
        <v>442961941</v>
      </c>
      <c r="I85" s="39">
        <v>0</v>
      </c>
      <c r="J85" s="38">
        <v>0</v>
      </c>
      <c r="K85" s="38">
        <v>0</v>
      </c>
      <c r="L85" s="38">
        <v>-3.05</v>
      </c>
      <c r="M85" s="38">
        <v>9977.18</v>
      </c>
      <c r="N85" s="46" t="s">
        <v>154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40">
        <v>45917.789317129631</v>
      </c>
      <c r="B86" s="41">
        <v>443745732</v>
      </c>
      <c r="C86" s="42" t="s">
        <v>36</v>
      </c>
      <c r="D86" s="42" t="s">
        <v>39</v>
      </c>
      <c r="E86" s="42" t="s">
        <v>46</v>
      </c>
      <c r="F86" s="42" t="s">
        <v>38</v>
      </c>
      <c r="G86" s="43">
        <v>3683.65</v>
      </c>
      <c r="H86" s="41">
        <v>442962317</v>
      </c>
      <c r="I86" s="44">
        <v>0</v>
      </c>
      <c r="J86" s="43">
        <v>0</v>
      </c>
      <c r="K86" s="43">
        <v>0</v>
      </c>
      <c r="L86" s="43">
        <v>0</v>
      </c>
      <c r="M86" s="43">
        <v>9977.18</v>
      </c>
      <c r="N86" s="45" t="s">
        <v>150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35">
        <v>45917.789317129631</v>
      </c>
      <c r="B87" s="36">
        <v>443745733</v>
      </c>
      <c r="C87" s="37" t="s">
        <v>36</v>
      </c>
      <c r="D87" s="37" t="s">
        <v>39</v>
      </c>
      <c r="E87" s="37" t="s">
        <v>46</v>
      </c>
      <c r="F87" s="37" t="s">
        <v>38</v>
      </c>
      <c r="G87" s="38">
        <v>3683.65</v>
      </c>
      <c r="H87" s="36">
        <v>442962318</v>
      </c>
      <c r="I87" s="39">
        <v>0</v>
      </c>
      <c r="J87" s="38">
        <v>0</v>
      </c>
      <c r="K87" s="38">
        <v>0</v>
      </c>
      <c r="L87" s="38">
        <v>0</v>
      </c>
      <c r="M87" s="38">
        <v>9977.18</v>
      </c>
      <c r="N87" s="46" t="s">
        <v>48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40">
        <v>45917.789317129631</v>
      </c>
      <c r="B88" s="41">
        <v>443745734</v>
      </c>
      <c r="C88" s="42" t="s">
        <v>36</v>
      </c>
      <c r="D88" s="42" t="s">
        <v>39</v>
      </c>
      <c r="E88" s="42" t="s">
        <v>46</v>
      </c>
      <c r="F88" s="42" t="s">
        <v>38</v>
      </c>
      <c r="G88" s="43">
        <v>3683.71</v>
      </c>
      <c r="H88" s="41">
        <v>442962319</v>
      </c>
      <c r="I88" s="44">
        <v>0</v>
      </c>
      <c r="J88" s="43">
        <v>0</v>
      </c>
      <c r="K88" s="43">
        <v>0</v>
      </c>
      <c r="L88" s="43">
        <v>0</v>
      </c>
      <c r="M88" s="43">
        <v>9977.18</v>
      </c>
      <c r="N88" s="45" t="s">
        <v>53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35">
        <v>45917.790821759256</v>
      </c>
      <c r="B89" s="36">
        <v>443746050</v>
      </c>
      <c r="C89" s="37" t="s">
        <v>36</v>
      </c>
      <c r="D89" s="37" t="s">
        <v>37</v>
      </c>
      <c r="E89" s="37" t="s">
        <v>47</v>
      </c>
      <c r="F89" s="37" t="s">
        <v>38</v>
      </c>
      <c r="G89" s="38">
        <v>3684.11</v>
      </c>
      <c r="H89" s="36">
        <v>442962638</v>
      </c>
      <c r="I89" s="39">
        <v>0</v>
      </c>
      <c r="J89" s="38">
        <v>0</v>
      </c>
      <c r="K89" s="38">
        <v>0</v>
      </c>
      <c r="L89" s="38">
        <v>0.61</v>
      </c>
      <c r="M89" s="38">
        <v>9977.7900000000009</v>
      </c>
      <c r="N89" s="46" t="s">
        <v>155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40">
        <v>45917.790821759256</v>
      </c>
      <c r="B90" s="41">
        <v>443746052</v>
      </c>
      <c r="C90" s="42" t="s">
        <v>36</v>
      </c>
      <c r="D90" s="42" t="s">
        <v>39</v>
      </c>
      <c r="E90" s="42" t="s">
        <v>46</v>
      </c>
      <c r="F90" s="42" t="s">
        <v>38</v>
      </c>
      <c r="G90" s="43">
        <v>3683.9</v>
      </c>
      <c r="H90" s="41">
        <v>442962640</v>
      </c>
      <c r="I90" s="44">
        <v>0</v>
      </c>
      <c r="J90" s="43">
        <v>0</v>
      </c>
      <c r="K90" s="43">
        <v>0</v>
      </c>
      <c r="L90" s="43">
        <v>0</v>
      </c>
      <c r="M90" s="43">
        <v>9977.7900000000009</v>
      </c>
      <c r="N90" s="45" t="s">
        <v>49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35">
        <v>45917.793020833335</v>
      </c>
      <c r="B91" s="36">
        <v>443747435</v>
      </c>
      <c r="C91" s="37" t="s">
        <v>36</v>
      </c>
      <c r="D91" s="37" t="s">
        <v>37</v>
      </c>
      <c r="E91" s="37" t="s">
        <v>46</v>
      </c>
      <c r="F91" s="37" t="s">
        <v>38</v>
      </c>
      <c r="G91" s="38">
        <v>3685.66</v>
      </c>
      <c r="H91" s="36">
        <v>442964017</v>
      </c>
      <c r="I91" s="39">
        <v>0</v>
      </c>
      <c r="J91" s="38">
        <v>0</v>
      </c>
      <c r="K91" s="38">
        <v>0</v>
      </c>
      <c r="L91" s="38">
        <v>0</v>
      </c>
      <c r="M91" s="38">
        <v>9977.7900000000009</v>
      </c>
      <c r="N91" s="46" t="s">
        <v>125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40">
        <v>45917.793032407404</v>
      </c>
      <c r="B92" s="41">
        <v>443747439</v>
      </c>
      <c r="C92" s="42" t="s">
        <v>36</v>
      </c>
      <c r="D92" s="42" t="s">
        <v>37</v>
      </c>
      <c r="E92" s="42" t="s">
        <v>46</v>
      </c>
      <c r="F92" s="42" t="s">
        <v>38</v>
      </c>
      <c r="G92" s="43">
        <v>3685.45</v>
      </c>
      <c r="H92" s="41">
        <v>442964021</v>
      </c>
      <c r="I92" s="44">
        <v>0</v>
      </c>
      <c r="J92" s="43">
        <v>0</v>
      </c>
      <c r="K92" s="43">
        <v>0</v>
      </c>
      <c r="L92" s="43">
        <v>0</v>
      </c>
      <c r="M92" s="43">
        <v>9977.7900000000009</v>
      </c>
      <c r="N92" s="45" t="s">
        <v>124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35">
        <v>45917.795474537037</v>
      </c>
      <c r="B93" s="36">
        <v>443748131</v>
      </c>
      <c r="C93" s="37" t="s">
        <v>36</v>
      </c>
      <c r="D93" s="37" t="s">
        <v>37</v>
      </c>
      <c r="E93" s="37" t="s">
        <v>47</v>
      </c>
      <c r="F93" s="37" t="s">
        <v>38</v>
      </c>
      <c r="G93" s="38">
        <v>3686.44</v>
      </c>
      <c r="H93" s="36">
        <v>442964721</v>
      </c>
      <c r="I93" s="39">
        <v>0</v>
      </c>
      <c r="J93" s="38">
        <v>0</v>
      </c>
      <c r="K93" s="38">
        <v>0</v>
      </c>
      <c r="L93" s="38">
        <v>-2.54</v>
      </c>
      <c r="M93" s="38">
        <v>9975.25</v>
      </c>
      <c r="N93" s="46" t="s">
        <v>156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40">
        <v>45917.795567129629</v>
      </c>
      <c r="B94" s="41">
        <v>443748167</v>
      </c>
      <c r="C94" s="42" t="s">
        <v>36</v>
      </c>
      <c r="D94" s="42" t="s">
        <v>37</v>
      </c>
      <c r="E94" s="42" t="s">
        <v>47</v>
      </c>
      <c r="F94" s="42" t="s">
        <v>38</v>
      </c>
      <c r="G94" s="43">
        <v>3686.66</v>
      </c>
      <c r="H94" s="41">
        <v>442964757</v>
      </c>
      <c r="I94" s="44">
        <v>0</v>
      </c>
      <c r="J94" s="43">
        <v>0</v>
      </c>
      <c r="K94" s="43">
        <v>0</v>
      </c>
      <c r="L94" s="43">
        <v>-3.01</v>
      </c>
      <c r="M94" s="43">
        <v>9972.24</v>
      </c>
      <c r="N94" s="45" t="s">
        <v>157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35">
        <v>45917.795567129629</v>
      </c>
      <c r="B95" s="36">
        <v>443748168</v>
      </c>
      <c r="C95" s="37" t="s">
        <v>36</v>
      </c>
      <c r="D95" s="37" t="s">
        <v>37</v>
      </c>
      <c r="E95" s="37" t="s">
        <v>47</v>
      </c>
      <c r="F95" s="37" t="s">
        <v>38</v>
      </c>
      <c r="G95" s="38">
        <v>3686.66</v>
      </c>
      <c r="H95" s="36">
        <v>442964758</v>
      </c>
      <c r="I95" s="39">
        <v>0</v>
      </c>
      <c r="J95" s="38">
        <v>0</v>
      </c>
      <c r="K95" s="38">
        <v>0</v>
      </c>
      <c r="L95" s="38">
        <v>-2.95</v>
      </c>
      <c r="M95" s="38">
        <v>9969.2900000000009</v>
      </c>
      <c r="N95" s="46" t="s">
        <v>157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40">
        <v>45917.795578703706</v>
      </c>
      <c r="B96" s="41">
        <v>443748175</v>
      </c>
      <c r="C96" s="42" t="s">
        <v>36</v>
      </c>
      <c r="D96" s="42" t="s">
        <v>37</v>
      </c>
      <c r="E96" s="42" t="s">
        <v>47</v>
      </c>
      <c r="F96" s="42" t="s">
        <v>38</v>
      </c>
      <c r="G96" s="43">
        <v>3686.76</v>
      </c>
      <c r="H96" s="41">
        <v>442964765</v>
      </c>
      <c r="I96" s="44">
        <v>0</v>
      </c>
      <c r="J96" s="43">
        <v>0</v>
      </c>
      <c r="K96" s="43">
        <v>0</v>
      </c>
      <c r="L96" s="43">
        <v>-3.11</v>
      </c>
      <c r="M96" s="43">
        <v>9966.18</v>
      </c>
      <c r="N96" s="45" t="s">
        <v>158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35">
        <v>45917.796377314815</v>
      </c>
      <c r="B97" s="36">
        <v>443748498</v>
      </c>
      <c r="C97" s="37" t="s">
        <v>36</v>
      </c>
      <c r="D97" s="37" t="s">
        <v>37</v>
      </c>
      <c r="E97" s="37" t="s">
        <v>46</v>
      </c>
      <c r="F97" s="37" t="s">
        <v>38</v>
      </c>
      <c r="G97" s="38">
        <v>3685.92</v>
      </c>
      <c r="H97" s="36">
        <v>442965083</v>
      </c>
      <c r="I97" s="39">
        <v>0</v>
      </c>
      <c r="J97" s="38">
        <v>0</v>
      </c>
      <c r="K97" s="38">
        <v>0</v>
      </c>
      <c r="L97" s="38">
        <v>0</v>
      </c>
      <c r="M97" s="38">
        <v>9966.18</v>
      </c>
      <c r="N97" s="46" t="s">
        <v>53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40">
        <v>45917.796377314815</v>
      </c>
      <c r="B98" s="41">
        <v>443748499</v>
      </c>
      <c r="C98" s="42" t="s">
        <v>36</v>
      </c>
      <c r="D98" s="42" t="s">
        <v>37</v>
      </c>
      <c r="E98" s="42" t="s">
        <v>46</v>
      </c>
      <c r="F98" s="42" t="s">
        <v>38</v>
      </c>
      <c r="G98" s="43">
        <v>3685.92</v>
      </c>
      <c r="H98" s="41">
        <v>442965084</v>
      </c>
      <c r="I98" s="44">
        <v>0</v>
      </c>
      <c r="J98" s="43">
        <v>0</v>
      </c>
      <c r="K98" s="43">
        <v>0</v>
      </c>
      <c r="L98" s="43">
        <v>0</v>
      </c>
      <c r="M98" s="43">
        <v>9966.18</v>
      </c>
      <c r="N98" s="45" t="s">
        <v>48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35">
        <v>45917.796377314815</v>
      </c>
      <c r="B99" s="36">
        <v>443748502</v>
      </c>
      <c r="C99" s="37" t="s">
        <v>36</v>
      </c>
      <c r="D99" s="37" t="s">
        <v>37</v>
      </c>
      <c r="E99" s="37" t="s">
        <v>46</v>
      </c>
      <c r="F99" s="37" t="s">
        <v>38</v>
      </c>
      <c r="G99" s="38">
        <v>3685.92</v>
      </c>
      <c r="H99" s="36">
        <v>442965087</v>
      </c>
      <c r="I99" s="39">
        <v>0</v>
      </c>
      <c r="J99" s="38">
        <v>0</v>
      </c>
      <c r="K99" s="38">
        <v>0</v>
      </c>
      <c r="L99" s="38">
        <v>0</v>
      </c>
      <c r="M99" s="38">
        <v>9966.18</v>
      </c>
      <c r="N99" s="46" t="s">
        <v>150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40">
        <v>45917.796388888892</v>
      </c>
      <c r="B100" s="41">
        <v>443748505</v>
      </c>
      <c r="C100" s="42" t="s">
        <v>36</v>
      </c>
      <c r="D100" s="42" t="s">
        <v>37</v>
      </c>
      <c r="E100" s="42" t="s">
        <v>46</v>
      </c>
      <c r="F100" s="42" t="s">
        <v>38</v>
      </c>
      <c r="G100" s="43">
        <v>3685.92</v>
      </c>
      <c r="H100" s="41">
        <v>442965089</v>
      </c>
      <c r="I100" s="44">
        <v>0</v>
      </c>
      <c r="J100" s="43">
        <v>0</v>
      </c>
      <c r="K100" s="43">
        <v>0</v>
      </c>
      <c r="L100" s="43">
        <v>0</v>
      </c>
      <c r="M100" s="43">
        <v>9966.18</v>
      </c>
      <c r="N100" s="45" t="s">
        <v>49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35">
        <v>45917.807245370372</v>
      </c>
      <c r="B101" s="36">
        <v>443751912</v>
      </c>
      <c r="C101" s="37" t="s">
        <v>36</v>
      </c>
      <c r="D101" s="37" t="s">
        <v>39</v>
      </c>
      <c r="E101" s="37" t="s">
        <v>47</v>
      </c>
      <c r="F101" s="37" t="s">
        <v>38</v>
      </c>
      <c r="G101" s="38">
        <v>3687.44</v>
      </c>
      <c r="H101" s="36">
        <v>442968495</v>
      </c>
      <c r="I101" s="39">
        <v>0</v>
      </c>
      <c r="J101" s="38">
        <v>0</v>
      </c>
      <c r="K101" s="38">
        <v>0</v>
      </c>
      <c r="L101" s="38">
        <v>1.52</v>
      </c>
      <c r="M101" s="38">
        <v>9967.7000000000007</v>
      </c>
      <c r="N101" s="46" t="s">
        <v>159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40">
        <v>45917.810034722221</v>
      </c>
      <c r="B102" s="41">
        <v>443754134</v>
      </c>
      <c r="C102" s="42" t="s">
        <v>36</v>
      </c>
      <c r="D102" s="42" t="s">
        <v>37</v>
      </c>
      <c r="E102" s="42" t="s">
        <v>46</v>
      </c>
      <c r="F102" s="42" t="s">
        <v>38</v>
      </c>
      <c r="G102" s="43">
        <v>3688.02</v>
      </c>
      <c r="H102" s="41">
        <v>442970672</v>
      </c>
      <c r="I102" s="44">
        <v>0</v>
      </c>
      <c r="J102" s="43">
        <v>0</v>
      </c>
      <c r="K102" s="43">
        <v>0</v>
      </c>
      <c r="L102" s="43">
        <v>0</v>
      </c>
      <c r="M102" s="43">
        <v>9967.7000000000007</v>
      </c>
      <c r="N102" s="45" t="s">
        <v>150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35">
        <v>45917.81287037037</v>
      </c>
      <c r="B103" s="36">
        <v>443754893</v>
      </c>
      <c r="C103" s="37" t="s">
        <v>36</v>
      </c>
      <c r="D103" s="37" t="s">
        <v>39</v>
      </c>
      <c r="E103" s="37" t="s">
        <v>47</v>
      </c>
      <c r="F103" s="37" t="s">
        <v>38</v>
      </c>
      <c r="G103" s="38">
        <v>3687.47</v>
      </c>
      <c r="H103" s="36">
        <v>442971439</v>
      </c>
      <c r="I103" s="39">
        <v>0</v>
      </c>
      <c r="J103" s="38">
        <v>0</v>
      </c>
      <c r="K103" s="38">
        <v>0</v>
      </c>
      <c r="L103" s="38">
        <v>1.55</v>
      </c>
      <c r="M103" s="38">
        <v>9969.25</v>
      </c>
      <c r="N103" s="46" t="s">
        <v>160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40">
        <v>45917.81287037037</v>
      </c>
      <c r="B104" s="41">
        <v>443754894</v>
      </c>
      <c r="C104" s="42" t="s">
        <v>36</v>
      </c>
      <c r="D104" s="42" t="s">
        <v>39</v>
      </c>
      <c r="E104" s="42" t="s">
        <v>47</v>
      </c>
      <c r="F104" s="42" t="s">
        <v>38</v>
      </c>
      <c r="G104" s="43">
        <v>3687.47</v>
      </c>
      <c r="H104" s="41">
        <v>442971440</v>
      </c>
      <c r="I104" s="44">
        <v>0</v>
      </c>
      <c r="J104" s="43">
        <v>0</v>
      </c>
      <c r="K104" s="43">
        <v>0</v>
      </c>
      <c r="L104" s="43">
        <v>1.55</v>
      </c>
      <c r="M104" s="43">
        <v>9970.7999999999993</v>
      </c>
      <c r="N104" s="45" t="s">
        <v>160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35">
        <v>45917.81287037037</v>
      </c>
      <c r="B105" s="36">
        <v>443754895</v>
      </c>
      <c r="C105" s="37" t="s">
        <v>36</v>
      </c>
      <c r="D105" s="37" t="s">
        <v>39</v>
      </c>
      <c r="E105" s="37" t="s">
        <v>47</v>
      </c>
      <c r="F105" s="37" t="s">
        <v>38</v>
      </c>
      <c r="G105" s="38">
        <v>3687.47</v>
      </c>
      <c r="H105" s="36">
        <v>442971441</v>
      </c>
      <c r="I105" s="39">
        <v>0</v>
      </c>
      <c r="J105" s="38">
        <v>0</v>
      </c>
      <c r="K105" s="38">
        <v>0</v>
      </c>
      <c r="L105" s="38">
        <v>1.55</v>
      </c>
      <c r="M105" s="38">
        <v>9972.35</v>
      </c>
      <c r="N105" s="46" t="s">
        <v>161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40">
        <v>45917.813043981485</v>
      </c>
      <c r="B106" s="41">
        <v>443754997</v>
      </c>
      <c r="C106" s="42" t="s">
        <v>36</v>
      </c>
      <c r="D106" s="42" t="s">
        <v>37</v>
      </c>
      <c r="E106" s="42" t="s">
        <v>46</v>
      </c>
      <c r="F106" s="42" t="s">
        <v>38</v>
      </c>
      <c r="G106" s="43">
        <v>3687.74</v>
      </c>
      <c r="H106" s="41">
        <v>442971545</v>
      </c>
      <c r="I106" s="44">
        <v>0</v>
      </c>
      <c r="J106" s="43">
        <v>0</v>
      </c>
      <c r="K106" s="43">
        <v>0</v>
      </c>
      <c r="L106" s="43">
        <v>0</v>
      </c>
      <c r="M106" s="43">
        <v>9972.35</v>
      </c>
      <c r="N106" s="45" t="s">
        <v>53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35">
        <v>45917.813043981485</v>
      </c>
      <c r="B107" s="36">
        <v>443755000</v>
      </c>
      <c r="C107" s="37" t="s">
        <v>36</v>
      </c>
      <c r="D107" s="37" t="s">
        <v>37</v>
      </c>
      <c r="E107" s="37" t="s">
        <v>46</v>
      </c>
      <c r="F107" s="37" t="s">
        <v>38</v>
      </c>
      <c r="G107" s="38">
        <v>3687.74</v>
      </c>
      <c r="H107" s="36">
        <v>442971547</v>
      </c>
      <c r="I107" s="39">
        <v>0</v>
      </c>
      <c r="J107" s="38">
        <v>0</v>
      </c>
      <c r="K107" s="38">
        <v>0</v>
      </c>
      <c r="L107" s="38">
        <v>0</v>
      </c>
      <c r="M107" s="38">
        <v>9972.35</v>
      </c>
      <c r="N107" s="46" t="s">
        <v>48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40">
        <v>45917.813043981485</v>
      </c>
      <c r="B108" s="41">
        <v>443755001</v>
      </c>
      <c r="C108" s="42" t="s">
        <v>36</v>
      </c>
      <c r="D108" s="42" t="s">
        <v>37</v>
      </c>
      <c r="E108" s="42" t="s">
        <v>46</v>
      </c>
      <c r="F108" s="42" t="s">
        <v>38</v>
      </c>
      <c r="G108" s="43">
        <v>3687.72</v>
      </c>
      <c r="H108" s="41">
        <v>442971548</v>
      </c>
      <c r="I108" s="44">
        <v>0</v>
      </c>
      <c r="J108" s="43">
        <v>0</v>
      </c>
      <c r="K108" s="43">
        <v>0</v>
      </c>
      <c r="L108" s="43">
        <v>0</v>
      </c>
      <c r="M108" s="43">
        <v>9972.35</v>
      </c>
      <c r="N108" s="45" t="s">
        <v>49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35">
        <v>45917.822685185187</v>
      </c>
      <c r="B109" s="36">
        <v>443758218</v>
      </c>
      <c r="C109" s="37" t="s">
        <v>36</v>
      </c>
      <c r="D109" s="37" t="s">
        <v>39</v>
      </c>
      <c r="E109" s="37" t="s">
        <v>47</v>
      </c>
      <c r="F109" s="37" t="s">
        <v>38</v>
      </c>
      <c r="G109" s="38">
        <v>3686.27</v>
      </c>
      <c r="H109" s="36">
        <v>442974697</v>
      </c>
      <c r="I109" s="39">
        <v>0</v>
      </c>
      <c r="J109" s="38">
        <v>0</v>
      </c>
      <c r="K109" s="38">
        <v>0</v>
      </c>
      <c r="L109" s="38">
        <v>0.92</v>
      </c>
      <c r="M109" s="38">
        <v>9973.27</v>
      </c>
      <c r="N109" s="46" t="s">
        <v>162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40">
        <v>45917.823576388888</v>
      </c>
      <c r="B110" s="41">
        <v>443758452</v>
      </c>
      <c r="C110" s="42" t="s">
        <v>36</v>
      </c>
      <c r="D110" s="42" t="s">
        <v>37</v>
      </c>
      <c r="E110" s="42" t="s">
        <v>46</v>
      </c>
      <c r="F110" s="42" t="s">
        <v>38</v>
      </c>
      <c r="G110" s="43">
        <v>3687.21</v>
      </c>
      <c r="H110" s="41">
        <v>442974926</v>
      </c>
      <c r="I110" s="44">
        <v>0</v>
      </c>
      <c r="J110" s="43">
        <v>0</v>
      </c>
      <c r="K110" s="43">
        <v>0</v>
      </c>
      <c r="L110" s="43">
        <v>0</v>
      </c>
      <c r="M110" s="43">
        <v>9973.27</v>
      </c>
      <c r="N110" s="45" t="s">
        <v>123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35">
        <v>45917.828599537039</v>
      </c>
      <c r="B111" s="36">
        <v>443759958</v>
      </c>
      <c r="C111" s="37" t="s">
        <v>36</v>
      </c>
      <c r="D111" s="37" t="s">
        <v>39</v>
      </c>
      <c r="E111" s="37" t="s">
        <v>47</v>
      </c>
      <c r="F111" s="37" t="s">
        <v>38</v>
      </c>
      <c r="G111" s="38">
        <v>3685.24</v>
      </c>
      <c r="H111" s="36">
        <v>442976387</v>
      </c>
      <c r="I111" s="39">
        <v>0</v>
      </c>
      <c r="J111" s="38">
        <v>0</v>
      </c>
      <c r="K111" s="38">
        <v>0</v>
      </c>
      <c r="L111" s="38">
        <v>-2.48</v>
      </c>
      <c r="M111" s="38">
        <v>9970.7900000000009</v>
      </c>
      <c r="N111" s="46" t="s">
        <v>163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40">
        <v>45917.828819444447</v>
      </c>
      <c r="B112" s="41">
        <v>443760073</v>
      </c>
      <c r="C112" s="42" t="s">
        <v>36</v>
      </c>
      <c r="D112" s="42" t="s">
        <v>39</v>
      </c>
      <c r="E112" s="42" t="s">
        <v>47</v>
      </c>
      <c r="F112" s="42" t="s">
        <v>38</v>
      </c>
      <c r="G112" s="43">
        <v>3684.94</v>
      </c>
      <c r="H112" s="41">
        <v>442976495</v>
      </c>
      <c r="I112" s="44">
        <v>0</v>
      </c>
      <c r="J112" s="43">
        <v>0</v>
      </c>
      <c r="K112" s="43">
        <v>0</v>
      </c>
      <c r="L112" s="43">
        <v>-3.08</v>
      </c>
      <c r="M112" s="43">
        <v>9967.7099999999991</v>
      </c>
      <c r="N112" s="45" t="s">
        <v>164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35">
        <v>45917.828912037039</v>
      </c>
      <c r="B113" s="36">
        <v>443760104</v>
      </c>
      <c r="C113" s="37" t="s">
        <v>36</v>
      </c>
      <c r="D113" s="37" t="s">
        <v>39</v>
      </c>
      <c r="E113" s="37" t="s">
        <v>47</v>
      </c>
      <c r="F113" s="37" t="s">
        <v>38</v>
      </c>
      <c r="G113" s="38">
        <v>3684.71</v>
      </c>
      <c r="H113" s="36">
        <v>442976524</v>
      </c>
      <c r="I113" s="39">
        <v>0</v>
      </c>
      <c r="J113" s="38">
        <v>0</v>
      </c>
      <c r="K113" s="38">
        <v>0</v>
      </c>
      <c r="L113" s="38">
        <v>-3.03</v>
      </c>
      <c r="M113" s="38">
        <v>9964.68</v>
      </c>
      <c r="N113" s="46" t="s">
        <v>146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40">
        <v>45917.828912037039</v>
      </c>
      <c r="B114" s="41">
        <v>443760105</v>
      </c>
      <c r="C114" s="42" t="s">
        <v>36</v>
      </c>
      <c r="D114" s="42" t="s">
        <v>39</v>
      </c>
      <c r="E114" s="42" t="s">
        <v>47</v>
      </c>
      <c r="F114" s="42" t="s">
        <v>38</v>
      </c>
      <c r="G114" s="43">
        <v>3684.71</v>
      </c>
      <c r="H114" s="41">
        <v>442976525</v>
      </c>
      <c r="I114" s="44">
        <v>0</v>
      </c>
      <c r="J114" s="43">
        <v>0</v>
      </c>
      <c r="K114" s="43">
        <v>0</v>
      </c>
      <c r="L114" s="43">
        <v>-3.03</v>
      </c>
      <c r="M114" s="43">
        <v>9961.65</v>
      </c>
      <c r="N114" s="45" t="s">
        <v>165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35">
        <v>45917.830740740741</v>
      </c>
      <c r="B115" s="36">
        <v>443760915</v>
      </c>
      <c r="C115" s="37" t="s">
        <v>36</v>
      </c>
      <c r="D115" s="37" t="s">
        <v>39</v>
      </c>
      <c r="E115" s="37" t="s">
        <v>47</v>
      </c>
      <c r="F115" s="37" t="s">
        <v>38</v>
      </c>
      <c r="G115" s="38">
        <v>3684.16</v>
      </c>
      <c r="H115" s="36">
        <v>442977300</v>
      </c>
      <c r="I115" s="39">
        <v>0</v>
      </c>
      <c r="J115" s="38">
        <v>0</v>
      </c>
      <c r="K115" s="38">
        <v>0</v>
      </c>
      <c r="L115" s="38">
        <v>-3.05</v>
      </c>
      <c r="M115" s="38">
        <v>9958.6</v>
      </c>
      <c r="N115" s="46" t="s">
        <v>166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40">
        <v>45917.832256944443</v>
      </c>
      <c r="B116" s="41">
        <v>443761452</v>
      </c>
      <c r="C116" s="42" t="s">
        <v>36</v>
      </c>
      <c r="D116" s="42" t="s">
        <v>39</v>
      </c>
      <c r="E116" s="42" t="s">
        <v>46</v>
      </c>
      <c r="F116" s="42" t="s">
        <v>38</v>
      </c>
      <c r="G116" s="43">
        <v>3684.65</v>
      </c>
      <c r="H116" s="41">
        <v>442977818</v>
      </c>
      <c r="I116" s="44">
        <v>0</v>
      </c>
      <c r="J116" s="43">
        <v>0</v>
      </c>
      <c r="K116" s="43">
        <v>0</v>
      </c>
      <c r="L116" s="43">
        <v>0</v>
      </c>
      <c r="M116" s="43">
        <v>9958.6</v>
      </c>
      <c r="N116" s="45" t="s">
        <v>48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35">
        <v>45917.832256944443</v>
      </c>
      <c r="B117" s="36">
        <v>443761455</v>
      </c>
      <c r="C117" s="37" t="s">
        <v>36</v>
      </c>
      <c r="D117" s="37" t="s">
        <v>39</v>
      </c>
      <c r="E117" s="37" t="s">
        <v>46</v>
      </c>
      <c r="F117" s="37" t="s">
        <v>38</v>
      </c>
      <c r="G117" s="38">
        <v>3684.65</v>
      </c>
      <c r="H117" s="36">
        <v>442977821</v>
      </c>
      <c r="I117" s="39">
        <v>0</v>
      </c>
      <c r="J117" s="38">
        <v>0</v>
      </c>
      <c r="K117" s="38">
        <v>0</v>
      </c>
      <c r="L117" s="38">
        <v>0</v>
      </c>
      <c r="M117" s="38">
        <v>9958.6</v>
      </c>
      <c r="N117" s="46" t="s">
        <v>53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40">
        <v>45917.832256944443</v>
      </c>
      <c r="B118" s="41">
        <v>443761456</v>
      </c>
      <c r="C118" s="42" t="s">
        <v>36</v>
      </c>
      <c r="D118" s="42" t="s">
        <v>39</v>
      </c>
      <c r="E118" s="42" t="s">
        <v>46</v>
      </c>
      <c r="F118" s="42" t="s">
        <v>38</v>
      </c>
      <c r="G118" s="43">
        <v>3684.65</v>
      </c>
      <c r="H118" s="41">
        <v>442977822</v>
      </c>
      <c r="I118" s="44">
        <v>0</v>
      </c>
      <c r="J118" s="43">
        <v>0</v>
      </c>
      <c r="K118" s="43">
        <v>0</v>
      </c>
      <c r="L118" s="43">
        <v>0</v>
      </c>
      <c r="M118" s="43">
        <v>9958.6</v>
      </c>
      <c r="N118" s="45" t="s">
        <v>49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35">
        <v>45917.832268518519</v>
      </c>
      <c r="B119" s="36">
        <v>443761457</v>
      </c>
      <c r="C119" s="37" t="s">
        <v>36</v>
      </c>
      <c r="D119" s="37" t="s">
        <v>39</v>
      </c>
      <c r="E119" s="37" t="s">
        <v>46</v>
      </c>
      <c r="F119" s="37" t="s">
        <v>38</v>
      </c>
      <c r="G119" s="38">
        <v>3684.66</v>
      </c>
      <c r="H119" s="36">
        <v>442977823</v>
      </c>
      <c r="I119" s="39">
        <v>0</v>
      </c>
      <c r="J119" s="38">
        <v>0</v>
      </c>
      <c r="K119" s="38">
        <v>0</v>
      </c>
      <c r="L119" s="38">
        <v>0</v>
      </c>
      <c r="M119" s="38">
        <v>9958.6</v>
      </c>
      <c r="N119" s="46" t="s">
        <v>150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40">
        <v>45917.834166666667</v>
      </c>
      <c r="B120" s="41">
        <v>443762461</v>
      </c>
      <c r="C120" s="42" t="s">
        <v>36</v>
      </c>
      <c r="D120" s="42" t="s">
        <v>37</v>
      </c>
      <c r="E120" s="42" t="s">
        <v>47</v>
      </c>
      <c r="F120" s="42" t="s">
        <v>38</v>
      </c>
      <c r="G120" s="43">
        <v>3683.1</v>
      </c>
      <c r="H120" s="41">
        <v>442978860</v>
      </c>
      <c r="I120" s="44">
        <v>0</v>
      </c>
      <c r="J120" s="43">
        <v>0</v>
      </c>
      <c r="K120" s="43">
        <v>0</v>
      </c>
      <c r="L120" s="43">
        <v>1.56</v>
      </c>
      <c r="M120" s="43">
        <v>9960.16</v>
      </c>
      <c r="N120" s="45" t="s">
        <v>167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35">
        <v>45917.835706018515</v>
      </c>
      <c r="B121" s="36">
        <v>443763576</v>
      </c>
      <c r="C121" s="37" t="s">
        <v>36</v>
      </c>
      <c r="D121" s="37" t="s">
        <v>39</v>
      </c>
      <c r="E121" s="37" t="s">
        <v>47</v>
      </c>
      <c r="F121" s="37" t="s">
        <v>38</v>
      </c>
      <c r="G121" s="38">
        <v>3682.64</v>
      </c>
      <c r="H121" s="36">
        <v>442979966</v>
      </c>
      <c r="I121" s="39">
        <v>0</v>
      </c>
      <c r="J121" s="38">
        <v>0</v>
      </c>
      <c r="K121" s="38">
        <v>0</v>
      </c>
      <c r="L121" s="38">
        <v>-3.02</v>
      </c>
      <c r="M121" s="38">
        <v>9957.14</v>
      </c>
      <c r="N121" s="46" t="s">
        <v>168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40">
        <v>45917.835740740738</v>
      </c>
      <c r="B122" s="41">
        <v>443763626</v>
      </c>
      <c r="C122" s="42" t="s">
        <v>36</v>
      </c>
      <c r="D122" s="42" t="s">
        <v>39</v>
      </c>
      <c r="E122" s="42" t="s">
        <v>47</v>
      </c>
      <c r="F122" s="42" t="s">
        <v>38</v>
      </c>
      <c r="G122" s="43">
        <v>3682.36</v>
      </c>
      <c r="H122" s="41">
        <v>442980010</v>
      </c>
      <c r="I122" s="44">
        <v>0</v>
      </c>
      <c r="J122" s="43">
        <v>0</v>
      </c>
      <c r="K122" s="43">
        <v>0</v>
      </c>
      <c r="L122" s="43">
        <v>-3.09</v>
      </c>
      <c r="M122" s="43">
        <v>9954.0499999999993</v>
      </c>
      <c r="N122" s="45" t="s">
        <v>169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35">
        <v>45917.837581018517</v>
      </c>
      <c r="B123" s="36">
        <v>443764399</v>
      </c>
      <c r="C123" s="37" t="s">
        <v>36</v>
      </c>
      <c r="D123" s="37" t="s">
        <v>39</v>
      </c>
      <c r="E123" s="37" t="s">
        <v>46</v>
      </c>
      <c r="F123" s="37" t="s">
        <v>38</v>
      </c>
      <c r="G123" s="38">
        <v>3683.15</v>
      </c>
      <c r="H123" s="36">
        <v>442980771</v>
      </c>
      <c r="I123" s="39">
        <v>0</v>
      </c>
      <c r="J123" s="38">
        <v>0</v>
      </c>
      <c r="K123" s="38">
        <v>0</v>
      </c>
      <c r="L123" s="38">
        <v>0</v>
      </c>
      <c r="M123" s="38">
        <v>9954.0499999999993</v>
      </c>
      <c r="N123" s="46" t="s">
        <v>150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40">
        <v>45917.837881944448</v>
      </c>
      <c r="B124" s="41">
        <v>443764662</v>
      </c>
      <c r="C124" s="42" t="s">
        <v>36</v>
      </c>
      <c r="D124" s="42" t="s">
        <v>37</v>
      </c>
      <c r="E124" s="42" t="s">
        <v>47</v>
      </c>
      <c r="F124" s="42" t="s">
        <v>38</v>
      </c>
      <c r="G124" s="43">
        <v>3683.62</v>
      </c>
      <c r="H124" s="41">
        <v>442981030</v>
      </c>
      <c r="I124" s="44">
        <v>0</v>
      </c>
      <c r="J124" s="43">
        <v>0</v>
      </c>
      <c r="K124" s="43">
        <v>0</v>
      </c>
      <c r="L124" s="43">
        <v>1.03</v>
      </c>
      <c r="M124" s="43">
        <v>9955.08</v>
      </c>
      <c r="N124" s="45" t="s">
        <v>170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35">
        <v>45917.837881944448</v>
      </c>
      <c r="B125" s="36">
        <v>443764663</v>
      </c>
      <c r="C125" s="37" t="s">
        <v>36</v>
      </c>
      <c r="D125" s="37" t="s">
        <v>37</v>
      </c>
      <c r="E125" s="37" t="s">
        <v>47</v>
      </c>
      <c r="F125" s="37" t="s">
        <v>38</v>
      </c>
      <c r="G125" s="38">
        <v>3683.62</v>
      </c>
      <c r="H125" s="36">
        <v>442981031</v>
      </c>
      <c r="I125" s="39">
        <v>0</v>
      </c>
      <c r="J125" s="38">
        <v>0</v>
      </c>
      <c r="K125" s="38">
        <v>0</v>
      </c>
      <c r="L125" s="38">
        <v>1.03</v>
      </c>
      <c r="M125" s="38">
        <v>9956.11</v>
      </c>
      <c r="N125" s="46" t="s">
        <v>170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40">
        <v>45917.837881944448</v>
      </c>
      <c r="B126" s="41">
        <v>443764664</v>
      </c>
      <c r="C126" s="42" t="s">
        <v>36</v>
      </c>
      <c r="D126" s="42" t="s">
        <v>37</v>
      </c>
      <c r="E126" s="42" t="s">
        <v>47</v>
      </c>
      <c r="F126" s="42" t="s">
        <v>38</v>
      </c>
      <c r="G126" s="43">
        <v>3683.62</v>
      </c>
      <c r="H126" s="41">
        <v>442981032</v>
      </c>
      <c r="I126" s="44">
        <v>0</v>
      </c>
      <c r="J126" s="43">
        <v>0</v>
      </c>
      <c r="K126" s="43">
        <v>0</v>
      </c>
      <c r="L126" s="43">
        <v>1.03</v>
      </c>
      <c r="M126" s="43">
        <v>9957.14</v>
      </c>
      <c r="N126" s="45" t="s">
        <v>170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35">
        <v>45917.83792824074</v>
      </c>
      <c r="B127" s="36">
        <v>443764688</v>
      </c>
      <c r="C127" s="37" t="s">
        <v>36</v>
      </c>
      <c r="D127" s="37" t="s">
        <v>39</v>
      </c>
      <c r="E127" s="37" t="s">
        <v>46</v>
      </c>
      <c r="F127" s="37" t="s">
        <v>38</v>
      </c>
      <c r="G127" s="38">
        <v>3683.38</v>
      </c>
      <c r="H127" s="36">
        <v>442981056</v>
      </c>
      <c r="I127" s="39">
        <v>0</v>
      </c>
      <c r="J127" s="38">
        <v>0</v>
      </c>
      <c r="K127" s="38">
        <v>0</v>
      </c>
      <c r="L127" s="38">
        <v>0</v>
      </c>
      <c r="M127" s="38">
        <v>9957.14</v>
      </c>
      <c r="N127" s="46" t="s">
        <v>48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40">
        <v>45917.83792824074</v>
      </c>
      <c r="B128" s="41">
        <v>443764691</v>
      </c>
      <c r="C128" s="42" t="s">
        <v>36</v>
      </c>
      <c r="D128" s="42" t="s">
        <v>39</v>
      </c>
      <c r="E128" s="42" t="s">
        <v>46</v>
      </c>
      <c r="F128" s="42" t="s">
        <v>38</v>
      </c>
      <c r="G128" s="43">
        <v>3683.38</v>
      </c>
      <c r="H128" s="41">
        <v>442981059</v>
      </c>
      <c r="I128" s="44">
        <v>0</v>
      </c>
      <c r="J128" s="43">
        <v>0</v>
      </c>
      <c r="K128" s="43">
        <v>0</v>
      </c>
      <c r="L128" s="43">
        <v>0</v>
      </c>
      <c r="M128" s="43">
        <v>9957.14</v>
      </c>
      <c r="N128" s="45" t="s">
        <v>53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35">
        <v>45917.83792824074</v>
      </c>
      <c r="B129" s="36">
        <v>443764693</v>
      </c>
      <c r="C129" s="37" t="s">
        <v>36</v>
      </c>
      <c r="D129" s="37" t="s">
        <v>39</v>
      </c>
      <c r="E129" s="37" t="s">
        <v>46</v>
      </c>
      <c r="F129" s="37" t="s">
        <v>38</v>
      </c>
      <c r="G129" s="38">
        <v>3683.38</v>
      </c>
      <c r="H129" s="36">
        <v>442981061</v>
      </c>
      <c r="I129" s="39">
        <v>0</v>
      </c>
      <c r="J129" s="38">
        <v>0</v>
      </c>
      <c r="K129" s="38">
        <v>0</v>
      </c>
      <c r="L129" s="38">
        <v>0</v>
      </c>
      <c r="M129" s="38">
        <v>9957.14</v>
      </c>
      <c r="N129" s="46" t="s">
        <v>49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40">
        <v>45917.847256944442</v>
      </c>
      <c r="B130" s="41">
        <v>443768233</v>
      </c>
      <c r="C130" s="42" t="s">
        <v>36</v>
      </c>
      <c r="D130" s="42" t="s">
        <v>37</v>
      </c>
      <c r="E130" s="42" t="s">
        <v>47</v>
      </c>
      <c r="F130" s="42" t="s">
        <v>38</v>
      </c>
      <c r="G130" s="43">
        <v>3681.65</v>
      </c>
      <c r="H130" s="41">
        <v>442984537</v>
      </c>
      <c r="I130" s="44">
        <v>0</v>
      </c>
      <c r="J130" s="43">
        <v>0</v>
      </c>
      <c r="K130" s="43">
        <v>0</v>
      </c>
      <c r="L130" s="43">
        <v>1.5</v>
      </c>
      <c r="M130" s="43">
        <v>9958.64</v>
      </c>
      <c r="N130" s="45" t="s">
        <v>171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35">
        <v>45917.847488425927</v>
      </c>
      <c r="B131" s="36">
        <v>443768882</v>
      </c>
      <c r="C131" s="37" t="s">
        <v>36</v>
      </c>
      <c r="D131" s="37" t="s">
        <v>37</v>
      </c>
      <c r="E131" s="37" t="s">
        <v>47</v>
      </c>
      <c r="F131" s="37" t="s">
        <v>38</v>
      </c>
      <c r="G131" s="38">
        <v>3680.4</v>
      </c>
      <c r="H131" s="36">
        <v>442985172</v>
      </c>
      <c r="I131" s="39">
        <v>0</v>
      </c>
      <c r="J131" s="38">
        <v>0</v>
      </c>
      <c r="K131" s="38">
        <v>0</v>
      </c>
      <c r="L131" s="38">
        <v>2.98</v>
      </c>
      <c r="M131" s="38">
        <v>9961.6200000000008</v>
      </c>
      <c r="N131" s="46" t="s">
        <v>172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40">
        <v>45917.847511574073</v>
      </c>
      <c r="B132" s="41">
        <v>443768898</v>
      </c>
      <c r="C132" s="42" t="s">
        <v>36</v>
      </c>
      <c r="D132" s="42" t="s">
        <v>37</v>
      </c>
      <c r="E132" s="42" t="s">
        <v>47</v>
      </c>
      <c r="F132" s="42" t="s">
        <v>38</v>
      </c>
      <c r="G132" s="43">
        <v>3680.38</v>
      </c>
      <c r="H132" s="41">
        <v>442985187</v>
      </c>
      <c r="I132" s="44">
        <v>0</v>
      </c>
      <c r="J132" s="43">
        <v>0</v>
      </c>
      <c r="K132" s="43">
        <v>0</v>
      </c>
      <c r="L132" s="43">
        <v>3</v>
      </c>
      <c r="M132" s="43">
        <v>9964.6200000000008</v>
      </c>
      <c r="N132" s="45" t="s">
        <v>173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35">
        <v>45917.847546296296</v>
      </c>
      <c r="B133" s="36">
        <v>443769101</v>
      </c>
      <c r="C133" s="37" t="s">
        <v>36</v>
      </c>
      <c r="D133" s="37" t="s">
        <v>37</v>
      </c>
      <c r="E133" s="37" t="s">
        <v>47</v>
      </c>
      <c r="F133" s="37" t="s">
        <v>38</v>
      </c>
      <c r="G133" s="38">
        <v>3679.81</v>
      </c>
      <c r="H133" s="36">
        <v>442985409</v>
      </c>
      <c r="I133" s="39">
        <v>0</v>
      </c>
      <c r="J133" s="38">
        <v>0</v>
      </c>
      <c r="K133" s="38">
        <v>0</v>
      </c>
      <c r="L133" s="38">
        <v>3.57</v>
      </c>
      <c r="M133" s="38">
        <v>9968.19</v>
      </c>
      <c r="N133" s="46" t="s">
        <v>174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40">
        <v>45917.849733796298</v>
      </c>
      <c r="B134" s="41">
        <v>443770820</v>
      </c>
      <c r="C134" s="42" t="s">
        <v>36</v>
      </c>
      <c r="D134" s="42" t="s">
        <v>39</v>
      </c>
      <c r="E134" s="42" t="s">
        <v>46</v>
      </c>
      <c r="F134" s="42" t="s">
        <v>38</v>
      </c>
      <c r="G134" s="43">
        <v>3681.02</v>
      </c>
      <c r="H134" s="41">
        <v>442987088</v>
      </c>
      <c r="I134" s="44">
        <v>0</v>
      </c>
      <c r="J134" s="43">
        <v>0</v>
      </c>
      <c r="K134" s="43">
        <v>0</v>
      </c>
      <c r="L134" s="43">
        <v>0</v>
      </c>
      <c r="M134" s="43">
        <v>9968.19</v>
      </c>
      <c r="N134" s="45" t="s">
        <v>53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35">
        <v>45917.849733796298</v>
      </c>
      <c r="B135" s="36">
        <v>443770823</v>
      </c>
      <c r="C135" s="37" t="s">
        <v>36</v>
      </c>
      <c r="D135" s="37" t="s">
        <v>39</v>
      </c>
      <c r="E135" s="37" t="s">
        <v>46</v>
      </c>
      <c r="F135" s="37" t="s">
        <v>38</v>
      </c>
      <c r="G135" s="38">
        <v>3681.02</v>
      </c>
      <c r="H135" s="36">
        <v>442987091</v>
      </c>
      <c r="I135" s="39">
        <v>0</v>
      </c>
      <c r="J135" s="38">
        <v>0</v>
      </c>
      <c r="K135" s="38">
        <v>0</v>
      </c>
      <c r="L135" s="38">
        <v>0</v>
      </c>
      <c r="M135" s="38">
        <v>9968.19</v>
      </c>
      <c r="N135" s="46" t="s">
        <v>150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40">
        <v>45917.849733796298</v>
      </c>
      <c r="B136" s="41">
        <v>443770826</v>
      </c>
      <c r="C136" s="42" t="s">
        <v>36</v>
      </c>
      <c r="D136" s="42" t="s">
        <v>39</v>
      </c>
      <c r="E136" s="42" t="s">
        <v>46</v>
      </c>
      <c r="F136" s="42" t="s">
        <v>38</v>
      </c>
      <c r="G136" s="43">
        <v>3681.05</v>
      </c>
      <c r="H136" s="41">
        <v>442987094</v>
      </c>
      <c r="I136" s="44">
        <v>0</v>
      </c>
      <c r="J136" s="43">
        <v>0</v>
      </c>
      <c r="K136" s="43">
        <v>0</v>
      </c>
      <c r="L136" s="43">
        <v>0</v>
      </c>
      <c r="M136" s="43">
        <v>9968.19</v>
      </c>
      <c r="N136" s="45" t="s">
        <v>48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35">
        <v>45917.849733796298</v>
      </c>
      <c r="B137" s="36">
        <v>443770828</v>
      </c>
      <c r="C137" s="37" t="s">
        <v>36</v>
      </c>
      <c r="D137" s="37" t="s">
        <v>39</v>
      </c>
      <c r="E137" s="37" t="s">
        <v>46</v>
      </c>
      <c r="F137" s="37" t="s">
        <v>38</v>
      </c>
      <c r="G137" s="38">
        <v>3681.05</v>
      </c>
      <c r="H137" s="36">
        <v>442987096</v>
      </c>
      <c r="I137" s="39">
        <v>0</v>
      </c>
      <c r="J137" s="38">
        <v>0</v>
      </c>
      <c r="K137" s="38">
        <v>0</v>
      </c>
      <c r="L137" s="38">
        <v>0</v>
      </c>
      <c r="M137" s="38">
        <v>9968.19</v>
      </c>
      <c r="N137" s="46" t="s">
        <v>49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40">
        <v>45917.852743055555</v>
      </c>
      <c r="B138" s="41">
        <v>443772869</v>
      </c>
      <c r="C138" s="42" t="s">
        <v>36</v>
      </c>
      <c r="D138" s="42" t="s">
        <v>39</v>
      </c>
      <c r="E138" s="42" t="s">
        <v>46</v>
      </c>
      <c r="F138" s="42" t="s">
        <v>38</v>
      </c>
      <c r="G138" s="43">
        <v>3682.24</v>
      </c>
      <c r="H138" s="41">
        <v>442989123</v>
      </c>
      <c r="I138" s="44">
        <v>0</v>
      </c>
      <c r="J138" s="43">
        <v>0</v>
      </c>
      <c r="K138" s="43">
        <v>0</v>
      </c>
      <c r="L138" s="43">
        <v>0</v>
      </c>
      <c r="M138" s="43">
        <v>9968.19</v>
      </c>
      <c r="N138" s="45" t="s">
        <v>123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35">
        <v>45917.854571759257</v>
      </c>
      <c r="B139" s="36">
        <v>443774421</v>
      </c>
      <c r="C139" s="37" t="s">
        <v>36</v>
      </c>
      <c r="D139" s="37" t="s">
        <v>37</v>
      </c>
      <c r="E139" s="37" t="s">
        <v>47</v>
      </c>
      <c r="F139" s="37" t="s">
        <v>38</v>
      </c>
      <c r="G139" s="38">
        <v>3683.53</v>
      </c>
      <c r="H139" s="36">
        <v>442990608</v>
      </c>
      <c r="I139" s="39">
        <v>0</v>
      </c>
      <c r="J139" s="38">
        <v>0</v>
      </c>
      <c r="K139" s="38">
        <v>0</v>
      </c>
      <c r="L139" s="38">
        <v>-2.48</v>
      </c>
      <c r="M139" s="38">
        <v>9965.7099999999991</v>
      </c>
      <c r="N139" s="46" t="s">
        <v>219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40">
        <v>45917.855127314811</v>
      </c>
      <c r="B140" s="41">
        <v>443774678</v>
      </c>
      <c r="C140" s="42" t="s">
        <v>36</v>
      </c>
      <c r="D140" s="42" t="s">
        <v>37</v>
      </c>
      <c r="E140" s="42" t="s">
        <v>47</v>
      </c>
      <c r="F140" s="42" t="s">
        <v>38</v>
      </c>
      <c r="G140" s="43">
        <v>3684.13</v>
      </c>
      <c r="H140" s="41">
        <v>442990860</v>
      </c>
      <c r="I140" s="44">
        <v>0</v>
      </c>
      <c r="J140" s="43">
        <v>0</v>
      </c>
      <c r="K140" s="43">
        <v>0</v>
      </c>
      <c r="L140" s="43">
        <v>-3.11</v>
      </c>
      <c r="M140" s="43">
        <v>9962.6</v>
      </c>
      <c r="N140" s="45" t="s">
        <v>220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35">
        <v>45917.855127314811</v>
      </c>
      <c r="B141" s="36">
        <v>443774679</v>
      </c>
      <c r="C141" s="37" t="s">
        <v>36</v>
      </c>
      <c r="D141" s="37" t="s">
        <v>37</v>
      </c>
      <c r="E141" s="37" t="s">
        <v>47</v>
      </c>
      <c r="F141" s="37" t="s">
        <v>38</v>
      </c>
      <c r="G141" s="38">
        <v>3684.13</v>
      </c>
      <c r="H141" s="36">
        <v>442990861</v>
      </c>
      <c r="I141" s="39">
        <v>0</v>
      </c>
      <c r="J141" s="38">
        <v>0</v>
      </c>
      <c r="K141" s="38">
        <v>0</v>
      </c>
      <c r="L141" s="38">
        <v>-3.11</v>
      </c>
      <c r="M141" s="38">
        <v>9959.49</v>
      </c>
      <c r="N141" s="46" t="s">
        <v>220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40">
        <v>45917.855127314811</v>
      </c>
      <c r="B142" s="41">
        <v>443774680</v>
      </c>
      <c r="C142" s="42" t="s">
        <v>36</v>
      </c>
      <c r="D142" s="42" t="s">
        <v>37</v>
      </c>
      <c r="E142" s="42" t="s">
        <v>47</v>
      </c>
      <c r="F142" s="42" t="s">
        <v>38</v>
      </c>
      <c r="G142" s="43">
        <v>3684.13</v>
      </c>
      <c r="H142" s="41">
        <v>442990862</v>
      </c>
      <c r="I142" s="44">
        <v>0</v>
      </c>
      <c r="J142" s="43">
        <v>0</v>
      </c>
      <c r="K142" s="43">
        <v>0</v>
      </c>
      <c r="L142" s="43">
        <v>-3.08</v>
      </c>
      <c r="M142" s="43">
        <v>9956.41</v>
      </c>
      <c r="N142" s="45" t="s">
        <v>220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35">
        <v>45917.855520833335</v>
      </c>
      <c r="B143" s="36">
        <v>443774837</v>
      </c>
      <c r="C143" s="37" t="s">
        <v>36</v>
      </c>
      <c r="D143" s="37" t="s">
        <v>37</v>
      </c>
      <c r="E143" s="37" t="s">
        <v>46</v>
      </c>
      <c r="F143" s="37" t="s">
        <v>38</v>
      </c>
      <c r="G143" s="38">
        <v>3683.95</v>
      </c>
      <c r="H143" s="36">
        <v>442991015</v>
      </c>
      <c r="I143" s="39">
        <v>0</v>
      </c>
      <c r="J143" s="38">
        <v>0</v>
      </c>
      <c r="K143" s="38">
        <v>0</v>
      </c>
      <c r="L143" s="38">
        <v>0</v>
      </c>
      <c r="M143" s="38">
        <v>9956.41</v>
      </c>
      <c r="N143" s="46" t="s">
        <v>124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40">
        <v>45917.855532407404</v>
      </c>
      <c r="B144" s="41">
        <v>443774839</v>
      </c>
      <c r="C144" s="42" t="s">
        <v>36</v>
      </c>
      <c r="D144" s="42" t="s">
        <v>37</v>
      </c>
      <c r="E144" s="42" t="s">
        <v>46</v>
      </c>
      <c r="F144" s="42" t="s">
        <v>38</v>
      </c>
      <c r="G144" s="43">
        <v>3683.95</v>
      </c>
      <c r="H144" s="41">
        <v>442991017</v>
      </c>
      <c r="I144" s="44">
        <v>0</v>
      </c>
      <c r="J144" s="43">
        <v>0</v>
      </c>
      <c r="K144" s="43">
        <v>0</v>
      </c>
      <c r="L144" s="43">
        <v>0</v>
      </c>
      <c r="M144" s="43">
        <v>9956.41</v>
      </c>
      <c r="N144" s="45" t="s">
        <v>125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35">
        <v>45917.859143518515</v>
      </c>
      <c r="B145" s="36">
        <v>443776582</v>
      </c>
      <c r="C145" s="37" t="s">
        <v>36</v>
      </c>
      <c r="D145" s="37" t="s">
        <v>37</v>
      </c>
      <c r="E145" s="37" t="s">
        <v>47</v>
      </c>
      <c r="F145" s="37" t="s">
        <v>38</v>
      </c>
      <c r="G145" s="38">
        <v>3685.25</v>
      </c>
      <c r="H145" s="36">
        <v>442992757</v>
      </c>
      <c r="I145" s="39">
        <v>0</v>
      </c>
      <c r="J145" s="38">
        <v>0</v>
      </c>
      <c r="K145" s="38">
        <v>0</v>
      </c>
      <c r="L145" s="38">
        <v>-3.01</v>
      </c>
      <c r="M145" s="38">
        <v>9953.4</v>
      </c>
      <c r="N145" s="46" t="s">
        <v>221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40">
        <v>45917.860381944447</v>
      </c>
      <c r="B146" s="41">
        <v>443776849</v>
      </c>
      <c r="C146" s="42" t="s">
        <v>36</v>
      </c>
      <c r="D146" s="42" t="s">
        <v>37</v>
      </c>
      <c r="E146" s="42" t="s">
        <v>46</v>
      </c>
      <c r="F146" s="42" t="s">
        <v>38</v>
      </c>
      <c r="G146" s="43">
        <v>3684.53</v>
      </c>
      <c r="H146" s="41">
        <v>442993026</v>
      </c>
      <c r="I146" s="44">
        <v>0</v>
      </c>
      <c r="J146" s="43">
        <v>0</v>
      </c>
      <c r="K146" s="43">
        <v>0</v>
      </c>
      <c r="L146" s="43">
        <v>0</v>
      </c>
      <c r="M146" s="43">
        <v>9953.4</v>
      </c>
      <c r="N146" s="45" t="s">
        <v>150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35">
        <v>45917.860381944447</v>
      </c>
      <c r="B147" s="36">
        <v>443776850</v>
      </c>
      <c r="C147" s="37" t="s">
        <v>36</v>
      </c>
      <c r="D147" s="37" t="s">
        <v>37</v>
      </c>
      <c r="E147" s="37" t="s">
        <v>46</v>
      </c>
      <c r="F147" s="37" t="s">
        <v>38</v>
      </c>
      <c r="G147" s="38">
        <v>3684.53</v>
      </c>
      <c r="H147" s="36">
        <v>442993027</v>
      </c>
      <c r="I147" s="39">
        <v>0</v>
      </c>
      <c r="J147" s="38">
        <v>0</v>
      </c>
      <c r="K147" s="38">
        <v>0</v>
      </c>
      <c r="L147" s="38">
        <v>0</v>
      </c>
      <c r="M147" s="38">
        <v>9953.4</v>
      </c>
      <c r="N147" s="46" t="s">
        <v>53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40">
        <v>45917.860381944447</v>
      </c>
      <c r="B148" s="41">
        <v>443776851</v>
      </c>
      <c r="C148" s="42" t="s">
        <v>36</v>
      </c>
      <c r="D148" s="42" t="s">
        <v>37</v>
      </c>
      <c r="E148" s="42" t="s">
        <v>46</v>
      </c>
      <c r="F148" s="42" t="s">
        <v>38</v>
      </c>
      <c r="G148" s="43">
        <v>3684.5</v>
      </c>
      <c r="H148" s="41">
        <v>442993028</v>
      </c>
      <c r="I148" s="44">
        <v>0</v>
      </c>
      <c r="J148" s="43">
        <v>0</v>
      </c>
      <c r="K148" s="43">
        <v>0</v>
      </c>
      <c r="L148" s="43">
        <v>0</v>
      </c>
      <c r="M148" s="43">
        <v>9953.4</v>
      </c>
      <c r="N148" s="45" t="s">
        <v>49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35">
        <v>45917.860381944447</v>
      </c>
      <c r="B149" s="36">
        <v>443776852</v>
      </c>
      <c r="C149" s="37" t="s">
        <v>36</v>
      </c>
      <c r="D149" s="37" t="s">
        <v>37</v>
      </c>
      <c r="E149" s="37" t="s">
        <v>46</v>
      </c>
      <c r="F149" s="37" t="s">
        <v>38</v>
      </c>
      <c r="G149" s="38">
        <v>3684.5</v>
      </c>
      <c r="H149" s="36">
        <v>442993029</v>
      </c>
      <c r="I149" s="39">
        <v>0</v>
      </c>
      <c r="J149" s="38">
        <v>0</v>
      </c>
      <c r="K149" s="38">
        <v>0</v>
      </c>
      <c r="L149" s="38">
        <v>0</v>
      </c>
      <c r="M149" s="38">
        <v>9953.4</v>
      </c>
      <c r="N149" s="46" t="s">
        <v>48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40">
        <v>45917.862476851849</v>
      </c>
      <c r="B150" s="41">
        <v>443777898</v>
      </c>
      <c r="C150" s="42" t="s">
        <v>36</v>
      </c>
      <c r="D150" s="42" t="s">
        <v>37</v>
      </c>
      <c r="E150" s="42" t="s">
        <v>46</v>
      </c>
      <c r="F150" s="42" t="s">
        <v>38</v>
      </c>
      <c r="G150" s="43">
        <v>3684.04</v>
      </c>
      <c r="H150" s="41">
        <v>442994072</v>
      </c>
      <c r="I150" s="44">
        <v>0</v>
      </c>
      <c r="J150" s="43">
        <v>0</v>
      </c>
      <c r="K150" s="43">
        <v>0</v>
      </c>
      <c r="L150" s="43">
        <v>0</v>
      </c>
      <c r="M150" s="43">
        <v>9953.4</v>
      </c>
      <c r="N150" s="45" t="s">
        <v>123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35">
        <v>45917.866342592592</v>
      </c>
      <c r="B151" s="36">
        <v>443779544</v>
      </c>
      <c r="C151" s="37" t="s">
        <v>36</v>
      </c>
      <c r="D151" s="37" t="s">
        <v>39</v>
      </c>
      <c r="E151" s="37" t="s">
        <v>47</v>
      </c>
      <c r="F151" s="37" t="s">
        <v>38</v>
      </c>
      <c r="G151" s="38">
        <v>3686</v>
      </c>
      <c r="H151" s="36">
        <v>442995692</v>
      </c>
      <c r="I151" s="39">
        <v>0</v>
      </c>
      <c r="J151" s="38">
        <v>0</v>
      </c>
      <c r="K151" s="38">
        <v>0</v>
      </c>
      <c r="L151" s="38">
        <v>1.47</v>
      </c>
      <c r="M151" s="38">
        <v>9954.8700000000008</v>
      </c>
      <c r="N151" s="46" t="s">
        <v>222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40">
        <v>45917.869293981479</v>
      </c>
      <c r="B152" s="41">
        <v>443781060</v>
      </c>
      <c r="C152" s="42" t="s">
        <v>36</v>
      </c>
      <c r="D152" s="42" t="s">
        <v>37</v>
      </c>
      <c r="E152" s="42" t="s">
        <v>46</v>
      </c>
      <c r="F152" s="42" t="s">
        <v>38</v>
      </c>
      <c r="G152" s="43">
        <v>3685.99</v>
      </c>
      <c r="H152" s="41">
        <v>442997210</v>
      </c>
      <c r="I152" s="44">
        <v>0</v>
      </c>
      <c r="J152" s="43">
        <v>0</v>
      </c>
      <c r="K152" s="43">
        <v>0</v>
      </c>
      <c r="L152" s="43">
        <v>0</v>
      </c>
      <c r="M152" s="43">
        <v>9954.8700000000008</v>
      </c>
      <c r="N152" s="45" t="s">
        <v>150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35">
        <v>45917.872002314813</v>
      </c>
      <c r="B153" s="36">
        <v>443783104</v>
      </c>
      <c r="C153" s="37" t="s">
        <v>36</v>
      </c>
      <c r="D153" s="37" t="s">
        <v>39</v>
      </c>
      <c r="E153" s="37" t="s">
        <v>47</v>
      </c>
      <c r="F153" s="37" t="s">
        <v>38</v>
      </c>
      <c r="G153" s="38">
        <v>3687.53</v>
      </c>
      <c r="H153" s="36">
        <v>442999267</v>
      </c>
      <c r="I153" s="39">
        <v>0</v>
      </c>
      <c r="J153" s="38">
        <v>0</v>
      </c>
      <c r="K153" s="38">
        <v>0</v>
      </c>
      <c r="L153" s="38">
        <v>3.03</v>
      </c>
      <c r="M153" s="38">
        <v>9957.9</v>
      </c>
      <c r="N153" s="46" t="s">
        <v>223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40">
        <v>45917.872002314813</v>
      </c>
      <c r="B154" s="41">
        <v>443783105</v>
      </c>
      <c r="C154" s="42" t="s">
        <v>36</v>
      </c>
      <c r="D154" s="42" t="s">
        <v>39</v>
      </c>
      <c r="E154" s="42" t="s">
        <v>47</v>
      </c>
      <c r="F154" s="42" t="s">
        <v>38</v>
      </c>
      <c r="G154" s="43">
        <v>3687.53</v>
      </c>
      <c r="H154" s="41">
        <v>442999268</v>
      </c>
      <c r="I154" s="44">
        <v>0</v>
      </c>
      <c r="J154" s="43">
        <v>0</v>
      </c>
      <c r="K154" s="43">
        <v>0</v>
      </c>
      <c r="L154" s="43">
        <v>3.03</v>
      </c>
      <c r="M154" s="43">
        <v>9960.93</v>
      </c>
      <c r="N154" s="45" t="s">
        <v>223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35">
        <v>45917.872002314813</v>
      </c>
      <c r="B155" s="36">
        <v>443783107</v>
      </c>
      <c r="C155" s="37" t="s">
        <v>36</v>
      </c>
      <c r="D155" s="37" t="s">
        <v>39</v>
      </c>
      <c r="E155" s="37" t="s">
        <v>47</v>
      </c>
      <c r="F155" s="37" t="s">
        <v>38</v>
      </c>
      <c r="G155" s="38">
        <v>3687.53</v>
      </c>
      <c r="H155" s="36">
        <v>442999269</v>
      </c>
      <c r="I155" s="39">
        <v>0</v>
      </c>
      <c r="J155" s="38">
        <v>0</v>
      </c>
      <c r="K155" s="38">
        <v>0</v>
      </c>
      <c r="L155" s="38">
        <v>1.54</v>
      </c>
      <c r="M155" s="38">
        <v>9962.4699999999993</v>
      </c>
      <c r="N155" s="46" t="s">
        <v>224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40">
        <v>45917.873229166667</v>
      </c>
      <c r="B156" s="41">
        <v>443784091</v>
      </c>
      <c r="C156" s="42" t="s">
        <v>36</v>
      </c>
      <c r="D156" s="42" t="s">
        <v>37</v>
      </c>
      <c r="E156" s="42" t="s">
        <v>46</v>
      </c>
      <c r="F156" s="42" t="s">
        <v>38</v>
      </c>
      <c r="G156" s="43">
        <v>3686.75</v>
      </c>
      <c r="H156" s="41">
        <v>443000266</v>
      </c>
      <c r="I156" s="44">
        <v>0</v>
      </c>
      <c r="J156" s="43">
        <v>0</v>
      </c>
      <c r="K156" s="43">
        <v>0</v>
      </c>
      <c r="L156" s="43">
        <v>0</v>
      </c>
      <c r="M156" s="43">
        <v>9962.4699999999993</v>
      </c>
      <c r="N156" s="45" t="s">
        <v>48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35">
        <v>45917.873229166667</v>
      </c>
      <c r="B157" s="36">
        <v>443784092</v>
      </c>
      <c r="C157" s="37" t="s">
        <v>36</v>
      </c>
      <c r="D157" s="37" t="s">
        <v>37</v>
      </c>
      <c r="E157" s="37" t="s">
        <v>46</v>
      </c>
      <c r="F157" s="37" t="s">
        <v>38</v>
      </c>
      <c r="G157" s="38">
        <v>3686.73</v>
      </c>
      <c r="H157" s="36">
        <v>443000267</v>
      </c>
      <c r="I157" s="39">
        <v>0</v>
      </c>
      <c r="J157" s="38">
        <v>0</v>
      </c>
      <c r="K157" s="38">
        <v>0</v>
      </c>
      <c r="L157" s="38">
        <v>0</v>
      </c>
      <c r="M157" s="38">
        <v>9962.4699999999993</v>
      </c>
      <c r="N157" s="46" t="s">
        <v>49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40">
        <v>45917.873229166667</v>
      </c>
      <c r="B158" s="41">
        <v>443784093</v>
      </c>
      <c r="C158" s="42" t="s">
        <v>36</v>
      </c>
      <c r="D158" s="42" t="s">
        <v>37</v>
      </c>
      <c r="E158" s="42" t="s">
        <v>46</v>
      </c>
      <c r="F158" s="42" t="s">
        <v>38</v>
      </c>
      <c r="G158" s="43">
        <v>3686.72</v>
      </c>
      <c r="H158" s="41">
        <v>443000269</v>
      </c>
      <c r="I158" s="44">
        <v>0</v>
      </c>
      <c r="J158" s="43">
        <v>0</v>
      </c>
      <c r="K158" s="43">
        <v>0</v>
      </c>
      <c r="L158" s="43">
        <v>0</v>
      </c>
      <c r="M158" s="43">
        <v>9962.4699999999993</v>
      </c>
      <c r="N158" s="45" t="s">
        <v>150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35">
        <v>45917.873229166667</v>
      </c>
      <c r="B159" s="36">
        <v>443784095</v>
      </c>
      <c r="C159" s="37" t="s">
        <v>36</v>
      </c>
      <c r="D159" s="37" t="s">
        <v>39</v>
      </c>
      <c r="E159" s="37" t="s">
        <v>47</v>
      </c>
      <c r="F159" s="37" t="s">
        <v>38</v>
      </c>
      <c r="G159" s="38">
        <v>3686.44</v>
      </c>
      <c r="H159" s="36">
        <v>443000271</v>
      </c>
      <c r="I159" s="39">
        <v>0</v>
      </c>
      <c r="J159" s="38">
        <v>0</v>
      </c>
      <c r="K159" s="38">
        <v>0</v>
      </c>
      <c r="L159" s="38">
        <v>1.91</v>
      </c>
      <c r="M159" s="38">
        <v>9964.3799999999992</v>
      </c>
      <c r="N159" s="46" t="s">
        <v>225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40">
        <v>45917.873692129629</v>
      </c>
      <c r="B160" s="41">
        <v>443784639</v>
      </c>
      <c r="C160" s="42" t="s">
        <v>36</v>
      </c>
      <c r="D160" s="42" t="s">
        <v>37</v>
      </c>
      <c r="E160" s="42" t="s">
        <v>46</v>
      </c>
      <c r="F160" s="42" t="s">
        <v>38</v>
      </c>
      <c r="G160" s="43">
        <v>3686.88</v>
      </c>
      <c r="H160" s="41">
        <v>443000809</v>
      </c>
      <c r="I160" s="44">
        <v>0</v>
      </c>
      <c r="J160" s="43">
        <v>0</v>
      </c>
      <c r="K160" s="43">
        <v>0</v>
      </c>
      <c r="L160" s="43">
        <v>0</v>
      </c>
      <c r="M160" s="43">
        <v>9964.3799999999992</v>
      </c>
      <c r="N160" s="45" t="s">
        <v>53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35">
        <v>45917.875011574077</v>
      </c>
      <c r="B161" s="36">
        <v>443787171</v>
      </c>
      <c r="C161" s="37" t="s">
        <v>36</v>
      </c>
      <c r="D161" s="37" t="s">
        <v>39</v>
      </c>
      <c r="E161" s="37" t="s">
        <v>47</v>
      </c>
      <c r="F161" s="37" t="s">
        <v>38</v>
      </c>
      <c r="G161" s="38">
        <v>3692.93</v>
      </c>
      <c r="H161" s="36">
        <v>443003315</v>
      </c>
      <c r="I161" s="39">
        <v>0</v>
      </c>
      <c r="J161" s="38">
        <v>0</v>
      </c>
      <c r="K161" s="38">
        <v>0</v>
      </c>
      <c r="L161" s="38">
        <v>8.98</v>
      </c>
      <c r="M161" s="38">
        <v>9973.36</v>
      </c>
      <c r="N161" s="46" t="s">
        <v>226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40">
        <v>45917.875011574077</v>
      </c>
      <c r="B162" s="41">
        <v>443787180</v>
      </c>
      <c r="C162" s="42" t="s">
        <v>36</v>
      </c>
      <c r="D162" s="42" t="s">
        <v>39</v>
      </c>
      <c r="E162" s="42" t="s">
        <v>47</v>
      </c>
      <c r="F162" s="42" t="s">
        <v>38</v>
      </c>
      <c r="G162" s="43">
        <v>3692.93</v>
      </c>
      <c r="H162" s="41">
        <v>443003316</v>
      </c>
      <c r="I162" s="44">
        <v>0</v>
      </c>
      <c r="J162" s="43">
        <v>0</v>
      </c>
      <c r="K162" s="43">
        <v>0</v>
      </c>
      <c r="L162" s="43">
        <v>8.89</v>
      </c>
      <c r="M162" s="43">
        <v>9982.25</v>
      </c>
      <c r="N162" s="45" t="s">
        <v>227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35">
        <v>45917.875011574077</v>
      </c>
      <c r="B163" s="36">
        <v>443787186</v>
      </c>
      <c r="C163" s="37" t="s">
        <v>36</v>
      </c>
      <c r="D163" s="37" t="s">
        <v>39</v>
      </c>
      <c r="E163" s="37" t="s">
        <v>47</v>
      </c>
      <c r="F163" s="37" t="s">
        <v>38</v>
      </c>
      <c r="G163" s="38">
        <v>3692.93</v>
      </c>
      <c r="H163" s="36">
        <v>443003318</v>
      </c>
      <c r="I163" s="39">
        <v>0</v>
      </c>
      <c r="J163" s="38">
        <v>0</v>
      </c>
      <c r="K163" s="38">
        <v>0</v>
      </c>
      <c r="L163" s="38">
        <v>6.18</v>
      </c>
      <c r="M163" s="38">
        <v>9988.43</v>
      </c>
      <c r="N163" s="46" t="s">
        <v>228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40">
        <v>45917.875011574077</v>
      </c>
      <c r="B164" s="41">
        <v>443787194</v>
      </c>
      <c r="C164" s="42" t="s">
        <v>36</v>
      </c>
      <c r="D164" s="42" t="s">
        <v>39</v>
      </c>
      <c r="E164" s="42" t="s">
        <v>47</v>
      </c>
      <c r="F164" s="42" t="s">
        <v>38</v>
      </c>
      <c r="G164" s="43">
        <v>3692.93</v>
      </c>
      <c r="H164" s="41">
        <v>443003319</v>
      </c>
      <c r="I164" s="44">
        <v>0</v>
      </c>
      <c r="J164" s="43">
        <v>0</v>
      </c>
      <c r="K164" s="43">
        <v>0</v>
      </c>
      <c r="L164" s="43">
        <v>6.2</v>
      </c>
      <c r="M164" s="43">
        <v>9994.6299999999992</v>
      </c>
      <c r="N164" s="45" t="s">
        <v>228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35">
        <v>45917.875011574077</v>
      </c>
      <c r="B165" s="36">
        <v>443787202</v>
      </c>
      <c r="C165" s="37" t="s">
        <v>36</v>
      </c>
      <c r="D165" s="37" t="s">
        <v>39</v>
      </c>
      <c r="E165" s="37" t="s">
        <v>47</v>
      </c>
      <c r="F165" s="37" t="s">
        <v>38</v>
      </c>
      <c r="G165" s="38">
        <v>3692.93</v>
      </c>
      <c r="H165" s="36">
        <v>443003320</v>
      </c>
      <c r="I165" s="39">
        <v>0</v>
      </c>
      <c r="J165" s="38">
        <v>0</v>
      </c>
      <c r="K165" s="38">
        <v>0</v>
      </c>
      <c r="L165" s="38">
        <v>6.21</v>
      </c>
      <c r="M165" s="38">
        <v>10000.84</v>
      </c>
      <c r="N165" s="46" t="s">
        <v>229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40">
        <v>45917.875011574077</v>
      </c>
      <c r="B166" s="41">
        <v>443787209</v>
      </c>
      <c r="C166" s="42" t="s">
        <v>36</v>
      </c>
      <c r="D166" s="42" t="s">
        <v>39</v>
      </c>
      <c r="E166" s="42" t="s">
        <v>47</v>
      </c>
      <c r="F166" s="42" t="s">
        <v>38</v>
      </c>
      <c r="G166" s="43">
        <v>3692.93</v>
      </c>
      <c r="H166" s="41">
        <v>443003321</v>
      </c>
      <c r="I166" s="44">
        <v>0</v>
      </c>
      <c r="J166" s="43">
        <v>0</v>
      </c>
      <c r="K166" s="43">
        <v>0</v>
      </c>
      <c r="L166" s="43">
        <v>6.05</v>
      </c>
      <c r="M166" s="43">
        <v>10006.89</v>
      </c>
      <c r="N166" s="45" t="s">
        <v>230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35">
        <v>45917.875636574077</v>
      </c>
      <c r="B167" s="36">
        <v>443794961</v>
      </c>
      <c r="C167" s="37" t="s">
        <v>36</v>
      </c>
      <c r="D167" s="37" t="s">
        <v>39</v>
      </c>
      <c r="E167" s="37" t="s">
        <v>47</v>
      </c>
      <c r="F167" s="37" t="s">
        <v>38</v>
      </c>
      <c r="G167" s="38">
        <v>3688.12</v>
      </c>
      <c r="H167" s="36">
        <v>443010801</v>
      </c>
      <c r="I167" s="39">
        <v>0</v>
      </c>
      <c r="J167" s="38">
        <v>0</v>
      </c>
      <c r="K167" s="38">
        <v>0</v>
      </c>
      <c r="L167" s="38">
        <v>4.17</v>
      </c>
      <c r="M167" s="38">
        <v>10011.06</v>
      </c>
      <c r="N167" s="46" t="s">
        <v>231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40">
        <v>45917.883414351854</v>
      </c>
      <c r="B168" s="41">
        <v>443822563</v>
      </c>
      <c r="C168" s="42" t="s">
        <v>36</v>
      </c>
      <c r="D168" s="42" t="s">
        <v>37</v>
      </c>
      <c r="E168" s="42" t="s">
        <v>46</v>
      </c>
      <c r="F168" s="42" t="s">
        <v>38</v>
      </c>
      <c r="G168" s="43">
        <v>3699.07</v>
      </c>
      <c r="H168" s="41">
        <v>443037794</v>
      </c>
      <c r="I168" s="44">
        <v>0</v>
      </c>
      <c r="J168" s="43">
        <v>0</v>
      </c>
      <c r="K168" s="43">
        <v>0</v>
      </c>
      <c r="L168" s="43">
        <v>0</v>
      </c>
      <c r="M168" s="43">
        <v>10011.06</v>
      </c>
      <c r="N168" s="45" t="s">
        <v>150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35">
        <v>45917.883414351854</v>
      </c>
      <c r="B169" s="36">
        <v>443822575</v>
      </c>
      <c r="C169" s="37" t="s">
        <v>36</v>
      </c>
      <c r="D169" s="37" t="s">
        <v>37</v>
      </c>
      <c r="E169" s="37" t="s">
        <v>46</v>
      </c>
      <c r="F169" s="37" t="s">
        <v>38</v>
      </c>
      <c r="G169" s="38">
        <v>3698.97</v>
      </c>
      <c r="H169" s="36">
        <v>443037805</v>
      </c>
      <c r="I169" s="39">
        <v>0</v>
      </c>
      <c r="J169" s="38">
        <v>0</v>
      </c>
      <c r="K169" s="38">
        <v>0</v>
      </c>
      <c r="L169" s="38">
        <v>0</v>
      </c>
      <c r="M169" s="38">
        <v>10011.06</v>
      </c>
      <c r="N169" s="46" t="s">
        <v>48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40">
        <v>45917.883414351854</v>
      </c>
      <c r="B170" s="41">
        <v>443822652</v>
      </c>
      <c r="C170" s="42" t="s">
        <v>36</v>
      </c>
      <c r="D170" s="42" t="s">
        <v>37</v>
      </c>
      <c r="E170" s="42" t="s">
        <v>46</v>
      </c>
      <c r="F170" s="42" t="s">
        <v>38</v>
      </c>
      <c r="G170" s="43">
        <v>3698.99</v>
      </c>
      <c r="H170" s="41">
        <v>443037880</v>
      </c>
      <c r="I170" s="44">
        <v>0</v>
      </c>
      <c r="J170" s="43">
        <v>0</v>
      </c>
      <c r="K170" s="43">
        <v>0</v>
      </c>
      <c r="L170" s="43">
        <v>0</v>
      </c>
      <c r="M170" s="43">
        <v>10011.06</v>
      </c>
      <c r="N170" s="45" t="s">
        <v>53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35">
        <v>45917.883414351854</v>
      </c>
      <c r="B171" s="36">
        <v>443822656</v>
      </c>
      <c r="C171" s="37" t="s">
        <v>36</v>
      </c>
      <c r="D171" s="37" t="s">
        <v>37</v>
      </c>
      <c r="E171" s="37" t="s">
        <v>46</v>
      </c>
      <c r="F171" s="37" t="s">
        <v>38</v>
      </c>
      <c r="G171" s="38">
        <v>3698.97</v>
      </c>
      <c r="H171" s="36">
        <v>443037883</v>
      </c>
      <c r="I171" s="39">
        <v>0</v>
      </c>
      <c r="J171" s="38">
        <v>0</v>
      </c>
      <c r="K171" s="38">
        <v>0</v>
      </c>
      <c r="L171" s="38">
        <v>0</v>
      </c>
      <c r="M171" s="38">
        <v>10011.06</v>
      </c>
      <c r="N171" s="46" t="s">
        <v>49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40">
        <v>45917.88386574074</v>
      </c>
      <c r="B172" s="41">
        <v>443824192</v>
      </c>
      <c r="C172" s="42" t="s">
        <v>36</v>
      </c>
      <c r="D172" s="42" t="s">
        <v>39</v>
      </c>
      <c r="E172" s="42" t="s">
        <v>47</v>
      </c>
      <c r="F172" s="42" t="s">
        <v>38</v>
      </c>
      <c r="G172" s="43">
        <v>3696.57</v>
      </c>
      <c r="H172" s="41">
        <v>443039274</v>
      </c>
      <c r="I172" s="44">
        <v>0</v>
      </c>
      <c r="J172" s="43">
        <v>0</v>
      </c>
      <c r="K172" s="43">
        <v>0</v>
      </c>
      <c r="L172" s="43">
        <v>-2.4</v>
      </c>
      <c r="M172" s="43">
        <v>10008.66</v>
      </c>
      <c r="N172" s="45" t="s">
        <v>232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35">
        <v>45917.883935185186</v>
      </c>
      <c r="B173" s="36">
        <v>443824347</v>
      </c>
      <c r="C173" s="37" t="s">
        <v>36</v>
      </c>
      <c r="D173" s="37" t="s">
        <v>39</v>
      </c>
      <c r="E173" s="37" t="s">
        <v>47</v>
      </c>
      <c r="F173" s="37" t="s">
        <v>38</v>
      </c>
      <c r="G173" s="38">
        <v>3696.02</v>
      </c>
      <c r="H173" s="36">
        <v>443039428</v>
      </c>
      <c r="I173" s="39">
        <v>0</v>
      </c>
      <c r="J173" s="38">
        <v>0</v>
      </c>
      <c r="K173" s="38">
        <v>0</v>
      </c>
      <c r="L173" s="38">
        <v>-3.05</v>
      </c>
      <c r="M173" s="38">
        <v>10005.61</v>
      </c>
      <c r="N173" s="46" t="s">
        <v>233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40">
        <v>45917.883935185186</v>
      </c>
      <c r="B174" s="41">
        <v>443824348</v>
      </c>
      <c r="C174" s="42" t="s">
        <v>36</v>
      </c>
      <c r="D174" s="42" t="s">
        <v>39</v>
      </c>
      <c r="E174" s="42" t="s">
        <v>47</v>
      </c>
      <c r="F174" s="42" t="s">
        <v>38</v>
      </c>
      <c r="G174" s="43">
        <v>3696.02</v>
      </c>
      <c r="H174" s="41">
        <v>443039429</v>
      </c>
      <c r="I174" s="44">
        <v>0</v>
      </c>
      <c r="J174" s="43">
        <v>0</v>
      </c>
      <c r="K174" s="43">
        <v>0</v>
      </c>
      <c r="L174" s="43">
        <v>-2.95</v>
      </c>
      <c r="M174" s="43">
        <v>10002.66</v>
      </c>
      <c r="N174" s="45" t="s">
        <v>234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35">
        <v>45917.883935185186</v>
      </c>
      <c r="B175" s="36">
        <v>443824349</v>
      </c>
      <c r="C175" s="37" t="s">
        <v>36</v>
      </c>
      <c r="D175" s="37" t="s">
        <v>39</v>
      </c>
      <c r="E175" s="37" t="s">
        <v>47</v>
      </c>
      <c r="F175" s="37" t="s">
        <v>38</v>
      </c>
      <c r="G175" s="38">
        <v>3696.02</v>
      </c>
      <c r="H175" s="36">
        <v>443039430</v>
      </c>
      <c r="I175" s="39">
        <v>0</v>
      </c>
      <c r="J175" s="38">
        <v>0</v>
      </c>
      <c r="K175" s="38">
        <v>0</v>
      </c>
      <c r="L175" s="38">
        <v>-2.97</v>
      </c>
      <c r="M175" s="38">
        <v>9999.69</v>
      </c>
      <c r="N175" s="46" t="s">
        <v>234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40">
        <v>45917.892326388886</v>
      </c>
      <c r="B176" s="41">
        <v>443840885</v>
      </c>
      <c r="C176" s="42" t="s">
        <v>36</v>
      </c>
      <c r="D176" s="42" t="s">
        <v>39</v>
      </c>
      <c r="E176" s="42" t="s">
        <v>46</v>
      </c>
      <c r="F176" s="42" t="s">
        <v>38</v>
      </c>
      <c r="G176" s="43">
        <v>3685.93</v>
      </c>
      <c r="H176" s="41">
        <v>443055815</v>
      </c>
      <c r="I176" s="44">
        <v>0</v>
      </c>
      <c r="J176" s="43">
        <v>0</v>
      </c>
      <c r="K176" s="43">
        <v>0</v>
      </c>
      <c r="L176" s="43">
        <v>0</v>
      </c>
      <c r="M176" s="43">
        <v>9999.69</v>
      </c>
      <c r="N176" s="45" t="s">
        <v>150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35">
        <v>45917.892326388886</v>
      </c>
      <c r="B177" s="36">
        <v>443840888</v>
      </c>
      <c r="C177" s="37" t="s">
        <v>36</v>
      </c>
      <c r="D177" s="37" t="s">
        <v>39</v>
      </c>
      <c r="E177" s="37" t="s">
        <v>46</v>
      </c>
      <c r="F177" s="37" t="s">
        <v>38</v>
      </c>
      <c r="G177" s="38">
        <v>3685.96</v>
      </c>
      <c r="H177" s="36">
        <v>443055818</v>
      </c>
      <c r="I177" s="39">
        <v>0</v>
      </c>
      <c r="J177" s="38">
        <v>0</v>
      </c>
      <c r="K177" s="38">
        <v>0</v>
      </c>
      <c r="L177" s="38">
        <v>0</v>
      </c>
      <c r="M177" s="38">
        <v>9999.69</v>
      </c>
      <c r="N177" s="46" t="s">
        <v>53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40">
        <v>45917.892326388886</v>
      </c>
      <c r="B178" s="41">
        <v>443840891</v>
      </c>
      <c r="C178" s="42" t="s">
        <v>36</v>
      </c>
      <c r="D178" s="42" t="s">
        <v>39</v>
      </c>
      <c r="E178" s="42" t="s">
        <v>46</v>
      </c>
      <c r="F178" s="42" t="s">
        <v>38</v>
      </c>
      <c r="G178" s="43">
        <v>3685.83</v>
      </c>
      <c r="H178" s="41">
        <v>443055821</v>
      </c>
      <c r="I178" s="44">
        <v>0</v>
      </c>
      <c r="J178" s="43">
        <v>0</v>
      </c>
      <c r="K178" s="43">
        <v>0</v>
      </c>
      <c r="L178" s="43">
        <v>0</v>
      </c>
      <c r="M178" s="43">
        <v>9999.69</v>
      </c>
      <c r="N178" s="45" t="s">
        <v>48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35">
        <v>45917.892326388886</v>
      </c>
      <c r="B179" s="36">
        <v>443840895</v>
      </c>
      <c r="C179" s="37" t="s">
        <v>36</v>
      </c>
      <c r="D179" s="37" t="s">
        <v>39</v>
      </c>
      <c r="E179" s="37" t="s">
        <v>46</v>
      </c>
      <c r="F179" s="37" t="s">
        <v>38</v>
      </c>
      <c r="G179" s="38">
        <v>3685.57</v>
      </c>
      <c r="H179" s="36">
        <v>443055825</v>
      </c>
      <c r="I179" s="39">
        <v>0</v>
      </c>
      <c r="J179" s="38">
        <v>0</v>
      </c>
      <c r="K179" s="38">
        <v>0</v>
      </c>
      <c r="L179" s="38">
        <v>0</v>
      </c>
      <c r="M179" s="38">
        <v>9999.69</v>
      </c>
      <c r="N179" s="46" t="s">
        <v>49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40">
        <v>45917.892418981479</v>
      </c>
      <c r="B180" s="41">
        <v>443840989</v>
      </c>
      <c r="C180" s="42" t="s">
        <v>36</v>
      </c>
      <c r="D180" s="42" t="s">
        <v>37</v>
      </c>
      <c r="E180" s="42" t="s">
        <v>47</v>
      </c>
      <c r="F180" s="42" t="s">
        <v>38</v>
      </c>
      <c r="G180" s="43">
        <v>3684.37</v>
      </c>
      <c r="H180" s="41">
        <v>443055918</v>
      </c>
      <c r="I180" s="44">
        <v>0</v>
      </c>
      <c r="J180" s="43">
        <v>0</v>
      </c>
      <c r="K180" s="43">
        <v>0</v>
      </c>
      <c r="L180" s="43">
        <v>1.56</v>
      </c>
      <c r="M180" s="43">
        <v>10001.25</v>
      </c>
      <c r="N180" s="45" t="s">
        <v>235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35">
        <v>45917.892627314817</v>
      </c>
      <c r="B181" s="36">
        <v>443841101</v>
      </c>
      <c r="C181" s="37" t="s">
        <v>36</v>
      </c>
      <c r="D181" s="37" t="s">
        <v>37</v>
      </c>
      <c r="E181" s="37" t="s">
        <v>47</v>
      </c>
      <c r="F181" s="37" t="s">
        <v>38</v>
      </c>
      <c r="G181" s="38">
        <v>3685.68</v>
      </c>
      <c r="H181" s="36">
        <v>443056028</v>
      </c>
      <c r="I181" s="39">
        <v>0</v>
      </c>
      <c r="J181" s="38">
        <v>0</v>
      </c>
      <c r="K181" s="38">
        <v>0</v>
      </c>
      <c r="L181" s="38">
        <v>0.28000000000000003</v>
      </c>
      <c r="M181" s="38">
        <v>10001.530000000001</v>
      </c>
      <c r="N181" s="46" t="s">
        <v>236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40">
        <v>45917.892627314817</v>
      </c>
      <c r="B182" s="41">
        <v>443841102</v>
      </c>
      <c r="C182" s="42" t="s">
        <v>36</v>
      </c>
      <c r="D182" s="42" t="s">
        <v>37</v>
      </c>
      <c r="E182" s="42" t="s">
        <v>47</v>
      </c>
      <c r="F182" s="42" t="s">
        <v>38</v>
      </c>
      <c r="G182" s="43">
        <v>3685.68</v>
      </c>
      <c r="H182" s="41">
        <v>443056029</v>
      </c>
      <c r="I182" s="44">
        <v>0</v>
      </c>
      <c r="J182" s="43">
        <v>0</v>
      </c>
      <c r="K182" s="43">
        <v>0</v>
      </c>
      <c r="L182" s="43">
        <v>0.15</v>
      </c>
      <c r="M182" s="43">
        <v>10001.68</v>
      </c>
      <c r="N182" s="45" t="s">
        <v>236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35">
        <v>45917.892627314817</v>
      </c>
      <c r="B183" s="36">
        <v>443841103</v>
      </c>
      <c r="C183" s="37" t="s">
        <v>36</v>
      </c>
      <c r="D183" s="37" t="s">
        <v>37</v>
      </c>
      <c r="E183" s="37" t="s">
        <v>47</v>
      </c>
      <c r="F183" s="37" t="s">
        <v>38</v>
      </c>
      <c r="G183" s="38">
        <v>3685.68</v>
      </c>
      <c r="H183" s="36">
        <v>443056030</v>
      </c>
      <c r="I183" s="39">
        <v>0</v>
      </c>
      <c r="J183" s="38">
        <v>0</v>
      </c>
      <c r="K183" s="38">
        <v>0</v>
      </c>
      <c r="L183" s="38">
        <v>-0.11</v>
      </c>
      <c r="M183" s="38">
        <v>10001.57</v>
      </c>
      <c r="N183" s="46" t="s">
        <v>237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40">
        <v>45917.89267361111</v>
      </c>
      <c r="B184" s="41">
        <v>443841128</v>
      </c>
      <c r="C184" s="42" t="s">
        <v>36</v>
      </c>
      <c r="D184" s="42" t="s">
        <v>39</v>
      </c>
      <c r="E184" s="42" t="s">
        <v>46</v>
      </c>
      <c r="F184" s="42" t="s">
        <v>38</v>
      </c>
      <c r="G184" s="43">
        <v>3685.91</v>
      </c>
      <c r="H184" s="41">
        <v>443056055</v>
      </c>
      <c r="I184" s="44">
        <v>0</v>
      </c>
      <c r="J184" s="43">
        <v>0</v>
      </c>
      <c r="K184" s="43">
        <v>0</v>
      </c>
      <c r="L184" s="43">
        <v>0</v>
      </c>
      <c r="M184" s="43">
        <v>10001.57</v>
      </c>
      <c r="N184" s="45" t="s">
        <v>150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35">
        <v>45917.89267361111</v>
      </c>
      <c r="B185" s="36">
        <v>443841130</v>
      </c>
      <c r="C185" s="37" t="s">
        <v>36</v>
      </c>
      <c r="D185" s="37" t="s">
        <v>39</v>
      </c>
      <c r="E185" s="37" t="s">
        <v>46</v>
      </c>
      <c r="F185" s="37" t="s">
        <v>38</v>
      </c>
      <c r="G185" s="38">
        <v>3685.71</v>
      </c>
      <c r="H185" s="36">
        <v>443056057</v>
      </c>
      <c r="I185" s="39">
        <v>0</v>
      </c>
      <c r="J185" s="38">
        <v>0</v>
      </c>
      <c r="K185" s="38">
        <v>0</v>
      </c>
      <c r="L185" s="38">
        <v>0</v>
      </c>
      <c r="M185" s="38">
        <v>10001.57</v>
      </c>
      <c r="N185" s="46" t="s">
        <v>48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40">
        <v>45917.89267361111</v>
      </c>
      <c r="B186" s="41">
        <v>443841131</v>
      </c>
      <c r="C186" s="42" t="s">
        <v>36</v>
      </c>
      <c r="D186" s="42" t="s">
        <v>39</v>
      </c>
      <c r="E186" s="42" t="s">
        <v>46</v>
      </c>
      <c r="F186" s="42" t="s">
        <v>38</v>
      </c>
      <c r="G186" s="43">
        <v>3685.74</v>
      </c>
      <c r="H186" s="41">
        <v>443056058</v>
      </c>
      <c r="I186" s="44">
        <v>0</v>
      </c>
      <c r="J186" s="43">
        <v>0</v>
      </c>
      <c r="K186" s="43">
        <v>0</v>
      </c>
      <c r="L186" s="43">
        <v>0</v>
      </c>
      <c r="M186" s="43">
        <v>10001.57</v>
      </c>
      <c r="N186" s="45" t="s">
        <v>49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35">
        <v>45917.89267361111</v>
      </c>
      <c r="B187" s="36">
        <v>443841133</v>
      </c>
      <c r="C187" s="37" t="s">
        <v>36</v>
      </c>
      <c r="D187" s="37" t="s">
        <v>39</v>
      </c>
      <c r="E187" s="37" t="s">
        <v>46</v>
      </c>
      <c r="F187" s="37" t="s">
        <v>38</v>
      </c>
      <c r="G187" s="38">
        <v>3685.83</v>
      </c>
      <c r="H187" s="36">
        <v>443056060</v>
      </c>
      <c r="I187" s="39">
        <v>0</v>
      </c>
      <c r="J187" s="38">
        <v>0</v>
      </c>
      <c r="K187" s="38">
        <v>0</v>
      </c>
      <c r="L187" s="38">
        <v>0</v>
      </c>
      <c r="M187" s="38">
        <v>10001.57</v>
      </c>
      <c r="N187" s="46" t="s">
        <v>53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40">
        <v>45917.892777777779</v>
      </c>
      <c r="B188" s="41">
        <v>443841176</v>
      </c>
      <c r="C188" s="42" t="s">
        <v>36</v>
      </c>
      <c r="D188" s="42" t="s">
        <v>37</v>
      </c>
      <c r="E188" s="42" t="s">
        <v>47</v>
      </c>
      <c r="F188" s="42" t="s">
        <v>38</v>
      </c>
      <c r="G188" s="43">
        <v>3684.5</v>
      </c>
      <c r="H188" s="41">
        <v>443056101</v>
      </c>
      <c r="I188" s="44">
        <v>0</v>
      </c>
      <c r="J188" s="43">
        <v>0</v>
      </c>
      <c r="K188" s="43">
        <v>0</v>
      </c>
      <c r="L188" s="43">
        <v>1.41</v>
      </c>
      <c r="M188" s="43">
        <v>10002.98</v>
      </c>
      <c r="N188" s="45" t="s">
        <v>238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35">
        <v>45917.894166666665</v>
      </c>
      <c r="B189" s="36">
        <v>443841888</v>
      </c>
      <c r="C189" s="37" t="s">
        <v>36</v>
      </c>
      <c r="D189" s="37" t="s">
        <v>37</v>
      </c>
      <c r="E189" s="37" t="s">
        <v>47</v>
      </c>
      <c r="F189" s="37" t="s">
        <v>38</v>
      </c>
      <c r="G189" s="38">
        <v>3682.81</v>
      </c>
      <c r="H189" s="36">
        <v>443056820</v>
      </c>
      <c r="I189" s="39">
        <v>0</v>
      </c>
      <c r="J189" s="38">
        <v>0</v>
      </c>
      <c r="K189" s="38">
        <v>0</v>
      </c>
      <c r="L189" s="38">
        <v>2.9</v>
      </c>
      <c r="M189" s="38">
        <v>10005.879999999999</v>
      </c>
      <c r="N189" s="46" t="s">
        <v>137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40">
        <v>45917.894166666665</v>
      </c>
      <c r="B190" s="41">
        <v>443841890</v>
      </c>
      <c r="C190" s="42" t="s">
        <v>36</v>
      </c>
      <c r="D190" s="42" t="s">
        <v>37</v>
      </c>
      <c r="E190" s="42" t="s">
        <v>47</v>
      </c>
      <c r="F190" s="42" t="s">
        <v>38</v>
      </c>
      <c r="G190" s="43">
        <v>3682.81</v>
      </c>
      <c r="H190" s="41">
        <v>443056821</v>
      </c>
      <c r="I190" s="44">
        <v>0</v>
      </c>
      <c r="J190" s="43">
        <v>0</v>
      </c>
      <c r="K190" s="43">
        <v>0</v>
      </c>
      <c r="L190" s="43">
        <v>2.93</v>
      </c>
      <c r="M190" s="43">
        <v>10008.81</v>
      </c>
      <c r="N190" s="45" t="s">
        <v>137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35">
        <v>45917.894201388888</v>
      </c>
      <c r="B191" s="36">
        <v>443841941</v>
      </c>
      <c r="C191" s="37" t="s">
        <v>36</v>
      </c>
      <c r="D191" s="37" t="s">
        <v>37</v>
      </c>
      <c r="E191" s="37" t="s">
        <v>47</v>
      </c>
      <c r="F191" s="37" t="s">
        <v>38</v>
      </c>
      <c r="G191" s="38">
        <v>3682.03</v>
      </c>
      <c r="H191" s="36">
        <v>443056873</v>
      </c>
      <c r="I191" s="39">
        <v>0</v>
      </c>
      <c r="J191" s="38">
        <v>0</v>
      </c>
      <c r="K191" s="38">
        <v>0</v>
      </c>
      <c r="L191" s="38">
        <v>3.8</v>
      </c>
      <c r="M191" s="38">
        <v>10012.61</v>
      </c>
      <c r="N191" s="46" t="s">
        <v>239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40">
        <v>45917.895451388889</v>
      </c>
      <c r="B192" s="41">
        <v>443843047</v>
      </c>
      <c r="C192" s="42" t="s">
        <v>36</v>
      </c>
      <c r="D192" s="42" t="s">
        <v>39</v>
      </c>
      <c r="E192" s="42" t="s">
        <v>46</v>
      </c>
      <c r="F192" s="42" t="s">
        <v>38</v>
      </c>
      <c r="G192" s="43">
        <v>3683.73</v>
      </c>
      <c r="H192" s="41">
        <v>443057989</v>
      </c>
      <c r="I192" s="44">
        <v>0</v>
      </c>
      <c r="J192" s="43">
        <v>0</v>
      </c>
      <c r="K192" s="43">
        <v>0</v>
      </c>
      <c r="L192" s="43">
        <v>0</v>
      </c>
      <c r="M192" s="43">
        <v>10012.61</v>
      </c>
      <c r="N192" s="45" t="s">
        <v>150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35">
        <v>45917.895451388889</v>
      </c>
      <c r="B193" s="36">
        <v>443843048</v>
      </c>
      <c r="C193" s="37" t="s">
        <v>36</v>
      </c>
      <c r="D193" s="37" t="s">
        <v>39</v>
      </c>
      <c r="E193" s="37" t="s">
        <v>46</v>
      </c>
      <c r="F193" s="37" t="s">
        <v>38</v>
      </c>
      <c r="G193" s="38">
        <v>3683.88</v>
      </c>
      <c r="H193" s="36">
        <v>443057990</v>
      </c>
      <c r="I193" s="39">
        <v>0</v>
      </c>
      <c r="J193" s="38">
        <v>0</v>
      </c>
      <c r="K193" s="38">
        <v>0</v>
      </c>
      <c r="L193" s="38">
        <v>0</v>
      </c>
      <c r="M193" s="38">
        <v>10012.61</v>
      </c>
      <c r="N193" s="46" t="s">
        <v>48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40">
        <v>45917.895451388889</v>
      </c>
      <c r="B194" s="41">
        <v>443843049</v>
      </c>
      <c r="C194" s="42" t="s">
        <v>36</v>
      </c>
      <c r="D194" s="42" t="s">
        <v>39</v>
      </c>
      <c r="E194" s="42" t="s">
        <v>46</v>
      </c>
      <c r="F194" s="42" t="s">
        <v>38</v>
      </c>
      <c r="G194" s="43">
        <v>3684.01</v>
      </c>
      <c r="H194" s="41">
        <v>443057991</v>
      </c>
      <c r="I194" s="44">
        <v>0</v>
      </c>
      <c r="J194" s="43">
        <v>0</v>
      </c>
      <c r="K194" s="43">
        <v>0</v>
      </c>
      <c r="L194" s="43">
        <v>0</v>
      </c>
      <c r="M194" s="43">
        <v>10012.61</v>
      </c>
      <c r="N194" s="45" t="s">
        <v>53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35">
        <v>45917.895451388889</v>
      </c>
      <c r="B195" s="36">
        <v>443843051</v>
      </c>
      <c r="C195" s="37" t="s">
        <v>36</v>
      </c>
      <c r="D195" s="37" t="s">
        <v>39</v>
      </c>
      <c r="E195" s="37" t="s">
        <v>46</v>
      </c>
      <c r="F195" s="37" t="s">
        <v>38</v>
      </c>
      <c r="G195" s="38">
        <v>3684.54</v>
      </c>
      <c r="H195" s="36">
        <v>443057993</v>
      </c>
      <c r="I195" s="39">
        <v>0</v>
      </c>
      <c r="J195" s="38">
        <v>0</v>
      </c>
      <c r="K195" s="38">
        <v>0</v>
      </c>
      <c r="L195" s="38">
        <v>0</v>
      </c>
      <c r="M195" s="38">
        <v>10012.61</v>
      </c>
      <c r="N195" s="46" t="s">
        <v>49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40">
        <v>45917.895868055559</v>
      </c>
      <c r="B196" s="41">
        <v>443843399</v>
      </c>
      <c r="C196" s="42" t="s">
        <v>36</v>
      </c>
      <c r="D196" s="42" t="s">
        <v>37</v>
      </c>
      <c r="E196" s="42" t="s">
        <v>47</v>
      </c>
      <c r="F196" s="42" t="s">
        <v>38</v>
      </c>
      <c r="G196" s="43">
        <v>3682.29</v>
      </c>
      <c r="H196" s="41">
        <v>443058341</v>
      </c>
      <c r="I196" s="44">
        <v>0</v>
      </c>
      <c r="J196" s="43">
        <v>0</v>
      </c>
      <c r="K196" s="43">
        <v>0</v>
      </c>
      <c r="L196" s="43">
        <v>1.44</v>
      </c>
      <c r="M196" s="43">
        <v>10014.049999999999</v>
      </c>
      <c r="N196" s="45" t="s">
        <v>240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35">
        <v>45917.895937499998</v>
      </c>
      <c r="B197" s="36">
        <v>443843444</v>
      </c>
      <c r="C197" s="37" t="s">
        <v>36</v>
      </c>
      <c r="D197" s="37" t="s">
        <v>37</v>
      </c>
      <c r="E197" s="37" t="s">
        <v>47</v>
      </c>
      <c r="F197" s="37" t="s">
        <v>38</v>
      </c>
      <c r="G197" s="38">
        <v>3683.88</v>
      </c>
      <c r="H197" s="36">
        <v>443058384</v>
      </c>
      <c r="I197" s="39">
        <v>0</v>
      </c>
      <c r="J197" s="38">
        <v>0</v>
      </c>
      <c r="K197" s="38">
        <v>0</v>
      </c>
      <c r="L197" s="38">
        <v>0.66</v>
      </c>
      <c r="M197" s="38">
        <v>10014.709999999999</v>
      </c>
      <c r="N197" s="46" t="s">
        <v>241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40">
        <v>45917.895937499998</v>
      </c>
      <c r="B198" s="41">
        <v>443843449</v>
      </c>
      <c r="C198" s="42" t="s">
        <v>36</v>
      </c>
      <c r="D198" s="42" t="s">
        <v>37</v>
      </c>
      <c r="E198" s="42" t="s">
        <v>47</v>
      </c>
      <c r="F198" s="42" t="s">
        <v>38</v>
      </c>
      <c r="G198" s="43">
        <v>3684.84</v>
      </c>
      <c r="H198" s="41">
        <v>443058387</v>
      </c>
      <c r="I198" s="44">
        <v>0</v>
      </c>
      <c r="J198" s="43">
        <v>0</v>
      </c>
      <c r="K198" s="43">
        <v>0</v>
      </c>
      <c r="L198" s="43">
        <v>-0.96</v>
      </c>
      <c r="M198" s="43">
        <v>10013.75</v>
      </c>
      <c r="N198" s="45" t="s">
        <v>242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35">
        <v>45917.895937499998</v>
      </c>
      <c r="B199" s="36">
        <v>443843451</v>
      </c>
      <c r="C199" s="37" t="s">
        <v>36</v>
      </c>
      <c r="D199" s="37" t="s">
        <v>37</v>
      </c>
      <c r="E199" s="37" t="s">
        <v>47</v>
      </c>
      <c r="F199" s="37" t="s">
        <v>38</v>
      </c>
      <c r="G199" s="38">
        <v>3684.84</v>
      </c>
      <c r="H199" s="36">
        <v>443058388</v>
      </c>
      <c r="I199" s="39">
        <v>0</v>
      </c>
      <c r="J199" s="38">
        <v>0</v>
      </c>
      <c r="K199" s="38">
        <v>0</v>
      </c>
      <c r="L199" s="38">
        <v>-0.83</v>
      </c>
      <c r="M199" s="38">
        <v>10012.92</v>
      </c>
      <c r="N199" s="46" t="s">
        <v>242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40">
        <v>45917.89603009259</v>
      </c>
      <c r="B200" s="41">
        <v>443843528</v>
      </c>
      <c r="C200" s="42" t="s">
        <v>36</v>
      </c>
      <c r="D200" s="42" t="s">
        <v>39</v>
      </c>
      <c r="E200" s="42" t="s">
        <v>46</v>
      </c>
      <c r="F200" s="42" t="s">
        <v>38</v>
      </c>
      <c r="G200" s="43">
        <v>3683.58</v>
      </c>
      <c r="H200" s="41">
        <v>443058463</v>
      </c>
      <c r="I200" s="44">
        <v>0</v>
      </c>
      <c r="J200" s="43">
        <v>0</v>
      </c>
      <c r="K200" s="43">
        <v>0</v>
      </c>
      <c r="L200" s="43">
        <v>0</v>
      </c>
      <c r="M200" s="43">
        <v>10012.92</v>
      </c>
      <c r="N200" s="45" t="s">
        <v>150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35">
        <v>45917.89603009259</v>
      </c>
      <c r="B201" s="36">
        <v>443843532</v>
      </c>
      <c r="C201" s="37" t="s">
        <v>36</v>
      </c>
      <c r="D201" s="37" t="s">
        <v>39</v>
      </c>
      <c r="E201" s="37" t="s">
        <v>46</v>
      </c>
      <c r="F201" s="37" t="s">
        <v>38</v>
      </c>
      <c r="G201" s="38">
        <v>3683.54</v>
      </c>
      <c r="H201" s="36">
        <v>443058467</v>
      </c>
      <c r="I201" s="39">
        <v>0</v>
      </c>
      <c r="J201" s="38">
        <v>0</v>
      </c>
      <c r="K201" s="38">
        <v>0</v>
      </c>
      <c r="L201" s="38">
        <v>0</v>
      </c>
      <c r="M201" s="38">
        <v>10012.92</v>
      </c>
      <c r="N201" s="46" t="s">
        <v>53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40">
        <v>45917.89603009259</v>
      </c>
      <c r="B202" s="41">
        <v>443843536</v>
      </c>
      <c r="C202" s="42" t="s">
        <v>36</v>
      </c>
      <c r="D202" s="42" t="s">
        <v>39</v>
      </c>
      <c r="E202" s="42" t="s">
        <v>46</v>
      </c>
      <c r="F202" s="42" t="s">
        <v>38</v>
      </c>
      <c r="G202" s="43">
        <v>3683.36</v>
      </c>
      <c r="H202" s="41">
        <v>443058471</v>
      </c>
      <c r="I202" s="44">
        <v>0</v>
      </c>
      <c r="J202" s="43">
        <v>0</v>
      </c>
      <c r="K202" s="43">
        <v>0</v>
      </c>
      <c r="L202" s="43">
        <v>0</v>
      </c>
      <c r="M202" s="43">
        <v>10012.92</v>
      </c>
      <c r="N202" s="45" t="s">
        <v>49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35">
        <v>45917.89603009259</v>
      </c>
      <c r="B203" s="36">
        <v>443843539</v>
      </c>
      <c r="C203" s="37" t="s">
        <v>36</v>
      </c>
      <c r="D203" s="37" t="s">
        <v>39</v>
      </c>
      <c r="E203" s="37" t="s">
        <v>46</v>
      </c>
      <c r="F203" s="37" t="s">
        <v>38</v>
      </c>
      <c r="G203" s="38">
        <v>3683.13</v>
      </c>
      <c r="H203" s="36">
        <v>443058474</v>
      </c>
      <c r="I203" s="39">
        <v>0</v>
      </c>
      <c r="J203" s="38">
        <v>0</v>
      </c>
      <c r="K203" s="38">
        <v>0</v>
      </c>
      <c r="L203" s="38">
        <v>0</v>
      </c>
      <c r="M203" s="38">
        <v>10012.92</v>
      </c>
      <c r="N203" s="46" t="s">
        <v>48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40">
        <v>45917.896215277775</v>
      </c>
      <c r="B204" s="41">
        <v>443843745</v>
      </c>
      <c r="C204" s="42" t="s">
        <v>36</v>
      </c>
      <c r="D204" s="42" t="s">
        <v>37</v>
      </c>
      <c r="E204" s="42" t="s">
        <v>47</v>
      </c>
      <c r="F204" s="42" t="s">
        <v>38</v>
      </c>
      <c r="G204" s="43">
        <v>3681.77</v>
      </c>
      <c r="H204" s="41">
        <v>443058676</v>
      </c>
      <c r="I204" s="44">
        <v>0</v>
      </c>
      <c r="J204" s="43">
        <v>0</v>
      </c>
      <c r="K204" s="43">
        <v>0</v>
      </c>
      <c r="L204" s="43">
        <v>1.81</v>
      </c>
      <c r="M204" s="43">
        <v>10014.73</v>
      </c>
      <c r="N204" s="45" t="s">
        <v>243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35">
        <v>45917.896354166667</v>
      </c>
      <c r="B205" s="36">
        <v>443843980</v>
      </c>
      <c r="C205" s="37" t="s">
        <v>36</v>
      </c>
      <c r="D205" s="37" t="s">
        <v>37</v>
      </c>
      <c r="E205" s="37" t="s">
        <v>47</v>
      </c>
      <c r="F205" s="37" t="s">
        <v>38</v>
      </c>
      <c r="G205" s="38">
        <v>3680.35</v>
      </c>
      <c r="H205" s="36">
        <v>443058910</v>
      </c>
      <c r="I205" s="39">
        <v>0</v>
      </c>
      <c r="J205" s="38">
        <v>0</v>
      </c>
      <c r="K205" s="38">
        <v>0</v>
      </c>
      <c r="L205" s="38">
        <v>3.01</v>
      </c>
      <c r="M205" s="38">
        <v>10017.74</v>
      </c>
      <c r="N205" s="46" t="s">
        <v>244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40">
        <v>45917.896354166667</v>
      </c>
      <c r="B206" s="41">
        <v>443843981</v>
      </c>
      <c r="C206" s="42" t="s">
        <v>36</v>
      </c>
      <c r="D206" s="42" t="s">
        <v>37</v>
      </c>
      <c r="E206" s="42" t="s">
        <v>47</v>
      </c>
      <c r="F206" s="42" t="s">
        <v>38</v>
      </c>
      <c r="G206" s="43">
        <v>3680.35</v>
      </c>
      <c r="H206" s="41">
        <v>443058911</v>
      </c>
      <c r="I206" s="44">
        <v>0</v>
      </c>
      <c r="J206" s="43">
        <v>0</v>
      </c>
      <c r="K206" s="43">
        <v>0</v>
      </c>
      <c r="L206" s="43">
        <v>2.78</v>
      </c>
      <c r="M206" s="43">
        <v>10020.52</v>
      </c>
      <c r="N206" s="45" t="s">
        <v>244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35">
        <v>45917.896365740744</v>
      </c>
      <c r="B207" s="36">
        <v>443844109</v>
      </c>
      <c r="C207" s="37" t="s">
        <v>36</v>
      </c>
      <c r="D207" s="37" t="s">
        <v>37</v>
      </c>
      <c r="E207" s="37" t="s">
        <v>47</v>
      </c>
      <c r="F207" s="37" t="s">
        <v>38</v>
      </c>
      <c r="G207" s="38">
        <v>3679.84</v>
      </c>
      <c r="H207" s="36">
        <v>443059038</v>
      </c>
      <c r="I207" s="39">
        <v>0</v>
      </c>
      <c r="J207" s="38">
        <v>0</v>
      </c>
      <c r="K207" s="38">
        <v>0</v>
      </c>
      <c r="L207" s="38">
        <v>3.7</v>
      </c>
      <c r="M207" s="38">
        <v>10024.219999999999</v>
      </c>
      <c r="N207" s="46" t="s">
        <v>245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40">
        <v>45917.90320601852</v>
      </c>
      <c r="B208" s="41">
        <v>443858520</v>
      </c>
      <c r="C208" s="42" t="s">
        <v>36</v>
      </c>
      <c r="D208" s="42" t="s">
        <v>39</v>
      </c>
      <c r="E208" s="42" t="s">
        <v>46</v>
      </c>
      <c r="F208" s="42" t="s">
        <v>38</v>
      </c>
      <c r="G208" s="43">
        <v>3672.34</v>
      </c>
      <c r="H208" s="41">
        <v>443073342</v>
      </c>
      <c r="I208" s="44">
        <v>0</v>
      </c>
      <c r="J208" s="43">
        <v>0</v>
      </c>
      <c r="K208" s="43">
        <v>0</v>
      </c>
      <c r="L208" s="43">
        <v>0</v>
      </c>
      <c r="M208" s="43">
        <v>10024.219999999999</v>
      </c>
      <c r="N208" s="45" t="s">
        <v>49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35">
        <v>45917.903263888889</v>
      </c>
      <c r="B209" s="36">
        <v>443858666</v>
      </c>
      <c r="C209" s="37" t="s">
        <v>36</v>
      </c>
      <c r="D209" s="37" t="s">
        <v>37</v>
      </c>
      <c r="E209" s="37" t="s">
        <v>47</v>
      </c>
      <c r="F209" s="37" t="s">
        <v>38</v>
      </c>
      <c r="G209" s="38">
        <v>3674.72</v>
      </c>
      <c r="H209" s="36">
        <v>443073486</v>
      </c>
      <c r="I209" s="39">
        <v>0</v>
      </c>
      <c r="J209" s="38">
        <v>0</v>
      </c>
      <c r="K209" s="38">
        <v>0</v>
      </c>
      <c r="L209" s="38">
        <v>-2.38</v>
      </c>
      <c r="M209" s="38">
        <v>10021.84</v>
      </c>
      <c r="N209" s="46" t="s">
        <v>246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40">
        <v>45917.903668981482</v>
      </c>
      <c r="B210" s="41">
        <v>443859510</v>
      </c>
      <c r="C210" s="42" t="s">
        <v>36</v>
      </c>
      <c r="D210" s="42" t="s">
        <v>39</v>
      </c>
      <c r="E210" s="42" t="s">
        <v>46</v>
      </c>
      <c r="F210" s="42" t="s">
        <v>38</v>
      </c>
      <c r="G210" s="43">
        <v>3672.12</v>
      </c>
      <c r="H210" s="41">
        <v>443074337</v>
      </c>
      <c r="I210" s="44">
        <v>0</v>
      </c>
      <c r="J210" s="43">
        <v>0</v>
      </c>
      <c r="K210" s="43">
        <v>0</v>
      </c>
      <c r="L210" s="43">
        <v>0</v>
      </c>
      <c r="M210" s="43">
        <v>10021.84</v>
      </c>
      <c r="N210" s="45" t="s">
        <v>150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35">
        <v>45917.903668981482</v>
      </c>
      <c r="B211" s="36">
        <v>443859511</v>
      </c>
      <c r="C211" s="37" t="s">
        <v>36</v>
      </c>
      <c r="D211" s="37" t="s">
        <v>39</v>
      </c>
      <c r="E211" s="37" t="s">
        <v>46</v>
      </c>
      <c r="F211" s="37" t="s">
        <v>38</v>
      </c>
      <c r="G211" s="38">
        <v>3672.37</v>
      </c>
      <c r="H211" s="36">
        <v>443074338</v>
      </c>
      <c r="I211" s="39">
        <v>0</v>
      </c>
      <c r="J211" s="38">
        <v>0</v>
      </c>
      <c r="K211" s="38">
        <v>0</v>
      </c>
      <c r="L211" s="38">
        <v>0</v>
      </c>
      <c r="M211" s="38">
        <v>10021.84</v>
      </c>
      <c r="N211" s="46" t="s">
        <v>53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40">
        <v>45917.903668981482</v>
      </c>
      <c r="B212" s="41">
        <v>443859513</v>
      </c>
      <c r="C212" s="42" t="s">
        <v>36</v>
      </c>
      <c r="D212" s="42" t="s">
        <v>39</v>
      </c>
      <c r="E212" s="42" t="s">
        <v>46</v>
      </c>
      <c r="F212" s="42" t="s">
        <v>38</v>
      </c>
      <c r="G212" s="43">
        <v>3672.46</v>
      </c>
      <c r="H212" s="41">
        <v>443074340</v>
      </c>
      <c r="I212" s="44">
        <v>0</v>
      </c>
      <c r="J212" s="43">
        <v>0</v>
      </c>
      <c r="K212" s="43">
        <v>0</v>
      </c>
      <c r="L212" s="43">
        <v>0</v>
      </c>
      <c r="M212" s="43">
        <v>10021.84</v>
      </c>
      <c r="N212" s="45" t="s">
        <v>48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35">
        <v>45917.903668981482</v>
      </c>
      <c r="B213" s="36">
        <v>443859514</v>
      </c>
      <c r="C213" s="37" t="s">
        <v>36</v>
      </c>
      <c r="D213" s="37" t="s">
        <v>39</v>
      </c>
      <c r="E213" s="37" t="s">
        <v>46</v>
      </c>
      <c r="F213" s="37" t="s">
        <v>38</v>
      </c>
      <c r="G213" s="38">
        <v>3672.64</v>
      </c>
      <c r="H213" s="36">
        <v>443074341</v>
      </c>
      <c r="I213" s="39">
        <v>0</v>
      </c>
      <c r="J213" s="38">
        <v>0</v>
      </c>
      <c r="K213" s="38">
        <v>0</v>
      </c>
      <c r="L213" s="38">
        <v>0</v>
      </c>
      <c r="M213" s="38">
        <v>10021.84</v>
      </c>
      <c r="N213" s="46" t="s">
        <v>49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40">
        <v>45917.903749999998</v>
      </c>
      <c r="B214" s="41">
        <v>443859657</v>
      </c>
      <c r="C214" s="42" t="s">
        <v>36</v>
      </c>
      <c r="D214" s="42" t="s">
        <v>37</v>
      </c>
      <c r="E214" s="42" t="s">
        <v>47</v>
      </c>
      <c r="F214" s="42" t="s">
        <v>38</v>
      </c>
      <c r="G214" s="43">
        <v>3670.42</v>
      </c>
      <c r="H214" s="41">
        <v>443074484</v>
      </c>
      <c r="I214" s="44">
        <v>0</v>
      </c>
      <c r="J214" s="43">
        <v>0</v>
      </c>
      <c r="K214" s="43">
        <v>0</v>
      </c>
      <c r="L214" s="43">
        <v>1.7</v>
      </c>
      <c r="M214" s="43">
        <v>10023.540000000001</v>
      </c>
      <c r="N214" s="45" t="s">
        <v>247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35">
        <v>45917.903912037036</v>
      </c>
      <c r="B215" s="36">
        <v>443859822</v>
      </c>
      <c r="C215" s="37" t="s">
        <v>36</v>
      </c>
      <c r="D215" s="37" t="s">
        <v>37</v>
      </c>
      <c r="E215" s="37" t="s">
        <v>47</v>
      </c>
      <c r="F215" s="37" t="s">
        <v>38</v>
      </c>
      <c r="G215" s="38">
        <v>3668.89</v>
      </c>
      <c r="H215" s="36">
        <v>443074651</v>
      </c>
      <c r="I215" s="39">
        <v>0</v>
      </c>
      <c r="J215" s="38">
        <v>0</v>
      </c>
      <c r="K215" s="38">
        <v>0</v>
      </c>
      <c r="L215" s="38">
        <v>3.57</v>
      </c>
      <c r="M215" s="38">
        <v>10027.11</v>
      </c>
      <c r="N215" s="46" t="s">
        <v>248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40">
        <v>45917.903912037036</v>
      </c>
      <c r="B216" s="41">
        <v>443859823</v>
      </c>
      <c r="C216" s="42" t="s">
        <v>36</v>
      </c>
      <c r="D216" s="42" t="s">
        <v>37</v>
      </c>
      <c r="E216" s="42" t="s">
        <v>47</v>
      </c>
      <c r="F216" s="42" t="s">
        <v>38</v>
      </c>
      <c r="G216" s="43">
        <v>3668.89</v>
      </c>
      <c r="H216" s="41">
        <v>443074652</v>
      </c>
      <c r="I216" s="44">
        <v>0</v>
      </c>
      <c r="J216" s="43">
        <v>0</v>
      </c>
      <c r="K216" s="43">
        <v>0</v>
      </c>
      <c r="L216" s="43">
        <v>3.75</v>
      </c>
      <c r="M216" s="43">
        <v>10030.86</v>
      </c>
      <c r="N216" s="45" t="s">
        <v>248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35">
        <v>45917.903923611113</v>
      </c>
      <c r="B217" s="36">
        <v>443859845</v>
      </c>
      <c r="C217" s="37" t="s">
        <v>36</v>
      </c>
      <c r="D217" s="37" t="s">
        <v>37</v>
      </c>
      <c r="E217" s="37" t="s">
        <v>47</v>
      </c>
      <c r="F217" s="37" t="s">
        <v>38</v>
      </c>
      <c r="G217" s="38">
        <v>3668.56</v>
      </c>
      <c r="H217" s="36">
        <v>443074675</v>
      </c>
      <c r="I217" s="39">
        <v>0</v>
      </c>
      <c r="J217" s="38">
        <v>0</v>
      </c>
      <c r="K217" s="38">
        <v>0</v>
      </c>
      <c r="L217" s="38">
        <v>3.81</v>
      </c>
      <c r="M217" s="38">
        <v>10034.67</v>
      </c>
      <c r="N217" s="46" t="s">
        <v>249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40">
        <v>45917.90828703704</v>
      </c>
      <c r="B218" s="41">
        <v>443868656</v>
      </c>
      <c r="C218" s="42" t="s">
        <v>36</v>
      </c>
      <c r="D218" s="42" t="s">
        <v>39</v>
      </c>
      <c r="E218" s="42" t="s">
        <v>46</v>
      </c>
      <c r="F218" s="42" t="s">
        <v>38</v>
      </c>
      <c r="G218" s="43">
        <v>3662.49</v>
      </c>
      <c r="H218" s="41">
        <v>443083370</v>
      </c>
      <c r="I218" s="44">
        <v>0</v>
      </c>
      <c r="J218" s="43">
        <v>0</v>
      </c>
      <c r="K218" s="43">
        <v>0</v>
      </c>
      <c r="L218" s="43">
        <v>0</v>
      </c>
      <c r="M218" s="43">
        <v>10034.67</v>
      </c>
      <c r="N218" s="45" t="s">
        <v>150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35">
        <v>45917.90829861111</v>
      </c>
      <c r="B219" s="36">
        <v>443868659</v>
      </c>
      <c r="C219" s="37" t="s">
        <v>36</v>
      </c>
      <c r="D219" s="37" t="s">
        <v>39</v>
      </c>
      <c r="E219" s="37" t="s">
        <v>46</v>
      </c>
      <c r="F219" s="37" t="s">
        <v>38</v>
      </c>
      <c r="G219" s="38">
        <v>3662.54</v>
      </c>
      <c r="H219" s="36">
        <v>443083372</v>
      </c>
      <c r="I219" s="39">
        <v>0</v>
      </c>
      <c r="J219" s="38">
        <v>0</v>
      </c>
      <c r="K219" s="38">
        <v>0</v>
      </c>
      <c r="L219" s="38">
        <v>0</v>
      </c>
      <c r="M219" s="38">
        <v>10034.67</v>
      </c>
      <c r="N219" s="46" t="s">
        <v>48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40">
        <v>45917.90829861111</v>
      </c>
      <c r="B220" s="41">
        <v>443868666</v>
      </c>
      <c r="C220" s="42" t="s">
        <v>36</v>
      </c>
      <c r="D220" s="42" t="s">
        <v>39</v>
      </c>
      <c r="E220" s="42" t="s">
        <v>46</v>
      </c>
      <c r="F220" s="42" t="s">
        <v>38</v>
      </c>
      <c r="G220" s="43">
        <v>3662.82</v>
      </c>
      <c r="H220" s="41">
        <v>443083379</v>
      </c>
      <c r="I220" s="44">
        <v>0</v>
      </c>
      <c r="J220" s="43">
        <v>0</v>
      </c>
      <c r="K220" s="43">
        <v>0</v>
      </c>
      <c r="L220" s="43">
        <v>0</v>
      </c>
      <c r="M220" s="43">
        <v>10034.67</v>
      </c>
      <c r="N220" s="45" t="s">
        <v>49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35">
        <v>45917.90829861111</v>
      </c>
      <c r="B221" s="36">
        <v>443868673</v>
      </c>
      <c r="C221" s="37" t="s">
        <v>36</v>
      </c>
      <c r="D221" s="37" t="s">
        <v>39</v>
      </c>
      <c r="E221" s="37" t="s">
        <v>46</v>
      </c>
      <c r="F221" s="37" t="s">
        <v>38</v>
      </c>
      <c r="G221" s="38">
        <v>3662.82</v>
      </c>
      <c r="H221" s="36">
        <v>443083386</v>
      </c>
      <c r="I221" s="39">
        <v>0</v>
      </c>
      <c r="J221" s="38">
        <v>0</v>
      </c>
      <c r="K221" s="38">
        <v>0</v>
      </c>
      <c r="L221" s="38">
        <v>0</v>
      </c>
      <c r="M221" s="38">
        <v>10034.67</v>
      </c>
      <c r="N221" s="46" t="s">
        <v>53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40">
        <v>45917.908414351848</v>
      </c>
      <c r="B222" s="41">
        <v>443868817</v>
      </c>
      <c r="C222" s="42" t="s">
        <v>36</v>
      </c>
      <c r="D222" s="42" t="s">
        <v>37</v>
      </c>
      <c r="E222" s="42" t="s">
        <v>47</v>
      </c>
      <c r="F222" s="42" t="s">
        <v>38</v>
      </c>
      <c r="G222" s="43">
        <v>3660.9</v>
      </c>
      <c r="H222" s="41">
        <v>443083524</v>
      </c>
      <c r="I222" s="44">
        <v>0</v>
      </c>
      <c r="J222" s="43">
        <v>0</v>
      </c>
      <c r="K222" s="43">
        <v>0</v>
      </c>
      <c r="L222" s="43">
        <v>1.59</v>
      </c>
      <c r="M222" s="43">
        <v>10036.26</v>
      </c>
      <c r="N222" s="45" t="s">
        <v>250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35">
        <v>45917.908576388887</v>
      </c>
      <c r="B223" s="36">
        <v>443868958</v>
      </c>
      <c r="C223" s="37" t="s">
        <v>36</v>
      </c>
      <c r="D223" s="37" t="s">
        <v>37</v>
      </c>
      <c r="E223" s="37" t="s">
        <v>47</v>
      </c>
      <c r="F223" s="37" t="s">
        <v>38</v>
      </c>
      <c r="G223" s="38">
        <v>3663.04</v>
      </c>
      <c r="H223" s="36">
        <v>443083662</v>
      </c>
      <c r="I223" s="39">
        <v>0</v>
      </c>
      <c r="J223" s="38">
        <v>0</v>
      </c>
      <c r="K223" s="38">
        <v>0</v>
      </c>
      <c r="L223" s="38">
        <v>-0.5</v>
      </c>
      <c r="M223" s="38">
        <v>10035.76</v>
      </c>
      <c r="N223" s="46" t="s">
        <v>251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40">
        <v>45917.908576388887</v>
      </c>
      <c r="B224" s="41">
        <v>443868959</v>
      </c>
      <c r="C224" s="42" t="s">
        <v>36</v>
      </c>
      <c r="D224" s="42" t="s">
        <v>37</v>
      </c>
      <c r="E224" s="42" t="s">
        <v>47</v>
      </c>
      <c r="F224" s="42" t="s">
        <v>38</v>
      </c>
      <c r="G224" s="43">
        <v>3663.04</v>
      </c>
      <c r="H224" s="41">
        <v>443083663</v>
      </c>
      <c r="I224" s="44">
        <v>0</v>
      </c>
      <c r="J224" s="43">
        <v>0</v>
      </c>
      <c r="K224" s="43">
        <v>0</v>
      </c>
      <c r="L224" s="43">
        <v>-0.22</v>
      </c>
      <c r="M224" s="43">
        <v>10035.540000000001</v>
      </c>
      <c r="N224" s="45" t="s">
        <v>251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35">
        <v>45917.908576388887</v>
      </c>
      <c r="B225" s="36">
        <v>443868960</v>
      </c>
      <c r="C225" s="37" t="s">
        <v>36</v>
      </c>
      <c r="D225" s="37" t="s">
        <v>37</v>
      </c>
      <c r="E225" s="37" t="s">
        <v>47</v>
      </c>
      <c r="F225" s="37" t="s">
        <v>38</v>
      </c>
      <c r="G225" s="38">
        <v>3663.04</v>
      </c>
      <c r="H225" s="36">
        <v>443083664</v>
      </c>
      <c r="I225" s="39">
        <v>0</v>
      </c>
      <c r="J225" s="38">
        <v>0</v>
      </c>
      <c r="K225" s="38">
        <v>0</v>
      </c>
      <c r="L225" s="38">
        <v>-0.22</v>
      </c>
      <c r="M225" s="38">
        <v>10035.32</v>
      </c>
      <c r="N225" s="46" t="s">
        <v>252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40">
        <v>45917.908634259256</v>
      </c>
      <c r="B226" s="41">
        <v>443868999</v>
      </c>
      <c r="C226" s="42" t="s">
        <v>36</v>
      </c>
      <c r="D226" s="42" t="s">
        <v>39</v>
      </c>
      <c r="E226" s="42" t="s">
        <v>46</v>
      </c>
      <c r="F226" s="42" t="s">
        <v>38</v>
      </c>
      <c r="G226" s="43">
        <v>3662.76</v>
      </c>
      <c r="H226" s="41">
        <v>443083702</v>
      </c>
      <c r="I226" s="44">
        <v>0</v>
      </c>
      <c r="J226" s="43">
        <v>0</v>
      </c>
      <c r="K226" s="43">
        <v>0</v>
      </c>
      <c r="L226" s="43">
        <v>0</v>
      </c>
      <c r="M226" s="43">
        <v>10035.32</v>
      </c>
      <c r="N226" s="45" t="s">
        <v>150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35">
        <v>45917.908645833333</v>
      </c>
      <c r="B227" s="36">
        <v>443869001</v>
      </c>
      <c r="C227" s="37" t="s">
        <v>36</v>
      </c>
      <c r="D227" s="37" t="s">
        <v>39</v>
      </c>
      <c r="E227" s="37" t="s">
        <v>46</v>
      </c>
      <c r="F227" s="37" t="s">
        <v>38</v>
      </c>
      <c r="G227" s="38">
        <v>3662.8</v>
      </c>
      <c r="H227" s="36">
        <v>443083704</v>
      </c>
      <c r="I227" s="39">
        <v>0</v>
      </c>
      <c r="J227" s="38">
        <v>0</v>
      </c>
      <c r="K227" s="38">
        <v>0</v>
      </c>
      <c r="L227" s="38">
        <v>0</v>
      </c>
      <c r="M227" s="38">
        <v>10035.32</v>
      </c>
      <c r="N227" s="46" t="s">
        <v>49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40">
        <v>45917.908645833333</v>
      </c>
      <c r="B228" s="41">
        <v>443869002</v>
      </c>
      <c r="C228" s="42" t="s">
        <v>36</v>
      </c>
      <c r="D228" s="42" t="s">
        <v>39</v>
      </c>
      <c r="E228" s="42" t="s">
        <v>46</v>
      </c>
      <c r="F228" s="42" t="s">
        <v>38</v>
      </c>
      <c r="G228" s="43">
        <v>3662.78</v>
      </c>
      <c r="H228" s="41">
        <v>443083705</v>
      </c>
      <c r="I228" s="44">
        <v>0</v>
      </c>
      <c r="J228" s="43">
        <v>0</v>
      </c>
      <c r="K228" s="43">
        <v>0</v>
      </c>
      <c r="L228" s="43">
        <v>0</v>
      </c>
      <c r="M228" s="43">
        <v>10035.32</v>
      </c>
      <c r="N228" s="45" t="s">
        <v>53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35">
        <v>45917.908645833333</v>
      </c>
      <c r="B229" s="36">
        <v>443869004</v>
      </c>
      <c r="C229" s="37" t="s">
        <v>36</v>
      </c>
      <c r="D229" s="37" t="s">
        <v>39</v>
      </c>
      <c r="E229" s="37" t="s">
        <v>46</v>
      </c>
      <c r="F229" s="37" t="s">
        <v>38</v>
      </c>
      <c r="G229" s="38">
        <v>3662.73</v>
      </c>
      <c r="H229" s="36">
        <v>443083707</v>
      </c>
      <c r="I229" s="39">
        <v>0</v>
      </c>
      <c r="J229" s="38">
        <v>0</v>
      </c>
      <c r="K229" s="38">
        <v>0</v>
      </c>
      <c r="L229" s="38">
        <v>0</v>
      </c>
      <c r="M229" s="38">
        <v>10035.32</v>
      </c>
      <c r="N229" s="46" t="s">
        <v>48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40">
        <v>45917.908773148149</v>
      </c>
      <c r="B230" s="41">
        <v>443869133</v>
      </c>
      <c r="C230" s="42" t="s">
        <v>36</v>
      </c>
      <c r="D230" s="42" t="s">
        <v>37</v>
      </c>
      <c r="E230" s="42" t="s">
        <v>47</v>
      </c>
      <c r="F230" s="42" t="s">
        <v>38</v>
      </c>
      <c r="G230" s="43">
        <v>3661.36</v>
      </c>
      <c r="H230" s="41">
        <v>443083831</v>
      </c>
      <c r="I230" s="44">
        <v>0</v>
      </c>
      <c r="J230" s="43">
        <v>0</v>
      </c>
      <c r="K230" s="43">
        <v>0</v>
      </c>
      <c r="L230" s="43">
        <v>1.4</v>
      </c>
      <c r="M230" s="43">
        <v>10036.719999999999</v>
      </c>
      <c r="N230" s="45" t="s">
        <v>253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35">
        <v>45917.908854166664</v>
      </c>
      <c r="B231" s="36">
        <v>443869206</v>
      </c>
      <c r="C231" s="37" t="s">
        <v>36</v>
      </c>
      <c r="D231" s="37" t="s">
        <v>37</v>
      </c>
      <c r="E231" s="37" t="s">
        <v>47</v>
      </c>
      <c r="F231" s="37" t="s">
        <v>38</v>
      </c>
      <c r="G231" s="38">
        <v>3659.68</v>
      </c>
      <c r="H231" s="36">
        <v>443083903</v>
      </c>
      <c r="I231" s="39">
        <v>0</v>
      </c>
      <c r="J231" s="38">
        <v>0</v>
      </c>
      <c r="K231" s="38">
        <v>0</v>
      </c>
      <c r="L231" s="38">
        <v>3.12</v>
      </c>
      <c r="M231" s="38">
        <v>10039.84</v>
      </c>
      <c r="N231" s="46" t="s">
        <v>254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40">
        <v>45917.908854166664</v>
      </c>
      <c r="B232" s="41">
        <v>443869207</v>
      </c>
      <c r="C232" s="42" t="s">
        <v>36</v>
      </c>
      <c r="D232" s="42" t="s">
        <v>37</v>
      </c>
      <c r="E232" s="42" t="s">
        <v>47</v>
      </c>
      <c r="F232" s="42" t="s">
        <v>38</v>
      </c>
      <c r="G232" s="43">
        <v>3659.68</v>
      </c>
      <c r="H232" s="41">
        <v>443083904</v>
      </c>
      <c r="I232" s="44">
        <v>0</v>
      </c>
      <c r="J232" s="43">
        <v>0</v>
      </c>
      <c r="K232" s="43">
        <v>0</v>
      </c>
      <c r="L232" s="43">
        <v>3.05</v>
      </c>
      <c r="M232" s="43">
        <v>10042.89</v>
      </c>
      <c r="N232" s="45" t="s">
        <v>254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35">
        <v>45917.909178240741</v>
      </c>
      <c r="B233" s="36">
        <v>443869485</v>
      </c>
      <c r="C233" s="37" t="s">
        <v>36</v>
      </c>
      <c r="D233" s="37" t="s">
        <v>37</v>
      </c>
      <c r="E233" s="37" t="s">
        <v>47</v>
      </c>
      <c r="F233" s="37" t="s">
        <v>38</v>
      </c>
      <c r="G233" s="38">
        <v>3659.11</v>
      </c>
      <c r="H233" s="36">
        <v>443084183</v>
      </c>
      <c r="I233" s="39">
        <v>0</v>
      </c>
      <c r="J233" s="38">
        <v>0</v>
      </c>
      <c r="K233" s="38">
        <v>0</v>
      </c>
      <c r="L233" s="38">
        <v>3.67</v>
      </c>
      <c r="M233" s="38">
        <v>10046.56</v>
      </c>
      <c r="N233" s="46" t="s">
        <v>255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40">
        <v>45917.913958333331</v>
      </c>
      <c r="B234" s="41">
        <v>443879867</v>
      </c>
      <c r="C234" s="42" t="s">
        <v>36</v>
      </c>
      <c r="D234" s="42" t="s">
        <v>39</v>
      </c>
      <c r="E234" s="42" t="s">
        <v>46</v>
      </c>
      <c r="F234" s="42" t="s">
        <v>38</v>
      </c>
      <c r="G234" s="43">
        <v>3650.16</v>
      </c>
      <c r="H234" s="41">
        <v>443094434</v>
      </c>
      <c r="I234" s="44">
        <v>0</v>
      </c>
      <c r="J234" s="43">
        <v>0</v>
      </c>
      <c r="K234" s="43">
        <v>0</v>
      </c>
      <c r="L234" s="43">
        <v>0</v>
      </c>
      <c r="M234" s="43">
        <v>10046.56</v>
      </c>
      <c r="N234" s="45" t="s">
        <v>53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35">
        <v>45917.913969907408</v>
      </c>
      <c r="B235" s="36">
        <v>443879873</v>
      </c>
      <c r="C235" s="37" t="s">
        <v>36</v>
      </c>
      <c r="D235" s="37" t="s">
        <v>39</v>
      </c>
      <c r="E235" s="37" t="s">
        <v>46</v>
      </c>
      <c r="F235" s="37" t="s">
        <v>38</v>
      </c>
      <c r="G235" s="38">
        <v>3650.19</v>
      </c>
      <c r="H235" s="36">
        <v>443094439</v>
      </c>
      <c r="I235" s="39">
        <v>0</v>
      </c>
      <c r="J235" s="38">
        <v>0</v>
      </c>
      <c r="K235" s="38">
        <v>0</v>
      </c>
      <c r="L235" s="38">
        <v>0</v>
      </c>
      <c r="M235" s="38">
        <v>10046.56</v>
      </c>
      <c r="N235" s="46" t="s">
        <v>49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40">
        <v>45917.913969907408</v>
      </c>
      <c r="B236" s="41">
        <v>443879876</v>
      </c>
      <c r="C236" s="42" t="s">
        <v>36</v>
      </c>
      <c r="D236" s="42" t="s">
        <v>39</v>
      </c>
      <c r="E236" s="42" t="s">
        <v>46</v>
      </c>
      <c r="F236" s="42" t="s">
        <v>38</v>
      </c>
      <c r="G236" s="43">
        <v>3650.19</v>
      </c>
      <c r="H236" s="41">
        <v>443094442</v>
      </c>
      <c r="I236" s="44">
        <v>0</v>
      </c>
      <c r="J236" s="43">
        <v>0</v>
      </c>
      <c r="K236" s="43">
        <v>0</v>
      </c>
      <c r="L236" s="43">
        <v>0</v>
      </c>
      <c r="M236" s="43">
        <v>10046.56</v>
      </c>
      <c r="N236" s="45" t="s">
        <v>48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35">
        <v>45917.913969907408</v>
      </c>
      <c r="B237" s="36">
        <v>443879878</v>
      </c>
      <c r="C237" s="37" t="s">
        <v>36</v>
      </c>
      <c r="D237" s="37" t="s">
        <v>39</v>
      </c>
      <c r="E237" s="37" t="s">
        <v>46</v>
      </c>
      <c r="F237" s="37" t="s">
        <v>38</v>
      </c>
      <c r="G237" s="38">
        <v>3650.14</v>
      </c>
      <c r="H237" s="36">
        <v>443094444</v>
      </c>
      <c r="I237" s="39">
        <v>0</v>
      </c>
      <c r="J237" s="38">
        <v>0</v>
      </c>
      <c r="K237" s="38">
        <v>0</v>
      </c>
      <c r="L237" s="38">
        <v>0</v>
      </c>
      <c r="M237" s="38">
        <v>10046.56</v>
      </c>
      <c r="N237" s="46" t="s">
        <v>150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40">
        <v>45917.914398148147</v>
      </c>
      <c r="B238" s="41">
        <v>443880551</v>
      </c>
      <c r="C238" s="42" t="s">
        <v>36</v>
      </c>
      <c r="D238" s="42" t="s">
        <v>37</v>
      </c>
      <c r="E238" s="42" t="s">
        <v>47</v>
      </c>
      <c r="F238" s="42" t="s">
        <v>38</v>
      </c>
      <c r="G238" s="43">
        <v>3648.5</v>
      </c>
      <c r="H238" s="41">
        <v>443095113</v>
      </c>
      <c r="I238" s="44">
        <v>0</v>
      </c>
      <c r="J238" s="43">
        <v>0</v>
      </c>
      <c r="K238" s="43">
        <v>0</v>
      </c>
      <c r="L238" s="43">
        <v>1.64</v>
      </c>
      <c r="M238" s="43">
        <v>10048.200000000001</v>
      </c>
      <c r="N238" s="45" t="s">
        <v>256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35">
        <v>45917.91443287037</v>
      </c>
      <c r="B239" s="36">
        <v>443880862</v>
      </c>
      <c r="C239" s="37" t="s">
        <v>36</v>
      </c>
      <c r="D239" s="37" t="s">
        <v>37</v>
      </c>
      <c r="E239" s="37" t="s">
        <v>47</v>
      </c>
      <c r="F239" s="37" t="s">
        <v>38</v>
      </c>
      <c r="G239" s="38">
        <v>3647.25</v>
      </c>
      <c r="H239" s="36">
        <v>443095423</v>
      </c>
      <c r="I239" s="39">
        <v>0</v>
      </c>
      <c r="J239" s="38">
        <v>0</v>
      </c>
      <c r="K239" s="38">
        <v>0</v>
      </c>
      <c r="L239" s="38">
        <v>2.91</v>
      </c>
      <c r="M239" s="38">
        <v>10051.11</v>
      </c>
      <c r="N239" s="46" t="s">
        <v>257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40">
        <v>45917.91443287037</v>
      </c>
      <c r="B240" s="41">
        <v>443880866</v>
      </c>
      <c r="C240" s="42" t="s">
        <v>36</v>
      </c>
      <c r="D240" s="42" t="s">
        <v>37</v>
      </c>
      <c r="E240" s="42" t="s">
        <v>47</v>
      </c>
      <c r="F240" s="42" t="s">
        <v>38</v>
      </c>
      <c r="G240" s="43">
        <v>3647.13</v>
      </c>
      <c r="H240" s="41">
        <v>443095428</v>
      </c>
      <c r="I240" s="44">
        <v>0</v>
      </c>
      <c r="J240" s="43">
        <v>0</v>
      </c>
      <c r="K240" s="43">
        <v>0</v>
      </c>
      <c r="L240" s="43">
        <v>3.06</v>
      </c>
      <c r="M240" s="43">
        <v>10054.17</v>
      </c>
      <c r="N240" s="45" t="s">
        <v>258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35">
        <v>45917.91443287037</v>
      </c>
      <c r="B241" s="36">
        <v>443880868</v>
      </c>
      <c r="C241" s="37" t="s">
        <v>36</v>
      </c>
      <c r="D241" s="37" t="s">
        <v>37</v>
      </c>
      <c r="E241" s="37" t="s">
        <v>47</v>
      </c>
      <c r="F241" s="37" t="s">
        <v>38</v>
      </c>
      <c r="G241" s="38">
        <v>3647.13</v>
      </c>
      <c r="H241" s="36">
        <v>443095429</v>
      </c>
      <c r="I241" s="39">
        <v>0</v>
      </c>
      <c r="J241" s="38">
        <v>0</v>
      </c>
      <c r="K241" s="38">
        <v>0</v>
      </c>
      <c r="L241" s="38">
        <v>3.06</v>
      </c>
      <c r="M241" s="38">
        <v>10057.23</v>
      </c>
      <c r="N241" s="46" t="s">
        <v>258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40">
        <v>45917.915694444448</v>
      </c>
      <c r="B242" s="41">
        <v>443882257</v>
      </c>
      <c r="C242" s="42" t="s">
        <v>36</v>
      </c>
      <c r="D242" s="42" t="s">
        <v>39</v>
      </c>
      <c r="E242" s="42" t="s">
        <v>46</v>
      </c>
      <c r="F242" s="42" t="s">
        <v>38</v>
      </c>
      <c r="G242" s="43">
        <v>3649.84</v>
      </c>
      <c r="H242" s="41">
        <v>443096807</v>
      </c>
      <c r="I242" s="44">
        <v>0</v>
      </c>
      <c r="J242" s="43">
        <v>0</v>
      </c>
      <c r="K242" s="43">
        <v>0</v>
      </c>
      <c r="L242" s="43">
        <v>0</v>
      </c>
      <c r="M242" s="43">
        <v>10057.23</v>
      </c>
      <c r="N242" s="45" t="s">
        <v>150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35">
        <v>45917.915706018517</v>
      </c>
      <c r="B243" s="36">
        <v>443882261</v>
      </c>
      <c r="C243" s="37" t="s">
        <v>36</v>
      </c>
      <c r="D243" s="37" t="s">
        <v>39</v>
      </c>
      <c r="E243" s="37" t="s">
        <v>46</v>
      </c>
      <c r="F243" s="37" t="s">
        <v>38</v>
      </c>
      <c r="G243" s="38">
        <v>3649.77</v>
      </c>
      <c r="H243" s="36">
        <v>443096811</v>
      </c>
      <c r="I243" s="39">
        <v>0</v>
      </c>
      <c r="J243" s="38">
        <v>0</v>
      </c>
      <c r="K243" s="38">
        <v>0</v>
      </c>
      <c r="L243" s="38">
        <v>0</v>
      </c>
      <c r="M243" s="38">
        <v>10057.23</v>
      </c>
      <c r="N243" s="46" t="s">
        <v>49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40">
        <v>45917.915706018517</v>
      </c>
      <c r="B244" s="41">
        <v>443882263</v>
      </c>
      <c r="C244" s="42" t="s">
        <v>36</v>
      </c>
      <c r="D244" s="42" t="s">
        <v>39</v>
      </c>
      <c r="E244" s="42" t="s">
        <v>46</v>
      </c>
      <c r="F244" s="42" t="s">
        <v>38</v>
      </c>
      <c r="G244" s="43">
        <v>3649.95</v>
      </c>
      <c r="H244" s="41">
        <v>443096813</v>
      </c>
      <c r="I244" s="44">
        <v>0</v>
      </c>
      <c r="J244" s="43">
        <v>0</v>
      </c>
      <c r="K244" s="43">
        <v>0</v>
      </c>
      <c r="L244" s="43">
        <v>0</v>
      </c>
      <c r="M244" s="43">
        <v>10057.23</v>
      </c>
      <c r="N244" s="45" t="s">
        <v>53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35">
        <v>45917.915706018517</v>
      </c>
      <c r="B245" s="36">
        <v>443882266</v>
      </c>
      <c r="C245" s="37" t="s">
        <v>36</v>
      </c>
      <c r="D245" s="37" t="s">
        <v>39</v>
      </c>
      <c r="E245" s="37" t="s">
        <v>46</v>
      </c>
      <c r="F245" s="37" t="s">
        <v>38</v>
      </c>
      <c r="G245" s="38">
        <v>3651.08</v>
      </c>
      <c r="H245" s="36">
        <v>443096816</v>
      </c>
      <c r="I245" s="39">
        <v>0</v>
      </c>
      <c r="J245" s="38">
        <v>0</v>
      </c>
      <c r="K245" s="38">
        <v>0</v>
      </c>
      <c r="L245" s="38">
        <v>0</v>
      </c>
      <c r="M245" s="38">
        <v>10057.23</v>
      </c>
      <c r="N245" s="46" t="s">
        <v>48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40">
        <v>45917.915879629632</v>
      </c>
      <c r="B246" s="41">
        <v>443882440</v>
      </c>
      <c r="C246" s="42" t="s">
        <v>36</v>
      </c>
      <c r="D246" s="42" t="s">
        <v>37</v>
      </c>
      <c r="E246" s="42" t="s">
        <v>47</v>
      </c>
      <c r="F246" s="42" t="s">
        <v>38</v>
      </c>
      <c r="G246" s="43">
        <v>3652.45</v>
      </c>
      <c r="H246" s="41">
        <v>443096989</v>
      </c>
      <c r="I246" s="44">
        <v>0</v>
      </c>
      <c r="J246" s="43">
        <v>0</v>
      </c>
      <c r="K246" s="43">
        <v>0</v>
      </c>
      <c r="L246" s="43">
        <v>-2.68</v>
      </c>
      <c r="M246" s="43">
        <v>10054.549999999999</v>
      </c>
      <c r="N246" s="45" t="s">
        <v>259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35">
        <v>45917.915879629632</v>
      </c>
      <c r="B247" s="36">
        <v>443882447</v>
      </c>
      <c r="C247" s="37" t="s">
        <v>36</v>
      </c>
      <c r="D247" s="37" t="s">
        <v>37</v>
      </c>
      <c r="E247" s="37" t="s">
        <v>47</v>
      </c>
      <c r="F247" s="37" t="s">
        <v>38</v>
      </c>
      <c r="G247" s="38">
        <v>3652.94</v>
      </c>
      <c r="H247" s="36">
        <v>443096996</v>
      </c>
      <c r="I247" s="39">
        <v>0</v>
      </c>
      <c r="J247" s="38">
        <v>0</v>
      </c>
      <c r="K247" s="38">
        <v>0</v>
      </c>
      <c r="L247" s="38">
        <v>-2.99</v>
      </c>
      <c r="M247" s="38">
        <v>10051.56</v>
      </c>
      <c r="N247" s="46" t="s">
        <v>260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40">
        <v>45917.915879629632</v>
      </c>
      <c r="B248" s="41">
        <v>443882448</v>
      </c>
      <c r="C248" s="42" t="s">
        <v>36</v>
      </c>
      <c r="D248" s="42" t="s">
        <v>37</v>
      </c>
      <c r="E248" s="42" t="s">
        <v>47</v>
      </c>
      <c r="F248" s="42" t="s">
        <v>38</v>
      </c>
      <c r="G248" s="43">
        <v>3652.94</v>
      </c>
      <c r="H248" s="41">
        <v>443096997</v>
      </c>
      <c r="I248" s="44">
        <v>0</v>
      </c>
      <c r="J248" s="43">
        <v>0</v>
      </c>
      <c r="K248" s="43">
        <v>0</v>
      </c>
      <c r="L248" s="43">
        <v>-1.86</v>
      </c>
      <c r="M248" s="43">
        <v>10049.700000000001</v>
      </c>
      <c r="N248" s="45" t="s">
        <v>260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35">
        <v>45917.915891203702</v>
      </c>
      <c r="B249" s="36">
        <v>443882452</v>
      </c>
      <c r="C249" s="37" t="s">
        <v>36</v>
      </c>
      <c r="D249" s="37" t="s">
        <v>37</v>
      </c>
      <c r="E249" s="37" t="s">
        <v>47</v>
      </c>
      <c r="F249" s="37" t="s">
        <v>38</v>
      </c>
      <c r="G249" s="38">
        <v>3653.08</v>
      </c>
      <c r="H249" s="36">
        <v>443097001</v>
      </c>
      <c r="I249" s="39">
        <v>0</v>
      </c>
      <c r="J249" s="38">
        <v>0</v>
      </c>
      <c r="K249" s="38">
        <v>0</v>
      </c>
      <c r="L249" s="38">
        <v>-3.24</v>
      </c>
      <c r="M249" s="38">
        <v>10046.459999999999</v>
      </c>
      <c r="N249" s="46" t="s">
        <v>261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40">
        <v>45917.916041666664</v>
      </c>
      <c r="B250" s="41">
        <v>443882643</v>
      </c>
      <c r="C250" s="42" t="s">
        <v>36</v>
      </c>
      <c r="D250" s="42" t="s">
        <v>39</v>
      </c>
      <c r="E250" s="42" t="s">
        <v>46</v>
      </c>
      <c r="F250" s="42" t="s">
        <v>38</v>
      </c>
      <c r="G250" s="43">
        <v>3650.47</v>
      </c>
      <c r="H250" s="41">
        <v>443097191</v>
      </c>
      <c r="I250" s="44">
        <v>0</v>
      </c>
      <c r="J250" s="43">
        <v>0</v>
      </c>
      <c r="K250" s="43">
        <v>0</v>
      </c>
      <c r="L250" s="43">
        <v>0</v>
      </c>
      <c r="M250" s="43">
        <v>10046.459999999999</v>
      </c>
      <c r="N250" s="45" t="s">
        <v>150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35">
        <v>45917.91605324074</v>
      </c>
      <c r="B251" s="36">
        <v>443882646</v>
      </c>
      <c r="C251" s="37" t="s">
        <v>36</v>
      </c>
      <c r="D251" s="37" t="s">
        <v>39</v>
      </c>
      <c r="E251" s="37" t="s">
        <v>46</v>
      </c>
      <c r="F251" s="37" t="s">
        <v>38</v>
      </c>
      <c r="G251" s="38">
        <v>3650.4</v>
      </c>
      <c r="H251" s="36">
        <v>443097195</v>
      </c>
      <c r="I251" s="39">
        <v>0</v>
      </c>
      <c r="J251" s="38">
        <v>0</v>
      </c>
      <c r="K251" s="38">
        <v>0</v>
      </c>
      <c r="L251" s="38">
        <v>0</v>
      </c>
      <c r="M251" s="38">
        <v>10046.459999999999</v>
      </c>
      <c r="N251" s="46" t="s">
        <v>49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40">
        <v>45917.91605324074</v>
      </c>
      <c r="B252" s="41">
        <v>443882650</v>
      </c>
      <c r="C252" s="42" t="s">
        <v>36</v>
      </c>
      <c r="D252" s="42" t="s">
        <v>39</v>
      </c>
      <c r="E252" s="42" t="s">
        <v>46</v>
      </c>
      <c r="F252" s="42" t="s">
        <v>38</v>
      </c>
      <c r="G252" s="43">
        <v>3649.95</v>
      </c>
      <c r="H252" s="41">
        <v>443097198</v>
      </c>
      <c r="I252" s="44">
        <v>0</v>
      </c>
      <c r="J252" s="43">
        <v>0</v>
      </c>
      <c r="K252" s="43">
        <v>0</v>
      </c>
      <c r="L252" s="43">
        <v>0</v>
      </c>
      <c r="M252" s="43">
        <v>10046.459999999999</v>
      </c>
      <c r="N252" s="45" t="s">
        <v>48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35">
        <v>45917.91605324074</v>
      </c>
      <c r="B253" s="36">
        <v>443882653</v>
      </c>
      <c r="C253" s="37" t="s">
        <v>36</v>
      </c>
      <c r="D253" s="37" t="s">
        <v>39</v>
      </c>
      <c r="E253" s="37" t="s">
        <v>46</v>
      </c>
      <c r="F253" s="37" t="s">
        <v>38</v>
      </c>
      <c r="G253" s="38">
        <v>3649.74</v>
      </c>
      <c r="H253" s="36">
        <v>443097201</v>
      </c>
      <c r="I253" s="39">
        <v>0</v>
      </c>
      <c r="J253" s="38">
        <v>0</v>
      </c>
      <c r="K253" s="38">
        <v>0</v>
      </c>
      <c r="L253" s="38">
        <v>0</v>
      </c>
      <c r="M253" s="38">
        <v>10046.459999999999</v>
      </c>
      <c r="N253" s="46" t="s">
        <v>53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40">
        <v>45917.91710648148</v>
      </c>
      <c r="B254" s="41">
        <v>443883664</v>
      </c>
      <c r="C254" s="42" t="s">
        <v>36</v>
      </c>
      <c r="D254" s="42" t="s">
        <v>37</v>
      </c>
      <c r="E254" s="42" t="s">
        <v>47</v>
      </c>
      <c r="F254" s="42" t="s">
        <v>38</v>
      </c>
      <c r="G254" s="43">
        <v>3648.73</v>
      </c>
      <c r="H254" s="41">
        <v>443098198</v>
      </c>
      <c r="I254" s="44">
        <v>0</v>
      </c>
      <c r="J254" s="43">
        <v>0</v>
      </c>
      <c r="K254" s="43">
        <v>0</v>
      </c>
      <c r="L254" s="43">
        <v>1.74</v>
      </c>
      <c r="M254" s="43">
        <v>10048.200000000001</v>
      </c>
      <c r="N254" s="45" t="s">
        <v>262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35">
        <v>45917.917118055557</v>
      </c>
      <c r="B255" s="36">
        <v>443883796</v>
      </c>
      <c r="C255" s="37" t="s">
        <v>36</v>
      </c>
      <c r="D255" s="37" t="s">
        <v>37</v>
      </c>
      <c r="E255" s="37" t="s">
        <v>47</v>
      </c>
      <c r="F255" s="37" t="s">
        <v>38</v>
      </c>
      <c r="G255" s="38">
        <v>3647.43</v>
      </c>
      <c r="H255" s="36">
        <v>443098330</v>
      </c>
      <c r="I255" s="39">
        <v>0</v>
      </c>
      <c r="J255" s="38">
        <v>0</v>
      </c>
      <c r="K255" s="38">
        <v>0</v>
      </c>
      <c r="L255" s="38">
        <v>2.97</v>
      </c>
      <c r="M255" s="38">
        <v>10051.17</v>
      </c>
      <c r="N255" s="46" t="s">
        <v>263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40">
        <v>45917.917118055557</v>
      </c>
      <c r="B256" s="41">
        <v>443883797</v>
      </c>
      <c r="C256" s="42" t="s">
        <v>36</v>
      </c>
      <c r="D256" s="42" t="s">
        <v>37</v>
      </c>
      <c r="E256" s="42" t="s">
        <v>47</v>
      </c>
      <c r="F256" s="42" t="s">
        <v>38</v>
      </c>
      <c r="G256" s="43">
        <v>3647.43</v>
      </c>
      <c r="H256" s="41">
        <v>443098331</v>
      </c>
      <c r="I256" s="44">
        <v>0</v>
      </c>
      <c r="J256" s="43">
        <v>0</v>
      </c>
      <c r="K256" s="43">
        <v>0</v>
      </c>
      <c r="L256" s="43">
        <v>2.52</v>
      </c>
      <c r="M256" s="43">
        <v>10053.69</v>
      </c>
      <c r="N256" s="45" t="s">
        <v>263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35">
        <v>45917.917210648149</v>
      </c>
      <c r="B257" s="36">
        <v>443883929</v>
      </c>
      <c r="C257" s="37" t="s">
        <v>36</v>
      </c>
      <c r="D257" s="37" t="s">
        <v>37</v>
      </c>
      <c r="E257" s="37" t="s">
        <v>47</v>
      </c>
      <c r="F257" s="37" t="s">
        <v>38</v>
      </c>
      <c r="G257" s="38">
        <v>3646.67</v>
      </c>
      <c r="H257" s="36">
        <v>443098463</v>
      </c>
      <c r="I257" s="39">
        <v>0</v>
      </c>
      <c r="J257" s="38">
        <v>0</v>
      </c>
      <c r="K257" s="38">
        <v>0</v>
      </c>
      <c r="L257" s="38">
        <v>3.07</v>
      </c>
      <c r="M257" s="38">
        <v>10056.76</v>
      </c>
      <c r="N257" s="46" t="s">
        <v>264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40">
        <v>45917.918124999997</v>
      </c>
      <c r="B258" s="41">
        <v>443885151</v>
      </c>
      <c r="C258" s="42" t="s">
        <v>36</v>
      </c>
      <c r="D258" s="42" t="s">
        <v>39</v>
      </c>
      <c r="E258" s="42" t="s">
        <v>46</v>
      </c>
      <c r="F258" s="42" t="s">
        <v>38</v>
      </c>
      <c r="G258" s="43">
        <v>3649.95</v>
      </c>
      <c r="H258" s="41">
        <v>443099678</v>
      </c>
      <c r="I258" s="44">
        <v>0</v>
      </c>
      <c r="J258" s="43">
        <v>0</v>
      </c>
      <c r="K258" s="43">
        <v>0</v>
      </c>
      <c r="L258" s="43">
        <v>0</v>
      </c>
      <c r="M258" s="43">
        <v>10056.76</v>
      </c>
      <c r="N258" s="45" t="s">
        <v>150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35">
        <v>45917.918136574073</v>
      </c>
      <c r="B259" s="36">
        <v>443885154</v>
      </c>
      <c r="C259" s="37" t="s">
        <v>36</v>
      </c>
      <c r="D259" s="37" t="s">
        <v>39</v>
      </c>
      <c r="E259" s="37" t="s">
        <v>46</v>
      </c>
      <c r="F259" s="37" t="s">
        <v>38</v>
      </c>
      <c r="G259" s="38">
        <v>3649.89</v>
      </c>
      <c r="H259" s="36">
        <v>443099681</v>
      </c>
      <c r="I259" s="39">
        <v>0</v>
      </c>
      <c r="J259" s="38">
        <v>0</v>
      </c>
      <c r="K259" s="38">
        <v>0</v>
      </c>
      <c r="L259" s="38">
        <v>0</v>
      </c>
      <c r="M259" s="38">
        <v>10056.76</v>
      </c>
      <c r="N259" s="46" t="s">
        <v>48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40">
        <v>45917.918136574073</v>
      </c>
      <c r="B260" s="41">
        <v>443885155</v>
      </c>
      <c r="C260" s="42" t="s">
        <v>36</v>
      </c>
      <c r="D260" s="42" t="s">
        <v>39</v>
      </c>
      <c r="E260" s="42" t="s">
        <v>46</v>
      </c>
      <c r="F260" s="42" t="s">
        <v>38</v>
      </c>
      <c r="G260" s="43">
        <v>3650.06</v>
      </c>
      <c r="H260" s="41">
        <v>443099682</v>
      </c>
      <c r="I260" s="44">
        <v>0</v>
      </c>
      <c r="J260" s="43">
        <v>0</v>
      </c>
      <c r="K260" s="43">
        <v>0</v>
      </c>
      <c r="L260" s="43">
        <v>0</v>
      </c>
      <c r="M260" s="43">
        <v>10056.76</v>
      </c>
      <c r="N260" s="45" t="s">
        <v>53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35">
        <v>45917.918136574073</v>
      </c>
      <c r="B261" s="36">
        <v>443885157</v>
      </c>
      <c r="C261" s="37" t="s">
        <v>36</v>
      </c>
      <c r="D261" s="37" t="s">
        <v>39</v>
      </c>
      <c r="E261" s="37" t="s">
        <v>46</v>
      </c>
      <c r="F261" s="37" t="s">
        <v>38</v>
      </c>
      <c r="G261" s="38">
        <v>3650.13</v>
      </c>
      <c r="H261" s="36">
        <v>443099684</v>
      </c>
      <c r="I261" s="39">
        <v>0</v>
      </c>
      <c r="J261" s="38">
        <v>0</v>
      </c>
      <c r="K261" s="38">
        <v>0</v>
      </c>
      <c r="L261" s="38">
        <v>0</v>
      </c>
      <c r="M261" s="38">
        <v>10056.76</v>
      </c>
      <c r="N261" s="46" t="s">
        <v>49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40">
        <v>45917.918252314812</v>
      </c>
      <c r="B262" s="41">
        <v>443885267</v>
      </c>
      <c r="C262" s="42" t="s">
        <v>36</v>
      </c>
      <c r="D262" s="42" t="s">
        <v>37</v>
      </c>
      <c r="E262" s="42" t="s">
        <v>47</v>
      </c>
      <c r="F262" s="42" t="s">
        <v>38</v>
      </c>
      <c r="G262" s="43">
        <v>3652.67</v>
      </c>
      <c r="H262" s="41">
        <v>443099791</v>
      </c>
      <c r="I262" s="44">
        <v>0</v>
      </c>
      <c r="J262" s="43">
        <v>0</v>
      </c>
      <c r="K262" s="43">
        <v>0</v>
      </c>
      <c r="L262" s="43">
        <v>-2.54</v>
      </c>
      <c r="M262" s="43">
        <v>10054.219999999999</v>
      </c>
      <c r="N262" s="45" t="s">
        <v>265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35">
        <v>45917.918263888889</v>
      </c>
      <c r="B263" s="36">
        <v>443885277</v>
      </c>
      <c r="C263" s="37" t="s">
        <v>36</v>
      </c>
      <c r="D263" s="37" t="s">
        <v>37</v>
      </c>
      <c r="E263" s="37" t="s">
        <v>47</v>
      </c>
      <c r="F263" s="37" t="s">
        <v>38</v>
      </c>
      <c r="G263" s="38">
        <v>3653.23</v>
      </c>
      <c r="H263" s="36">
        <v>443099798</v>
      </c>
      <c r="I263" s="39">
        <v>0</v>
      </c>
      <c r="J263" s="38">
        <v>0</v>
      </c>
      <c r="K263" s="38">
        <v>0</v>
      </c>
      <c r="L263" s="38">
        <v>-3.28</v>
      </c>
      <c r="M263" s="38">
        <v>10050.94</v>
      </c>
      <c r="N263" s="46" t="s">
        <v>266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40">
        <v>45917.918263888889</v>
      </c>
      <c r="B264" s="41">
        <v>443885278</v>
      </c>
      <c r="C264" s="42" t="s">
        <v>36</v>
      </c>
      <c r="D264" s="42" t="s">
        <v>37</v>
      </c>
      <c r="E264" s="42" t="s">
        <v>47</v>
      </c>
      <c r="F264" s="42" t="s">
        <v>38</v>
      </c>
      <c r="G264" s="43">
        <v>3653.23</v>
      </c>
      <c r="H264" s="41">
        <v>443099799</v>
      </c>
      <c r="I264" s="44">
        <v>0</v>
      </c>
      <c r="J264" s="43">
        <v>0</v>
      </c>
      <c r="K264" s="43">
        <v>0</v>
      </c>
      <c r="L264" s="43">
        <v>-3.34</v>
      </c>
      <c r="M264" s="43">
        <v>10047.6</v>
      </c>
      <c r="N264" s="45" t="s">
        <v>267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35">
        <v>45917.918263888889</v>
      </c>
      <c r="B265" s="36">
        <v>443885280</v>
      </c>
      <c r="C265" s="37" t="s">
        <v>36</v>
      </c>
      <c r="D265" s="37" t="s">
        <v>37</v>
      </c>
      <c r="E265" s="37" t="s">
        <v>47</v>
      </c>
      <c r="F265" s="37" t="s">
        <v>38</v>
      </c>
      <c r="G265" s="38">
        <v>3653.23</v>
      </c>
      <c r="H265" s="36">
        <v>443099800</v>
      </c>
      <c r="I265" s="39">
        <v>0</v>
      </c>
      <c r="J265" s="38">
        <v>0</v>
      </c>
      <c r="K265" s="38">
        <v>0</v>
      </c>
      <c r="L265" s="38">
        <v>-3.17</v>
      </c>
      <c r="M265" s="38">
        <v>10044.43</v>
      </c>
      <c r="N265" s="46" t="s">
        <v>267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40">
        <v>45917.918356481481</v>
      </c>
      <c r="B266" s="41">
        <v>443885401</v>
      </c>
      <c r="C266" s="42" t="s">
        <v>36</v>
      </c>
      <c r="D266" s="42" t="s">
        <v>39</v>
      </c>
      <c r="E266" s="42" t="s">
        <v>46</v>
      </c>
      <c r="F266" s="42" t="s">
        <v>38</v>
      </c>
      <c r="G266" s="43">
        <v>3652.6</v>
      </c>
      <c r="H266" s="41">
        <v>443099924</v>
      </c>
      <c r="I266" s="44">
        <v>0</v>
      </c>
      <c r="J266" s="43">
        <v>0</v>
      </c>
      <c r="K266" s="43">
        <v>0</v>
      </c>
      <c r="L266" s="43">
        <v>0</v>
      </c>
      <c r="M266" s="43">
        <v>10044.43</v>
      </c>
      <c r="N266" s="45" t="s">
        <v>268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35">
        <v>45917.918541666666</v>
      </c>
      <c r="B267" s="36">
        <v>443885648</v>
      </c>
      <c r="C267" s="37" t="s">
        <v>36</v>
      </c>
      <c r="D267" s="37" t="s">
        <v>37</v>
      </c>
      <c r="E267" s="37" t="s">
        <v>47</v>
      </c>
      <c r="F267" s="37" t="s">
        <v>38</v>
      </c>
      <c r="G267" s="38">
        <v>3655.91</v>
      </c>
      <c r="H267" s="36">
        <v>443100167</v>
      </c>
      <c r="I267" s="39">
        <v>0</v>
      </c>
      <c r="J267" s="38">
        <v>0</v>
      </c>
      <c r="K267" s="38">
        <v>0</v>
      </c>
      <c r="L267" s="38">
        <v>-3.31</v>
      </c>
      <c r="M267" s="38">
        <v>10041.120000000001</v>
      </c>
      <c r="N267" s="46" t="s">
        <v>269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40">
        <v>45917.924259259256</v>
      </c>
      <c r="B268" s="41">
        <v>443890644</v>
      </c>
      <c r="C268" s="42" t="s">
        <v>36</v>
      </c>
      <c r="D268" s="42" t="s">
        <v>39</v>
      </c>
      <c r="E268" s="42" t="s">
        <v>46</v>
      </c>
      <c r="F268" s="42" t="s">
        <v>38</v>
      </c>
      <c r="G268" s="43">
        <v>3658.42</v>
      </c>
      <c r="H268" s="41">
        <v>443105099</v>
      </c>
      <c r="I268" s="44">
        <v>0</v>
      </c>
      <c r="J268" s="43">
        <v>0</v>
      </c>
      <c r="K268" s="43">
        <v>0</v>
      </c>
      <c r="L268" s="43">
        <v>0</v>
      </c>
      <c r="M268" s="43">
        <v>10041.120000000001</v>
      </c>
      <c r="N268" s="45" t="s">
        <v>268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35">
        <v>45917.924699074072</v>
      </c>
      <c r="B269" s="36">
        <v>443891047</v>
      </c>
      <c r="C269" s="37" t="s">
        <v>36</v>
      </c>
      <c r="D269" s="37" t="s">
        <v>37</v>
      </c>
      <c r="E269" s="37" t="s">
        <v>47</v>
      </c>
      <c r="F269" s="37" t="s">
        <v>38</v>
      </c>
      <c r="G269" s="38">
        <v>3654.28</v>
      </c>
      <c r="H269" s="36">
        <v>443105495</v>
      </c>
      <c r="I269" s="39">
        <v>0</v>
      </c>
      <c r="J269" s="38">
        <v>0</v>
      </c>
      <c r="K269" s="38">
        <v>0</v>
      </c>
      <c r="L269" s="38">
        <v>4.1399999999999997</v>
      </c>
      <c r="M269" s="38">
        <v>10045.26</v>
      </c>
      <c r="N269" s="46" t="s">
        <v>270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40">
        <v>45917.930092592593</v>
      </c>
      <c r="B270" s="41">
        <v>443895231</v>
      </c>
      <c r="C270" s="42" t="s">
        <v>36</v>
      </c>
      <c r="D270" s="42" t="s">
        <v>39</v>
      </c>
      <c r="E270" s="42" t="s">
        <v>46</v>
      </c>
      <c r="F270" s="42" t="s">
        <v>38</v>
      </c>
      <c r="G270" s="43">
        <v>3653.5</v>
      </c>
      <c r="H270" s="41">
        <v>443109666</v>
      </c>
      <c r="I270" s="44">
        <v>0</v>
      </c>
      <c r="J270" s="43">
        <v>0</v>
      </c>
      <c r="K270" s="43">
        <v>0</v>
      </c>
      <c r="L270" s="43">
        <v>0</v>
      </c>
      <c r="M270" s="43">
        <v>10045.26</v>
      </c>
      <c r="N270" s="45" t="s">
        <v>268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35">
        <v>45917.931469907409</v>
      </c>
      <c r="B271" s="36">
        <v>443896058</v>
      </c>
      <c r="C271" s="37" t="s">
        <v>36</v>
      </c>
      <c r="D271" s="37" t="s">
        <v>37</v>
      </c>
      <c r="E271" s="37" t="s">
        <v>47</v>
      </c>
      <c r="F271" s="37" t="s">
        <v>38</v>
      </c>
      <c r="G271" s="38">
        <v>3656.86</v>
      </c>
      <c r="H271" s="36">
        <v>443110509</v>
      </c>
      <c r="I271" s="39">
        <v>0</v>
      </c>
      <c r="J271" s="38">
        <v>0</v>
      </c>
      <c r="K271" s="38">
        <v>0</v>
      </c>
      <c r="L271" s="38">
        <v>-3.36</v>
      </c>
      <c r="M271" s="38">
        <v>10041.9</v>
      </c>
      <c r="N271" s="46" t="s">
        <v>271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40">
        <v>45917.939467592594</v>
      </c>
      <c r="B272" s="41">
        <v>443902077</v>
      </c>
      <c r="C272" s="42" t="s">
        <v>36</v>
      </c>
      <c r="D272" s="42" t="s">
        <v>39</v>
      </c>
      <c r="E272" s="42" t="s">
        <v>46</v>
      </c>
      <c r="F272" s="42" t="s">
        <v>38</v>
      </c>
      <c r="G272" s="43">
        <v>3660.15</v>
      </c>
      <c r="H272" s="41">
        <v>443116392</v>
      </c>
      <c r="I272" s="44">
        <v>0</v>
      </c>
      <c r="J272" s="43">
        <v>0</v>
      </c>
      <c r="K272" s="43">
        <v>0</v>
      </c>
      <c r="L272" s="43">
        <v>0</v>
      </c>
      <c r="M272" s="43">
        <v>10041.9</v>
      </c>
      <c r="N272" s="45" t="s">
        <v>268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35">
        <v>45917.939583333333</v>
      </c>
      <c r="B273" s="36">
        <v>443902132</v>
      </c>
      <c r="C273" s="37" t="s">
        <v>36</v>
      </c>
      <c r="D273" s="37" t="s">
        <v>37</v>
      </c>
      <c r="E273" s="37" t="s">
        <v>46</v>
      </c>
      <c r="F273" s="37" t="s">
        <v>38</v>
      </c>
      <c r="G273" s="38">
        <v>3661.29</v>
      </c>
      <c r="H273" s="36">
        <v>443116447</v>
      </c>
      <c r="I273" s="39">
        <v>0</v>
      </c>
      <c r="J273" s="38">
        <v>0</v>
      </c>
      <c r="K273" s="38">
        <v>0</v>
      </c>
      <c r="L273" s="38">
        <v>0</v>
      </c>
      <c r="M273" s="38">
        <v>10041.9</v>
      </c>
      <c r="N273" s="46" t="s">
        <v>53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40">
        <v>45917.939583333333</v>
      </c>
      <c r="B274" s="41">
        <v>443902136</v>
      </c>
      <c r="C274" s="42" t="s">
        <v>36</v>
      </c>
      <c r="D274" s="42" t="s">
        <v>37</v>
      </c>
      <c r="E274" s="42" t="s">
        <v>46</v>
      </c>
      <c r="F274" s="42" t="s">
        <v>38</v>
      </c>
      <c r="G274" s="43">
        <v>3661.23</v>
      </c>
      <c r="H274" s="41">
        <v>443116451</v>
      </c>
      <c r="I274" s="44">
        <v>0</v>
      </c>
      <c r="J274" s="43">
        <v>0</v>
      </c>
      <c r="K274" s="43">
        <v>0</v>
      </c>
      <c r="L274" s="43">
        <v>0</v>
      </c>
      <c r="M274" s="43">
        <v>10041.9</v>
      </c>
      <c r="N274" s="45" t="s">
        <v>49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35">
        <v>45917.939583333333</v>
      </c>
      <c r="B275" s="36">
        <v>443902137</v>
      </c>
      <c r="C275" s="37" t="s">
        <v>36</v>
      </c>
      <c r="D275" s="37" t="s">
        <v>37</v>
      </c>
      <c r="E275" s="37" t="s">
        <v>46</v>
      </c>
      <c r="F275" s="37" t="s">
        <v>38</v>
      </c>
      <c r="G275" s="38">
        <v>3661.03</v>
      </c>
      <c r="H275" s="36">
        <v>443116453</v>
      </c>
      <c r="I275" s="39">
        <v>0</v>
      </c>
      <c r="J275" s="38">
        <v>0</v>
      </c>
      <c r="K275" s="38">
        <v>0</v>
      </c>
      <c r="L275" s="38">
        <v>0</v>
      </c>
      <c r="M275" s="38">
        <v>10041.9</v>
      </c>
      <c r="N275" s="46" t="s">
        <v>48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40">
        <v>45917.939583333333</v>
      </c>
      <c r="B276" s="41">
        <v>443902138</v>
      </c>
      <c r="C276" s="42" t="s">
        <v>36</v>
      </c>
      <c r="D276" s="42" t="s">
        <v>37</v>
      </c>
      <c r="E276" s="42" t="s">
        <v>46</v>
      </c>
      <c r="F276" s="42" t="s">
        <v>38</v>
      </c>
      <c r="G276" s="43">
        <v>3661.14</v>
      </c>
      <c r="H276" s="41">
        <v>443116454</v>
      </c>
      <c r="I276" s="44">
        <v>0</v>
      </c>
      <c r="J276" s="43">
        <v>0</v>
      </c>
      <c r="K276" s="43">
        <v>0</v>
      </c>
      <c r="L276" s="43">
        <v>0</v>
      </c>
      <c r="M276" s="43">
        <v>10041.9</v>
      </c>
      <c r="N276" s="45" t="s">
        <v>150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35">
        <v>45917.94054398148</v>
      </c>
      <c r="B277" s="36">
        <v>443902463</v>
      </c>
      <c r="C277" s="37" t="s">
        <v>36</v>
      </c>
      <c r="D277" s="37" t="s">
        <v>39</v>
      </c>
      <c r="E277" s="37" t="s">
        <v>47</v>
      </c>
      <c r="F277" s="37" t="s">
        <v>38</v>
      </c>
      <c r="G277" s="38">
        <v>3658.72</v>
      </c>
      <c r="H277" s="36">
        <v>443116772</v>
      </c>
      <c r="I277" s="39">
        <v>0</v>
      </c>
      <c r="J277" s="38">
        <v>0</v>
      </c>
      <c r="K277" s="38">
        <v>0</v>
      </c>
      <c r="L277" s="38">
        <v>-2.5099999999999998</v>
      </c>
      <c r="M277" s="38">
        <v>10039.39</v>
      </c>
      <c r="N277" s="46" t="s">
        <v>365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40">
        <v>45917.94054398148</v>
      </c>
      <c r="B278" s="41">
        <v>443902473</v>
      </c>
      <c r="C278" s="42" t="s">
        <v>36</v>
      </c>
      <c r="D278" s="42" t="s">
        <v>39</v>
      </c>
      <c r="E278" s="42" t="s">
        <v>47</v>
      </c>
      <c r="F278" s="42" t="s">
        <v>38</v>
      </c>
      <c r="G278" s="43">
        <v>3658.31</v>
      </c>
      <c r="H278" s="41">
        <v>443116784</v>
      </c>
      <c r="I278" s="44">
        <v>0</v>
      </c>
      <c r="J278" s="43">
        <v>0</v>
      </c>
      <c r="K278" s="43">
        <v>0</v>
      </c>
      <c r="L278" s="43">
        <v>-2.98</v>
      </c>
      <c r="M278" s="43">
        <v>10036.41</v>
      </c>
      <c r="N278" s="45" t="s">
        <v>366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35">
        <v>45917.940555555557</v>
      </c>
      <c r="B279" s="36">
        <v>443902480</v>
      </c>
      <c r="C279" s="37" t="s">
        <v>36</v>
      </c>
      <c r="D279" s="37" t="s">
        <v>39</v>
      </c>
      <c r="E279" s="37" t="s">
        <v>47</v>
      </c>
      <c r="F279" s="37" t="s">
        <v>38</v>
      </c>
      <c r="G279" s="38">
        <v>3658.12</v>
      </c>
      <c r="H279" s="36">
        <v>443116789</v>
      </c>
      <c r="I279" s="39">
        <v>0</v>
      </c>
      <c r="J279" s="38">
        <v>0</v>
      </c>
      <c r="K279" s="38">
        <v>0</v>
      </c>
      <c r="L279" s="38">
        <v>-2.91</v>
      </c>
      <c r="M279" s="38">
        <v>10033.5</v>
      </c>
      <c r="N279" s="46" t="s">
        <v>367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40">
        <v>45917.940555555557</v>
      </c>
      <c r="B280" s="41">
        <v>443902482</v>
      </c>
      <c r="C280" s="42" t="s">
        <v>36</v>
      </c>
      <c r="D280" s="42" t="s">
        <v>39</v>
      </c>
      <c r="E280" s="42" t="s">
        <v>47</v>
      </c>
      <c r="F280" s="42" t="s">
        <v>38</v>
      </c>
      <c r="G280" s="43">
        <v>3658.12</v>
      </c>
      <c r="H280" s="41">
        <v>443116790</v>
      </c>
      <c r="I280" s="44">
        <v>0</v>
      </c>
      <c r="J280" s="43">
        <v>0</v>
      </c>
      <c r="K280" s="43">
        <v>0</v>
      </c>
      <c r="L280" s="43">
        <v>-3.02</v>
      </c>
      <c r="M280" s="43">
        <v>10030.48</v>
      </c>
      <c r="N280" s="45" t="s">
        <v>367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35">
        <v>45917.940972222219</v>
      </c>
      <c r="B281" s="36">
        <v>443902902</v>
      </c>
      <c r="C281" s="37" t="s">
        <v>36</v>
      </c>
      <c r="D281" s="37" t="s">
        <v>37</v>
      </c>
      <c r="E281" s="37" t="s">
        <v>47</v>
      </c>
      <c r="F281" s="37" t="s">
        <v>38</v>
      </c>
      <c r="G281" s="38">
        <v>3663.17</v>
      </c>
      <c r="H281" s="36">
        <v>443117209</v>
      </c>
      <c r="I281" s="39">
        <v>0</v>
      </c>
      <c r="J281" s="38">
        <v>0</v>
      </c>
      <c r="K281" s="38">
        <v>0</v>
      </c>
      <c r="L281" s="38">
        <v>-3.02</v>
      </c>
      <c r="M281" s="38">
        <v>10027.459999999999</v>
      </c>
      <c r="N281" s="46" t="s">
        <v>368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40">
        <v>45917.942939814813</v>
      </c>
      <c r="B282" s="41">
        <v>443904369</v>
      </c>
      <c r="C282" s="42" t="s">
        <v>36</v>
      </c>
      <c r="D282" s="42" t="s">
        <v>39</v>
      </c>
      <c r="E282" s="42" t="s">
        <v>46</v>
      </c>
      <c r="F282" s="42" t="s">
        <v>38</v>
      </c>
      <c r="G282" s="43">
        <v>3661.22</v>
      </c>
      <c r="H282" s="41">
        <v>443118670</v>
      </c>
      <c r="I282" s="44">
        <v>0</v>
      </c>
      <c r="J282" s="43">
        <v>0</v>
      </c>
      <c r="K282" s="43">
        <v>0</v>
      </c>
      <c r="L282" s="43">
        <v>0</v>
      </c>
      <c r="M282" s="43">
        <v>10027.459999999999</v>
      </c>
      <c r="N282" s="45" t="s">
        <v>268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35">
        <v>45917.950659722221</v>
      </c>
      <c r="B283" s="36">
        <v>443908832</v>
      </c>
      <c r="C283" s="37" t="s">
        <v>36</v>
      </c>
      <c r="D283" s="37" t="s">
        <v>37</v>
      </c>
      <c r="E283" s="37" t="s">
        <v>47</v>
      </c>
      <c r="F283" s="37" t="s">
        <v>38</v>
      </c>
      <c r="G283" s="38">
        <v>3657.6</v>
      </c>
      <c r="H283" s="36">
        <v>443123121</v>
      </c>
      <c r="I283" s="39">
        <v>0</v>
      </c>
      <c r="J283" s="38">
        <v>0</v>
      </c>
      <c r="K283" s="38">
        <v>0</v>
      </c>
      <c r="L283" s="38">
        <v>3.62</v>
      </c>
      <c r="M283" s="38">
        <v>10031.08</v>
      </c>
      <c r="N283" s="46" t="s">
        <v>369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40">
        <v>45917.953703703701</v>
      </c>
      <c r="B284" s="41">
        <v>443910080</v>
      </c>
      <c r="C284" s="42" t="s">
        <v>36</v>
      </c>
      <c r="D284" s="42" t="s">
        <v>39</v>
      </c>
      <c r="E284" s="42" t="s">
        <v>46</v>
      </c>
      <c r="F284" s="42" t="s">
        <v>38</v>
      </c>
      <c r="G284" s="43">
        <v>3658.02</v>
      </c>
      <c r="H284" s="41">
        <v>443124351</v>
      </c>
      <c r="I284" s="44">
        <v>0</v>
      </c>
      <c r="J284" s="43">
        <v>0</v>
      </c>
      <c r="K284" s="43">
        <v>0</v>
      </c>
      <c r="L284" s="43">
        <v>0</v>
      </c>
      <c r="M284" s="43">
        <v>10031.08</v>
      </c>
      <c r="N284" s="45" t="s">
        <v>150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35">
        <v>45917.953703703701</v>
      </c>
      <c r="B285" s="36">
        <v>443910081</v>
      </c>
      <c r="C285" s="37" t="s">
        <v>36</v>
      </c>
      <c r="D285" s="37" t="s">
        <v>39</v>
      </c>
      <c r="E285" s="37" t="s">
        <v>46</v>
      </c>
      <c r="F285" s="37" t="s">
        <v>38</v>
      </c>
      <c r="G285" s="38">
        <v>3658.06</v>
      </c>
      <c r="H285" s="36">
        <v>443124352</v>
      </c>
      <c r="I285" s="39">
        <v>0</v>
      </c>
      <c r="J285" s="38">
        <v>0</v>
      </c>
      <c r="K285" s="38">
        <v>0</v>
      </c>
      <c r="L285" s="38">
        <v>0</v>
      </c>
      <c r="M285" s="38">
        <v>10031.08</v>
      </c>
      <c r="N285" s="46" t="s">
        <v>48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40">
        <v>45917.953703703701</v>
      </c>
      <c r="B286" s="41">
        <v>443910082</v>
      </c>
      <c r="C286" s="42" t="s">
        <v>36</v>
      </c>
      <c r="D286" s="42" t="s">
        <v>39</v>
      </c>
      <c r="E286" s="42" t="s">
        <v>46</v>
      </c>
      <c r="F286" s="42" t="s">
        <v>38</v>
      </c>
      <c r="G286" s="43">
        <v>3658.1</v>
      </c>
      <c r="H286" s="41">
        <v>443124353</v>
      </c>
      <c r="I286" s="44">
        <v>0</v>
      </c>
      <c r="J286" s="43">
        <v>0</v>
      </c>
      <c r="K286" s="43">
        <v>0</v>
      </c>
      <c r="L286" s="43">
        <v>0</v>
      </c>
      <c r="M286" s="43">
        <v>10031.08</v>
      </c>
      <c r="N286" s="45" t="s">
        <v>53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35">
        <v>45917.953703703701</v>
      </c>
      <c r="B287" s="36">
        <v>443910083</v>
      </c>
      <c r="C287" s="37" t="s">
        <v>36</v>
      </c>
      <c r="D287" s="37" t="s">
        <v>39</v>
      </c>
      <c r="E287" s="37" t="s">
        <v>46</v>
      </c>
      <c r="F287" s="37" t="s">
        <v>38</v>
      </c>
      <c r="G287" s="38">
        <v>3658.13</v>
      </c>
      <c r="H287" s="36">
        <v>443124354</v>
      </c>
      <c r="I287" s="39">
        <v>0</v>
      </c>
      <c r="J287" s="38">
        <v>0</v>
      </c>
      <c r="K287" s="38">
        <v>0</v>
      </c>
      <c r="L287" s="38">
        <v>0</v>
      </c>
      <c r="M287" s="38">
        <v>10031.08</v>
      </c>
      <c r="N287" s="46" t="s">
        <v>49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40">
        <v>45917.954282407409</v>
      </c>
      <c r="B288" s="41">
        <v>443910418</v>
      </c>
      <c r="C288" s="42" t="s">
        <v>36</v>
      </c>
      <c r="D288" s="42" t="s">
        <v>39</v>
      </c>
      <c r="E288" s="42" t="s">
        <v>46</v>
      </c>
      <c r="F288" s="42" t="s">
        <v>38</v>
      </c>
      <c r="G288" s="43">
        <v>3659.01</v>
      </c>
      <c r="H288" s="41">
        <v>443124689</v>
      </c>
      <c r="I288" s="44">
        <v>0</v>
      </c>
      <c r="J288" s="43">
        <v>0</v>
      </c>
      <c r="K288" s="43">
        <v>0</v>
      </c>
      <c r="L288" s="43">
        <v>0</v>
      </c>
      <c r="M288" s="43">
        <v>10031.08</v>
      </c>
      <c r="N288" s="45" t="s">
        <v>268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35">
        <v>45917.955648148149</v>
      </c>
      <c r="B289" s="36">
        <v>443910939</v>
      </c>
      <c r="C289" s="37" t="s">
        <v>36</v>
      </c>
      <c r="D289" s="37" t="s">
        <v>37</v>
      </c>
      <c r="E289" s="37" t="s">
        <v>47</v>
      </c>
      <c r="F289" s="37" t="s">
        <v>38</v>
      </c>
      <c r="G289" s="38">
        <v>3660.62</v>
      </c>
      <c r="H289" s="36">
        <v>443125217</v>
      </c>
      <c r="I289" s="39">
        <v>0</v>
      </c>
      <c r="J289" s="38">
        <v>0</v>
      </c>
      <c r="K289" s="38">
        <v>0</v>
      </c>
      <c r="L289" s="38">
        <v>-2.4900000000000002</v>
      </c>
      <c r="M289" s="38">
        <v>10028.59</v>
      </c>
      <c r="N289" s="46" t="s">
        <v>370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40">
        <v>45917.955752314818</v>
      </c>
      <c r="B290" s="41">
        <v>443911014</v>
      </c>
      <c r="C290" s="42" t="s">
        <v>36</v>
      </c>
      <c r="D290" s="42" t="s">
        <v>37</v>
      </c>
      <c r="E290" s="42" t="s">
        <v>47</v>
      </c>
      <c r="F290" s="42" t="s">
        <v>38</v>
      </c>
      <c r="G290" s="43">
        <v>3661.02</v>
      </c>
      <c r="H290" s="41">
        <v>443125291</v>
      </c>
      <c r="I290" s="44">
        <v>0</v>
      </c>
      <c r="J290" s="43">
        <v>0</v>
      </c>
      <c r="K290" s="43">
        <v>0</v>
      </c>
      <c r="L290" s="43">
        <v>-2.96</v>
      </c>
      <c r="M290" s="43">
        <v>10025.629999999999</v>
      </c>
      <c r="N290" s="45" t="s">
        <v>371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35">
        <v>45917.955752314818</v>
      </c>
      <c r="B291" s="36">
        <v>443911015</v>
      </c>
      <c r="C291" s="37" t="s">
        <v>36</v>
      </c>
      <c r="D291" s="37" t="s">
        <v>37</v>
      </c>
      <c r="E291" s="37" t="s">
        <v>47</v>
      </c>
      <c r="F291" s="37" t="s">
        <v>38</v>
      </c>
      <c r="G291" s="38">
        <v>3661.02</v>
      </c>
      <c r="H291" s="36">
        <v>443125292</v>
      </c>
      <c r="I291" s="39">
        <v>0</v>
      </c>
      <c r="J291" s="38">
        <v>0</v>
      </c>
      <c r="K291" s="38">
        <v>0</v>
      </c>
      <c r="L291" s="38">
        <v>-2.92</v>
      </c>
      <c r="M291" s="38">
        <v>10022.709999999999</v>
      </c>
      <c r="N291" s="46" t="s">
        <v>371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40">
        <v>45917.955787037034</v>
      </c>
      <c r="B292" s="41">
        <v>443911053</v>
      </c>
      <c r="C292" s="42" t="s">
        <v>36</v>
      </c>
      <c r="D292" s="42" t="s">
        <v>37</v>
      </c>
      <c r="E292" s="42" t="s">
        <v>47</v>
      </c>
      <c r="F292" s="42" t="s">
        <v>38</v>
      </c>
      <c r="G292" s="43">
        <v>3661.08</v>
      </c>
      <c r="H292" s="41">
        <v>443125330</v>
      </c>
      <c r="I292" s="44">
        <v>0</v>
      </c>
      <c r="J292" s="43">
        <v>0</v>
      </c>
      <c r="K292" s="43">
        <v>0</v>
      </c>
      <c r="L292" s="43">
        <v>-3.06</v>
      </c>
      <c r="M292" s="43">
        <v>10019.65</v>
      </c>
      <c r="N292" s="45" t="s">
        <v>372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35">
        <v>45917.971053240741</v>
      </c>
      <c r="B293" s="36">
        <v>443916974</v>
      </c>
      <c r="C293" s="37" t="s">
        <v>36</v>
      </c>
      <c r="D293" s="37" t="s">
        <v>39</v>
      </c>
      <c r="E293" s="37" t="s">
        <v>46</v>
      </c>
      <c r="F293" s="37" t="s">
        <v>38</v>
      </c>
      <c r="G293" s="38">
        <v>3658.56</v>
      </c>
      <c r="H293" s="36">
        <v>443131211</v>
      </c>
      <c r="I293" s="39">
        <v>0</v>
      </c>
      <c r="J293" s="38">
        <v>0</v>
      </c>
      <c r="K293" s="38">
        <v>0</v>
      </c>
      <c r="L293" s="38">
        <v>0</v>
      </c>
      <c r="M293" s="38">
        <v>10019.65</v>
      </c>
      <c r="N293" s="46" t="s">
        <v>150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40">
        <v>45917.971064814818</v>
      </c>
      <c r="B294" s="41">
        <v>443916977</v>
      </c>
      <c r="C294" s="42" t="s">
        <v>36</v>
      </c>
      <c r="D294" s="42" t="s">
        <v>39</v>
      </c>
      <c r="E294" s="42" t="s">
        <v>46</v>
      </c>
      <c r="F294" s="42" t="s">
        <v>38</v>
      </c>
      <c r="G294" s="43">
        <v>3658.56</v>
      </c>
      <c r="H294" s="41">
        <v>443131214</v>
      </c>
      <c r="I294" s="44">
        <v>0</v>
      </c>
      <c r="J294" s="43">
        <v>0</v>
      </c>
      <c r="K294" s="43">
        <v>0</v>
      </c>
      <c r="L294" s="43">
        <v>0</v>
      </c>
      <c r="M294" s="43">
        <v>10019.65</v>
      </c>
      <c r="N294" s="45" t="s">
        <v>49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35">
        <v>45917.971064814818</v>
      </c>
      <c r="B295" s="36">
        <v>443916978</v>
      </c>
      <c r="C295" s="37" t="s">
        <v>36</v>
      </c>
      <c r="D295" s="37" t="s">
        <v>39</v>
      </c>
      <c r="E295" s="37" t="s">
        <v>46</v>
      </c>
      <c r="F295" s="37" t="s">
        <v>38</v>
      </c>
      <c r="G295" s="38">
        <v>3658.54</v>
      </c>
      <c r="H295" s="36">
        <v>443131215</v>
      </c>
      <c r="I295" s="39">
        <v>0</v>
      </c>
      <c r="J295" s="38">
        <v>0</v>
      </c>
      <c r="K295" s="38">
        <v>0</v>
      </c>
      <c r="L295" s="38">
        <v>0</v>
      </c>
      <c r="M295" s="38">
        <v>10019.65</v>
      </c>
      <c r="N295" s="46" t="s">
        <v>53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40">
        <v>45917.971064814818</v>
      </c>
      <c r="B296" s="41">
        <v>443916979</v>
      </c>
      <c r="C296" s="42" t="s">
        <v>36</v>
      </c>
      <c r="D296" s="42" t="s">
        <v>39</v>
      </c>
      <c r="E296" s="42" t="s">
        <v>46</v>
      </c>
      <c r="F296" s="42" t="s">
        <v>38</v>
      </c>
      <c r="G296" s="43">
        <v>3658.6</v>
      </c>
      <c r="H296" s="41">
        <v>443131216</v>
      </c>
      <c r="I296" s="44">
        <v>0</v>
      </c>
      <c r="J296" s="43">
        <v>0</v>
      </c>
      <c r="K296" s="43">
        <v>0</v>
      </c>
      <c r="L296" s="43">
        <v>0</v>
      </c>
      <c r="M296" s="43">
        <v>10019.65</v>
      </c>
      <c r="N296" s="45" t="s">
        <v>48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35">
        <v>45917.973738425928</v>
      </c>
      <c r="B297" s="36">
        <v>443917471</v>
      </c>
      <c r="C297" s="37" t="s">
        <v>36</v>
      </c>
      <c r="D297" s="37" t="s">
        <v>37</v>
      </c>
      <c r="E297" s="37" t="s">
        <v>47</v>
      </c>
      <c r="F297" s="37" t="s">
        <v>38</v>
      </c>
      <c r="G297" s="38">
        <v>3656.95</v>
      </c>
      <c r="H297" s="36">
        <v>443131706</v>
      </c>
      <c r="I297" s="39">
        <v>0</v>
      </c>
      <c r="J297" s="38">
        <v>0</v>
      </c>
      <c r="K297" s="38">
        <v>0</v>
      </c>
      <c r="L297" s="38">
        <v>1.61</v>
      </c>
      <c r="M297" s="38">
        <v>10021.26</v>
      </c>
      <c r="N297" s="46" t="s">
        <v>373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40">
        <v>45917.975219907406</v>
      </c>
      <c r="B298" s="41">
        <v>443918046</v>
      </c>
      <c r="C298" s="42" t="s">
        <v>36</v>
      </c>
      <c r="D298" s="42" t="s">
        <v>39</v>
      </c>
      <c r="E298" s="42" t="s">
        <v>46</v>
      </c>
      <c r="F298" s="42" t="s">
        <v>38</v>
      </c>
      <c r="G298" s="43">
        <v>3657.97</v>
      </c>
      <c r="H298" s="41">
        <v>443132270</v>
      </c>
      <c r="I298" s="44">
        <v>0</v>
      </c>
      <c r="J298" s="43">
        <v>0</v>
      </c>
      <c r="K298" s="43">
        <v>0</v>
      </c>
      <c r="L298" s="43">
        <v>0</v>
      </c>
      <c r="M298" s="43">
        <v>10021.26</v>
      </c>
      <c r="N298" s="45" t="s">
        <v>150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35">
        <v>45917.975231481483</v>
      </c>
      <c r="B299" s="36">
        <v>443918047</v>
      </c>
      <c r="C299" s="37" t="s">
        <v>36</v>
      </c>
      <c r="D299" s="37" t="s">
        <v>37</v>
      </c>
      <c r="E299" s="37" t="s">
        <v>47</v>
      </c>
      <c r="F299" s="37" t="s">
        <v>38</v>
      </c>
      <c r="G299" s="38">
        <v>3658.27</v>
      </c>
      <c r="H299" s="36">
        <v>443132271</v>
      </c>
      <c r="I299" s="39">
        <v>0</v>
      </c>
      <c r="J299" s="38">
        <v>0</v>
      </c>
      <c r="K299" s="38">
        <v>0</v>
      </c>
      <c r="L299" s="38">
        <v>0.28999999999999998</v>
      </c>
      <c r="M299" s="38">
        <v>10021.549999999999</v>
      </c>
      <c r="N299" s="46" t="s">
        <v>374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40">
        <v>45917.975231481483</v>
      </c>
      <c r="B300" s="41">
        <v>443918048</v>
      </c>
      <c r="C300" s="42" t="s">
        <v>36</v>
      </c>
      <c r="D300" s="42" t="s">
        <v>37</v>
      </c>
      <c r="E300" s="42" t="s">
        <v>47</v>
      </c>
      <c r="F300" s="42" t="s">
        <v>38</v>
      </c>
      <c r="G300" s="43">
        <v>3658.27</v>
      </c>
      <c r="H300" s="41">
        <v>443132272</v>
      </c>
      <c r="I300" s="44">
        <v>0</v>
      </c>
      <c r="J300" s="43">
        <v>0</v>
      </c>
      <c r="K300" s="43">
        <v>0</v>
      </c>
      <c r="L300" s="43">
        <v>0.27</v>
      </c>
      <c r="M300" s="43">
        <v>10021.82</v>
      </c>
      <c r="N300" s="45" t="s">
        <v>374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35">
        <v>45917.975231481483</v>
      </c>
      <c r="B301" s="36">
        <v>443918049</v>
      </c>
      <c r="C301" s="37" t="s">
        <v>36</v>
      </c>
      <c r="D301" s="37" t="s">
        <v>37</v>
      </c>
      <c r="E301" s="37" t="s">
        <v>47</v>
      </c>
      <c r="F301" s="37" t="s">
        <v>38</v>
      </c>
      <c r="G301" s="38">
        <v>3658.27</v>
      </c>
      <c r="H301" s="36">
        <v>443132273</v>
      </c>
      <c r="I301" s="39">
        <v>0</v>
      </c>
      <c r="J301" s="38">
        <v>0</v>
      </c>
      <c r="K301" s="38">
        <v>0</v>
      </c>
      <c r="L301" s="38">
        <v>0.33</v>
      </c>
      <c r="M301" s="38">
        <v>10022.15</v>
      </c>
      <c r="N301" s="46" t="s">
        <v>374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40">
        <v>45917.975335648145</v>
      </c>
      <c r="B302" s="41">
        <v>443918055</v>
      </c>
      <c r="C302" s="42" t="s">
        <v>36</v>
      </c>
      <c r="D302" s="42" t="s">
        <v>39</v>
      </c>
      <c r="E302" s="42" t="s">
        <v>46</v>
      </c>
      <c r="F302" s="42" t="s">
        <v>38</v>
      </c>
      <c r="G302" s="43">
        <v>3657.95</v>
      </c>
      <c r="H302" s="41">
        <v>443132277</v>
      </c>
      <c r="I302" s="44">
        <v>0</v>
      </c>
      <c r="J302" s="43">
        <v>0</v>
      </c>
      <c r="K302" s="43">
        <v>0</v>
      </c>
      <c r="L302" s="43">
        <v>0</v>
      </c>
      <c r="M302" s="43">
        <v>10022.15</v>
      </c>
      <c r="N302" s="45" t="s">
        <v>53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35">
        <v>45917.975347222222</v>
      </c>
      <c r="B303" s="36">
        <v>443918057</v>
      </c>
      <c r="C303" s="37" t="s">
        <v>36</v>
      </c>
      <c r="D303" s="37" t="s">
        <v>39</v>
      </c>
      <c r="E303" s="37" t="s">
        <v>46</v>
      </c>
      <c r="F303" s="37" t="s">
        <v>38</v>
      </c>
      <c r="G303" s="38">
        <v>3657.95</v>
      </c>
      <c r="H303" s="36">
        <v>443132279</v>
      </c>
      <c r="I303" s="39">
        <v>0</v>
      </c>
      <c r="J303" s="38">
        <v>0</v>
      </c>
      <c r="K303" s="38">
        <v>0</v>
      </c>
      <c r="L303" s="38">
        <v>0</v>
      </c>
      <c r="M303" s="38">
        <v>10022.15</v>
      </c>
      <c r="N303" s="46" t="s">
        <v>49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40">
        <v>45917.975347222222</v>
      </c>
      <c r="B304" s="41">
        <v>443918058</v>
      </c>
      <c r="C304" s="42" t="s">
        <v>36</v>
      </c>
      <c r="D304" s="42" t="s">
        <v>39</v>
      </c>
      <c r="E304" s="42" t="s">
        <v>46</v>
      </c>
      <c r="F304" s="42" t="s">
        <v>38</v>
      </c>
      <c r="G304" s="43">
        <v>3657.95</v>
      </c>
      <c r="H304" s="41">
        <v>443132280</v>
      </c>
      <c r="I304" s="44">
        <v>0</v>
      </c>
      <c r="J304" s="43">
        <v>0</v>
      </c>
      <c r="K304" s="43">
        <v>0</v>
      </c>
      <c r="L304" s="43">
        <v>0</v>
      </c>
      <c r="M304" s="43">
        <v>10022.15</v>
      </c>
      <c r="N304" s="45" t="s">
        <v>48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35">
        <v>45917.978495370371</v>
      </c>
      <c r="B305" s="36">
        <v>443918649</v>
      </c>
      <c r="C305" s="37" t="s">
        <v>36</v>
      </c>
      <c r="D305" s="37" t="s">
        <v>37</v>
      </c>
      <c r="E305" s="37" t="s">
        <v>47</v>
      </c>
      <c r="F305" s="37" t="s">
        <v>38</v>
      </c>
      <c r="G305" s="38">
        <v>3660.45</v>
      </c>
      <c r="H305" s="36">
        <v>443132860</v>
      </c>
      <c r="I305" s="39">
        <v>0</v>
      </c>
      <c r="J305" s="38">
        <v>0</v>
      </c>
      <c r="K305" s="38">
        <v>0</v>
      </c>
      <c r="L305" s="38">
        <v>-2.5</v>
      </c>
      <c r="M305" s="38">
        <v>10019.65</v>
      </c>
      <c r="N305" s="46" t="s">
        <v>375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40">
        <v>45918.0465625</v>
      </c>
      <c r="B306" s="41">
        <v>443929259</v>
      </c>
      <c r="C306" s="42" t="s">
        <v>36</v>
      </c>
      <c r="D306" s="42" t="s">
        <v>37</v>
      </c>
      <c r="E306" s="42" t="s">
        <v>47</v>
      </c>
      <c r="F306" s="42" t="s">
        <v>38</v>
      </c>
      <c r="G306" s="43">
        <v>3655.39</v>
      </c>
      <c r="H306" s="41">
        <v>443140636</v>
      </c>
      <c r="I306" s="44">
        <v>0</v>
      </c>
      <c r="J306" s="43">
        <v>0</v>
      </c>
      <c r="K306" s="43">
        <v>0</v>
      </c>
      <c r="L306" s="43">
        <v>3.62</v>
      </c>
      <c r="M306" s="43">
        <v>10023.27</v>
      </c>
      <c r="N306" s="45" t="s">
        <v>376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35">
        <v>45918.0465625</v>
      </c>
      <c r="B307" s="36">
        <v>443929261</v>
      </c>
      <c r="C307" s="37" t="s">
        <v>36</v>
      </c>
      <c r="D307" s="37" t="s">
        <v>37</v>
      </c>
      <c r="E307" s="37" t="s">
        <v>47</v>
      </c>
      <c r="F307" s="37" t="s">
        <v>38</v>
      </c>
      <c r="G307" s="38">
        <v>3655.39</v>
      </c>
      <c r="H307" s="36">
        <v>443140637</v>
      </c>
      <c r="I307" s="39">
        <v>0</v>
      </c>
      <c r="J307" s="38">
        <v>0</v>
      </c>
      <c r="K307" s="38">
        <v>0</v>
      </c>
      <c r="L307" s="38">
        <v>2.58</v>
      </c>
      <c r="M307" s="38">
        <v>10025.85</v>
      </c>
      <c r="N307" s="46" t="s">
        <v>377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40">
        <v>45918.047210648147</v>
      </c>
      <c r="B308" s="41">
        <v>443930220</v>
      </c>
      <c r="C308" s="42" t="s">
        <v>36</v>
      </c>
      <c r="D308" s="42" t="s">
        <v>39</v>
      </c>
      <c r="E308" s="42" t="s">
        <v>46</v>
      </c>
      <c r="F308" s="42" t="s">
        <v>38</v>
      </c>
      <c r="G308" s="43">
        <v>3658.06</v>
      </c>
      <c r="H308" s="41">
        <v>443141588</v>
      </c>
      <c r="I308" s="44">
        <v>0</v>
      </c>
      <c r="J308" s="43">
        <v>0</v>
      </c>
      <c r="K308" s="43">
        <v>0</v>
      </c>
      <c r="L308" s="43">
        <v>0</v>
      </c>
      <c r="M308" s="43">
        <v>10025.85</v>
      </c>
      <c r="N308" s="45" t="s">
        <v>125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35">
        <v>45918.047210648147</v>
      </c>
      <c r="B309" s="36">
        <v>443930221</v>
      </c>
      <c r="C309" s="37" t="s">
        <v>36</v>
      </c>
      <c r="D309" s="37" t="s">
        <v>39</v>
      </c>
      <c r="E309" s="37" t="s">
        <v>46</v>
      </c>
      <c r="F309" s="37" t="s">
        <v>38</v>
      </c>
      <c r="G309" s="38">
        <v>3658.08</v>
      </c>
      <c r="H309" s="36">
        <v>443141589</v>
      </c>
      <c r="I309" s="39">
        <v>0</v>
      </c>
      <c r="J309" s="38">
        <v>0</v>
      </c>
      <c r="K309" s="38">
        <v>0</v>
      </c>
      <c r="L309" s="38">
        <v>0</v>
      </c>
      <c r="M309" s="38">
        <v>10025.85</v>
      </c>
      <c r="N309" s="46" t="s">
        <v>124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40">
        <v>45918.047534722224</v>
      </c>
      <c r="B310" s="41">
        <v>443930281</v>
      </c>
      <c r="C310" s="42" t="s">
        <v>36</v>
      </c>
      <c r="D310" s="42" t="s">
        <v>37</v>
      </c>
      <c r="E310" s="42" t="s">
        <v>47</v>
      </c>
      <c r="F310" s="42" t="s">
        <v>38</v>
      </c>
      <c r="G310" s="43">
        <v>3658.67</v>
      </c>
      <c r="H310" s="41">
        <v>443141642</v>
      </c>
      <c r="I310" s="44">
        <v>0</v>
      </c>
      <c r="J310" s="43">
        <v>0</v>
      </c>
      <c r="K310" s="43">
        <v>0</v>
      </c>
      <c r="L310" s="43">
        <v>-0.72</v>
      </c>
      <c r="M310" s="43">
        <v>10025.129999999999</v>
      </c>
      <c r="N310" s="45" t="s">
        <v>378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35">
        <v>45918.047534722224</v>
      </c>
      <c r="B311" s="36">
        <v>443930282</v>
      </c>
      <c r="C311" s="37" t="s">
        <v>36</v>
      </c>
      <c r="D311" s="37" t="s">
        <v>37</v>
      </c>
      <c r="E311" s="37" t="s">
        <v>47</v>
      </c>
      <c r="F311" s="37" t="s">
        <v>38</v>
      </c>
      <c r="G311" s="38">
        <v>3658.67</v>
      </c>
      <c r="H311" s="36">
        <v>443141643</v>
      </c>
      <c r="I311" s="39">
        <v>0</v>
      </c>
      <c r="J311" s="38">
        <v>0</v>
      </c>
      <c r="K311" s="38">
        <v>0</v>
      </c>
      <c r="L311" s="38">
        <v>-0.72</v>
      </c>
      <c r="M311" s="38">
        <v>10024.41</v>
      </c>
      <c r="N311" s="46" t="s">
        <v>378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40">
        <v>45918.04859953704</v>
      </c>
      <c r="B312" s="41">
        <v>443930495</v>
      </c>
      <c r="C312" s="42" t="s">
        <v>36</v>
      </c>
      <c r="D312" s="42" t="s">
        <v>39</v>
      </c>
      <c r="E312" s="42" t="s">
        <v>46</v>
      </c>
      <c r="F312" s="42" t="s">
        <v>38</v>
      </c>
      <c r="G312" s="43">
        <v>3658.55</v>
      </c>
      <c r="H312" s="41">
        <v>443141856</v>
      </c>
      <c r="I312" s="44">
        <v>0</v>
      </c>
      <c r="J312" s="43">
        <v>0</v>
      </c>
      <c r="K312" s="43">
        <v>0</v>
      </c>
      <c r="L312" s="43">
        <v>0</v>
      </c>
      <c r="M312" s="43">
        <v>10024.41</v>
      </c>
      <c r="N312" s="45" t="s">
        <v>123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35">
        <v>45918.049467592595</v>
      </c>
      <c r="B313" s="36">
        <v>443930570</v>
      </c>
      <c r="C313" s="37" t="s">
        <v>36</v>
      </c>
      <c r="D313" s="37" t="s">
        <v>37</v>
      </c>
      <c r="E313" s="37" t="s">
        <v>47</v>
      </c>
      <c r="F313" s="37" t="s">
        <v>38</v>
      </c>
      <c r="G313" s="38">
        <v>3661.1</v>
      </c>
      <c r="H313" s="36">
        <v>443141920</v>
      </c>
      <c r="I313" s="39">
        <v>0</v>
      </c>
      <c r="J313" s="38">
        <v>0</v>
      </c>
      <c r="K313" s="38">
        <v>0</v>
      </c>
      <c r="L313" s="38">
        <v>-3.04</v>
      </c>
      <c r="M313" s="38">
        <v>10021.370000000001</v>
      </c>
      <c r="N313" s="46" t="s">
        <v>379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40">
        <v>45918.049467592595</v>
      </c>
      <c r="B314" s="41">
        <v>443930574</v>
      </c>
      <c r="C314" s="42" t="s">
        <v>36</v>
      </c>
      <c r="D314" s="42" t="s">
        <v>37</v>
      </c>
      <c r="E314" s="42" t="s">
        <v>47</v>
      </c>
      <c r="F314" s="42" t="s">
        <v>38</v>
      </c>
      <c r="G314" s="43">
        <v>3661.1</v>
      </c>
      <c r="H314" s="41">
        <v>443141921</v>
      </c>
      <c r="I314" s="44">
        <v>0</v>
      </c>
      <c r="J314" s="43">
        <v>0</v>
      </c>
      <c r="K314" s="43">
        <v>0</v>
      </c>
      <c r="L314" s="43">
        <v>-3.02</v>
      </c>
      <c r="M314" s="43">
        <v>10018.35</v>
      </c>
      <c r="N314" s="45" t="s">
        <v>379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35">
        <v>45918.049513888887</v>
      </c>
      <c r="B315" s="36">
        <v>443930586</v>
      </c>
      <c r="C315" s="37" t="s">
        <v>36</v>
      </c>
      <c r="D315" s="37" t="s">
        <v>37</v>
      </c>
      <c r="E315" s="37" t="s">
        <v>47</v>
      </c>
      <c r="F315" s="37" t="s">
        <v>38</v>
      </c>
      <c r="G315" s="38">
        <v>3661.61</v>
      </c>
      <c r="H315" s="36">
        <v>443141938</v>
      </c>
      <c r="I315" s="39">
        <v>0</v>
      </c>
      <c r="J315" s="38">
        <v>0</v>
      </c>
      <c r="K315" s="38">
        <v>0</v>
      </c>
      <c r="L315" s="38">
        <v>-3.06</v>
      </c>
      <c r="M315" s="38">
        <v>10015.290000000001</v>
      </c>
      <c r="N315" s="46" t="s">
        <v>380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40">
        <v>45918.054618055554</v>
      </c>
      <c r="B316" s="41">
        <v>443931938</v>
      </c>
      <c r="C316" s="42" t="s">
        <v>36</v>
      </c>
      <c r="D316" s="42" t="s">
        <v>37</v>
      </c>
      <c r="E316" s="42" t="s">
        <v>46</v>
      </c>
      <c r="F316" s="42" t="s">
        <v>38</v>
      </c>
      <c r="G316" s="43">
        <v>3663.41</v>
      </c>
      <c r="H316" s="41">
        <v>443143294</v>
      </c>
      <c r="I316" s="44">
        <v>0</v>
      </c>
      <c r="J316" s="43">
        <v>0</v>
      </c>
      <c r="K316" s="43">
        <v>0</v>
      </c>
      <c r="L316" s="43">
        <v>0</v>
      </c>
      <c r="M316" s="43">
        <v>10015.290000000001</v>
      </c>
      <c r="N316" s="45" t="s">
        <v>150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35">
        <v>45918.054618055554</v>
      </c>
      <c r="B317" s="36">
        <v>443931939</v>
      </c>
      <c r="C317" s="37" t="s">
        <v>36</v>
      </c>
      <c r="D317" s="37" t="s">
        <v>37</v>
      </c>
      <c r="E317" s="37" t="s">
        <v>46</v>
      </c>
      <c r="F317" s="37" t="s">
        <v>38</v>
      </c>
      <c r="G317" s="38">
        <v>3663.42</v>
      </c>
      <c r="H317" s="36">
        <v>443143295</v>
      </c>
      <c r="I317" s="39">
        <v>0</v>
      </c>
      <c r="J317" s="38">
        <v>0</v>
      </c>
      <c r="K317" s="38">
        <v>0</v>
      </c>
      <c r="L317" s="38">
        <v>0</v>
      </c>
      <c r="M317" s="38">
        <v>10015.290000000001</v>
      </c>
      <c r="N317" s="46" t="s">
        <v>53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40">
        <v>45918.054629629631</v>
      </c>
      <c r="B318" s="41">
        <v>443931940</v>
      </c>
      <c r="C318" s="42" t="s">
        <v>36</v>
      </c>
      <c r="D318" s="42" t="s">
        <v>37</v>
      </c>
      <c r="E318" s="42" t="s">
        <v>46</v>
      </c>
      <c r="F318" s="42" t="s">
        <v>38</v>
      </c>
      <c r="G318" s="43">
        <v>3663.42</v>
      </c>
      <c r="H318" s="41">
        <v>443143296</v>
      </c>
      <c r="I318" s="44">
        <v>0</v>
      </c>
      <c r="J318" s="43">
        <v>0</v>
      </c>
      <c r="K318" s="43">
        <v>0</v>
      </c>
      <c r="L318" s="43">
        <v>0</v>
      </c>
      <c r="M318" s="43">
        <v>10015.290000000001</v>
      </c>
      <c r="N318" s="45" t="s">
        <v>49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35">
        <v>45918.054629629631</v>
      </c>
      <c r="B319" s="36">
        <v>443931941</v>
      </c>
      <c r="C319" s="37" t="s">
        <v>36</v>
      </c>
      <c r="D319" s="37" t="s">
        <v>37</v>
      </c>
      <c r="E319" s="37" t="s">
        <v>46</v>
      </c>
      <c r="F319" s="37" t="s">
        <v>38</v>
      </c>
      <c r="G319" s="38">
        <v>3663.42</v>
      </c>
      <c r="H319" s="36">
        <v>443143297</v>
      </c>
      <c r="I319" s="39">
        <v>0</v>
      </c>
      <c r="J319" s="38">
        <v>0</v>
      </c>
      <c r="K319" s="38">
        <v>0</v>
      </c>
      <c r="L319" s="38">
        <v>0</v>
      </c>
      <c r="M319" s="38">
        <v>10015.290000000001</v>
      </c>
      <c r="N319" s="46" t="s">
        <v>48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40">
        <v>45918.060474537036</v>
      </c>
      <c r="B320" s="41">
        <v>443932868</v>
      </c>
      <c r="C320" s="42" t="s">
        <v>36</v>
      </c>
      <c r="D320" s="42" t="s">
        <v>39</v>
      </c>
      <c r="E320" s="42" t="s">
        <v>47</v>
      </c>
      <c r="F320" s="42" t="s">
        <v>38</v>
      </c>
      <c r="G320" s="43">
        <v>3665.01</v>
      </c>
      <c r="H320" s="41">
        <v>443144246</v>
      </c>
      <c r="I320" s="44">
        <v>0</v>
      </c>
      <c r="J320" s="43">
        <v>0</v>
      </c>
      <c r="K320" s="43">
        <v>0</v>
      </c>
      <c r="L320" s="43">
        <v>1.6</v>
      </c>
      <c r="M320" s="43">
        <v>10016.89</v>
      </c>
      <c r="N320" s="45" t="s">
        <v>381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35">
        <v>45918.061215277776</v>
      </c>
      <c r="B321" s="36">
        <v>443932955</v>
      </c>
      <c r="C321" s="37" t="s">
        <v>36</v>
      </c>
      <c r="D321" s="37" t="s">
        <v>37</v>
      </c>
      <c r="E321" s="37" t="s">
        <v>46</v>
      </c>
      <c r="F321" s="37" t="s">
        <v>38</v>
      </c>
      <c r="G321" s="38">
        <v>3664.18</v>
      </c>
      <c r="H321" s="36">
        <v>443144330</v>
      </c>
      <c r="I321" s="39">
        <v>0</v>
      </c>
      <c r="J321" s="38">
        <v>0</v>
      </c>
      <c r="K321" s="38">
        <v>0</v>
      </c>
      <c r="L321" s="38">
        <v>0</v>
      </c>
      <c r="M321" s="38">
        <v>10016.89</v>
      </c>
      <c r="N321" s="46" t="s">
        <v>150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40">
        <v>45918.061562499999</v>
      </c>
      <c r="B322" s="41">
        <v>443932970</v>
      </c>
      <c r="C322" s="42" t="s">
        <v>36</v>
      </c>
      <c r="D322" s="42" t="s">
        <v>39</v>
      </c>
      <c r="E322" s="42" t="s">
        <v>47</v>
      </c>
      <c r="F322" s="42" t="s">
        <v>38</v>
      </c>
      <c r="G322" s="43">
        <v>3663.76</v>
      </c>
      <c r="H322" s="41">
        <v>443144345</v>
      </c>
      <c r="I322" s="44">
        <v>0</v>
      </c>
      <c r="J322" s="43">
        <v>0</v>
      </c>
      <c r="K322" s="43">
        <v>0</v>
      </c>
      <c r="L322" s="43">
        <v>0.34</v>
      </c>
      <c r="M322" s="43">
        <v>10017.23</v>
      </c>
      <c r="N322" s="45" t="s">
        <v>382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35">
        <v>45918.061574074076</v>
      </c>
      <c r="B323" s="36">
        <v>443932973</v>
      </c>
      <c r="C323" s="37" t="s">
        <v>36</v>
      </c>
      <c r="D323" s="37" t="s">
        <v>39</v>
      </c>
      <c r="E323" s="37" t="s">
        <v>47</v>
      </c>
      <c r="F323" s="37" t="s">
        <v>38</v>
      </c>
      <c r="G323" s="38">
        <v>3663.75</v>
      </c>
      <c r="H323" s="36">
        <v>443144348</v>
      </c>
      <c r="I323" s="39">
        <v>0</v>
      </c>
      <c r="J323" s="38">
        <v>0</v>
      </c>
      <c r="K323" s="38">
        <v>0</v>
      </c>
      <c r="L323" s="38">
        <v>0.33</v>
      </c>
      <c r="M323" s="38">
        <v>10017.56</v>
      </c>
      <c r="N323" s="46" t="s">
        <v>383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40">
        <v>45918.061574074076</v>
      </c>
      <c r="B324" s="41">
        <v>443932974</v>
      </c>
      <c r="C324" s="42" t="s">
        <v>36</v>
      </c>
      <c r="D324" s="42" t="s">
        <v>39</v>
      </c>
      <c r="E324" s="42" t="s">
        <v>47</v>
      </c>
      <c r="F324" s="42" t="s">
        <v>38</v>
      </c>
      <c r="G324" s="43">
        <v>3663.75</v>
      </c>
      <c r="H324" s="41">
        <v>443144349</v>
      </c>
      <c r="I324" s="44">
        <v>0</v>
      </c>
      <c r="J324" s="43">
        <v>0</v>
      </c>
      <c r="K324" s="43">
        <v>0</v>
      </c>
      <c r="L324" s="43">
        <v>0.33</v>
      </c>
      <c r="M324" s="43">
        <v>10017.89</v>
      </c>
      <c r="N324" s="45" t="s">
        <v>383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35">
        <v>45918.061678240738</v>
      </c>
      <c r="B325" s="36">
        <v>443932986</v>
      </c>
      <c r="C325" s="37" t="s">
        <v>36</v>
      </c>
      <c r="D325" s="37" t="s">
        <v>37</v>
      </c>
      <c r="E325" s="37" t="s">
        <v>46</v>
      </c>
      <c r="F325" s="37" t="s">
        <v>38</v>
      </c>
      <c r="G325" s="38">
        <v>3664.02</v>
      </c>
      <c r="H325" s="36">
        <v>443144361</v>
      </c>
      <c r="I325" s="39">
        <v>0</v>
      </c>
      <c r="J325" s="38">
        <v>0</v>
      </c>
      <c r="K325" s="38">
        <v>0</v>
      </c>
      <c r="L325" s="38">
        <v>0</v>
      </c>
      <c r="M325" s="38">
        <v>10017.89</v>
      </c>
      <c r="N325" s="46" t="s">
        <v>49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40">
        <v>45918.061678240738</v>
      </c>
      <c r="B326" s="41">
        <v>443932987</v>
      </c>
      <c r="C326" s="42" t="s">
        <v>36</v>
      </c>
      <c r="D326" s="42" t="s">
        <v>37</v>
      </c>
      <c r="E326" s="42" t="s">
        <v>46</v>
      </c>
      <c r="F326" s="42" t="s">
        <v>38</v>
      </c>
      <c r="G326" s="43">
        <v>3664.02</v>
      </c>
      <c r="H326" s="41">
        <v>443144362</v>
      </c>
      <c r="I326" s="44">
        <v>0</v>
      </c>
      <c r="J326" s="43">
        <v>0</v>
      </c>
      <c r="K326" s="43">
        <v>0</v>
      </c>
      <c r="L326" s="43">
        <v>0</v>
      </c>
      <c r="M326" s="43">
        <v>10017.89</v>
      </c>
      <c r="N326" s="45" t="s">
        <v>48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35">
        <v>45918.061689814815</v>
      </c>
      <c r="B327" s="36">
        <v>443932988</v>
      </c>
      <c r="C327" s="37" t="s">
        <v>36</v>
      </c>
      <c r="D327" s="37" t="s">
        <v>37</v>
      </c>
      <c r="E327" s="37" t="s">
        <v>46</v>
      </c>
      <c r="F327" s="37" t="s">
        <v>38</v>
      </c>
      <c r="G327" s="38">
        <v>3664.02</v>
      </c>
      <c r="H327" s="36">
        <v>443144363</v>
      </c>
      <c r="I327" s="39">
        <v>0</v>
      </c>
      <c r="J327" s="38">
        <v>0</v>
      </c>
      <c r="K327" s="38">
        <v>0</v>
      </c>
      <c r="L327" s="38">
        <v>0</v>
      </c>
      <c r="M327" s="38">
        <v>10017.89</v>
      </c>
      <c r="N327" s="46" t="s">
        <v>53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40">
        <v>45918.068055555559</v>
      </c>
      <c r="B328" s="41">
        <v>443934690</v>
      </c>
      <c r="C328" s="42" t="s">
        <v>36</v>
      </c>
      <c r="D328" s="42" t="s">
        <v>39</v>
      </c>
      <c r="E328" s="42" t="s">
        <v>46</v>
      </c>
      <c r="F328" s="42" t="s">
        <v>38</v>
      </c>
      <c r="G328" s="43">
        <v>3662.13</v>
      </c>
      <c r="H328" s="41">
        <v>443146056</v>
      </c>
      <c r="I328" s="44">
        <v>0</v>
      </c>
      <c r="J328" s="43">
        <v>0</v>
      </c>
      <c r="K328" s="43">
        <v>0</v>
      </c>
      <c r="L328" s="43">
        <v>0</v>
      </c>
      <c r="M328" s="43">
        <v>10017.89</v>
      </c>
      <c r="N328" s="45" t="s">
        <v>125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35">
        <v>45918.068055555559</v>
      </c>
      <c r="B329" s="36">
        <v>443934692</v>
      </c>
      <c r="C329" s="37" t="s">
        <v>36</v>
      </c>
      <c r="D329" s="37" t="s">
        <v>39</v>
      </c>
      <c r="E329" s="37" t="s">
        <v>46</v>
      </c>
      <c r="F329" s="37" t="s">
        <v>38</v>
      </c>
      <c r="G329" s="38">
        <v>3662.17</v>
      </c>
      <c r="H329" s="36">
        <v>443146058</v>
      </c>
      <c r="I329" s="39">
        <v>0</v>
      </c>
      <c r="J329" s="38">
        <v>0</v>
      </c>
      <c r="K329" s="38">
        <v>0</v>
      </c>
      <c r="L329" s="38">
        <v>0</v>
      </c>
      <c r="M329" s="38">
        <v>10017.89</v>
      </c>
      <c r="N329" s="46" t="s">
        <v>124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40">
        <v>45918.069432870368</v>
      </c>
      <c r="B330" s="41">
        <v>443934855</v>
      </c>
      <c r="C330" s="42" t="s">
        <v>36</v>
      </c>
      <c r="D330" s="42" t="s">
        <v>39</v>
      </c>
      <c r="E330" s="42" t="s">
        <v>46</v>
      </c>
      <c r="F330" s="42" t="s">
        <v>38</v>
      </c>
      <c r="G330" s="43">
        <v>3661.89</v>
      </c>
      <c r="H330" s="41">
        <v>443146223</v>
      </c>
      <c r="I330" s="44">
        <v>0</v>
      </c>
      <c r="J330" s="43">
        <v>0</v>
      </c>
      <c r="K330" s="43">
        <v>0</v>
      </c>
      <c r="L330" s="43">
        <v>0</v>
      </c>
      <c r="M330" s="43">
        <v>10017.89</v>
      </c>
      <c r="N330" s="45" t="s">
        <v>123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35">
        <v>45918.069537037038</v>
      </c>
      <c r="B331" s="36">
        <v>443934871</v>
      </c>
      <c r="C331" s="37" t="s">
        <v>36</v>
      </c>
      <c r="D331" s="37" t="s">
        <v>39</v>
      </c>
      <c r="E331" s="37" t="s">
        <v>47</v>
      </c>
      <c r="F331" s="37" t="s">
        <v>38</v>
      </c>
      <c r="G331" s="38">
        <v>3661.51</v>
      </c>
      <c r="H331" s="36">
        <v>443146243</v>
      </c>
      <c r="I331" s="39">
        <v>0</v>
      </c>
      <c r="J331" s="38">
        <v>0</v>
      </c>
      <c r="K331" s="38">
        <v>0</v>
      </c>
      <c r="L331" s="38">
        <v>-2.5099999999999998</v>
      </c>
      <c r="M331" s="38">
        <v>10015.379999999999</v>
      </c>
      <c r="N331" s="46" t="s">
        <v>384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40">
        <v>45918.06958333333</v>
      </c>
      <c r="B332" s="41">
        <v>443934883</v>
      </c>
      <c r="C332" s="42" t="s">
        <v>36</v>
      </c>
      <c r="D332" s="42" t="s">
        <v>39</v>
      </c>
      <c r="E332" s="42" t="s">
        <v>47</v>
      </c>
      <c r="F332" s="42" t="s">
        <v>38</v>
      </c>
      <c r="G332" s="43">
        <v>3661.17</v>
      </c>
      <c r="H332" s="41">
        <v>443146254</v>
      </c>
      <c r="I332" s="44">
        <v>0</v>
      </c>
      <c r="J332" s="43">
        <v>0</v>
      </c>
      <c r="K332" s="43">
        <v>0</v>
      </c>
      <c r="L332" s="43">
        <v>-3.01</v>
      </c>
      <c r="M332" s="43">
        <v>10012.370000000001</v>
      </c>
      <c r="N332" s="45" t="s">
        <v>385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35">
        <v>45918.086076388892</v>
      </c>
      <c r="B333" s="36">
        <v>443938832</v>
      </c>
      <c r="C333" s="37" t="s">
        <v>36</v>
      </c>
      <c r="D333" s="37" t="s">
        <v>37</v>
      </c>
      <c r="E333" s="37" t="s">
        <v>47</v>
      </c>
      <c r="F333" s="37" t="s">
        <v>38</v>
      </c>
      <c r="G333" s="38">
        <v>3664.89</v>
      </c>
      <c r="H333" s="36">
        <v>443150169</v>
      </c>
      <c r="I333" s="39">
        <v>0</v>
      </c>
      <c r="J333" s="38">
        <v>0</v>
      </c>
      <c r="K333" s="38">
        <v>0</v>
      </c>
      <c r="L333" s="38">
        <v>-3</v>
      </c>
      <c r="M333" s="38">
        <v>10009.370000000001</v>
      </c>
      <c r="N333" s="46" t="s">
        <v>386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40">
        <v>45918.086898148147</v>
      </c>
      <c r="B334" s="41">
        <v>443938999</v>
      </c>
      <c r="C334" s="42" t="s">
        <v>36</v>
      </c>
      <c r="D334" s="42" t="s">
        <v>37</v>
      </c>
      <c r="E334" s="42" t="s">
        <v>47</v>
      </c>
      <c r="F334" s="42" t="s">
        <v>38</v>
      </c>
      <c r="G334" s="43">
        <v>3665.41</v>
      </c>
      <c r="H334" s="41">
        <v>443150329</v>
      </c>
      <c r="I334" s="44">
        <v>0</v>
      </c>
      <c r="J334" s="43">
        <v>0</v>
      </c>
      <c r="K334" s="43">
        <v>0</v>
      </c>
      <c r="L334" s="43">
        <v>-3.28</v>
      </c>
      <c r="M334" s="43">
        <v>10006.09</v>
      </c>
      <c r="N334" s="45" t="s">
        <v>387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35">
        <v>45918.086898148147</v>
      </c>
      <c r="B335" s="36">
        <v>443939001</v>
      </c>
      <c r="C335" s="37" t="s">
        <v>36</v>
      </c>
      <c r="D335" s="37" t="s">
        <v>37</v>
      </c>
      <c r="E335" s="37" t="s">
        <v>47</v>
      </c>
      <c r="F335" s="37" t="s">
        <v>38</v>
      </c>
      <c r="G335" s="38">
        <v>3665.41</v>
      </c>
      <c r="H335" s="36">
        <v>443150330</v>
      </c>
      <c r="I335" s="39">
        <v>0</v>
      </c>
      <c r="J335" s="38">
        <v>0</v>
      </c>
      <c r="K335" s="38">
        <v>0</v>
      </c>
      <c r="L335" s="38">
        <v>-3.24</v>
      </c>
      <c r="M335" s="38">
        <v>10002.85</v>
      </c>
      <c r="N335" s="46" t="s">
        <v>387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40">
        <v>45918.08829861111</v>
      </c>
      <c r="B336" s="41">
        <v>443939256</v>
      </c>
      <c r="C336" s="42" t="s">
        <v>36</v>
      </c>
      <c r="D336" s="42" t="s">
        <v>37</v>
      </c>
      <c r="E336" s="42" t="s">
        <v>46</v>
      </c>
      <c r="F336" s="42" t="s">
        <v>38</v>
      </c>
      <c r="G336" s="43">
        <v>3664.57</v>
      </c>
      <c r="H336" s="41">
        <v>443150580</v>
      </c>
      <c r="I336" s="44">
        <v>0</v>
      </c>
      <c r="J336" s="43">
        <v>0</v>
      </c>
      <c r="K336" s="43">
        <v>0</v>
      </c>
      <c r="L336" s="43">
        <v>0</v>
      </c>
      <c r="M336" s="43">
        <v>10002.85</v>
      </c>
      <c r="N336" s="45" t="s">
        <v>150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35">
        <v>45918.08829861111</v>
      </c>
      <c r="B337" s="36">
        <v>443939257</v>
      </c>
      <c r="C337" s="37" t="s">
        <v>36</v>
      </c>
      <c r="D337" s="37" t="s">
        <v>37</v>
      </c>
      <c r="E337" s="37" t="s">
        <v>46</v>
      </c>
      <c r="F337" s="37" t="s">
        <v>38</v>
      </c>
      <c r="G337" s="38">
        <v>3664.57</v>
      </c>
      <c r="H337" s="36">
        <v>443150581</v>
      </c>
      <c r="I337" s="39">
        <v>0</v>
      </c>
      <c r="J337" s="38">
        <v>0</v>
      </c>
      <c r="K337" s="38">
        <v>0</v>
      </c>
      <c r="L337" s="38">
        <v>0</v>
      </c>
      <c r="M337" s="38">
        <v>10002.85</v>
      </c>
      <c r="N337" s="46" t="s">
        <v>49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40">
        <v>45918.089560185188</v>
      </c>
      <c r="B338" s="41">
        <v>443939553</v>
      </c>
      <c r="C338" s="42" t="s">
        <v>36</v>
      </c>
      <c r="D338" s="42" t="s">
        <v>39</v>
      </c>
      <c r="E338" s="42" t="s">
        <v>47</v>
      </c>
      <c r="F338" s="42" t="s">
        <v>38</v>
      </c>
      <c r="G338" s="43">
        <v>3665.93</v>
      </c>
      <c r="H338" s="41">
        <v>443150871</v>
      </c>
      <c r="I338" s="44">
        <v>0</v>
      </c>
      <c r="J338" s="43">
        <v>0</v>
      </c>
      <c r="K338" s="43">
        <v>0</v>
      </c>
      <c r="L338" s="43">
        <v>1.36</v>
      </c>
      <c r="M338" s="43">
        <v>10004.209999999999</v>
      </c>
      <c r="N338" s="45" t="s">
        <v>388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35">
        <v>45918.092361111114</v>
      </c>
      <c r="B339" s="36">
        <v>443940349</v>
      </c>
      <c r="C339" s="37" t="s">
        <v>36</v>
      </c>
      <c r="D339" s="37" t="s">
        <v>39</v>
      </c>
      <c r="E339" s="37" t="s">
        <v>47</v>
      </c>
      <c r="F339" s="37" t="s">
        <v>38</v>
      </c>
      <c r="G339" s="38">
        <v>3667.05</v>
      </c>
      <c r="H339" s="36">
        <v>443151642</v>
      </c>
      <c r="I339" s="39">
        <v>0</v>
      </c>
      <c r="J339" s="38">
        <v>0</v>
      </c>
      <c r="K339" s="38">
        <v>0</v>
      </c>
      <c r="L339" s="38">
        <v>3.03</v>
      </c>
      <c r="M339" s="38">
        <v>10007.24</v>
      </c>
      <c r="N339" s="46" t="s">
        <v>389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40">
        <v>45918.093912037039</v>
      </c>
      <c r="B340" s="41">
        <v>443940690</v>
      </c>
      <c r="C340" s="42" t="s">
        <v>36</v>
      </c>
      <c r="D340" s="42" t="s">
        <v>39</v>
      </c>
      <c r="E340" s="42" t="s">
        <v>47</v>
      </c>
      <c r="F340" s="42" t="s">
        <v>38</v>
      </c>
      <c r="G340" s="43">
        <v>3667.52</v>
      </c>
      <c r="H340" s="41">
        <v>443151985</v>
      </c>
      <c r="I340" s="44">
        <v>0</v>
      </c>
      <c r="J340" s="43">
        <v>0</v>
      </c>
      <c r="K340" s="43">
        <v>0</v>
      </c>
      <c r="L340" s="43">
        <v>3.5</v>
      </c>
      <c r="M340" s="43">
        <v>10010.74</v>
      </c>
      <c r="N340" s="45" t="s">
        <v>390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35">
        <v>45918.093935185185</v>
      </c>
      <c r="B341" s="36">
        <v>443940695</v>
      </c>
      <c r="C341" s="37" t="s">
        <v>36</v>
      </c>
      <c r="D341" s="37" t="s">
        <v>39</v>
      </c>
      <c r="E341" s="37" t="s">
        <v>47</v>
      </c>
      <c r="F341" s="37" t="s">
        <v>38</v>
      </c>
      <c r="G341" s="38">
        <v>3667.59</v>
      </c>
      <c r="H341" s="36">
        <v>443151990</v>
      </c>
      <c r="I341" s="39">
        <v>0</v>
      </c>
      <c r="J341" s="38">
        <v>0</v>
      </c>
      <c r="K341" s="38">
        <v>0</v>
      </c>
      <c r="L341" s="38">
        <v>3.02</v>
      </c>
      <c r="M341" s="38">
        <v>10013.76</v>
      </c>
      <c r="N341" s="46" t="s">
        <v>391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40">
        <v>45918.096284722225</v>
      </c>
      <c r="B342" s="41">
        <v>443941323</v>
      </c>
      <c r="C342" s="42" t="s">
        <v>36</v>
      </c>
      <c r="D342" s="42" t="s">
        <v>37</v>
      </c>
      <c r="E342" s="42" t="s">
        <v>46</v>
      </c>
      <c r="F342" s="42" t="s">
        <v>38</v>
      </c>
      <c r="G342" s="43">
        <v>3667.83</v>
      </c>
      <c r="H342" s="41">
        <v>443152612</v>
      </c>
      <c r="I342" s="44">
        <v>0</v>
      </c>
      <c r="J342" s="43">
        <v>0</v>
      </c>
      <c r="K342" s="43">
        <v>0</v>
      </c>
      <c r="L342" s="43">
        <v>0</v>
      </c>
      <c r="M342" s="43">
        <v>10013.76</v>
      </c>
      <c r="N342" s="45" t="s">
        <v>150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35">
        <v>45918.096284722225</v>
      </c>
      <c r="B343" s="36">
        <v>443941326</v>
      </c>
      <c r="C343" s="37" t="s">
        <v>36</v>
      </c>
      <c r="D343" s="37" t="s">
        <v>37</v>
      </c>
      <c r="E343" s="37" t="s">
        <v>46</v>
      </c>
      <c r="F343" s="37" t="s">
        <v>38</v>
      </c>
      <c r="G343" s="38">
        <v>3667.83</v>
      </c>
      <c r="H343" s="36">
        <v>443152614</v>
      </c>
      <c r="I343" s="39">
        <v>0</v>
      </c>
      <c r="J343" s="38">
        <v>0</v>
      </c>
      <c r="K343" s="38">
        <v>0</v>
      </c>
      <c r="L343" s="38">
        <v>0</v>
      </c>
      <c r="M343" s="38">
        <v>10013.76</v>
      </c>
      <c r="N343" s="46" t="s">
        <v>49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40">
        <v>45918.096284722225</v>
      </c>
      <c r="B344" s="41">
        <v>443941329</v>
      </c>
      <c r="C344" s="42" t="s">
        <v>36</v>
      </c>
      <c r="D344" s="42" t="s">
        <v>37</v>
      </c>
      <c r="E344" s="42" t="s">
        <v>46</v>
      </c>
      <c r="F344" s="42" t="s">
        <v>38</v>
      </c>
      <c r="G344" s="43">
        <v>3667.83</v>
      </c>
      <c r="H344" s="41">
        <v>443152617</v>
      </c>
      <c r="I344" s="44">
        <v>0</v>
      </c>
      <c r="J344" s="43">
        <v>0</v>
      </c>
      <c r="K344" s="43">
        <v>0</v>
      </c>
      <c r="L344" s="43">
        <v>0</v>
      </c>
      <c r="M344" s="43">
        <v>10013.76</v>
      </c>
      <c r="N344" s="45" t="s">
        <v>48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35">
        <v>45918.096296296295</v>
      </c>
      <c r="B345" s="36">
        <v>443941330</v>
      </c>
      <c r="C345" s="37" t="s">
        <v>36</v>
      </c>
      <c r="D345" s="37" t="s">
        <v>37</v>
      </c>
      <c r="E345" s="37" t="s">
        <v>46</v>
      </c>
      <c r="F345" s="37" t="s">
        <v>38</v>
      </c>
      <c r="G345" s="38">
        <v>3667.73</v>
      </c>
      <c r="H345" s="36">
        <v>443152618</v>
      </c>
      <c r="I345" s="39">
        <v>0</v>
      </c>
      <c r="J345" s="38">
        <v>0</v>
      </c>
      <c r="K345" s="38">
        <v>0</v>
      </c>
      <c r="L345" s="38">
        <v>0</v>
      </c>
      <c r="M345" s="38">
        <v>10013.76</v>
      </c>
      <c r="N345" s="46" t="s">
        <v>53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40">
        <v>45918.099270833336</v>
      </c>
      <c r="B346" s="41">
        <v>443941906</v>
      </c>
      <c r="C346" s="42" t="s">
        <v>36</v>
      </c>
      <c r="D346" s="42" t="s">
        <v>39</v>
      </c>
      <c r="E346" s="42" t="s">
        <v>47</v>
      </c>
      <c r="F346" s="42" t="s">
        <v>38</v>
      </c>
      <c r="G346" s="43">
        <v>3669.58</v>
      </c>
      <c r="H346" s="41">
        <v>443153182</v>
      </c>
      <c r="I346" s="44">
        <v>0</v>
      </c>
      <c r="J346" s="43">
        <v>0</v>
      </c>
      <c r="K346" s="43">
        <v>0</v>
      </c>
      <c r="L346" s="43">
        <v>1.75</v>
      </c>
      <c r="M346" s="43">
        <v>10015.51</v>
      </c>
      <c r="N346" s="45" t="s">
        <v>392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35">
        <v>45918.102488425924</v>
      </c>
      <c r="B347" s="36">
        <v>443942687</v>
      </c>
      <c r="C347" s="37" t="s">
        <v>36</v>
      </c>
      <c r="D347" s="37" t="s">
        <v>39</v>
      </c>
      <c r="E347" s="37" t="s">
        <v>47</v>
      </c>
      <c r="F347" s="37" t="s">
        <v>38</v>
      </c>
      <c r="G347" s="38">
        <v>3671.06</v>
      </c>
      <c r="H347" s="36">
        <v>443153956</v>
      </c>
      <c r="I347" s="39">
        <v>0</v>
      </c>
      <c r="J347" s="38">
        <v>0</v>
      </c>
      <c r="K347" s="38">
        <v>0</v>
      </c>
      <c r="L347" s="38">
        <v>3.23</v>
      </c>
      <c r="M347" s="38">
        <v>10018.74</v>
      </c>
      <c r="N347" s="46" t="s">
        <v>393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40">
        <v>45918.102488425924</v>
      </c>
      <c r="B348" s="41">
        <v>443942688</v>
      </c>
      <c r="C348" s="42" t="s">
        <v>36</v>
      </c>
      <c r="D348" s="42" t="s">
        <v>39</v>
      </c>
      <c r="E348" s="42" t="s">
        <v>47</v>
      </c>
      <c r="F348" s="42" t="s">
        <v>38</v>
      </c>
      <c r="G348" s="43">
        <v>3671.06</v>
      </c>
      <c r="H348" s="41">
        <v>443153957</v>
      </c>
      <c r="I348" s="44">
        <v>0</v>
      </c>
      <c r="J348" s="43">
        <v>0</v>
      </c>
      <c r="K348" s="43">
        <v>0</v>
      </c>
      <c r="L348" s="43">
        <v>3.23</v>
      </c>
      <c r="M348" s="43">
        <v>10021.969999999999</v>
      </c>
      <c r="N348" s="45" t="s">
        <v>393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35">
        <v>45918.102592592593</v>
      </c>
      <c r="B349" s="36">
        <v>443942740</v>
      </c>
      <c r="C349" s="37" t="s">
        <v>36</v>
      </c>
      <c r="D349" s="37" t="s">
        <v>39</v>
      </c>
      <c r="E349" s="37" t="s">
        <v>47</v>
      </c>
      <c r="F349" s="37" t="s">
        <v>38</v>
      </c>
      <c r="G349" s="38">
        <v>3671.97</v>
      </c>
      <c r="H349" s="36">
        <v>443154007</v>
      </c>
      <c r="I349" s="39">
        <v>0</v>
      </c>
      <c r="J349" s="38">
        <v>0</v>
      </c>
      <c r="K349" s="38">
        <v>0</v>
      </c>
      <c r="L349" s="38">
        <v>4.24</v>
      </c>
      <c r="M349" s="38">
        <v>10026.209999999999</v>
      </c>
      <c r="N349" s="46" t="s">
        <v>394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40">
        <v>45918.103113425925</v>
      </c>
      <c r="B350" s="41">
        <v>443942965</v>
      </c>
      <c r="C350" s="42" t="s">
        <v>36</v>
      </c>
      <c r="D350" s="42" t="s">
        <v>37</v>
      </c>
      <c r="E350" s="42" t="s">
        <v>46</v>
      </c>
      <c r="F350" s="42" t="s">
        <v>38</v>
      </c>
      <c r="G350" s="43">
        <v>3670.2</v>
      </c>
      <c r="H350" s="41">
        <v>443154231</v>
      </c>
      <c r="I350" s="44">
        <v>0</v>
      </c>
      <c r="J350" s="43">
        <v>0</v>
      </c>
      <c r="K350" s="43">
        <v>0</v>
      </c>
      <c r="L350" s="43">
        <v>0</v>
      </c>
      <c r="M350" s="43">
        <v>10026.209999999999</v>
      </c>
      <c r="N350" s="45" t="s">
        <v>150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35">
        <v>45918.103113425925</v>
      </c>
      <c r="B351" s="36">
        <v>443942966</v>
      </c>
      <c r="C351" s="37" t="s">
        <v>36</v>
      </c>
      <c r="D351" s="37" t="s">
        <v>37</v>
      </c>
      <c r="E351" s="37" t="s">
        <v>46</v>
      </c>
      <c r="F351" s="37" t="s">
        <v>38</v>
      </c>
      <c r="G351" s="38">
        <v>3670.23</v>
      </c>
      <c r="H351" s="36">
        <v>443154232</v>
      </c>
      <c r="I351" s="39">
        <v>0</v>
      </c>
      <c r="J351" s="38">
        <v>0</v>
      </c>
      <c r="K351" s="38">
        <v>0</v>
      </c>
      <c r="L351" s="38">
        <v>0</v>
      </c>
      <c r="M351" s="38">
        <v>10026.209999999999</v>
      </c>
      <c r="N351" s="46" t="s">
        <v>53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40">
        <v>45918.103113425925</v>
      </c>
      <c r="B352" s="41">
        <v>443942968</v>
      </c>
      <c r="C352" s="42" t="s">
        <v>36</v>
      </c>
      <c r="D352" s="42" t="s">
        <v>37</v>
      </c>
      <c r="E352" s="42" t="s">
        <v>46</v>
      </c>
      <c r="F352" s="42" t="s">
        <v>38</v>
      </c>
      <c r="G352" s="43">
        <v>3670.25</v>
      </c>
      <c r="H352" s="41">
        <v>443154234</v>
      </c>
      <c r="I352" s="44">
        <v>0</v>
      </c>
      <c r="J352" s="43">
        <v>0</v>
      </c>
      <c r="K352" s="43">
        <v>0</v>
      </c>
      <c r="L352" s="43">
        <v>0</v>
      </c>
      <c r="M352" s="43">
        <v>10026.209999999999</v>
      </c>
      <c r="N352" s="45" t="s">
        <v>48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35">
        <v>45918.103125000001</v>
      </c>
      <c r="B353" s="36">
        <v>443942969</v>
      </c>
      <c r="C353" s="37" t="s">
        <v>36</v>
      </c>
      <c r="D353" s="37" t="s">
        <v>37</v>
      </c>
      <c r="E353" s="37" t="s">
        <v>46</v>
      </c>
      <c r="F353" s="37" t="s">
        <v>38</v>
      </c>
      <c r="G353" s="38">
        <v>3670.29</v>
      </c>
      <c r="H353" s="36">
        <v>443154235</v>
      </c>
      <c r="I353" s="39">
        <v>0</v>
      </c>
      <c r="J353" s="38">
        <v>0</v>
      </c>
      <c r="K353" s="38">
        <v>0</v>
      </c>
      <c r="L353" s="38">
        <v>0</v>
      </c>
      <c r="M353" s="38">
        <v>10026.209999999999</v>
      </c>
      <c r="N353" s="46" t="s">
        <v>49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40">
        <v>45918.10496527778</v>
      </c>
      <c r="B354" s="41">
        <v>443943803</v>
      </c>
      <c r="C354" s="42" t="s">
        <v>36</v>
      </c>
      <c r="D354" s="42" t="s">
        <v>37</v>
      </c>
      <c r="E354" s="42" t="s">
        <v>46</v>
      </c>
      <c r="F354" s="42" t="s">
        <v>38</v>
      </c>
      <c r="G354" s="43">
        <v>3670.27</v>
      </c>
      <c r="H354" s="41">
        <v>443154980</v>
      </c>
      <c r="I354" s="44">
        <v>0</v>
      </c>
      <c r="J354" s="43">
        <v>0</v>
      </c>
      <c r="K354" s="43">
        <v>0</v>
      </c>
      <c r="L354" s="43">
        <v>0</v>
      </c>
      <c r="M354" s="43">
        <v>10026.209999999999</v>
      </c>
      <c r="N354" s="45" t="s">
        <v>395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35">
        <v>45918.10496527778</v>
      </c>
      <c r="B355" s="36">
        <v>443943804</v>
      </c>
      <c r="C355" s="37" t="s">
        <v>36</v>
      </c>
      <c r="D355" s="37" t="s">
        <v>37</v>
      </c>
      <c r="E355" s="37" t="s">
        <v>46</v>
      </c>
      <c r="F355" s="37" t="s">
        <v>38</v>
      </c>
      <c r="G355" s="38">
        <v>3670.27</v>
      </c>
      <c r="H355" s="36">
        <v>443154981</v>
      </c>
      <c r="I355" s="39">
        <v>0</v>
      </c>
      <c r="J355" s="38">
        <v>0</v>
      </c>
      <c r="K355" s="38">
        <v>0</v>
      </c>
      <c r="L355" s="38">
        <v>0</v>
      </c>
      <c r="M355" s="38">
        <v>10026.209999999999</v>
      </c>
      <c r="N355" s="46" t="s">
        <v>268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40">
        <v>45918.125648148147</v>
      </c>
      <c r="B356" s="41">
        <v>443948287</v>
      </c>
      <c r="C356" s="42" t="s">
        <v>36</v>
      </c>
      <c r="D356" s="42" t="s">
        <v>39</v>
      </c>
      <c r="E356" s="42" t="s">
        <v>47</v>
      </c>
      <c r="F356" s="42" t="s">
        <v>38</v>
      </c>
      <c r="G356" s="43">
        <v>3667.66</v>
      </c>
      <c r="H356" s="41">
        <v>443159308</v>
      </c>
      <c r="I356" s="44">
        <v>0</v>
      </c>
      <c r="J356" s="43">
        <v>0</v>
      </c>
      <c r="K356" s="43">
        <v>0</v>
      </c>
      <c r="L356" s="43">
        <v>-2.63</v>
      </c>
      <c r="M356" s="43">
        <v>10023.58</v>
      </c>
      <c r="N356" s="45" t="s">
        <v>396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35">
        <v>45918.125740740739</v>
      </c>
      <c r="B357" s="36">
        <v>443948389</v>
      </c>
      <c r="C357" s="37" t="s">
        <v>36</v>
      </c>
      <c r="D357" s="37" t="s">
        <v>39</v>
      </c>
      <c r="E357" s="37" t="s">
        <v>47</v>
      </c>
      <c r="F357" s="37" t="s">
        <v>38</v>
      </c>
      <c r="G357" s="38">
        <v>3667.25</v>
      </c>
      <c r="H357" s="36">
        <v>443159410</v>
      </c>
      <c r="I357" s="39">
        <v>0</v>
      </c>
      <c r="J357" s="38">
        <v>0</v>
      </c>
      <c r="K357" s="38">
        <v>0</v>
      </c>
      <c r="L357" s="38">
        <v>-2.95</v>
      </c>
      <c r="M357" s="38">
        <v>10020.629999999999</v>
      </c>
      <c r="N357" s="46" t="s">
        <v>397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40">
        <v>45918.125740740739</v>
      </c>
      <c r="B358" s="41">
        <v>443948392</v>
      </c>
      <c r="C358" s="42" t="s">
        <v>36</v>
      </c>
      <c r="D358" s="42" t="s">
        <v>39</v>
      </c>
      <c r="E358" s="42" t="s">
        <v>47</v>
      </c>
      <c r="F358" s="42" t="s">
        <v>38</v>
      </c>
      <c r="G358" s="43">
        <v>3667.25</v>
      </c>
      <c r="H358" s="41">
        <v>443159411</v>
      </c>
      <c r="I358" s="44">
        <v>0</v>
      </c>
      <c r="J358" s="43">
        <v>0</v>
      </c>
      <c r="K358" s="43">
        <v>0</v>
      </c>
      <c r="L358" s="43">
        <v>-3.02</v>
      </c>
      <c r="M358" s="43">
        <v>10017.61</v>
      </c>
      <c r="N358" s="45" t="s">
        <v>398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35">
        <v>45918.125740740739</v>
      </c>
      <c r="B359" s="36">
        <v>443948393</v>
      </c>
      <c r="C359" s="37" t="s">
        <v>36</v>
      </c>
      <c r="D359" s="37" t="s">
        <v>39</v>
      </c>
      <c r="E359" s="37" t="s">
        <v>47</v>
      </c>
      <c r="F359" s="37" t="s">
        <v>38</v>
      </c>
      <c r="G359" s="38">
        <v>3667.25</v>
      </c>
      <c r="H359" s="36">
        <v>443159412</v>
      </c>
      <c r="I359" s="39">
        <v>0</v>
      </c>
      <c r="J359" s="38">
        <v>0</v>
      </c>
      <c r="K359" s="38">
        <v>0</v>
      </c>
      <c r="L359" s="38">
        <v>-3.02</v>
      </c>
      <c r="M359" s="38">
        <v>10014.59</v>
      </c>
      <c r="N359" s="46" t="s">
        <v>399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40">
        <v>45918.125752314816</v>
      </c>
      <c r="B360" s="41">
        <v>443948406</v>
      </c>
      <c r="C360" s="42" t="s">
        <v>36</v>
      </c>
      <c r="D360" s="42" t="s">
        <v>39</v>
      </c>
      <c r="E360" s="42" t="s">
        <v>47</v>
      </c>
      <c r="F360" s="42" t="s">
        <v>38</v>
      </c>
      <c r="G360" s="43">
        <v>3667.12</v>
      </c>
      <c r="H360" s="41">
        <v>443159426</v>
      </c>
      <c r="I360" s="44">
        <v>0</v>
      </c>
      <c r="J360" s="43">
        <v>0</v>
      </c>
      <c r="K360" s="43">
        <v>0</v>
      </c>
      <c r="L360" s="43">
        <v>-3.11</v>
      </c>
      <c r="M360" s="43">
        <v>10011.48</v>
      </c>
      <c r="N360" s="45" t="s">
        <v>400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35">
        <v>45918.125752314816</v>
      </c>
      <c r="B361" s="36">
        <v>443948409</v>
      </c>
      <c r="C361" s="37" t="s">
        <v>36</v>
      </c>
      <c r="D361" s="37" t="s">
        <v>39</v>
      </c>
      <c r="E361" s="37" t="s">
        <v>47</v>
      </c>
      <c r="F361" s="37" t="s">
        <v>38</v>
      </c>
      <c r="G361" s="38">
        <v>3667.12</v>
      </c>
      <c r="H361" s="36">
        <v>443159427</v>
      </c>
      <c r="I361" s="39">
        <v>0</v>
      </c>
      <c r="J361" s="38">
        <v>0</v>
      </c>
      <c r="K361" s="38">
        <v>0</v>
      </c>
      <c r="L361" s="38">
        <v>-3.13</v>
      </c>
      <c r="M361" s="38">
        <v>10008.35</v>
      </c>
      <c r="N361" s="46" t="s">
        <v>400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40">
        <v>45918.12903935185</v>
      </c>
      <c r="B362" s="41">
        <v>443949710</v>
      </c>
      <c r="C362" s="42" t="s">
        <v>36</v>
      </c>
      <c r="D362" s="42" t="s">
        <v>39</v>
      </c>
      <c r="E362" s="42" t="s">
        <v>46</v>
      </c>
      <c r="F362" s="42" t="s">
        <v>38</v>
      </c>
      <c r="G362" s="43">
        <v>3667.49</v>
      </c>
      <c r="H362" s="41">
        <v>443160702</v>
      </c>
      <c r="I362" s="44">
        <v>0</v>
      </c>
      <c r="J362" s="43">
        <v>0</v>
      </c>
      <c r="K362" s="43">
        <v>0</v>
      </c>
      <c r="L362" s="43">
        <v>0</v>
      </c>
      <c r="M362" s="43">
        <v>10008.35</v>
      </c>
      <c r="N362" s="45" t="s">
        <v>150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35">
        <v>45918.12903935185</v>
      </c>
      <c r="B363" s="36">
        <v>443949712</v>
      </c>
      <c r="C363" s="37" t="s">
        <v>36</v>
      </c>
      <c r="D363" s="37" t="s">
        <v>39</v>
      </c>
      <c r="E363" s="37" t="s">
        <v>46</v>
      </c>
      <c r="F363" s="37" t="s">
        <v>38</v>
      </c>
      <c r="G363" s="38">
        <v>3667.49</v>
      </c>
      <c r="H363" s="36">
        <v>443160704</v>
      </c>
      <c r="I363" s="39">
        <v>0</v>
      </c>
      <c r="J363" s="38">
        <v>0</v>
      </c>
      <c r="K363" s="38">
        <v>0</v>
      </c>
      <c r="L363" s="38">
        <v>0</v>
      </c>
      <c r="M363" s="38">
        <v>10008.35</v>
      </c>
      <c r="N363" s="46" t="s">
        <v>53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40">
        <v>45918.12903935185</v>
      </c>
      <c r="B364" s="41">
        <v>443949713</v>
      </c>
      <c r="C364" s="42" t="s">
        <v>36</v>
      </c>
      <c r="D364" s="42" t="s">
        <v>39</v>
      </c>
      <c r="E364" s="42" t="s">
        <v>46</v>
      </c>
      <c r="F364" s="42" t="s">
        <v>38</v>
      </c>
      <c r="G364" s="43">
        <v>3667.49</v>
      </c>
      <c r="H364" s="41">
        <v>443160705</v>
      </c>
      <c r="I364" s="44">
        <v>0</v>
      </c>
      <c r="J364" s="43">
        <v>0</v>
      </c>
      <c r="K364" s="43">
        <v>0</v>
      </c>
      <c r="L364" s="43">
        <v>0</v>
      </c>
      <c r="M364" s="43">
        <v>10008.35</v>
      </c>
      <c r="N364" s="45" t="s">
        <v>49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35">
        <v>45918.129050925927</v>
      </c>
      <c r="B365" s="36">
        <v>443949714</v>
      </c>
      <c r="C365" s="37" t="s">
        <v>36</v>
      </c>
      <c r="D365" s="37" t="s">
        <v>39</v>
      </c>
      <c r="E365" s="37" t="s">
        <v>46</v>
      </c>
      <c r="F365" s="37" t="s">
        <v>38</v>
      </c>
      <c r="G365" s="38">
        <v>3667.49</v>
      </c>
      <c r="H365" s="36">
        <v>443160706</v>
      </c>
      <c r="I365" s="39">
        <v>0</v>
      </c>
      <c r="J365" s="38">
        <v>0</v>
      </c>
      <c r="K365" s="38">
        <v>0</v>
      </c>
      <c r="L365" s="38">
        <v>0</v>
      </c>
      <c r="M365" s="38">
        <v>10008.35</v>
      </c>
      <c r="N365" s="46" t="s">
        <v>48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40">
        <v>45918.129976851851</v>
      </c>
      <c r="B366" s="41">
        <v>443949844</v>
      </c>
      <c r="C366" s="42" t="s">
        <v>36</v>
      </c>
      <c r="D366" s="42" t="s">
        <v>37</v>
      </c>
      <c r="E366" s="42" t="s">
        <v>47</v>
      </c>
      <c r="F366" s="42" t="s">
        <v>38</v>
      </c>
      <c r="G366" s="43">
        <v>3665.75</v>
      </c>
      <c r="H366" s="41">
        <v>443160833</v>
      </c>
      <c r="I366" s="44">
        <v>0</v>
      </c>
      <c r="J366" s="43">
        <v>0</v>
      </c>
      <c r="K366" s="43">
        <v>0</v>
      </c>
      <c r="L366" s="43">
        <v>1.74</v>
      </c>
      <c r="M366" s="43">
        <v>10010.09</v>
      </c>
      <c r="N366" s="45" t="s">
        <v>401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35">
        <v>45918.131342592591</v>
      </c>
      <c r="B367" s="36">
        <v>443950666</v>
      </c>
      <c r="C367" s="37" t="s">
        <v>36</v>
      </c>
      <c r="D367" s="37" t="s">
        <v>37</v>
      </c>
      <c r="E367" s="37" t="s">
        <v>47</v>
      </c>
      <c r="F367" s="37" t="s">
        <v>38</v>
      </c>
      <c r="G367" s="38">
        <v>3664.43</v>
      </c>
      <c r="H367" s="36">
        <v>443161652</v>
      </c>
      <c r="I367" s="39">
        <v>0</v>
      </c>
      <c r="J367" s="38">
        <v>0</v>
      </c>
      <c r="K367" s="38">
        <v>0</v>
      </c>
      <c r="L367" s="38">
        <v>3.06</v>
      </c>
      <c r="M367" s="38">
        <v>10013.15</v>
      </c>
      <c r="N367" s="46" t="s">
        <v>402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40">
        <v>45918.131342592591</v>
      </c>
      <c r="B368" s="41">
        <v>443950667</v>
      </c>
      <c r="C368" s="42" t="s">
        <v>36</v>
      </c>
      <c r="D368" s="42" t="s">
        <v>37</v>
      </c>
      <c r="E368" s="42" t="s">
        <v>47</v>
      </c>
      <c r="F368" s="42" t="s">
        <v>38</v>
      </c>
      <c r="G368" s="43">
        <v>3664.43</v>
      </c>
      <c r="H368" s="41">
        <v>443161653</v>
      </c>
      <c r="I368" s="44">
        <v>0</v>
      </c>
      <c r="J368" s="43">
        <v>0</v>
      </c>
      <c r="K368" s="43">
        <v>0</v>
      </c>
      <c r="L368" s="43">
        <v>3.06</v>
      </c>
      <c r="M368" s="43">
        <v>10016.209999999999</v>
      </c>
      <c r="N368" s="45" t="s">
        <v>402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35">
        <v>45918.131597222222</v>
      </c>
      <c r="B369" s="36">
        <v>443950926</v>
      </c>
      <c r="C369" s="37" t="s">
        <v>36</v>
      </c>
      <c r="D369" s="37" t="s">
        <v>37</v>
      </c>
      <c r="E369" s="37" t="s">
        <v>47</v>
      </c>
      <c r="F369" s="37" t="s">
        <v>38</v>
      </c>
      <c r="G369" s="38">
        <v>3663.99</v>
      </c>
      <c r="H369" s="36">
        <v>443161910</v>
      </c>
      <c r="I369" s="39">
        <v>0</v>
      </c>
      <c r="J369" s="38">
        <v>0</v>
      </c>
      <c r="K369" s="38">
        <v>0</v>
      </c>
      <c r="L369" s="38">
        <v>3.5</v>
      </c>
      <c r="M369" s="38">
        <v>10019.709999999999</v>
      </c>
      <c r="N369" s="46" t="s">
        <v>403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40">
        <v>45918.133784722224</v>
      </c>
      <c r="B370" s="41">
        <v>443951829</v>
      </c>
      <c r="C370" s="42" t="s">
        <v>36</v>
      </c>
      <c r="D370" s="42" t="s">
        <v>39</v>
      </c>
      <c r="E370" s="42" t="s">
        <v>46</v>
      </c>
      <c r="F370" s="42" t="s">
        <v>38</v>
      </c>
      <c r="G370" s="43">
        <v>3664.49</v>
      </c>
      <c r="H370" s="41">
        <v>443162800</v>
      </c>
      <c r="I370" s="44">
        <v>0</v>
      </c>
      <c r="J370" s="43">
        <v>0</v>
      </c>
      <c r="K370" s="43">
        <v>0</v>
      </c>
      <c r="L370" s="43">
        <v>0</v>
      </c>
      <c r="M370" s="43">
        <v>10019.709999999999</v>
      </c>
      <c r="N370" s="45" t="s">
        <v>150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35">
        <v>45918.133784722224</v>
      </c>
      <c r="B371" s="36">
        <v>443951830</v>
      </c>
      <c r="C371" s="37" t="s">
        <v>36</v>
      </c>
      <c r="D371" s="37" t="s">
        <v>39</v>
      </c>
      <c r="E371" s="37" t="s">
        <v>46</v>
      </c>
      <c r="F371" s="37" t="s">
        <v>38</v>
      </c>
      <c r="G371" s="38">
        <v>3664.32</v>
      </c>
      <c r="H371" s="36">
        <v>443162801</v>
      </c>
      <c r="I371" s="39">
        <v>0</v>
      </c>
      <c r="J371" s="38">
        <v>0</v>
      </c>
      <c r="K371" s="38">
        <v>0</v>
      </c>
      <c r="L371" s="38">
        <v>0</v>
      </c>
      <c r="M371" s="38">
        <v>10019.709999999999</v>
      </c>
      <c r="N371" s="46" t="s">
        <v>49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40">
        <v>45918.133784722224</v>
      </c>
      <c r="B372" s="41">
        <v>443951832</v>
      </c>
      <c r="C372" s="42" t="s">
        <v>36</v>
      </c>
      <c r="D372" s="42" t="s">
        <v>39</v>
      </c>
      <c r="E372" s="42" t="s">
        <v>46</v>
      </c>
      <c r="F372" s="42" t="s">
        <v>38</v>
      </c>
      <c r="G372" s="43">
        <v>3664.55</v>
      </c>
      <c r="H372" s="41">
        <v>443162804</v>
      </c>
      <c r="I372" s="44">
        <v>0</v>
      </c>
      <c r="J372" s="43">
        <v>0</v>
      </c>
      <c r="K372" s="43">
        <v>0</v>
      </c>
      <c r="L372" s="43">
        <v>0</v>
      </c>
      <c r="M372" s="43">
        <v>10019.709999999999</v>
      </c>
      <c r="N372" s="45" t="s">
        <v>48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35">
        <v>45918.133796296293</v>
      </c>
      <c r="B373" s="36">
        <v>443951833</v>
      </c>
      <c r="C373" s="37" t="s">
        <v>36</v>
      </c>
      <c r="D373" s="37" t="s">
        <v>39</v>
      </c>
      <c r="E373" s="37" t="s">
        <v>46</v>
      </c>
      <c r="F373" s="37" t="s">
        <v>38</v>
      </c>
      <c r="G373" s="38">
        <v>3664.44</v>
      </c>
      <c r="H373" s="36">
        <v>443162805</v>
      </c>
      <c r="I373" s="39">
        <v>0</v>
      </c>
      <c r="J373" s="38">
        <v>0</v>
      </c>
      <c r="K373" s="38">
        <v>0</v>
      </c>
      <c r="L373" s="38">
        <v>0</v>
      </c>
      <c r="M373" s="38">
        <v>10019.709999999999</v>
      </c>
      <c r="N373" s="46" t="s">
        <v>53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40">
        <v>45918.138356481482</v>
      </c>
      <c r="B374" s="41">
        <v>443952470</v>
      </c>
      <c r="C374" s="42" t="s">
        <v>36</v>
      </c>
      <c r="D374" s="42" t="s">
        <v>37</v>
      </c>
      <c r="E374" s="42" t="s">
        <v>47</v>
      </c>
      <c r="F374" s="42" t="s">
        <v>38</v>
      </c>
      <c r="G374" s="43">
        <v>3662.99</v>
      </c>
      <c r="H374" s="41">
        <v>443163421</v>
      </c>
      <c r="I374" s="44">
        <v>0</v>
      </c>
      <c r="J374" s="43">
        <v>0</v>
      </c>
      <c r="K374" s="43">
        <v>0</v>
      </c>
      <c r="L374" s="43">
        <v>1.5</v>
      </c>
      <c r="M374" s="43">
        <v>10021.209999999999</v>
      </c>
      <c r="N374" s="45" t="s">
        <v>404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35">
        <v>45918.141423611109</v>
      </c>
      <c r="B375" s="36">
        <v>443952834</v>
      </c>
      <c r="C375" s="37" t="s">
        <v>36</v>
      </c>
      <c r="D375" s="37" t="s">
        <v>39</v>
      </c>
      <c r="E375" s="37" t="s">
        <v>46</v>
      </c>
      <c r="F375" s="37" t="s">
        <v>38</v>
      </c>
      <c r="G375" s="38">
        <v>3663.48</v>
      </c>
      <c r="H375" s="36">
        <v>443163800</v>
      </c>
      <c r="I375" s="39">
        <v>0</v>
      </c>
      <c r="J375" s="38">
        <v>0</v>
      </c>
      <c r="K375" s="38">
        <v>0</v>
      </c>
      <c r="L375" s="38">
        <v>0</v>
      </c>
      <c r="M375" s="38">
        <v>10021.209999999999</v>
      </c>
      <c r="N375" s="46" t="s">
        <v>150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40">
        <v>45918.141423611109</v>
      </c>
      <c r="B376" s="41">
        <v>443952835</v>
      </c>
      <c r="C376" s="42" t="s">
        <v>36</v>
      </c>
      <c r="D376" s="42" t="s">
        <v>37</v>
      </c>
      <c r="E376" s="42" t="s">
        <v>47</v>
      </c>
      <c r="F376" s="42" t="s">
        <v>38</v>
      </c>
      <c r="G376" s="43">
        <v>3663.76</v>
      </c>
      <c r="H376" s="41">
        <v>443163801</v>
      </c>
      <c r="I376" s="44">
        <v>0</v>
      </c>
      <c r="J376" s="43">
        <v>0</v>
      </c>
      <c r="K376" s="43">
        <v>0</v>
      </c>
      <c r="L376" s="43">
        <v>0.56000000000000005</v>
      </c>
      <c r="M376" s="43">
        <v>10021.77</v>
      </c>
      <c r="N376" s="45" t="s">
        <v>405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35">
        <v>45918.141423611109</v>
      </c>
      <c r="B377" s="36">
        <v>443952836</v>
      </c>
      <c r="C377" s="37" t="s">
        <v>36</v>
      </c>
      <c r="D377" s="37" t="s">
        <v>37</v>
      </c>
      <c r="E377" s="37" t="s">
        <v>47</v>
      </c>
      <c r="F377" s="37" t="s">
        <v>38</v>
      </c>
      <c r="G377" s="38">
        <v>3663.76</v>
      </c>
      <c r="H377" s="36">
        <v>443163802</v>
      </c>
      <c r="I377" s="39">
        <v>0</v>
      </c>
      <c r="J377" s="38">
        <v>0</v>
      </c>
      <c r="K377" s="38">
        <v>0</v>
      </c>
      <c r="L377" s="38">
        <v>0.79</v>
      </c>
      <c r="M377" s="38">
        <v>10022.56</v>
      </c>
      <c r="N377" s="46" t="s">
        <v>405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40">
        <v>45918.141423611109</v>
      </c>
      <c r="B378" s="41">
        <v>443952837</v>
      </c>
      <c r="C378" s="42" t="s">
        <v>36</v>
      </c>
      <c r="D378" s="42" t="s">
        <v>37</v>
      </c>
      <c r="E378" s="42" t="s">
        <v>47</v>
      </c>
      <c r="F378" s="42" t="s">
        <v>38</v>
      </c>
      <c r="G378" s="43">
        <v>3663.76</v>
      </c>
      <c r="H378" s="41">
        <v>443163803</v>
      </c>
      <c r="I378" s="44">
        <v>0</v>
      </c>
      <c r="J378" s="43">
        <v>0</v>
      </c>
      <c r="K378" s="43">
        <v>0</v>
      </c>
      <c r="L378" s="43">
        <v>0.68</v>
      </c>
      <c r="M378" s="43">
        <v>10023.24</v>
      </c>
      <c r="N378" s="45" t="s">
        <v>405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35">
        <v>45918.141539351855</v>
      </c>
      <c r="B379" s="36">
        <v>443952858</v>
      </c>
      <c r="C379" s="37" t="s">
        <v>36</v>
      </c>
      <c r="D379" s="37" t="s">
        <v>39</v>
      </c>
      <c r="E379" s="37" t="s">
        <v>46</v>
      </c>
      <c r="F379" s="37" t="s">
        <v>38</v>
      </c>
      <c r="G379" s="38">
        <v>3663.65</v>
      </c>
      <c r="H379" s="36">
        <v>443163826</v>
      </c>
      <c r="I379" s="39">
        <v>0</v>
      </c>
      <c r="J379" s="38">
        <v>0</v>
      </c>
      <c r="K379" s="38">
        <v>0</v>
      </c>
      <c r="L379" s="38">
        <v>0</v>
      </c>
      <c r="M379" s="38">
        <v>10023.24</v>
      </c>
      <c r="N379" s="46" t="s">
        <v>49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40">
        <v>45918.141539351855</v>
      </c>
      <c r="B380" s="41">
        <v>443952859</v>
      </c>
      <c r="C380" s="42" t="s">
        <v>36</v>
      </c>
      <c r="D380" s="42" t="s">
        <v>39</v>
      </c>
      <c r="E380" s="42" t="s">
        <v>46</v>
      </c>
      <c r="F380" s="42" t="s">
        <v>38</v>
      </c>
      <c r="G380" s="43">
        <v>3663.65</v>
      </c>
      <c r="H380" s="41">
        <v>443163827</v>
      </c>
      <c r="I380" s="44">
        <v>0</v>
      </c>
      <c r="J380" s="43">
        <v>0</v>
      </c>
      <c r="K380" s="43">
        <v>0</v>
      </c>
      <c r="L380" s="43">
        <v>0</v>
      </c>
      <c r="M380" s="43">
        <v>10023.24</v>
      </c>
      <c r="N380" s="45" t="s">
        <v>48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35">
        <v>45918.141539351855</v>
      </c>
      <c r="B381" s="36">
        <v>443952860</v>
      </c>
      <c r="C381" s="37" t="s">
        <v>36</v>
      </c>
      <c r="D381" s="37" t="s">
        <v>39</v>
      </c>
      <c r="E381" s="37" t="s">
        <v>46</v>
      </c>
      <c r="F381" s="37" t="s">
        <v>38</v>
      </c>
      <c r="G381" s="38">
        <v>3663.64</v>
      </c>
      <c r="H381" s="36">
        <v>443163828</v>
      </c>
      <c r="I381" s="39">
        <v>0</v>
      </c>
      <c r="J381" s="38">
        <v>0</v>
      </c>
      <c r="K381" s="38">
        <v>0</v>
      </c>
      <c r="L381" s="38">
        <v>0</v>
      </c>
      <c r="M381" s="38">
        <v>10023.24</v>
      </c>
      <c r="N381" s="46" t="s">
        <v>53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40">
        <v>45918.143182870372</v>
      </c>
      <c r="B382" s="41">
        <v>443953691</v>
      </c>
      <c r="C382" s="42" t="s">
        <v>36</v>
      </c>
      <c r="D382" s="42" t="s">
        <v>37</v>
      </c>
      <c r="E382" s="42" t="s">
        <v>47</v>
      </c>
      <c r="F382" s="42" t="s">
        <v>38</v>
      </c>
      <c r="G382" s="43">
        <v>3661.91</v>
      </c>
      <c r="H382" s="41">
        <v>443164660</v>
      </c>
      <c r="I382" s="44">
        <v>0</v>
      </c>
      <c r="J382" s="43">
        <v>0</v>
      </c>
      <c r="K382" s="43">
        <v>0</v>
      </c>
      <c r="L382" s="43">
        <v>1.57</v>
      </c>
      <c r="M382" s="43">
        <v>10024.81</v>
      </c>
      <c r="N382" s="45" t="s">
        <v>406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35">
        <v>45918.144016203703</v>
      </c>
      <c r="B383" s="36">
        <v>443953837</v>
      </c>
      <c r="C383" s="37" t="s">
        <v>36</v>
      </c>
      <c r="D383" s="37" t="s">
        <v>37</v>
      </c>
      <c r="E383" s="37" t="s">
        <v>47</v>
      </c>
      <c r="F383" s="37" t="s">
        <v>38</v>
      </c>
      <c r="G383" s="38">
        <v>3663.22</v>
      </c>
      <c r="H383" s="36">
        <v>443164812</v>
      </c>
      <c r="I383" s="39">
        <v>0</v>
      </c>
      <c r="J383" s="38">
        <v>0</v>
      </c>
      <c r="K383" s="38">
        <v>0</v>
      </c>
      <c r="L383" s="38">
        <v>0.43</v>
      </c>
      <c r="M383" s="38">
        <v>10025.24</v>
      </c>
      <c r="N383" s="46" t="s">
        <v>407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40">
        <v>45918.144016203703</v>
      </c>
      <c r="B384" s="41">
        <v>443953838</v>
      </c>
      <c r="C384" s="42" t="s">
        <v>36</v>
      </c>
      <c r="D384" s="42" t="s">
        <v>37</v>
      </c>
      <c r="E384" s="42" t="s">
        <v>47</v>
      </c>
      <c r="F384" s="42" t="s">
        <v>38</v>
      </c>
      <c r="G384" s="43">
        <v>3663.22</v>
      </c>
      <c r="H384" s="41">
        <v>443164813</v>
      </c>
      <c r="I384" s="44">
        <v>0</v>
      </c>
      <c r="J384" s="43">
        <v>0</v>
      </c>
      <c r="K384" s="43">
        <v>0</v>
      </c>
      <c r="L384" s="43">
        <v>0.43</v>
      </c>
      <c r="M384" s="43">
        <v>10025.67</v>
      </c>
      <c r="N384" s="45" t="s">
        <v>407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35">
        <v>45918.144016203703</v>
      </c>
      <c r="B385" s="36">
        <v>443953839</v>
      </c>
      <c r="C385" s="37" t="s">
        <v>36</v>
      </c>
      <c r="D385" s="37" t="s">
        <v>37</v>
      </c>
      <c r="E385" s="37" t="s">
        <v>47</v>
      </c>
      <c r="F385" s="37" t="s">
        <v>38</v>
      </c>
      <c r="G385" s="38">
        <v>3663.22</v>
      </c>
      <c r="H385" s="36">
        <v>443164814</v>
      </c>
      <c r="I385" s="39">
        <v>0</v>
      </c>
      <c r="J385" s="38">
        <v>0</v>
      </c>
      <c r="K385" s="38">
        <v>0</v>
      </c>
      <c r="L385" s="38">
        <v>0.42</v>
      </c>
      <c r="M385" s="38">
        <v>10026.09</v>
      </c>
      <c r="N385" s="46" t="s">
        <v>408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40">
        <v>45918.144548611112</v>
      </c>
      <c r="B386" s="41">
        <v>443953884</v>
      </c>
      <c r="C386" s="42" t="s">
        <v>36</v>
      </c>
      <c r="D386" s="42" t="s">
        <v>39</v>
      </c>
      <c r="E386" s="42" t="s">
        <v>46</v>
      </c>
      <c r="F386" s="42" t="s">
        <v>38</v>
      </c>
      <c r="G386" s="43">
        <v>3662.69</v>
      </c>
      <c r="H386" s="41">
        <v>443164859</v>
      </c>
      <c r="I386" s="44">
        <v>0</v>
      </c>
      <c r="J386" s="43">
        <v>0</v>
      </c>
      <c r="K386" s="43">
        <v>0</v>
      </c>
      <c r="L386" s="43">
        <v>0</v>
      </c>
      <c r="M386" s="43">
        <v>10026.09</v>
      </c>
      <c r="N386" s="45" t="s">
        <v>150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35">
        <v>45918.144548611112</v>
      </c>
      <c r="B387" s="36">
        <v>443953886</v>
      </c>
      <c r="C387" s="37" t="s">
        <v>36</v>
      </c>
      <c r="D387" s="37" t="s">
        <v>39</v>
      </c>
      <c r="E387" s="37" t="s">
        <v>46</v>
      </c>
      <c r="F387" s="37" t="s">
        <v>38</v>
      </c>
      <c r="G387" s="38">
        <v>3662.69</v>
      </c>
      <c r="H387" s="36">
        <v>443164860</v>
      </c>
      <c r="I387" s="39">
        <v>0</v>
      </c>
      <c r="J387" s="38">
        <v>0</v>
      </c>
      <c r="K387" s="38">
        <v>0</v>
      </c>
      <c r="L387" s="38">
        <v>0</v>
      </c>
      <c r="M387" s="38">
        <v>10026.09</v>
      </c>
      <c r="N387" s="46" t="s">
        <v>48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40">
        <v>45918.144548611112</v>
      </c>
      <c r="B388" s="41">
        <v>443953887</v>
      </c>
      <c r="C388" s="42" t="s">
        <v>36</v>
      </c>
      <c r="D388" s="42" t="s">
        <v>39</v>
      </c>
      <c r="E388" s="42" t="s">
        <v>46</v>
      </c>
      <c r="F388" s="42" t="s">
        <v>38</v>
      </c>
      <c r="G388" s="43">
        <v>3662.64</v>
      </c>
      <c r="H388" s="41">
        <v>443164861</v>
      </c>
      <c r="I388" s="44">
        <v>0</v>
      </c>
      <c r="J388" s="43">
        <v>0</v>
      </c>
      <c r="K388" s="43">
        <v>0</v>
      </c>
      <c r="L388" s="43">
        <v>0</v>
      </c>
      <c r="M388" s="43">
        <v>10026.09</v>
      </c>
      <c r="N388" s="45" t="s">
        <v>53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35">
        <v>45918.144548611112</v>
      </c>
      <c r="B389" s="36">
        <v>443953888</v>
      </c>
      <c r="C389" s="37" t="s">
        <v>36</v>
      </c>
      <c r="D389" s="37" t="s">
        <v>39</v>
      </c>
      <c r="E389" s="37" t="s">
        <v>46</v>
      </c>
      <c r="F389" s="37" t="s">
        <v>38</v>
      </c>
      <c r="G389" s="38">
        <v>3662.64</v>
      </c>
      <c r="H389" s="36">
        <v>443164862</v>
      </c>
      <c r="I389" s="39">
        <v>0</v>
      </c>
      <c r="J389" s="38">
        <v>0</v>
      </c>
      <c r="K389" s="38">
        <v>0</v>
      </c>
      <c r="L389" s="38">
        <v>0</v>
      </c>
      <c r="M389" s="38">
        <v>10026.09</v>
      </c>
      <c r="N389" s="46" t="s">
        <v>49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40">
        <v>45918.146284722221</v>
      </c>
      <c r="B390" s="41">
        <v>443954043</v>
      </c>
      <c r="C390" s="42" t="s">
        <v>36</v>
      </c>
      <c r="D390" s="42" t="s">
        <v>39</v>
      </c>
      <c r="E390" s="42" t="s">
        <v>46</v>
      </c>
      <c r="F390" s="42" t="s">
        <v>38</v>
      </c>
      <c r="G390" s="43">
        <v>3663.14</v>
      </c>
      <c r="H390" s="41">
        <v>443165010</v>
      </c>
      <c r="I390" s="44">
        <v>0</v>
      </c>
      <c r="J390" s="43">
        <v>0</v>
      </c>
      <c r="K390" s="43">
        <v>0</v>
      </c>
      <c r="L390" s="43">
        <v>0</v>
      </c>
      <c r="M390" s="43">
        <v>10026.09</v>
      </c>
      <c r="N390" s="45" t="s">
        <v>395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35">
        <v>45918.146284722221</v>
      </c>
      <c r="B391" s="36">
        <v>443954044</v>
      </c>
      <c r="C391" s="37" t="s">
        <v>36</v>
      </c>
      <c r="D391" s="37" t="s">
        <v>39</v>
      </c>
      <c r="E391" s="37" t="s">
        <v>46</v>
      </c>
      <c r="F391" s="37" t="s">
        <v>38</v>
      </c>
      <c r="G391" s="38">
        <v>3663.14</v>
      </c>
      <c r="H391" s="36">
        <v>443165011</v>
      </c>
      <c r="I391" s="39">
        <v>0</v>
      </c>
      <c r="J391" s="38">
        <v>0</v>
      </c>
      <c r="K391" s="38">
        <v>0</v>
      </c>
      <c r="L391" s="38">
        <v>0</v>
      </c>
      <c r="M391" s="38">
        <v>10026.09</v>
      </c>
      <c r="N391" s="46" t="s">
        <v>268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40">
        <v>45918.15079861111</v>
      </c>
      <c r="B392" s="41">
        <v>443955159</v>
      </c>
      <c r="C392" s="42" t="s">
        <v>36</v>
      </c>
      <c r="D392" s="42" t="s">
        <v>37</v>
      </c>
      <c r="E392" s="42" t="s">
        <v>47</v>
      </c>
      <c r="F392" s="42" t="s">
        <v>38</v>
      </c>
      <c r="G392" s="43">
        <v>3661</v>
      </c>
      <c r="H392" s="41">
        <v>443166135</v>
      </c>
      <c r="I392" s="44">
        <v>0</v>
      </c>
      <c r="J392" s="43">
        <v>0</v>
      </c>
      <c r="K392" s="43">
        <v>0</v>
      </c>
      <c r="L392" s="43">
        <v>1.69</v>
      </c>
      <c r="M392" s="43">
        <v>10027.780000000001</v>
      </c>
      <c r="N392" s="45" t="s">
        <v>409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35">
        <v>45918.151944444442</v>
      </c>
      <c r="B393" s="36">
        <v>443955803</v>
      </c>
      <c r="C393" s="37" t="s">
        <v>36</v>
      </c>
      <c r="D393" s="37" t="s">
        <v>37</v>
      </c>
      <c r="E393" s="37" t="s">
        <v>47</v>
      </c>
      <c r="F393" s="37" t="s">
        <v>38</v>
      </c>
      <c r="G393" s="38">
        <v>3659.68</v>
      </c>
      <c r="H393" s="36">
        <v>443166741</v>
      </c>
      <c r="I393" s="39">
        <v>0</v>
      </c>
      <c r="J393" s="38">
        <v>0</v>
      </c>
      <c r="K393" s="38">
        <v>0</v>
      </c>
      <c r="L393" s="38">
        <v>3.01</v>
      </c>
      <c r="M393" s="38">
        <v>10030.790000000001</v>
      </c>
      <c r="N393" s="46" t="s">
        <v>410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40">
        <v>45918.151944444442</v>
      </c>
      <c r="B394" s="41">
        <v>443955804</v>
      </c>
      <c r="C394" s="42" t="s">
        <v>36</v>
      </c>
      <c r="D394" s="42" t="s">
        <v>37</v>
      </c>
      <c r="E394" s="42" t="s">
        <v>47</v>
      </c>
      <c r="F394" s="42" t="s">
        <v>38</v>
      </c>
      <c r="G394" s="43">
        <v>3659.68</v>
      </c>
      <c r="H394" s="41">
        <v>443166742</v>
      </c>
      <c r="I394" s="44">
        <v>0</v>
      </c>
      <c r="J394" s="43">
        <v>0</v>
      </c>
      <c r="K394" s="43">
        <v>0</v>
      </c>
      <c r="L394" s="43">
        <v>2.96</v>
      </c>
      <c r="M394" s="43">
        <v>10033.75</v>
      </c>
      <c r="N394" s="45" t="s">
        <v>410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35">
        <v>45918.151944444442</v>
      </c>
      <c r="B395" s="36">
        <v>443955805</v>
      </c>
      <c r="C395" s="37" t="s">
        <v>36</v>
      </c>
      <c r="D395" s="37" t="s">
        <v>37</v>
      </c>
      <c r="E395" s="37" t="s">
        <v>47</v>
      </c>
      <c r="F395" s="37" t="s">
        <v>38</v>
      </c>
      <c r="G395" s="38">
        <v>3659.68</v>
      </c>
      <c r="H395" s="36">
        <v>443166743</v>
      </c>
      <c r="I395" s="39">
        <v>0</v>
      </c>
      <c r="J395" s="38">
        <v>0</v>
      </c>
      <c r="K395" s="38">
        <v>0</v>
      </c>
      <c r="L395" s="38">
        <v>3.46</v>
      </c>
      <c r="M395" s="38">
        <v>10037.209999999999</v>
      </c>
      <c r="N395" s="46" t="s">
        <v>411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40">
        <v>45918.151944444442</v>
      </c>
      <c r="B396" s="41">
        <v>443955806</v>
      </c>
      <c r="C396" s="42" t="s">
        <v>36</v>
      </c>
      <c r="D396" s="42" t="s">
        <v>37</v>
      </c>
      <c r="E396" s="42" t="s">
        <v>47</v>
      </c>
      <c r="F396" s="42" t="s">
        <v>38</v>
      </c>
      <c r="G396" s="43">
        <v>3659.68</v>
      </c>
      <c r="H396" s="41">
        <v>443166744</v>
      </c>
      <c r="I396" s="44">
        <v>0</v>
      </c>
      <c r="J396" s="43">
        <v>0</v>
      </c>
      <c r="K396" s="43">
        <v>0</v>
      </c>
      <c r="L396" s="43">
        <v>3.46</v>
      </c>
      <c r="M396" s="43">
        <v>10040.67</v>
      </c>
      <c r="N396" s="45" t="s">
        <v>411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35">
        <v>45918.152233796296</v>
      </c>
      <c r="B397" s="36">
        <v>443955921</v>
      </c>
      <c r="C397" s="37" t="s">
        <v>36</v>
      </c>
      <c r="D397" s="37" t="s">
        <v>37</v>
      </c>
      <c r="E397" s="37" t="s">
        <v>47</v>
      </c>
      <c r="F397" s="37" t="s">
        <v>38</v>
      </c>
      <c r="G397" s="38">
        <v>3659.17</v>
      </c>
      <c r="H397" s="36">
        <v>443166857</v>
      </c>
      <c r="I397" s="39">
        <v>0</v>
      </c>
      <c r="J397" s="38">
        <v>0</v>
      </c>
      <c r="K397" s="38">
        <v>0</v>
      </c>
      <c r="L397" s="38">
        <v>3.47</v>
      </c>
      <c r="M397" s="38">
        <v>10044.14</v>
      </c>
      <c r="N397" s="46" t="s">
        <v>412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40">
        <v>45918.155659722222</v>
      </c>
      <c r="B398" s="41">
        <v>443956815</v>
      </c>
      <c r="C398" s="42" t="s">
        <v>36</v>
      </c>
      <c r="D398" s="42" t="s">
        <v>39</v>
      </c>
      <c r="E398" s="42" t="s">
        <v>46</v>
      </c>
      <c r="F398" s="42" t="s">
        <v>38</v>
      </c>
      <c r="G398" s="43">
        <v>3659.56</v>
      </c>
      <c r="H398" s="41">
        <v>443167731</v>
      </c>
      <c r="I398" s="44">
        <v>0</v>
      </c>
      <c r="J398" s="43">
        <v>0</v>
      </c>
      <c r="K398" s="43">
        <v>0</v>
      </c>
      <c r="L398" s="43">
        <v>0</v>
      </c>
      <c r="M398" s="43">
        <v>10044.14</v>
      </c>
      <c r="N398" s="45" t="s">
        <v>150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35">
        <v>45918.155659722222</v>
      </c>
      <c r="B399" s="36">
        <v>443956816</v>
      </c>
      <c r="C399" s="37" t="s">
        <v>36</v>
      </c>
      <c r="D399" s="37" t="s">
        <v>39</v>
      </c>
      <c r="E399" s="37" t="s">
        <v>46</v>
      </c>
      <c r="F399" s="37" t="s">
        <v>38</v>
      </c>
      <c r="G399" s="38">
        <v>3659.56</v>
      </c>
      <c r="H399" s="36">
        <v>443167732</v>
      </c>
      <c r="I399" s="39">
        <v>0</v>
      </c>
      <c r="J399" s="38">
        <v>0</v>
      </c>
      <c r="K399" s="38">
        <v>0</v>
      </c>
      <c r="L399" s="38">
        <v>0</v>
      </c>
      <c r="M399" s="38">
        <v>10044.14</v>
      </c>
      <c r="N399" s="46" t="s">
        <v>49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40">
        <v>45918.155659722222</v>
      </c>
      <c r="B400" s="41">
        <v>443956817</v>
      </c>
      <c r="C400" s="42" t="s">
        <v>36</v>
      </c>
      <c r="D400" s="42" t="s">
        <v>39</v>
      </c>
      <c r="E400" s="42" t="s">
        <v>46</v>
      </c>
      <c r="F400" s="42" t="s">
        <v>38</v>
      </c>
      <c r="G400" s="43">
        <v>3659.56</v>
      </c>
      <c r="H400" s="41">
        <v>443167733</v>
      </c>
      <c r="I400" s="44">
        <v>0</v>
      </c>
      <c r="J400" s="43">
        <v>0</v>
      </c>
      <c r="K400" s="43">
        <v>0</v>
      </c>
      <c r="L400" s="43">
        <v>0</v>
      </c>
      <c r="M400" s="43">
        <v>10044.14</v>
      </c>
      <c r="N400" s="45" t="s">
        <v>48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35">
        <v>45918.155659722222</v>
      </c>
      <c r="B401" s="36">
        <v>443956818</v>
      </c>
      <c r="C401" s="37" t="s">
        <v>36</v>
      </c>
      <c r="D401" s="37" t="s">
        <v>39</v>
      </c>
      <c r="E401" s="37" t="s">
        <v>46</v>
      </c>
      <c r="F401" s="37" t="s">
        <v>38</v>
      </c>
      <c r="G401" s="38">
        <v>3659.56</v>
      </c>
      <c r="H401" s="36">
        <v>443167734</v>
      </c>
      <c r="I401" s="39">
        <v>0</v>
      </c>
      <c r="J401" s="38">
        <v>0</v>
      </c>
      <c r="K401" s="38">
        <v>0</v>
      </c>
      <c r="L401" s="38">
        <v>0</v>
      </c>
      <c r="M401" s="38">
        <v>10044.14</v>
      </c>
      <c r="N401" s="46" t="s">
        <v>53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40">
        <v>45918.156469907408</v>
      </c>
      <c r="B402" s="41">
        <v>443956972</v>
      </c>
      <c r="C402" s="42" t="s">
        <v>36</v>
      </c>
      <c r="D402" s="42" t="s">
        <v>39</v>
      </c>
      <c r="E402" s="42" t="s">
        <v>46</v>
      </c>
      <c r="F402" s="42" t="s">
        <v>38</v>
      </c>
      <c r="G402" s="43">
        <v>3660.2</v>
      </c>
      <c r="H402" s="41">
        <v>443167890</v>
      </c>
      <c r="I402" s="44">
        <v>0</v>
      </c>
      <c r="J402" s="43">
        <v>0</v>
      </c>
      <c r="K402" s="43">
        <v>0</v>
      </c>
      <c r="L402" s="43">
        <v>0</v>
      </c>
      <c r="M402" s="43">
        <v>10044.14</v>
      </c>
      <c r="N402" s="45" t="s">
        <v>268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35">
        <v>45918.157569444447</v>
      </c>
      <c r="B403" s="36">
        <v>443957522</v>
      </c>
      <c r="C403" s="37" t="s">
        <v>36</v>
      </c>
      <c r="D403" s="37" t="s">
        <v>37</v>
      </c>
      <c r="E403" s="37" t="s">
        <v>47</v>
      </c>
      <c r="F403" s="37" t="s">
        <v>38</v>
      </c>
      <c r="G403" s="38">
        <v>3662.11</v>
      </c>
      <c r="H403" s="36">
        <v>443168441</v>
      </c>
      <c r="I403" s="39">
        <v>0</v>
      </c>
      <c r="J403" s="38">
        <v>0</v>
      </c>
      <c r="K403" s="38">
        <v>0</v>
      </c>
      <c r="L403" s="38">
        <v>-2.5499999999999998</v>
      </c>
      <c r="M403" s="38">
        <v>10041.59</v>
      </c>
      <c r="N403" s="46" t="s">
        <v>413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40">
        <v>45918.158009259256</v>
      </c>
      <c r="B404" s="41">
        <v>443957680</v>
      </c>
      <c r="C404" s="42" t="s">
        <v>36</v>
      </c>
      <c r="D404" s="42" t="s">
        <v>37</v>
      </c>
      <c r="E404" s="42" t="s">
        <v>47</v>
      </c>
      <c r="F404" s="42" t="s">
        <v>38</v>
      </c>
      <c r="G404" s="43">
        <v>3662.65</v>
      </c>
      <c r="H404" s="41">
        <v>443168599</v>
      </c>
      <c r="I404" s="44">
        <v>0</v>
      </c>
      <c r="J404" s="43">
        <v>0</v>
      </c>
      <c r="K404" s="43">
        <v>0</v>
      </c>
      <c r="L404" s="43">
        <v>-3.09</v>
      </c>
      <c r="M404" s="43">
        <v>10038.5</v>
      </c>
      <c r="N404" s="45" t="s">
        <v>414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35">
        <v>45918.158009259256</v>
      </c>
      <c r="B405" s="36">
        <v>443957681</v>
      </c>
      <c r="C405" s="37" t="s">
        <v>36</v>
      </c>
      <c r="D405" s="37" t="s">
        <v>37</v>
      </c>
      <c r="E405" s="37" t="s">
        <v>47</v>
      </c>
      <c r="F405" s="37" t="s">
        <v>38</v>
      </c>
      <c r="G405" s="38">
        <v>3662.65</v>
      </c>
      <c r="H405" s="36">
        <v>443168600</v>
      </c>
      <c r="I405" s="39">
        <v>0</v>
      </c>
      <c r="J405" s="38">
        <v>0</v>
      </c>
      <c r="K405" s="38">
        <v>0</v>
      </c>
      <c r="L405" s="38">
        <v>-3.09</v>
      </c>
      <c r="M405" s="38">
        <v>10035.41</v>
      </c>
      <c r="N405" s="46" t="s">
        <v>414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40">
        <v>45918.158009259256</v>
      </c>
      <c r="B406" s="41">
        <v>443957682</v>
      </c>
      <c r="C406" s="42" t="s">
        <v>36</v>
      </c>
      <c r="D406" s="42" t="s">
        <v>37</v>
      </c>
      <c r="E406" s="42" t="s">
        <v>47</v>
      </c>
      <c r="F406" s="42" t="s">
        <v>38</v>
      </c>
      <c r="G406" s="43">
        <v>3662.65</v>
      </c>
      <c r="H406" s="41">
        <v>443168601</v>
      </c>
      <c r="I406" s="44">
        <v>0</v>
      </c>
      <c r="J406" s="43">
        <v>0</v>
      </c>
      <c r="K406" s="43">
        <v>0</v>
      </c>
      <c r="L406" s="43">
        <v>-3.09</v>
      </c>
      <c r="M406" s="43">
        <v>10032.32</v>
      </c>
      <c r="N406" s="45" t="s">
        <v>414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35">
        <v>45918.158680555556</v>
      </c>
      <c r="B407" s="36">
        <v>443957927</v>
      </c>
      <c r="C407" s="37" t="s">
        <v>36</v>
      </c>
      <c r="D407" s="37" t="s">
        <v>37</v>
      </c>
      <c r="E407" s="37" t="s">
        <v>47</v>
      </c>
      <c r="F407" s="37" t="s">
        <v>38</v>
      </c>
      <c r="G407" s="38">
        <v>3663.25</v>
      </c>
      <c r="H407" s="36">
        <v>443168832</v>
      </c>
      <c r="I407" s="39">
        <v>0</v>
      </c>
      <c r="J407" s="38">
        <v>0</v>
      </c>
      <c r="K407" s="38">
        <v>0</v>
      </c>
      <c r="L407" s="38">
        <v>-3.05</v>
      </c>
      <c r="M407" s="38">
        <v>10029.27</v>
      </c>
      <c r="N407" s="46" t="s">
        <v>415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40">
        <v>45918.16815972222</v>
      </c>
      <c r="B408" s="41">
        <v>443962100</v>
      </c>
      <c r="C408" s="42" t="s">
        <v>36</v>
      </c>
      <c r="D408" s="42" t="s">
        <v>37</v>
      </c>
      <c r="E408" s="42" t="s">
        <v>46</v>
      </c>
      <c r="F408" s="42" t="s">
        <v>38</v>
      </c>
      <c r="G408" s="43">
        <v>3666</v>
      </c>
      <c r="H408" s="41">
        <v>443173042</v>
      </c>
      <c r="I408" s="44">
        <v>0</v>
      </c>
      <c r="J408" s="43">
        <v>0</v>
      </c>
      <c r="K408" s="43">
        <v>0</v>
      </c>
      <c r="L408" s="43">
        <v>0</v>
      </c>
      <c r="M408" s="43">
        <v>10029.27</v>
      </c>
      <c r="N408" s="45" t="s">
        <v>150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35">
        <v>45918.16815972222</v>
      </c>
      <c r="B409" s="36">
        <v>443962101</v>
      </c>
      <c r="C409" s="37" t="s">
        <v>36</v>
      </c>
      <c r="D409" s="37" t="s">
        <v>37</v>
      </c>
      <c r="E409" s="37" t="s">
        <v>46</v>
      </c>
      <c r="F409" s="37" t="s">
        <v>38</v>
      </c>
      <c r="G409" s="38">
        <v>3665.97</v>
      </c>
      <c r="H409" s="36">
        <v>443173043</v>
      </c>
      <c r="I409" s="39">
        <v>0</v>
      </c>
      <c r="J409" s="38">
        <v>0</v>
      </c>
      <c r="K409" s="38">
        <v>0</v>
      </c>
      <c r="L409" s="38">
        <v>0</v>
      </c>
      <c r="M409" s="38">
        <v>10029.27</v>
      </c>
      <c r="N409" s="46" t="s">
        <v>48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40">
        <v>45918.16815972222</v>
      </c>
      <c r="B410" s="41">
        <v>443962102</v>
      </c>
      <c r="C410" s="42" t="s">
        <v>36</v>
      </c>
      <c r="D410" s="42" t="s">
        <v>37</v>
      </c>
      <c r="E410" s="42" t="s">
        <v>46</v>
      </c>
      <c r="F410" s="42" t="s">
        <v>38</v>
      </c>
      <c r="G410" s="43">
        <v>3665.9</v>
      </c>
      <c r="H410" s="41">
        <v>443173044</v>
      </c>
      <c r="I410" s="44">
        <v>0</v>
      </c>
      <c r="J410" s="43">
        <v>0</v>
      </c>
      <c r="K410" s="43">
        <v>0</v>
      </c>
      <c r="L410" s="43">
        <v>0</v>
      </c>
      <c r="M410" s="43">
        <v>10029.27</v>
      </c>
      <c r="N410" s="45" t="s">
        <v>49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35">
        <v>45918.16815972222</v>
      </c>
      <c r="B411" s="36">
        <v>443962103</v>
      </c>
      <c r="C411" s="37" t="s">
        <v>36</v>
      </c>
      <c r="D411" s="37" t="s">
        <v>37</v>
      </c>
      <c r="E411" s="37" t="s">
        <v>46</v>
      </c>
      <c r="F411" s="37" t="s">
        <v>38</v>
      </c>
      <c r="G411" s="38">
        <v>3665.88</v>
      </c>
      <c r="H411" s="36">
        <v>443173045</v>
      </c>
      <c r="I411" s="39">
        <v>0</v>
      </c>
      <c r="J411" s="38">
        <v>0</v>
      </c>
      <c r="K411" s="38">
        <v>0</v>
      </c>
      <c r="L411" s="38">
        <v>0</v>
      </c>
      <c r="M411" s="38">
        <v>10029.27</v>
      </c>
      <c r="N411" s="46" t="s">
        <v>53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40">
        <v>45918.169340277775</v>
      </c>
      <c r="B412" s="41">
        <v>443963070</v>
      </c>
      <c r="C412" s="42" t="s">
        <v>36</v>
      </c>
      <c r="D412" s="42" t="s">
        <v>39</v>
      </c>
      <c r="E412" s="42" t="s">
        <v>47</v>
      </c>
      <c r="F412" s="42" t="s">
        <v>38</v>
      </c>
      <c r="G412" s="43">
        <v>3663.42</v>
      </c>
      <c r="H412" s="41">
        <v>443174012</v>
      </c>
      <c r="I412" s="44">
        <v>0</v>
      </c>
      <c r="J412" s="43">
        <v>0</v>
      </c>
      <c r="K412" s="43">
        <v>0</v>
      </c>
      <c r="L412" s="43">
        <v>-2.48</v>
      </c>
      <c r="M412" s="43">
        <v>10026.790000000001</v>
      </c>
      <c r="N412" s="45" t="s">
        <v>416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35">
        <v>45918.169374999998</v>
      </c>
      <c r="B413" s="36">
        <v>443963155</v>
      </c>
      <c r="C413" s="37" t="s">
        <v>36</v>
      </c>
      <c r="D413" s="37" t="s">
        <v>39</v>
      </c>
      <c r="E413" s="37" t="s">
        <v>47</v>
      </c>
      <c r="F413" s="37" t="s">
        <v>38</v>
      </c>
      <c r="G413" s="38">
        <v>3662.99</v>
      </c>
      <c r="H413" s="36">
        <v>443174097</v>
      </c>
      <c r="I413" s="39">
        <v>0</v>
      </c>
      <c r="J413" s="38">
        <v>0</v>
      </c>
      <c r="K413" s="38">
        <v>0</v>
      </c>
      <c r="L413" s="38">
        <v>-3.01</v>
      </c>
      <c r="M413" s="38">
        <v>10023.780000000001</v>
      </c>
      <c r="N413" s="46" t="s">
        <v>417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40">
        <v>45918.169398148151</v>
      </c>
      <c r="B414" s="41">
        <v>443963161</v>
      </c>
      <c r="C414" s="42" t="s">
        <v>36</v>
      </c>
      <c r="D414" s="42" t="s">
        <v>39</v>
      </c>
      <c r="E414" s="42" t="s">
        <v>47</v>
      </c>
      <c r="F414" s="42" t="s">
        <v>38</v>
      </c>
      <c r="G414" s="43">
        <v>3662.97</v>
      </c>
      <c r="H414" s="41">
        <v>443174103</v>
      </c>
      <c r="I414" s="44">
        <v>0</v>
      </c>
      <c r="J414" s="43">
        <v>0</v>
      </c>
      <c r="K414" s="43">
        <v>0</v>
      </c>
      <c r="L414" s="43">
        <v>-3</v>
      </c>
      <c r="M414" s="43">
        <v>10020.780000000001</v>
      </c>
      <c r="N414" s="45" t="s">
        <v>418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35">
        <v>45918.169398148151</v>
      </c>
      <c r="B415" s="36">
        <v>443963162</v>
      </c>
      <c r="C415" s="37" t="s">
        <v>36</v>
      </c>
      <c r="D415" s="37" t="s">
        <v>39</v>
      </c>
      <c r="E415" s="37" t="s">
        <v>47</v>
      </c>
      <c r="F415" s="37" t="s">
        <v>38</v>
      </c>
      <c r="G415" s="38">
        <v>3662.97</v>
      </c>
      <c r="H415" s="36">
        <v>443174104</v>
      </c>
      <c r="I415" s="39">
        <v>0</v>
      </c>
      <c r="J415" s="38">
        <v>0</v>
      </c>
      <c r="K415" s="38">
        <v>0</v>
      </c>
      <c r="L415" s="38">
        <v>-2.91</v>
      </c>
      <c r="M415" s="38">
        <v>10017.870000000001</v>
      </c>
      <c r="N415" s="46" t="s">
        <v>418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40">
        <v>45918.169432870367</v>
      </c>
      <c r="B416" s="41">
        <v>443963214</v>
      </c>
      <c r="C416" s="42" t="s">
        <v>36</v>
      </c>
      <c r="D416" s="42" t="s">
        <v>39</v>
      </c>
      <c r="E416" s="42" t="s">
        <v>46</v>
      </c>
      <c r="F416" s="42" t="s">
        <v>38</v>
      </c>
      <c r="G416" s="43">
        <v>3662.55</v>
      </c>
      <c r="H416" s="41">
        <v>443174155</v>
      </c>
      <c r="I416" s="44">
        <v>0</v>
      </c>
      <c r="J416" s="43">
        <v>0</v>
      </c>
      <c r="K416" s="43">
        <v>0</v>
      </c>
      <c r="L416" s="43">
        <v>0</v>
      </c>
      <c r="M416" s="43">
        <v>10017.870000000001</v>
      </c>
      <c r="N416" s="45" t="s">
        <v>125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35">
        <v>45918.169432870367</v>
      </c>
      <c r="B417" s="36">
        <v>443963240</v>
      </c>
      <c r="C417" s="37" t="s">
        <v>36</v>
      </c>
      <c r="D417" s="37" t="s">
        <v>39</v>
      </c>
      <c r="E417" s="37" t="s">
        <v>46</v>
      </c>
      <c r="F417" s="37" t="s">
        <v>38</v>
      </c>
      <c r="G417" s="38">
        <v>3662.41</v>
      </c>
      <c r="H417" s="36">
        <v>443174180</v>
      </c>
      <c r="I417" s="39">
        <v>0</v>
      </c>
      <c r="J417" s="38">
        <v>0</v>
      </c>
      <c r="K417" s="38">
        <v>0</v>
      </c>
      <c r="L417" s="38">
        <v>0</v>
      </c>
      <c r="M417" s="38">
        <v>10017.870000000001</v>
      </c>
      <c r="N417" s="46" t="s">
        <v>124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40">
        <v>45918.169456018521</v>
      </c>
      <c r="B418" s="41">
        <v>443963397</v>
      </c>
      <c r="C418" s="42" t="s">
        <v>36</v>
      </c>
      <c r="D418" s="42" t="s">
        <v>39</v>
      </c>
      <c r="E418" s="42" t="s">
        <v>46</v>
      </c>
      <c r="F418" s="42" t="s">
        <v>38</v>
      </c>
      <c r="G418" s="43">
        <v>3661.92</v>
      </c>
      <c r="H418" s="41">
        <v>443174338</v>
      </c>
      <c r="I418" s="44">
        <v>0</v>
      </c>
      <c r="J418" s="43">
        <v>0</v>
      </c>
      <c r="K418" s="43">
        <v>0</v>
      </c>
      <c r="L418" s="43">
        <v>0</v>
      </c>
      <c r="M418" s="43">
        <v>10017.870000000001</v>
      </c>
      <c r="N418" s="45" t="s">
        <v>123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35">
        <v>45918.174143518518</v>
      </c>
      <c r="B419" s="36">
        <v>443965158</v>
      </c>
      <c r="C419" s="37" t="s">
        <v>36</v>
      </c>
      <c r="D419" s="37" t="s">
        <v>37</v>
      </c>
      <c r="E419" s="37" t="s">
        <v>47</v>
      </c>
      <c r="F419" s="37" t="s">
        <v>38</v>
      </c>
      <c r="G419" s="38">
        <v>3657.3</v>
      </c>
      <c r="H419" s="36">
        <v>443176079</v>
      </c>
      <c r="I419" s="39">
        <v>0</v>
      </c>
      <c r="J419" s="38">
        <v>0</v>
      </c>
      <c r="K419" s="38">
        <v>0</v>
      </c>
      <c r="L419" s="38">
        <v>4.62</v>
      </c>
      <c r="M419" s="38">
        <v>10022.49</v>
      </c>
      <c r="N419" s="46" t="s">
        <v>419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40">
        <v>45918.174212962964</v>
      </c>
      <c r="B420" s="41">
        <v>443965251</v>
      </c>
      <c r="C420" s="42" t="s">
        <v>36</v>
      </c>
      <c r="D420" s="42" t="s">
        <v>37</v>
      </c>
      <c r="E420" s="42" t="s">
        <v>47</v>
      </c>
      <c r="F420" s="42" t="s">
        <v>38</v>
      </c>
      <c r="G420" s="43">
        <v>3656.56</v>
      </c>
      <c r="H420" s="41">
        <v>443176167</v>
      </c>
      <c r="I420" s="44">
        <v>0</v>
      </c>
      <c r="J420" s="43">
        <v>0</v>
      </c>
      <c r="K420" s="43">
        <v>0</v>
      </c>
      <c r="L420" s="43">
        <v>5.99</v>
      </c>
      <c r="M420" s="43">
        <v>10028.48</v>
      </c>
      <c r="N420" s="45" t="s">
        <v>420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35">
        <v>45918.175219907411</v>
      </c>
      <c r="B421" s="36">
        <v>443965934</v>
      </c>
      <c r="C421" s="37" t="s">
        <v>36</v>
      </c>
      <c r="D421" s="37" t="s">
        <v>39</v>
      </c>
      <c r="E421" s="37" t="s">
        <v>46</v>
      </c>
      <c r="F421" s="37" t="s">
        <v>38</v>
      </c>
      <c r="G421" s="38">
        <v>3658.85</v>
      </c>
      <c r="H421" s="36">
        <v>443176844</v>
      </c>
      <c r="I421" s="39">
        <v>0</v>
      </c>
      <c r="J421" s="38">
        <v>0</v>
      </c>
      <c r="K421" s="38">
        <v>0</v>
      </c>
      <c r="L421" s="38">
        <v>0</v>
      </c>
      <c r="M421" s="38">
        <v>10028.48</v>
      </c>
      <c r="N421" s="46" t="s">
        <v>150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40">
        <v>45918.175219907411</v>
      </c>
      <c r="B422" s="41">
        <v>443965935</v>
      </c>
      <c r="C422" s="42" t="s">
        <v>36</v>
      </c>
      <c r="D422" s="42" t="s">
        <v>39</v>
      </c>
      <c r="E422" s="42" t="s">
        <v>46</v>
      </c>
      <c r="F422" s="42" t="s">
        <v>38</v>
      </c>
      <c r="G422" s="43">
        <v>3658.85</v>
      </c>
      <c r="H422" s="41">
        <v>443176846</v>
      </c>
      <c r="I422" s="44">
        <v>0</v>
      </c>
      <c r="J422" s="43">
        <v>0</v>
      </c>
      <c r="K422" s="43">
        <v>0</v>
      </c>
      <c r="L422" s="43">
        <v>0</v>
      </c>
      <c r="M422" s="43">
        <v>10028.48</v>
      </c>
      <c r="N422" s="45" t="s">
        <v>48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35">
        <v>45918.175219907411</v>
      </c>
      <c r="B423" s="36">
        <v>443965936</v>
      </c>
      <c r="C423" s="37" t="s">
        <v>36</v>
      </c>
      <c r="D423" s="37" t="s">
        <v>39</v>
      </c>
      <c r="E423" s="37" t="s">
        <v>46</v>
      </c>
      <c r="F423" s="37" t="s">
        <v>38</v>
      </c>
      <c r="G423" s="38">
        <v>3658.86</v>
      </c>
      <c r="H423" s="36">
        <v>443176847</v>
      </c>
      <c r="I423" s="39">
        <v>0</v>
      </c>
      <c r="J423" s="38">
        <v>0</v>
      </c>
      <c r="K423" s="38">
        <v>0</v>
      </c>
      <c r="L423" s="38">
        <v>0</v>
      </c>
      <c r="M423" s="38">
        <v>10028.48</v>
      </c>
      <c r="N423" s="46" t="s">
        <v>49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40">
        <v>45918.175219907411</v>
      </c>
      <c r="B424" s="41">
        <v>443965937</v>
      </c>
      <c r="C424" s="42" t="s">
        <v>36</v>
      </c>
      <c r="D424" s="42" t="s">
        <v>39</v>
      </c>
      <c r="E424" s="42" t="s">
        <v>46</v>
      </c>
      <c r="F424" s="42" t="s">
        <v>38</v>
      </c>
      <c r="G424" s="43">
        <v>3658.86</v>
      </c>
      <c r="H424" s="41">
        <v>443176848</v>
      </c>
      <c r="I424" s="44">
        <v>0</v>
      </c>
      <c r="J424" s="43">
        <v>0</v>
      </c>
      <c r="K424" s="43">
        <v>0</v>
      </c>
      <c r="L424" s="43">
        <v>0</v>
      </c>
      <c r="M424" s="43">
        <v>10028.48</v>
      </c>
      <c r="N424" s="45" t="s">
        <v>53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35">
        <v>45918.175543981481</v>
      </c>
      <c r="B425" s="36">
        <v>443966004</v>
      </c>
      <c r="C425" s="37" t="s">
        <v>36</v>
      </c>
      <c r="D425" s="37" t="s">
        <v>37</v>
      </c>
      <c r="E425" s="37" t="s">
        <v>47</v>
      </c>
      <c r="F425" s="37" t="s">
        <v>38</v>
      </c>
      <c r="G425" s="38">
        <v>3660.27</v>
      </c>
      <c r="H425" s="36">
        <v>443176914</v>
      </c>
      <c r="I425" s="39">
        <v>0</v>
      </c>
      <c r="J425" s="38">
        <v>0</v>
      </c>
      <c r="K425" s="38">
        <v>0</v>
      </c>
      <c r="L425" s="38">
        <v>2.14</v>
      </c>
      <c r="M425" s="38">
        <v>10030.620000000001</v>
      </c>
      <c r="N425" s="46" t="s">
        <v>421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40">
        <v>45918.176736111112</v>
      </c>
      <c r="B426" s="41">
        <v>443966436</v>
      </c>
      <c r="C426" s="42" t="s">
        <v>36</v>
      </c>
      <c r="D426" s="42" t="s">
        <v>37</v>
      </c>
      <c r="E426" s="42" t="s">
        <v>47</v>
      </c>
      <c r="F426" s="42" t="s">
        <v>38</v>
      </c>
      <c r="G426" s="43">
        <v>3661.43</v>
      </c>
      <c r="H426" s="41">
        <v>443177346</v>
      </c>
      <c r="I426" s="44">
        <v>0</v>
      </c>
      <c r="J426" s="43">
        <v>0</v>
      </c>
      <c r="K426" s="43">
        <v>0</v>
      </c>
      <c r="L426" s="43">
        <v>-2.57</v>
      </c>
      <c r="M426" s="43">
        <v>10028.049999999999</v>
      </c>
      <c r="N426" s="45" t="s">
        <v>422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35">
        <v>45918.177361111113</v>
      </c>
      <c r="B427" s="36">
        <v>443966848</v>
      </c>
      <c r="C427" s="37" t="s">
        <v>36</v>
      </c>
      <c r="D427" s="37" t="s">
        <v>37</v>
      </c>
      <c r="E427" s="37" t="s">
        <v>47</v>
      </c>
      <c r="F427" s="37" t="s">
        <v>38</v>
      </c>
      <c r="G427" s="38">
        <v>3657.29</v>
      </c>
      <c r="H427" s="36">
        <v>443177728</v>
      </c>
      <c r="I427" s="39">
        <v>0</v>
      </c>
      <c r="J427" s="38">
        <v>0</v>
      </c>
      <c r="K427" s="38">
        <v>0</v>
      </c>
      <c r="L427" s="38">
        <v>1.56</v>
      </c>
      <c r="M427" s="38">
        <v>10029.61</v>
      </c>
      <c r="N427" s="46" t="s">
        <v>423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40">
        <v>45918.177905092591</v>
      </c>
      <c r="B428" s="41">
        <v>443967107</v>
      </c>
      <c r="C428" s="42" t="s">
        <v>36</v>
      </c>
      <c r="D428" s="42" t="s">
        <v>37</v>
      </c>
      <c r="E428" s="42" t="s">
        <v>47</v>
      </c>
      <c r="F428" s="42" t="s">
        <v>38</v>
      </c>
      <c r="G428" s="43">
        <v>3655.61</v>
      </c>
      <c r="H428" s="41">
        <v>443177980</v>
      </c>
      <c r="I428" s="44">
        <v>0</v>
      </c>
      <c r="J428" s="43">
        <v>0</v>
      </c>
      <c r="K428" s="43">
        <v>0</v>
      </c>
      <c r="L428" s="43">
        <v>3.24</v>
      </c>
      <c r="M428" s="43">
        <v>10032.85</v>
      </c>
      <c r="N428" s="45" t="s">
        <v>424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35">
        <v>45918.179872685185</v>
      </c>
      <c r="B429" s="36">
        <v>443967478</v>
      </c>
      <c r="C429" s="37" t="s">
        <v>36</v>
      </c>
      <c r="D429" s="37" t="s">
        <v>37</v>
      </c>
      <c r="E429" s="37" t="s">
        <v>47</v>
      </c>
      <c r="F429" s="37" t="s">
        <v>38</v>
      </c>
      <c r="G429" s="38">
        <v>3655.34</v>
      </c>
      <c r="H429" s="36">
        <v>443178343</v>
      </c>
      <c r="I429" s="39">
        <v>0</v>
      </c>
      <c r="J429" s="38">
        <v>0</v>
      </c>
      <c r="K429" s="38">
        <v>0</v>
      </c>
      <c r="L429" s="38">
        <v>3.52</v>
      </c>
      <c r="M429" s="38">
        <v>10036.370000000001</v>
      </c>
      <c r="N429" s="46" t="s">
        <v>425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40">
        <v>45918.184131944443</v>
      </c>
      <c r="B430" s="41">
        <v>443968734</v>
      </c>
      <c r="C430" s="42" t="s">
        <v>36</v>
      </c>
      <c r="D430" s="42" t="s">
        <v>39</v>
      </c>
      <c r="E430" s="42" t="s">
        <v>46</v>
      </c>
      <c r="F430" s="42" t="s">
        <v>38</v>
      </c>
      <c r="G430" s="43">
        <v>3654.67</v>
      </c>
      <c r="H430" s="41">
        <v>443179581</v>
      </c>
      <c r="I430" s="44">
        <v>0</v>
      </c>
      <c r="J430" s="43">
        <v>0</v>
      </c>
      <c r="K430" s="43">
        <v>0</v>
      </c>
      <c r="L430" s="43">
        <v>0</v>
      </c>
      <c r="M430" s="43">
        <v>10036.370000000001</v>
      </c>
      <c r="N430" s="45" t="s">
        <v>150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35">
        <v>45918.184131944443</v>
      </c>
      <c r="B431" s="36">
        <v>443968735</v>
      </c>
      <c r="C431" s="37" t="s">
        <v>36</v>
      </c>
      <c r="D431" s="37" t="s">
        <v>39</v>
      </c>
      <c r="E431" s="37" t="s">
        <v>46</v>
      </c>
      <c r="F431" s="37" t="s">
        <v>38</v>
      </c>
      <c r="G431" s="38">
        <v>3654.69</v>
      </c>
      <c r="H431" s="36">
        <v>443179582</v>
      </c>
      <c r="I431" s="39">
        <v>0</v>
      </c>
      <c r="J431" s="38">
        <v>0</v>
      </c>
      <c r="K431" s="38">
        <v>0</v>
      </c>
      <c r="L431" s="38">
        <v>0</v>
      </c>
      <c r="M431" s="38">
        <v>10036.370000000001</v>
      </c>
      <c r="N431" s="46" t="s">
        <v>53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40">
        <v>45918.184131944443</v>
      </c>
      <c r="B432" s="41">
        <v>443968737</v>
      </c>
      <c r="C432" s="42" t="s">
        <v>36</v>
      </c>
      <c r="D432" s="42" t="s">
        <v>39</v>
      </c>
      <c r="E432" s="42" t="s">
        <v>46</v>
      </c>
      <c r="F432" s="42" t="s">
        <v>38</v>
      </c>
      <c r="G432" s="43">
        <v>3654.71</v>
      </c>
      <c r="H432" s="41">
        <v>443179584</v>
      </c>
      <c r="I432" s="44">
        <v>0</v>
      </c>
      <c r="J432" s="43">
        <v>0</v>
      </c>
      <c r="K432" s="43">
        <v>0</v>
      </c>
      <c r="L432" s="43">
        <v>0</v>
      </c>
      <c r="M432" s="43">
        <v>10036.370000000001</v>
      </c>
      <c r="N432" s="45" t="s">
        <v>48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35">
        <v>45918.184131944443</v>
      </c>
      <c r="B433" s="36">
        <v>443968738</v>
      </c>
      <c r="C433" s="37" t="s">
        <v>36</v>
      </c>
      <c r="D433" s="37" t="s">
        <v>39</v>
      </c>
      <c r="E433" s="37" t="s">
        <v>46</v>
      </c>
      <c r="F433" s="37" t="s">
        <v>38</v>
      </c>
      <c r="G433" s="38">
        <v>3654.71</v>
      </c>
      <c r="H433" s="36">
        <v>443179586</v>
      </c>
      <c r="I433" s="39">
        <v>0</v>
      </c>
      <c r="J433" s="38">
        <v>0</v>
      </c>
      <c r="K433" s="38">
        <v>0</v>
      </c>
      <c r="L433" s="38">
        <v>0</v>
      </c>
      <c r="M433" s="38">
        <v>10036.370000000001</v>
      </c>
      <c r="N433" s="46" t="s">
        <v>49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40">
        <v>45918.184710648151</v>
      </c>
      <c r="B434" s="41">
        <v>443968834</v>
      </c>
      <c r="C434" s="42" t="s">
        <v>36</v>
      </c>
      <c r="D434" s="42" t="s">
        <v>39</v>
      </c>
      <c r="E434" s="42" t="s">
        <v>46</v>
      </c>
      <c r="F434" s="42" t="s">
        <v>38</v>
      </c>
      <c r="G434" s="43">
        <v>3655.8</v>
      </c>
      <c r="H434" s="41">
        <v>443179681</v>
      </c>
      <c r="I434" s="44">
        <v>0</v>
      </c>
      <c r="J434" s="43">
        <v>0</v>
      </c>
      <c r="K434" s="43">
        <v>0</v>
      </c>
      <c r="L434" s="43">
        <v>0</v>
      </c>
      <c r="M434" s="43">
        <v>10036.370000000001</v>
      </c>
      <c r="N434" s="45" t="s">
        <v>268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35">
        <v>45918.185810185183</v>
      </c>
      <c r="B435" s="36">
        <v>443969319</v>
      </c>
      <c r="C435" s="37" t="s">
        <v>36</v>
      </c>
      <c r="D435" s="37" t="s">
        <v>37</v>
      </c>
      <c r="E435" s="37" t="s">
        <v>47</v>
      </c>
      <c r="F435" s="37" t="s">
        <v>38</v>
      </c>
      <c r="G435" s="38">
        <v>3657.24</v>
      </c>
      <c r="H435" s="36">
        <v>443180173</v>
      </c>
      <c r="I435" s="39">
        <v>0</v>
      </c>
      <c r="J435" s="38">
        <v>0</v>
      </c>
      <c r="K435" s="38">
        <v>0</v>
      </c>
      <c r="L435" s="38">
        <v>-2.5299999999999998</v>
      </c>
      <c r="M435" s="38">
        <v>10033.84</v>
      </c>
      <c r="N435" s="46" t="s">
        <v>426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40">
        <v>45918.185844907406</v>
      </c>
      <c r="B436" s="41">
        <v>443969336</v>
      </c>
      <c r="C436" s="42" t="s">
        <v>36</v>
      </c>
      <c r="D436" s="42" t="s">
        <v>37</v>
      </c>
      <c r="E436" s="42" t="s">
        <v>47</v>
      </c>
      <c r="F436" s="42" t="s">
        <v>38</v>
      </c>
      <c r="G436" s="43">
        <v>3657.9</v>
      </c>
      <c r="H436" s="41">
        <v>443180188</v>
      </c>
      <c r="I436" s="44">
        <v>0</v>
      </c>
      <c r="J436" s="43">
        <v>0</v>
      </c>
      <c r="K436" s="43">
        <v>0</v>
      </c>
      <c r="L436" s="43">
        <v>-3.23</v>
      </c>
      <c r="M436" s="43">
        <v>10030.61</v>
      </c>
      <c r="N436" s="45" t="s">
        <v>427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35">
        <v>45918.185844907406</v>
      </c>
      <c r="B437" s="36">
        <v>443969339</v>
      </c>
      <c r="C437" s="37" t="s">
        <v>36</v>
      </c>
      <c r="D437" s="37" t="s">
        <v>37</v>
      </c>
      <c r="E437" s="37" t="s">
        <v>47</v>
      </c>
      <c r="F437" s="37" t="s">
        <v>38</v>
      </c>
      <c r="G437" s="38">
        <v>3657.9</v>
      </c>
      <c r="H437" s="36">
        <v>443180189</v>
      </c>
      <c r="I437" s="39">
        <v>0</v>
      </c>
      <c r="J437" s="38">
        <v>0</v>
      </c>
      <c r="K437" s="38">
        <v>0</v>
      </c>
      <c r="L437" s="38">
        <v>-3.21</v>
      </c>
      <c r="M437" s="38">
        <v>10027.4</v>
      </c>
      <c r="N437" s="46" t="s">
        <v>428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40">
        <v>45918.185844907406</v>
      </c>
      <c r="B438" s="41">
        <v>443969340</v>
      </c>
      <c r="C438" s="42" t="s">
        <v>36</v>
      </c>
      <c r="D438" s="42" t="s">
        <v>37</v>
      </c>
      <c r="E438" s="42" t="s">
        <v>47</v>
      </c>
      <c r="F438" s="42" t="s">
        <v>38</v>
      </c>
      <c r="G438" s="43">
        <v>3657.9</v>
      </c>
      <c r="H438" s="41">
        <v>443180190</v>
      </c>
      <c r="I438" s="44">
        <v>0</v>
      </c>
      <c r="J438" s="43">
        <v>0</v>
      </c>
      <c r="K438" s="43">
        <v>0</v>
      </c>
      <c r="L438" s="43">
        <v>-3.19</v>
      </c>
      <c r="M438" s="43">
        <v>10024.209999999999</v>
      </c>
      <c r="N438" s="45" t="s">
        <v>428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35">
        <v>45918.186793981484</v>
      </c>
      <c r="B439" s="36">
        <v>443969559</v>
      </c>
      <c r="C439" s="37" t="s">
        <v>36</v>
      </c>
      <c r="D439" s="37" t="s">
        <v>39</v>
      </c>
      <c r="E439" s="37" t="s">
        <v>46</v>
      </c>
      <c r="F439" s="37" t="s">
        <v>38</v>
      </c>
      <c r="G439" s="38">
        <v>3655.94</v>
      </c>
      <c r="H439" s="36">
        <v>443180410</v>
      </c>
      <c r="I439" s="39">
        <v>0</v>
      </c>
      <c r="J439" s="38">
        <v>0</v>
      </c>
      <c r="K439" s="38">
        <v>0</v>
      </c>
      <c r="L439" s="38">
        <v>0</v>
      </c>
      <c r="M439" s="38">
        <v>10024.209999999999</v>
      </c>
      <c r="N439" s="46" t="s">
        <v>150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40">
        <v>45918.186793981484</v>
      </c>
      <c r="B440" s="41">
        <v>443969560</v>
      </c>
      <c r="C440" s="42" t="s">
        <v>36</v>
      </c>
      <c r="D440" s="42" t="s">
        <v>39</v>
      </c>
      <c r="E440" s="42" t="s">
        <v>46</v>
      </c>
      <c r="F440" s="42" t="s">
        <v>38</v>
      </c>
      <c r="G440" s="43">
        <v>3655.94</v>
      </c>
      <c r="H440" s="41">
        <v>443180411</v>
      </c>
      <c r="I440" s="44">
        <v>0</v>
      </c>
      <c r="J440" s="43">
        <v>0</v>
      </c>
      <c r="K440" s="43">
        <v>0</v>
      </c>
      <c r="L440" s="43">
        <v>0</v>
      </c>
      <c r="M440" s="43">
        <v>10024.209999999999</v>
      </c>
      <c r="N440" s="45" t="s">
        <v>48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35">
        <v>45918.186793981484</v>
      </c>
      <c r="B441" s="36">
        <v>443969561</v>
      </c>
      <c r="C441" s="37" t="s">
        <v>36</v>
      </c>
      <c r="D441" s="37" t="s">
        <v>39</v>
      </c>
      <c r="E441" s="37" t="s">
        <v>46</v>
      </c>
      <c r="F441" s="37" t="s">
        <v>38</v>
      </c>
      <c r="G441" s="38">
        <v>3655.94</v>
      </c>
      <c r="H441" s="36">
        <v>443180412</v>
      </c>
      <c r="I441" s="39">
        <v>0</v>
      </c>
      <c r="J441" s="38">
        <v>0</v>
      </c>
      <c r="K441" s="38">
        <v>0</v>
      </c>
      <c r="L441" s="38">
        <v>0</v>
      </c>
      <c r="M441" s="38">
        <v>10024.209999999999</v>
      </c>
      <c r="N441" s="46" t="s">
        <v>53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40">
        <v>45918.186793981484</v>
      </c>
      <c r="B442" s="41">
        <v>443969562</v>
      </c>
      <c r="C442" s="42" t="s">
        <v>36</v>
      </c>
      <c r="D442" s="42" t="s">
        <v>39</v>
      </c>
      <c r="E442" s="42" t="s">
        <v>46</v>
      </c>
      <c r="F442" s="42" t="s">
        <v>38</v>
      </c>
      <c r="G442" s="43">
        <v>3655.98</v>
      </c>
      <c r="H442" s="41">
        <v>443180413</v>
      </c>
      <c r="I442" s="44">
        <v>0</v>
      </c>
      <c r="J442" s="43">
        <v>0</v>
      </c>
      <c r="K442" s="43">
        <v>0</v>
      </c>
      <c r="L442" s="43">
        <v>0</v>
      </c>
      <c r="M442" s="43">
        <v>10024.209999999999</v>
      </c>
      <c r="N442" s="45" t="s">
        <v>49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35">
        <v>45918.188217592593</v>
      </c>
      <c r="B443" s="36">
        <v>443969801</v>
      </c>
      <c r="C443" s="37" t="s">
        <v>36</v>
      </c>
      <c r="D443" s="37" t="s">
        <v>37</v>
      </c>
      <c r="E443" s="37" t="s">
        <v>47</v>
      </c>
      <c r="F443" s="37" t="s">
        <v>38</v>
      </c>
      <c r="G443" s="38">
        <v>3654.37</v>
      </c>
      <c r="H443" s="36">
        <v>443180653</v>
      </c>
      <c r="I443" s="39">
        <v>0</v>
      </c>
      <c r="J443" s="38">
        <v>0</v>
      </c>
      <c r="K443" s="38">
        <v>0</v>
      </c>
      <c r="L443" s="38">
        <v>1.57</v>
      </c>
      <c r="M443" s="38">
        <v>10025.780000000001</v>
      </c>
      <c r="N443" s="46" t="s">
        <v>429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40">
        <v>45918.189016203702</v>
      </c>
      <c r="B444" s="41">
        <v>443970187</v>
      </c>
      <c r="C444" s="42" t="s">
        <v>36</v>
      </c>
      <c r="D444" s="42" t="s">
        <v>37</v>
      </c>
      <c r="E444" s="42" t="s">
        <v>47</v>
      </c>
      <c r="F444" s="42" t="s">
        <v>38</v>
      </c>
      <c r="G444" s="43">
        <v>3652.87</v>
      </c>
      <c r="H444" s="41">
        <v>443181031</v>
      </c>
      <c r="I444" s="44">
        <v>0</v>
      </c>
      <c r="J444" s="43">
        <v>0</v>
      </c>
      <c r="K444" s="43">
        <v>0</v>
      </c>
      <c r="L444" s="43">
        <v>3.07</v>
      </c>
      <c r="M444" s="43">
        <v>10028.85</v>
      </c>
      <c r="N444" s="45" t="s">
        <v>430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35">
        <v>45918.189016203702</v>
      </c>
      <c r="B445" s="36">
        <v>443970189</v>
      </c>
      <c r="C445" s="37" t="s">
        <v>36</v>
      </c>
      <c r="D445" s="37" t="s">
        <v>37</v>
      </c>
      <c r="E445" s="37" t="s">
        <v>47</v>
      </c>
      <c r="F445" s="37" t="s">
        <v>38</v>
      </c>
      <c r="G445" s="38">
        <v>3652.87</v>
      </c>
      <c r="H445" s="36">
        <v>443181033</v>
      </c>
      <c r="I445" s="39">
        <v>0</v>
      </c>
      <c r="J445" s="38">
        <v>0</v>
      </c>
      <c r="K445" s="38">
        <v>0</v>
      </c>
      <c r="L445" s="38">
        <v>3.11</v>
      </c>
      <c r="M445" s="38">
        <v>10031.959999999999</v>
      </c>
      <c r="N445" s="46" t="s">
        <v>430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40">
        <v>45918.189699074072</v>
      </c>
      <c r="B446" s="41">
        <v>443970870</v>
      </c>
      <c r="C446" s="42" t="s">
        <v>36</v>
      </c>
      <c r="D446" s="42" t="s">
        <v>37</v>
      </c>
      <c r="E446" s="42" t="s">
        <v>47</v>
      </c>
      <c r="F446" s="42" t="s">
        <v>38</v>
      </c>
      <c r="G446" s="43">
        <v>3654.71</v>
      </c>
      <c r="H446" s="41">
        <v>443181707</v>
      </c>
      <c r="I446" s="44">
        <v>0</v>
      </c>
      <c r="J446" s="43">
        <v>0</v>
      </c>
      <c r="K446" s="43">
        <v>0</v>
      </c>
      <c r="L446" s="43">
        <v>1.23</v>
      </c>
      <c r="M446" s="43">
        <v>10033.19</v>
      </c>
      <c r="N446" s="45" t="s">
        <v>431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35">
        <v>45918.189918981479</v>
      </c>
      <c r="B447" s="36">
        <v>443970933</v>
      </c>
      <c r="C447" s="37" t="s">
        <v>36</v>
      </c>
      <c r="D447" s="37" t="s">
        <v>39</v>
      </c>
      <c r="E447" s="37" t="s">
        <v>46</v>
      </c>
      <c r="F447" s="37" t="s">
        <v>38</v>
      </c>
      <c r="G447" s="38">
        <v>3654.48</v>
      </c>
      <c r="H447" s="36">
        <v>443181766</v>
      </c>
      <c r="I447" s="39">
        <v>0</v>
      </c>
      <c r="J447" s="38">
        <v>0</v>
      </c>
      <c r="K447" s="38">
        <v>0</v>
      </c>
      <c r="L447" s="38">
        <v>0</v>
      </c>
      <c r="M447" s="38">
        <v>10033.19</v>
      </c>
      <c r="N447" s="46" t="s">
        <v>150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40">
        <v>45918.189918981479</v>
      </c>
      <c r="B448" s="41">
        <v>443970934</v>
      </c>
      <c r="C448" s="42" t="s">
        <v>36</v>
      </c>
      <c r="D448" s="42" t="s">
        <v>39</v>
      </c>
      <c r="E448" s="42" t="s">
        <v>46</v>
      </c>
      <c r="F448" s="42" t="s">
        <v>38</v>
      </c>
      <c r="G448" s="43">
        <v>3654.44</v>
      </c>
      <c r="H448" s="41">
        <v>443181767</v>
      </c>
      <c r="I448" s="44">
        <v>0</v>
      </c>
      <c r="J448" s="43">
        <v>0</v>
      </c>
      <c r="K448" s="43">
        <v>0</v>
      </c>
      <c r="L448" s="43">
        <v>0</v>
      </c>
      <c r="M448" s="43">
        <v>10033.19</v>
      </c>
      <c r="N448" s="45" t="s">
        <v>49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35">
        <v>45918.189918981479</v>
      </c>
      <c r="B449" s="36">
        <v>443970936</v>
      </c>
      <c r="C449" s="37" t="s">
        <v>36</v>
      </c>
      <c r="D449" s="37" t="s">
        <v>39</v>
      </c>
      <c r="E449" s="37" t="s">
        <v>46</v>
      </c>
      <c r="F449" s="37" t="s">
        <v>38</v>
      </c>
      <c r="G449" s="38">
        <v>3654.45</v>
      </c>
      <c r="H449" s="36">
        <v>443181769</v>
      </c>
      <c r="I449" s="39">
        <v>0</v>
      </c>
      <c r="J449" s="38">
        <v>0</v>
      </c>
      <c r="K449" s="38">
        <v>0</v>
      </c>
      <c r="L449" s="38">
        <v>0</v>
      </c>
      <c r="M449" s="38">
        <v>10033.19</v>
      </c>
      <c r="N449" s="46" t="s">
        <v>53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40">
        <v>45918.189918981479</v>
      </c>
      <c r="B450" s="41">
        <v>443970937</v>
      </c>
      <c r="C450" s="42" t="s">
        <v>36</v>
      </c>
      <c r="D450" s="42" t="s">
        <v>39</v>
      </c>
      <c r="E450" s="42" t="s">
        <v>46</v>
      </c>
      <c r="F450" s="42" t="s">
        <v>38</v>
      </c>
      <c r="G450" s="43">
        <v>3654.45</v>
      </c>
      <c r="H450" s="41">
        <v>443181770</v>
      </c>
      <c r="I450" s="44">
        <v>0</v>
      </c>
      <c r="J450" s="43">
        <v>0</v>
      </c>
      <c r="K450" s="43">
        <v>0</v>
      </c>
      <c r="L450" s="43">
        <v>0</v>
      </c>
      <c r="M450" s="43">
        <v>10033.19</v>
      </c>
      <c r="N450" s="45" t="s">
        <v>48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35">
        <v>45918.190104166664</v>
      </c>
      <c r="B451" s="36">
        <v>443971002</v>
      </c>
      <c r="C451" s="37" t="s">
        <v>36</v>
      </c>
      <c r="D451" s="37" t="s">
        <v>37</v>
      </c>
      <c r="E451" s="37" t="s">
        <v>47</v>
      </c>
      <c r="F451" s="37" t="s">
        <v>38</v>
      </c>
      <c r="G451" s="38">
        <v>3655</v>
      </c>
      <c r="H451" s="36">
        <v>443181828</v>
      </c>
      <c r="I451" s="39">
        <v>0</v>
      </c>
      <c r="J451" s="38">
        <v>0</v>
      </c>
      <c r="K451" s="38">
        <v>0</v>
      </c>
      <c r="L451" s="38">
        <v>0.8</v>
      </c>
      <c r="M451" s="38">
        <v>10033.99</v>
      </c>
      <c r="N451" s="46" t="s">
        <v>432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40">
        <v>45918.190266203703</v>
      </c>
      <c r="B452" s="41">
        <v>443971087</v>
      </c>
      <c r="C452" s="42" t="s">
        <v>36</v>
      </c>
      <c r="D452" s="42" t="s">
        <v>39</v>
      </c>
      <c r="E452" s="42" t="s">
        <v>46</v>
      </c>
      <c r="F452" s="42" t="s">
        <v>38</v>
      </c>
      <c r="G452" s="43">
        <v>3655.2</v>
      </c>
      <c r="H452" s="41">
        <v>443181911</v>
      </c>
      <c r="I452" s="44">
        <v>0</v>
      </c>
      <c r="J452" s="43">
        <v>0</v>
      </c>
      <c r="K452" s="43">
        <v>0</v>
      </c>
      <c r="L452" s="43">
        <v>0</v>
      </c>
      <c r="M452" s="43">
        <v>10033.99</v>
      </c>
      <c r="N452" s="45" t="s">
        <v>268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35">
        <v>45918.193182870367</v>
      </c>
      <c r="B453" s="36">
        <v>443971854</v>
      </c>
      <c r="C453" s="37" t="s">
        <v>36</v>
      </c>
      <c r="D453" s="37" t="s">
        <v>37</v>
      </c>
      <c r="E453" s="37" t="s">
        <v>47</v>
      </c>
      <c r="F453" s="37" t="s">
        <v>38</v>
      </c>
      <c r="G453" s="38">
        <v>3652.8</v>
      </c>
      <c r="H453" s="36">
        <v>443182696</v>
      </c>
      <c r="I453" s="39">
        <v>0</v>
      </c>
      <c r="J453" s="38">
        <v>0</v>
      </c>
      <c r="K453" s="38">
        <v>0</v>
      </c>
      <c r="L453" s="38">
        <v>1.68</v>
      </c>
      <c r="M453" s="38">
        <v>10035.67</v>
      </c>
      <c r="N453" s="46" t="s">
        <v>433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40">
        <v>45918.193391203706</v>
      </c>
      <c r="B454" s="41">
        <v>443971984</v>
      </c>
      <c r="C454" s="42" t="s">
        <v>36</v>
      </c>
      <c r="D454" s="42" t="s">
        <v>39</v>
      </c>
      <c r="E454" s="42" t="s">
        <v>46</v>
      </c>
      <c r="F454" s="42" t="s">
        <v>38</v>
      </c>
      <c r="G454" s="43">
        <v>3654.48</v>
      </c>
      <c r="H454" s="41">
        <v>443182825</v>
      </c>
      <c r="I454" s="44">
        <v>0</v>
      </c>
      <c r="J454" s="43">
        <v>0</v>
      </c>
      <c r="K454" s="43">
        <v>0</v>
      </c>
      <c r="L454" s="43">
        <v>0</v>
      </c>
      <c r="M454" s="43">
        <v>10035.67</v>
      </c>
      <c r="N454" s="45" t="s">
        <v>150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35">
        <v>45918.194421296299</v>
      </c>
      <c r="B455" s="36">
        <v>443972227</v>
      </c>
      <c r="C455" s="37" t="s">
        <v>36</v>
      </c>
      <c r="D455" s="37" t="s">
        <v>37</v>
      </c>
      <c r="E455" s="37" t="s">
        <v>47</v>
      </c>
      <c r="F455" s="37" t="s">
        <v>38</v>
      </c>
      <c r="G455" s="38">
        <v>3657.14</v>
      </c>
      <c r="H455" s="36">
        <v>443183063</v>
      </c>
      <c r="I455" s="39">
        <v>0</v>
      </c>
      <c r="J455" s="38">
        <v>0</v>
      </c>
      <c r="K455" s="38">
        <v>0</v>
      </c>
      <c r="L455" s="38">
        <v>-2.7</v>
      </c>
      <c r="M455" s="38">
        <v>10032.969999999999</v>
      </c>
      <c r="N455" s="46" t="s">
        <v>434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40">
        <v>45918.194444444445</v>
      </c>
      <c r="B456" s="41">
        <v>443972238</v>
      </c>
      <c r="C456" s="42" t="s">
        <v>36</v>
      </c>
      <c r="D456" s="42" t="s">
        <v>37</v>
      </c>
      <c r="E456" s="42" t="s">
        <v>47</v>
      </c>
      <c r="F456" s="42" t="s">
        <v>38</v>
      </c>
      <c r="G456" s="43">
        <v>3657.46</v>
      </c>
      <c r="H456" s="41">
        <v>443183073</v>
      </c>
      <c r="I456" s="44">
        <v>0</v>
      </c>
      <c r="J456" s="43">
        <v>0</v>
      </c>
      <c r="K456" s="43">
        <v>0</v>
      </c>
      <c r="L456" s="43">
        <v>-2.98</v>
      </c>
      <c r="M456" s="43">
        <v>10029.99</v>
      </c>
      <c r="N456" s="45" t="s">
        <v>435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35">
        <v>45918.194444444445</v>
      </c>
      <c r="B457" s="36">
        <v>443972247</v>
      </c>
      <c r="C457" s="37" t="s">
        <v>36</v>
      </c>
      <c r="D457" s="37" t="s">
        <v>37</v>
      </c>
      <c r="E457" s="37" t="s">
        <v>47</v>
      </c>
      <c r="F457" s="37" t="s">
        <v>38</v>
      </c>
      <c r="G457" s="38">
        <v>3657.48</v>
      </c>
      <c r="H457" s="36">
        <v>443183082</v>
      </c>
      <c r="I457" s="39">
        <v>0</v>
      </c>
      <c r="J457" s="38">
        <v>0</v>
      </c>
      <c r="K457" s="38">
        <v>0</v>
      </c>
      <c r="L457" s="38">
        <v>-3.03</v>
      </c>
      <c r="M457" s="38">
        <v>10026.959999999999</v>
      </c>
      <c r="N457" s="46" t="s">
        <v>436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40">
        <v>45918.194444444445</v>
      </c>
      <c r="B458" s="41">
        <v>443972248</v>
      </c>
      <c r="C458" s="42" t="s">
        <v>36</v>
      </c>
      <c r="D458" s="42" t="s">
        <v>37</v>
      </c>
      <c r="E458" s="42" t="s">
        <v>47</v>
      </c>
      <c r="F458" s="42" t="s">
        <v>38</v>
      </c>
      <c r="G458" s="43">
        <v>3657.48</v>
      </c>
      <c r="H458" s="41">
        <v>443183083</v>
      </c>
      <c r="I458" s="44">
        <v>0</v>
      </c>
      <c r="J458" s="43">
        <v>0</v>
      </c>
      <c r="K458" s="43">
        <v>0</v>
      </c>
      <c r="L458" s="43">
        <v>-3.03</v>
      </c>
      <c r="M458" s="43">
        <v>10023.93</v>
      </c>
      <c r="N458" s="45" t="s">
        <v>436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35">
        <v>45918.195057870369</v>
      </c>
      <c r="B459" s="36">
        <v>443972457</v>
      </c>
      <c r="C459" s="37" t="s">
        <v>36</v>
      </c>
      <c r="D459" s="37" t="s">
        <v>37</v>
      </c>
      <c r="E459" s="37" t="s">
        <v>47</v>
      </c>
      <c r="F459" s="37" t="s">
        <v>38</v>
      </c>
      <c r="G459" s="38">
        <v>3658.3</v>
      </c>
      <c r="H459" s="36">
        <v>443183291</v>
      </c>
      <c r="I459" s="39">
        <v>0</v>
      </c>
      <c r="J459" s="38">
        <v>0</v>
      </c>
      <c r="K459" s="38">
        <v>0</v>
      </c>
      <c r="L459" s="38">
        <v>-3.1</v>
      </c>
      <c r="M459" s="38">
        <v>10020.83</v>
      </c>
      <c r="N459" s="46" t="s">
        <v>437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40">
        <v>45918.196168981478</v>
      </c>
      <c r="B460" s="41">
        <v>443973177</v>
      </c>
      <c r="C460" s="42" t="s">
        <v>36</v>
      </c>
      <c r="D460" s="42" t="s">
        <v>39</v>
      </c>
      <c r="E460" s="42" t="s">
        <v>46</v>
      </c>
      <c r="F460" s="42" t="s">
        <v>38</v>
      </c>
      <c r="G460" s="43">
        <v>3655.35</v>
      </c>
      <c r="H460" s="41">
        <v>443184013</v>
      </c>
      <c r="I460" s="44">
        <v>0</v>
      </c>
      <c r="J460" s="43">
        <v>0</v>
      </c>
      <c r="K460" s="43">
        <v>0</v>
      </c>
      <c r="L460" s="43">
        <v>0</v>
      </c>
      <c r="M460" s="43">
        <v>10020.83</v>
      </c>
      <c r="N460" s="45" t="s">
        <v>268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35">
        <v>45918.208784722221</v>
      </c>
      <c r="B461" s="36">
        <v>443975790</v>
      </c>
      <c r="C461" s="37" t="s">
        <v>36</v>
      </c>
      <c r="D461" s="37" t="s">
        <v>39</v>
      </c>
      <c r="E461" s="37" t="s">
        <v>46</v>
      </c>
      <c r="F461" s="37" t="s">
        <v>38</v>
      </c>
      <c r="G461" s="38">
        <v>3655.81</v>
      </c>
      <c r="H461" s="36">
        <v>443186621</v>
      </c>
      <c r="I461" s="39">
        <v>0</v>
      </c>
      <c r="J461" s="38">
        <v>0</v>
      </c>
      <c r="K461" s="38">
        <v>0</v>
      </c>
      <c r="L461" s="38">
        <v>0</v>
      </c>
      <c r="M461" s="38">
        <v>10020.83</v>
      </c>
      <c r="N461" s="46" t="s">
        <v>395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40">
        <v>45918.211215277777</v>
      </c>
      <c r="B462" s="41">
        <v>443976123</v>
      </c>
      <c r="C462" s="42" t="s">
        <v>36</v>
      </c>
      <c r="D462" s="42" t="s">
        <v>37</v>
      </c>
      <c r="E462" s="42" t="s">
        <v>46</v>
      </c>
      <c r="F462" s="42" t="s">
        <v>38</v>
      </c>
      <c r="G462" s="43">
        <v>3656.76</v>
      </c>
      <c r="H462" s="41">
        <v>443186951</v>
      </c>
      <c r="I462" s="44">
        <v>0</v>
      </c>
      <c r="J462" s="43">
        <v>0</v>
      </c>
      <c r="K462" s="43">
        <v>0</v>
      </c>
      <c r="L462" s="43">
        <v>0</v>
      </c>
      <c r="M462" s="43">
        <v>10020.83</v>
      </c>
      <c r="N462" s="45" t="s">
        <v>150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35">
        <v>45918.211215277777</v>
      </c>
      <c r="B463" s="36">
        <v>443976125</v>
      </c>
      <c r="C463" s="37" t="s">
        <v>36</v>
      </c>
      <c r="D463" s="37" t="s">
        <v>37</v>
      </c>
      <c r="E463" s="37" t="s">
        <v>46</v>
      </c>
      <c r="F463" s="37" t="s">
        <v>38</v>
      </c>
      <c r="G463" s="38">
        <v>3656.76</v>
      </c>
      <c r="H463" s="36">
        <v>443186953</v>
      </c>
      <c r="I463" s="39">
        <v>0</v>
      </c>
      <c r="J463" s="38">
        <v>0</v>
      </c>
      <c r="K463" s="38">
        <v>0</v>
      </c>
      <c r="L463" s="38">
        <v>0</v>
      </c>
      <c r="M463" s="38">
        <v>10020.83</v>
      </c>
      <c r="N463" s="46" t="s">
        <v>49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40">
        <v>45918.211215277777</v>
      </c>
      <c r="B464" s="41">
        <v>443976126</v>
      </c>
      <c r="C464" s="42" t="s">
        <v>36</v>
      </c>
      <c r="D464" s="42" t="s">
        <v>37</v>
      </c>
      <c r="E464" s="42" t="s">
        <v>46</v>
      </c>
      <c r="F464" s="42" t="s">
        <v>38</v>
      </c>
      <c r="G464" s="43">
        <v>3656.76</v>
      </c>
      <c r="H464" s="41">
        <v>443186954</v>
      </c>
      <c r="I464" s="44">
        <v>0</v>
      </c>
      <c r="J464" s="43">
        <v>0</v>
      </c>
      <c r="K464" s="43">
        <v>0</v>
      </c>
      <c r="L464" s="43">
        <v>0</v>
      </c>
      <c r="M464" s="43">
        <v>10020.83</v>
      </c>
      <c r="N464" s="45" t="s">
        <v>48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35">
        <v>45918.211215277777</v>
      </c>
      <c r="B465" s="36">
        <v>443976127</v>
      </c>
      <c r="C465" s="37" t="s">
        <v>36</v>
      </c>
      <c r="D465" s="37" t="s">
        <v>37</v>
      </c>
      <c r="E465" s="37" t="s">
        <v>46</v>
      </c>
      <c r="F465" s="37" t="s">
        <v>38</v>
      </c>
      <c r="G465" s="38">
        <v>3656.78</v>
      </c>
      <c r="H465" s="36">
        <v>443186955</v>
      </c>
      <c r="I465" s="39">
        <v>0</v>
      </c>
      <c r="J465" s="38">
        <v>0</v>
      </c>
      <c r="K465" s="38">
        <v>0</v>
      </c>
      <c r="L465" s="38">
        <v>0</v>
      </c>
      <c r="M465" s="38">
        <v>10020.83</v>
      </c>
      <c r="N465" s="46" t="s">
        <v>53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40">
        <v>45918.212418981479</v>
      </c>
      <c r="B466" s="41">
        <v>443976418</v>
      </c>
      <c r="C466" s="42" t="s">
        <v>36</v>
      </c>
      <c r="D466" s="42" t="s">
        <v>37</v>
      </c>
      <c r="E466" s="42" t="s">
        <v>47</v>
      </c>
      <c r="F466" s="42" t="s">
        <v>38</v>
      </c>
      <c r="G466" s="43">
        <v>3658.35</v>
      </c>
      <c r="H466" s="41">
        <v>443187237</v>
      </c>
      <c r="I466" s="44">
        <v>0</v>
      </c>
      <c r="J466" s="43">
        <v>0</v>
      </c>
      <c r="K466" s="43">
        <v>0</v>
      </c>
      <c r="L466" s="43">
        <v>-3</v>
      </c>
      <c r="M466" s="43">
        <v>10017.83</v>
      </c>
      <c r="N466" s="45" t="s">
        <v>438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35">
        <v>45918.212523148148</v>
      </c>
      <c r="B467" s="36">
        <v>443976465</v>
      </c>
      <c r="C467" s="37" t="s">
        <v>36</v>
      </c>
      <c r="D467" s="37" t="s">
        <v>39</v>
      </c>
      <c r="E467" s="37" t="s">
        <v>47</v>
      </c>
      <c r="F467" s="37" t="s">
        <v>38</v>
      </c>
      <c r="G467" s="38">
        <v>3658.3</v>
      </c>
      <c r="H467" s="36">
        <v>443187282</v>
      </c>
      <c r="I467" s="39">
        <v>0</v>
      </c>
      <c r="J467" s="38">
        <v>0</v>
      </c>
      <c r="K467" s="38">
        <v>0</v>
      </c>
      <c r="L467" s="38">
        <v>1.54</v>
      </c>
      <c r="M467" s="38">
        <v>10019.370000000001</v>
      </c>
      <c r="N467" s="46" t="s">
        <v>439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40">
        <v>45918.212685185186</v>
      </c>
      <c r="B468" s="41">
        <v>443976583</v>
      </c>
      <c r="C468" s="42" t="s">
        <v>36</v>
      </c>
      <c r="D468" s="42" t="s">
        <v>37</v>
      </c>
      <c r="E468" s="42" t="s">
        <v>47</v>
      </c>
      <c r="F468" s="42" t="s">
        <v>38</v>
      </c>
      <c r="G468" s="43">
        <v>3658.88</v>
      </c>
      <c r="H468" s="41">
        <v>443187400</v>
      </c>
      <c r="I468" s="44">
        <v>0</v>
      </c>
      <c r="J468" s="43">
        <v>0</v>
      </c>
      <c r="K468" s="43">
        <v>0</v>
      </c>
      <c r="L468" s="43">
        <v>-3.07</v>
      </c>
      <c r="M468" s="43">
        <v>10016.299999999999</v>
      </c>
      <c r="N468" s="45" t="s">
        <v>440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35">
        <v>45918.21297453704</v>
      </c>
      <c r="B469" s="36">
        <v>443976824</v>
      </c>
      <c r="C469" s="37" t="s">
        <v>36</v>
      </c>
      <c r="D469" s="37" t="s">
        <v>39</v>
      </c>
      <c r="E469" s="37" t="s">
        <v>47</v>
      </c>
      <c r="F469" s="37" t="s">
        <v>38</v>
      </c>
      <c r="G469" s="38">
        <v>3659.76</v>
      </c>
      <c r="H469" s="36">
        <v>443187634</v>
      </c>
      <c r="I469" s="39">
        <v>0</v>
      </c>
      <c r="J469" s="38">
        <v>0</v>
      </c>
      <c r="K469" s="38">
        <v>0</v>
      </c>
      <c r="L469" s="38">
        <v>3</v>
      </c>
      <c r="M469" s="38">
        <v>10019.299999999999</v>
      </c>
      <c r="N469" s="46" t="s">
        <v>254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40">
        <v>45918.21297453704</v>
      </c>
      <c r="B470" s="41">
        <v>443976826</v>
      </c>
      <c r="C470" s="42" t="s">
        <v>36</v>
      </c>
      <c r="D470" s="42" t="s">
        <v>39</v>
      </c>
      <c r="E470" s="42" t="s">
        <v>47</v>
      </c>
      <c r="F470" s="42" t="s">
        <v>38</v>
      </c>
      <c r="G470" s="43">
        <v>3659.76</v>
      </c>
      <c r="H470" s="41">
        <v>443187635</v>
      </c>
      <c r="I470" s="44">
        <v>0</v>
      </c>
      <c r="J470" s="43">
        <v>0</v>
      </c>
      <c r="K470" s="43">
        <v>0</v>
      </c>
      <c r="L470" s="43">
        <v>3</v>
      </c>
      <c r="M470" s="43">
        <v>10022.299999999999</v>
      </c>
      <c r="N470" s="45" t="s">
        <v>254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35">
        <v>45918.213310185187</v>
      </c>
      <c r="B471" s="36">
        <v>443976963</v>
      </c>
      <c r="C471" s="37" t="s">
        <v>36</v>
      </c>
      <c r="D471" s="37" t="s">
        <v>39</v>
      </c>
      <c r="E471" s="37" t="s">
        <v>47</v>
      </c>
      <c r="F471" s="37" t="s">
        <v>38</v>
      </c>
      <c r="G471" s="38">
        <v>3660.27</v>
      </c>
      <c r="H471" s="36">
        <v>443187774</v>
      </c>
      <c r="I471" s="39">
        <v>0</v>
      </c>
      <c r="J471" s="38">
        <v>0</v>
      </c>
      <c r="K471" s="38">
        <v>0</v>
      </c>
      <c r="L471" s="38">
        <v>3.49</v>
      </c>
      <c r="M471" s="38">
        <v>10025.790000000001</v>
      </c>
      <c r="N471" s="46" t="s">
        <v>441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40">
        <v>45918.219884259262</v>
      </c>
      <c r="B472" s="41">
        <v>443978888</v>
      </c>
      <c r="C472" s="42" t="s">
        <v>36</v>
      </c>
      <c r="D472" s="42" t="s">
        <v>37</v>
      </c>
      <c r="E472" s="42" t="s">
        <v>46</v>
      </c>
      <c r="F472" s="42" t="s">
        <v>38</v>
      </c>
      <c r="G472" s="43">
        <v>3661.86</v>
      </c>
      <c r="H472" s="41">
        <v>443189685</v>
      </c>
      <c r="I472" s="44">
        <v>0</v>
      </c>
      <c r="J472" s="43">
        <v>0</v>
      </c>
      <c r="K472" s="43">
        <v>0</v>
      </c>
      <c r="L472" s="43">
        <v>0</v>
      </c>
      <c r="M472" s="43">
        <v>10025.790000000001</v>
      </c>
      <c r="N472" s="45" t="s">
        <v>150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35">
        <v>45918.219895833332</v>
      </c>
      <c r="B473" s="36">
        <v>443978889</v>
      </c>
      <c r="C473" s="37" t="s">
        <v>36</v>
      </c>
      <c r="D473" s="37" t="s">
        <v>37</v>
      </c>
      <c r="E473" s="37" t="s">
        <v>46</v>
      </c>
      <c r="F473" s="37" t="s">
        <v>38</v>
      </c>
      <c r="G473" s="38">
        <v>3661.86</v>
      </c>
      <c r="H473" s="36">
        <v>443189686</v>
      </c>
      <c r="I473" s="39">
        <v>0</v>
      </c>
      <c r="J473" s="38">
        <v>0</v>
      </c>
      <c r="K473" s="38">
        <v>0</v>
      </c>
      <c r="L473" s="38">
        <v>0</v>
      </c>
      <c r="M473" s="38">
        <v>10025.790000000001</v>
      </c>
      <c r="N473" s="46" t="s">
        <v>49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40">
        <v>45918.219895833332</v>
      </c>
      <c r="B474" s="41">
        <v>443978890</v>
      </c>
      <c r="C474" s="42" t="s">
        <v>36</v>
      </c>
      <c r="D474" s="42" t="s">
        <v>37</v>
      </c>
      <c r="E474" s="42" t="s">
        <v>46</v>
      </c>
      <c r="F474" s="42" t="s">
        <v>38</v>
      </c>
      <c r="G474" s="43">
        <v>3661.86</v>
      </c>
      <c r="H474" s="41">
        <v>443189687</v>
      </c>
      <c r="I474" s="44">
        <v>0</v>
      </c>
      <c r="J474" s="43">
        <v>0</v>
      </c>
      <c r="K474" s="43">
        <v>0</v>
      </c>
      <c r="L474" s="43">
        <v>0</v>
      </c>
      <c r="M474" s="43">
        <v>10025.790000000001</v>
      </c>
      <c r="N474" s="45" t="s">
        <v>53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35">
        <v>45918.219895833332</v>
      </c>
      <c r="B475" s="36">
        <v>443978895</v>
      </c>
      <c r="C475" s="37" t="s">
        <v>36</v>
      </c>
      <c r="D475" s="37" t="s">
        <v>37</v>
      </c>
      <c r="E475" s="37" t="s">
        <v>46</v>
      </c>
      <c r="F475" s="37" t="s">
        <v>38</v>
      </c>
      <c r="G475" s="38">
        <v>3661.84</v>
      </c>
      <c r="H475" s="36">
        <v>443189692</v>
      </c>
      <c r="I475" s="39">
        <v>0</v>
      </c>
      <c r="J475" s="38">
        <v>0</v>
      </c>
      <c r="K475" s="38">
        <v>0</v>
      </c>
      <c r="L475" s="38">
        <v>0</v>
      </c>
      <c r="M475" s="38">
        <v>10025.790000000001</v>
      </c>
      <c r="N475" s="46" t="s">
        <v>48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40">
        <v>45918.226724537039</v>
      </c>
      <c r="B476" s="41">
        <v>443979671</v>
      </c>
      <c r="C476" s="42" t="s">
        <v>36</v>
      </c>
      <c r="D476" s="42" t="s">
        <v>39</v>
      </c>
      <c r="E476" s="42" t="s">
        <v>47</v>
      </c>
      <c r="F476" s="42" t="s">
        <v>38</v>
      </c>
      <c r="G476" s="43">
        <v>3663.39</v>
      </c>
      <c r="H476" s="41">
        <v>443190445</v>
      </c>
      <c r="I476" s="44">
        <v>0</v>
      </c>
      <c r="J476" s="43">
        <v>0</v>
      </c>
      <c r="K476" s="43">
        <v>0</v>
      </c>
      <c r="L476" s="43">
        <v>1.53</v>
      </c>
      <c r="M476" s="43">
        <v>10027.32</v>
      </c>
      <c r="N476" s="45" t="s">
        <v>442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35">
        <v>45918.227986111109</v>
      </c>
      <c r="B477" s="36">
        <v>443979799</v>
      </c>
      <c r="C477" s="37" t="s">
        <v>36</v>
      </c>
      <c r="D477" s="37" t="s">
        <v>37</v>
      </c>
      <c r="E477" s="37" t="s">
        <v>46</v>
      </c>
      <c r="F477" s="37" t="s">
        <v>38</v>
      </c>
      <c r="G477" s="38">
        <v>3662.57</v>
      </c>
      <c r="H477" s="36">
        <v>443190570</v>
      </c>
      <c r="I477" s="39">
        <v>0</v>
      </c>
      <c r="J477" s="38">
        <v>0</v>
      </c>
      <c r="K477" s="38">
        <v>0</v>
      </c>
      <c r="L477" s="38">
        <v>0</v>
      </c>
      <c r="M477" s="38">
        <v>10027.32</v>
      </c>
      <c r="N477" s="46" t="s">
        <v>150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40">
        <v>45918.228009259263</v>
      </c>
      <c r="B478" s="41">
        <v>443979802</v>
      </c>
      <c r="C478" s="42" t="s">
        <v>36</v>
      </c>
      <c r="D478" s="42" t="s">
        <v>39</v>
      </c>
      <c r="E478" s="42" t="s">
        <v>47</v>
      </c>
      <c r="F478" s="42" t="s">
        <v>38</v>
      </c>
      <c r="G478" s="43">
        <v>3662.19</v>
      </c>
      <c r="H478" s="41">
        <v>443190573</v>
      </c>
      <c r="I478" s="44">
        <v>0</v>
      </c>
      <c r="J478" s="43">
        <v>0</v>
      </c>
      <c r="K478" s="43">
        <v>0</v>
      </c>
      <c r="L478" s="43">
        <v>0.33</v>
      </c>
      <c r="M478" s="43">
        <v>10027.65</v>
      </c>
      <c r="N478" s="45" t="s">
        <v>443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35">
        <v>45918.228009259263</v>
      </c>
      <c r="B479" s="36">
        <v>443979803</v>
      </c>
      <c r="C479" s="37" t="s">
        <v>36</v>
      </c>
      <c r="D479" s="37" t="s">
        <v>39</v>
      </c>
      <c r="E479" s="37" t="s">
        <v>47</v>
      </c>
      <c r="F479" s="37" t="s">
        <v>38</v>
      </c>
      <c r="G479" s="38">
        <v>3662.19</v>
      </c>
      <c r="H479" s="36">
        <v>443190574</v>
      </c>
      <c r="I479" s="39">
        <v>0</v>
      </c>
      <c r="J479" s="38">
        <v>0</v>
      </c>
      <c r="K479" s="38">
        <v>0</v>
      </c>
      <c r="L479" s="38">
        <v>0.33</v>
      </c>
      <c r="M479" s="38">
        <v>10027.98</v>
      </c>
      <c r="N479" s="46" t="s">
        <v>443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40">
        <v>45918.228009259263</v>
      </c>
      <c r="B480" s="41">
        <v>443979804</v>
      </c>
      <c r="C480" s="42" t="s">
        <v>36</v>
      </c>
      <c r="D480" s="42" t="s">
        <v>39</v>
      </c>
      <c r="E480" s="42" t="s">
        <v>47</v>
      </c>
      <c r="F480" s="42" t="s">
        <v>38</v>
      </c>
      <c r="G480" s="43">
        <v>3662.19</v>
      </c>
      <c r="H480" s="41">
        <v>443190575</v>
      </c>
      <c r="I480" s="44">
        <v>0</v>
      </c>
      <c r="J480" s="43">
        <v>0</v>
      </c>
      <c r="K480" s="43">
        <v>0</v>
      </c>
      <c r="L480" s="43">
        <v>0.35</v>
      </c>
      <c r="M480" s="43">
        <v>10028.33</v>
      </c>
      <c r="N480" s="45" t="s">
        <v>444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35">
        <v>45918.228564814817</v>
      </c>
      <c r="B481" s="36">
        <v>443979865</v>
      </c>
      <c r="C481" s="37" t="s">
        <v>36</v>
      </c>
      <c r="D481" s="37" t="s">
        <v>37</v>
      </c>
      <c r="E481" s="37" t="s">
        <v>46</v>
      </c>
      <c r="F481" s="37" t="s">
        <v>38</v>
      </c>
      <c r="G481" s="38">
        <v>3662.52</v>
      </c>
      <c r="H481" s="36">
        <v>443190634</v>
      </c>
      <c r="I481" s="39">
        <v>0</v>
      </c>
      <c r="J481" s="38">
        <v>0</v>
      </c>
      <c r="K481" s="38">
        <v>0</v>
      </c>
      <c r="L481" s="38">
        <v>0</v>
      </c>
      <c r="M481" s="38">
        <v>10028.33</v>
      </c>
      <c r="N481" s="46" t="s">
        <v>48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40">
        <v>45918.228576388887</v>
      </c>
      <c r="B482" s="41">
        <v>443979866</v>
      </c>
      <c r="C482" s="42" t="s">
        <v>36</v>
      </c>
      <c r="D482" s="42" t="s">
        <v>37</v>
      </c>
      <c r="E482" s="42" t="s">
        <v>46</v>
      </c>
      <c r="F482" s="42" t="s">
        <v>38</v>
      </c>
      <c r="G482" s="43">
        <v>3662.52</v>
      </c>
      <c r="H482" s="41">
        <v>443190635</v>
      </c>
      <c r="I482" s="44">
        <v>0</v>
      </c>
      <c r="J482" s="43">
        <v>0</v>
      </c>
      <c r="K482" s="43">
        <v>0</v>
      </c>
      <c r="L482" s="43">
        <v>0</v>
      </c>
      <c r="M482" s="43">
        <v>10028.33</v>
      </c>
      <c r="N482" s="45" t="s">
        <v>53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35">
        <v>45918.228576388887</v>
      </c>
      <c r="B483" s="36">
        <v>443979867</v>
      </c>
      <c r="C483" s="37" t="s">
        <v>36</v>
      </c>
      <c r="D483" s="37" t="s">
        <v>37</v>
      </c>
      <c r="E483" s="37" t="s">
        <v>46</v>
      </c>
      <c r="F483" s="37" t="s">
        <v>38</v>
      </c>
      <c r="G483" s="38">
        <v>3662.52</v>
      </c>
      <c r="H483" s="36">
        <v>443190636</v>
      </c>
      <c r="I483" s="39">
        <v>0</v>
      </c>
      <c r="J483" s="38">
        <v>0</v>
      </c>
      <c r="K483" s="38">
        <v>0</v>
      </c>
      <c r="L483" s="38">
        <v>0</v>
      </c>
      <c r="M483" s="38">
        <v>10028.33</v>
      </c>
      <c r="N483" s="46" t="s">
        <v>49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40">
        <v>45918.231342592589</v>
      </c>
      <c r="B484" s="41">
        <v>443980430</v>
      </c>
      <c r="C484" s="42" t="s">
        <v>36</v>
      </c>
      <c r="D484" s="42" t="s">
        <v>37</v>
      </c>
      <c r="E484" s="42" t="s">
        <v>46</v>
      </c>
      <c r="F484" s="42" t="s">
        <v>38</v>
      </c>
      <c r="G484" s="43">
        <v>3662.6</v>
      </c>
      <c r="H484" s="41">
        <v>443191208</v>
      </c>
      <c r="I484" s="44">
        <v>0</v>
      </c>
      <c r="J484" s="43">
        <v>0</v>
      </c>
      <c r="K484" s="43">
        <v>0</v>
      </c>
      <c r="L484" s="43">
        <v>0</v>
      </c>
      <c r="M484" s="43">
        <v>10028.33</v>
      </c>
      <c r="N484" s="45" t="s">
        <v>395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35">
        <v>45918.231354166666</v>
      </c>
      <c r="B485" s="36">
        <v>443980431</v>
      </c>
      <c r="C485" s="37" t="s">
        <v>36</v>
      </c>
      <c r="D485" s="37" t="s">
        <v>37</v>
      </c>
      <c r="E485" s="37" t="s">
        <v>46</v>
      </c>
      <c r="F485" s="37" t="s">
        <v>38</v>
      </c>
      <c r="G485" s="38">
        <v>3662.6</v>
      </c>
      <c r="H485" s="36">
        <v>443191209</v>
      </c>
      <c r="I485" s="39">
        <v>0</v>
      </c>
      <c r="J485" s="38">
        <v>0</v>
      </c>
      <c r="K485" s="38">
        <v>0</v>
      </c>
      <c r="L485" s="38">
        <v>0</v>
      </c>
      <c r="M485" s="38">
        <v>10028.33</v>
      </c>
      <c r="N485" s="46" t="s">
        <v>268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40">
        <v>45918.232546296298</v>
      </c>
      <c r="B486" s="41">
        <v>443980789</v>
      </c>
      <c r="C486" s="42" t="s">
        <v>36</v>
      </c>
      <c r="D486" s="42" t="s">
        <v>39</v>
      </c>
      <c r="E486" s="42" t="s">
        <v>47</v>
      </c>
      <c r="F486" s="42" t="s">
        <v>38</v>
      </c>
      <c r="G486" s="43">
        <v>3660.02</v>
      </c>
      <c r="H486" s="41">
        <v>443191568</v>
      </c>
      <c r="I486" s="44">
        <v>0</v>
      </c>
      <c r="J486" s="43">
        <v>0</v>
      </c>
      <c r="K486" s="43">
        <v>0</v>
      </c>
      <c r="L486" s="43">
        <v>-2.5</v>
      </c>
      <c r="M486" s="43">
        <v>10025.83</v>
      </c>
      <c r="N486" s="45" t="s">
        <v>445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35">
        <v>45918.235914351855</v>
      </c>
      <c r="B487" s="36">
        <v>443981728</v>
      </c>
      <c r="C487" s="37" t="s">
        <v>36</v>
      </c>
      <c r="D487" s="37" t="s">
        <v>39</v>
      </c>
      <c r="E487" s="37" t="s">
        <v>47</v>
      </c>
      <c r="F487" s="37" t="s">
        <v>38</v>
      </c>
      <c r="G487" s="38">
        <v>3664.08</v>
      </c>
      <c r="H487" s="36">
        <v>443192491</v>
      </c>
      <c r="I487" s="39">
        <v>0</v>
      </c>
      <c r="J487" s="38">
        <v>0</v>
      </c>
      <c r="K487" s="38">
        <v>0</v>
      </c>
      <c r="L487" s="38">
        <v>1.51</v>
      </c>
      <c r="M487" s="38">
        <v>10027.34</v>
      </c>
      <c r="N487" s="46" t="s">
        <v>446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40">
        <v>45918.237141203703</v>
      </c>
      <c r="B488" s="41">
        <v>443982354</v>
      </c>
      <c r="C488" s="42" t="s">
        <v>36</v>
      </c>
      <c r="D488" s="42" t="s">
        <v>39</v>
      </c>
      <c r="E488" s="42" t="s">
        <v>47</v>
      </c>
      <c r="F488" s="42" t="s">
        <v>38</v>
      </c>
      <c r="G488" s="43">
        <v>3662.46</v>
      </c>
      <c r="H488" s="41">
        <v>443193111</v>
      </c>
      <c r="I488" s="44">
        <v>0</v>
      </c>
      <c r="J488" s="43">
        <v>0</v>
      </c>
      <c r="K488" s="43">
        <v>0</v>
      </c>
      <c r="L488" s="43">
        <v>-0.06</v>
      </c>
      <c r="M488" s="43">
        <v>10027.280000000001</v>
      </c>
      <c r="N488" s="45" t="s">
        <v>447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35">
        <v>45918.237141203703</v>
      </c>
      <c r="B489" s="36">
        <v>443982355</v>
      </c>
      <c r="C489" s="37" t="s">
        <v>36</v>
      </c>
      <c r="D489" s="37" t="s">
        <v>39</v>
      </c>
      <c r="E489" s="37" t="s">
        <v>47</v>
      </c>
      <c r="F489" s="37" t="s">
        <v>38</v>
      </c>
      <c r="G489" s="38">
        <v>3662.46</v>
      </c>
      <c r="H489" s="36">
        <v>443193112</v>
      </c>
      <c r="I489" s="39">
        <v>0</v>
      </c>
      <c r="J489" s="38">
        <v>0</v>
      </c>
      <c r="K489" s="38">
        <v>0</v>
      </c>
      <c r="L489" s="38">
        <v>-0.06</v>
      </c>
      <c r="M489" s="38">
        <v>10027.219999999999</v>
      </c>
      <c r="N489" s="46" t="s">
        <v>447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40">
        <v>45918.244537037041</v>
      </c>
      <c r="B490" s="41">
        <v>443983690</v>
      </c>
      <c r="C490" s="42" t="s">
        <v>36</v>
      </c>
      <c r="D490" s="42" t="s">
        <v>37</v>
      </c>
      <c r="E490" s="42" t="s">
        <v>46</v>
      </c>
      <c r="F490" s="42" t="s">
        <v>38</v>
      </c>
      <c r="G490" s="43">
        <v>3664.23</v>
      </c>
      <c r="H490" s="41">
        <v>443194416</v>
      </c>
      <c r="I490" s="44">
        <v>0</v>
      </c>
      <c r="J490" s="43">
        <v>0</v>
      </c>
      <c r="K490" s="43">
        <v>0</v>
      </c>
      <c r="L490" s="43">
        <v>0</v>
      </c>
      <c r="M490" s="43">
        <v>10027.219999999999</v>
      </c>
      <c r="N490" s="45" t="s">
        <v>150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35">
        <v>45918.24454861111</v>
      </c>
      <c r="B491" s="36">
        <v>443983691</v>
      </c>
      <c r="C491" s="37" t="s">
        <v>36</v>
      </c>
      <c r="D491" s="37" t="s">
        <v>37</v>
      </c>
      <c r="E491" s="37" t="s">
        <v>46</v>
      </c>
      <c r="F491" s="37" t="s">
        <v>38</v>
      </c>
      <c r="G491" s="38">
        <v>3664.23</v>
      </c>
      <c r="H491" s="36">
        <v>443194417</v>
      </c>
      <c r="I491" s="39">
        <v>0</v>
      </c>
      <c r="J491" s="38">
        <v>0</v>
      </c>
      <c r="K491" s="38">
        <v>0</v>
      </c>
      <c r="L491" s="38">
        <v>0</v>
      </c>
      <c r="M491" s="38">
        <v>10027.219999999999</v>
      </c>
      <c r="N491" s="46" t="s">
        <v>49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40">
        <v>45918.24454861111</v>
      </c>
      <c r="B492" s="41">
        <v>443983692</v>
      </c>
      <c r="C492" s="42" t="s">
        <v>36</v>
      </c>
      <c r="D492" s="42" t="s">
        <v>37</v>
      </c>
      <c r="E492" s="42" t="s">
        <v>46</v>
      </c>
      <c r="F492" s="42" t="s">
        <v>38</v>
      </c>
      <c r="G492" s="43">
        <v>3664.23</v>
      </c>
      <c r="H492" s="41">
        <v>443194418</v>
      </c>
      <c r="I492" s="44">
        <v>0</v>
      </c>
      <c r="J492" s="43">
        <v>0</v>
      </c>
      <c r="K492" s="43">
        <v>0</v>
      </c>
      <c r="L492" s="43">
        <v>0</v>
      </c>
      <c r="M492" s="43">
        <v>10027.219999999999</v>
      </c>
      <c r="N492" s="45" t="s">
        <v>53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35">
        <v>45918.24454861111</v>
      </c>
      <c r="B493" s="36">
        <v>443983693</v>
      </c>
      <c r="C493" s="37" t="s">
        <v>36</v>
      </c>
      <c r="D493" s="37" t="s">
        <v>37</v>
      </c>
      <c r="E493" s="37" t="s">
        <v>46</v>
      </c>
      <c r="F493" s="37" t="s">
        <v>38</v>
      </c>
      <c r="G493" s="38">
        <v>3664.23</v>
      </c>
      <c r="H493" s="36">
        <v>443194419</v>
      </c>
      <c r="I493" s="39">
        <v>0</v>
      </c>
      <c r="J493" s="38">
        <v>0</v>
      </c>
      <c r="K493" s="38">
        <v>0</v>
      </c>
      <c r="L493" s="38">
        <v>0</v>
      </c>
      <c r="M493" s="38">
        <v>10027.219999999999</v>
      </c>
      <c r="N493" s="46" t="s">
        <v>48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40">
        <v>45918.249456018515</v>
      </c>
      <c r="B494" s="41">
        <v>443984630</v>
      </c>
      <c r="C494" s="42" t="s">
        <v>36</v>
      </c>
      <c r="D494" s="42" t="s">
        <v>39</v>
      </c>
      <c r="E494" s="42" t="s">
        <v>47</v>
      </c>
      <c r="F494" s="42" t="s">
        <v>38</v>
      </c>
      <c r="G494" s="43">
        <v>3665.82</v>
      </c>
      <c r="H494" s="41">
        <v>443195337</v>
      </c>
      <c r="I494" s="44">
        <v>0</v>
      </c>
      <c r="J494" s="43">
        <v>0</v>
      </c>
      <c r="K494" s="43">
        <v>0</v>
      </c>
      <c r="L494" s="43">
        <v>1.59</v>
      </c>
      <c r="M494" s="43">
        <v>10028.81</v>
      </c>
      <c r="N494" s="45" t="s">
        <v>448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35">
        <v>45918.24962962963</v>
      </c>
      <c r="B495" s="36">
        <v>443984665</v>
      </c>
      <c r="C495" s="37" t="s">
        <v>36</v>
      </c>
      <c r="D495" s="37" t="s">
        <v>37</v>
      </c>
      <c r="E495" s="37" t="s">
        <v>46</v>
      </c>
      <c r="F495" s="37" t="s">
        <v>38</v>
      </c>
      <c r="G495" s="38">
        <v>3665.06</v>
      </c>
      <c r="H495" s="36">
        <v>443195368</v>
      </c>
      <c r="I495" s="39">
        <v>0</v>
      </c>
      <c r="J495" s="38">
        <v>0</v>
      </c>
      <c r="K495" s="38">
        <v>0</v>
      </c>
      <c r="L495" s="38">
        <v>0</v>
      </c>
      <c r="M495" s="38">
        <v>10028.81</v>
      </c>
      <c r="N495" s="46" t="s">
        <v>150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40">
        <v>45918.250833333332</v>
      </c>
      <c r="B496" s="41">
        <v>443984988</v>
      </c>
      <c r="C496" s="42" t="s">
        <v>36</v>
      </c>
      <c r="D496" s="42" t="s">
        <v>39</v>
      </c>
      <c r="E496" s="42" t="s">
        <v>47</v>
      </c>
      <c r="F496" s="42" t="s">
        <v>38</v>
      </c>
      <c r="G496" s="43">
        <v>3664.72</v>
      </c>
      <c r="H496" s="41">
        <v>443195700</v>
      </c>
      <c r="I496" s="44">
        <v>0</v>
      </c>
      <c r="J496" s="43">
        <v>0</v>
      </c>
      <c r="K496" s="43">
        <v>0</v>
      </c>
      <c r="L496" s="43">
        <v>0.49</v>
      </c>
      <c r="M496" s="43">
        <v>10029.299999999999</v>
      </c>
      <c r="N496" s="45" t="s">
        <v>449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35">
        <v>45918.250833333332</v>
      </c>
      <c r="B497" s="36">
        <v>443984990</v>
      </c>
      <c r="C497" s="37" t="s">
        <v>36</v>
      </c>
      <c r="D497" s="37" t="s">
        <v>39</v>
      </c>
      <c r="E497" s="37" t="s">
        <v>47</v>
      </c>
      <c r="F497" s="37" t="s">
        <v>38</v>
      </c>
      <c r="G497" s="38">
        <v>3664.72</v>
      </c>
      <c r="H497" s="36">
        <v>443195701</v>
      </c>
      <c r="I497" s="39">
        <v>0</v>
      </c>
      <c r="J497" s="38">
        <v>0</v>
      </c>
      <c r="K497" s="38">
        <v>0</v>
      </c>
      <c r="L497" s="38">
        <v>0.49</v>
      </c>
      <c r="M497" s="38">
        <v>10029.790000000001</v>
      </c>
      <c r="N497" s="46" t="s">
        <v>449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40">
        <v>45918.250833333332</v>
      </c>
      <c r="B498" s="41">
        <v>443984991</v>
      </c>
      <c r="C498" s="42" t="s">
        <v>36</v>
      </c>
      <c r="D498" s="42" t="s">
        <v>39</v>
      </c>
      <c r="E498" s="42" t="s">
        <v>47</v>
      </c>
      <c r="F498" s="42" t="s">
        <v>38</v>
      </c>
      <c r="G498" s="43">
        <v>3664.72</v>
      </c>
      <c r="H498" s="41">
        <v>443195702</v>
      </c>
      <c r="I498" s="44">
        <v>0</v>
      </c>
      <c r="J498" s="43">
        <v>0</v>
      </c>
      <c r="K498" s="43">
        <v>0</v>
      </c>
      <c r="L498" s="43">
        <v>0.49</v>
      </c>
      <c r="M498" s="43">
        <v>10030.280000000001</v>
      </c>
      <c r="N498" s="45" t="s">
        <v>449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35">
        <v>45918.250902777778</v>
      </c>
      <c r="B499" s="36">
        <v>443985011</v>
      </c>
      <c r="C499" s="37" t="s">
        <v>36</v>
      </c>
      <c r="D499" s="37" t="s">
        <v>37</v>
      </c>
      <c r="E499" s="37" t="s">
        <v>46</v>
      </c>
      <c r="F499" s="37" t="s">
        <v>38</v>
      </c>
      <c r="G499" s="38">
        <v>3664.98</v>
      </c>
      <c r="H499" s="36">
        <v>443195725</v>
      </c>
      <c r="I499" s="39">
        <v>0</v>
      </c>
      <c r="J499" s="38">
        <v>0</v>
      </c>
      <c r="K499" s="38">
        <v>0</v>
      </c>
      <c r="L499" s="38">
        <v>0</v>
      </c>
      <c r="M499" s="38">
        <v>10030.280000000001</v>
      </c>
      <c r="N499" s="46" t="s">
        <v>48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40">
        <v>45918.250914351855</v>
      </c>
      <c r="B500" s="41">
        <v>443985012</v>
      </c>
      <c r="C500" s="42" t="s">
        <v>36</v>
      </c>
      <c r="D500" s="42" t="s">
        <v>37</v>
      </c>
      <c r="E500" s="42" t="s">
        <v>46</v>
      </c>
      <c r="F500" s="42" t="s">
        <v>38</v>
      </c>
      <c r="G500" s="43">
        <v>3665.04</v>
      </c>
      <c r="H500" s="41">
        <v>443195726</v>
      </c>
      <c r="I500" s="44">
        <v>0</v>
      </c>
      <c r="J500" s="43">
        <v>0</v>
      </c>
      <c r="K500" s="43">
        <v>0</v>
      </c>
      <c r="L500" s="43">
        <v>0</v>
      </c>
      <c r="M500" s="43">
        <v>10030.280000000001</v>
      </c>
      <c r="N500" s="45" t="s">
        <v>49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35">
        <v>45918.250914351855</v>
      </c>
      <c r="B501" s="36">
        <v>443985015</v>
      </c>
      <c r="C501" s="37" t="s">
        <v>36</v>
      </c>
      <c r="D501" s="37" t="s">
        <v>37</v>
      </c>
      <c r="E501" s="37" t="s">
        <v>46</v>
      </c>
      <c r="F501" s="37" t="s">
        <v>38</v>
      </c>
      <c r="G501" s="38">
        <v>3665.05</v>
      </c>
      <c r="H501" s="36">
        <v>443195729</v>
      </c>
      <c r="I501" s="39">
        <v>0</v>
      </c>
      <c r="J501" s="38">
        <v>0</v>
      </c>
      <c r="K501" s="38">
        <v>0</v>
      </c>
      <c r="L501" s="38">
        <v>0</v>
      </c>
      <c r="M501" s="38">
        <v>10030.280000000001</v>
      </c>
      <c r="N501" s="46" t="s">
        <v>53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40">
        <v>45918.250949074078</v>
      </c>
      <c r="B502" s="41">
        <v>443985027</v>
      </c>
      <c r="C502" s="42" t="s">
        <v>36</v>
      </c>
      <c r="D502" s="42" t="s">
        <v>39</v>
      </c>
      <c r="E502" s="42" t="s">
        <v>47</v>
      </c>
      <c r="F502" s="42" t="s">
        <v>38</v>
      </c>
      <c r="G502" s="43">
        <v>3664.28</v>
      </c>
      <c r="H502" s="41">
        <v>443195739</v>
      </c>
      <c r="I502" s="44">
        <v>0</v>
      </c>
      <c r="J502" s="43">
        <v>0</v>
      </c>
      <c r="K502" s="43">
        <v>0</v>
      </c>
      <c r="L502" s="43">
        <v>1.68</v>
      </c>
      <c r="M502" s="43">
        <v>10031.959999999999</v>
      </c>
      <c r="N502" s="45" t="s">
        <v>450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35">
        <v>45918.250949074078</v>
      </c>
      <c r="B503" s="36">
        <v>443985028</v>
      </c>
      <c r="C503" s="37" t="s">
        <v>36</v>
      </c>
      <c r="D503" s="37" t="s">
        <v>39</v>
      </c>
      <c r="E503" s="37" t="s">
        <v>47</v>
      </c>
      <c r="F503" s="37" t="s">
        <v>38</v>
      </c>
      <c r="G503" s="38">
        <v>3664.28</v>
      </c>
      <c r="H503" s="36">
        <v>443195740</v>
      </c>
      <c r="I503" s="39">
        <v>0</v>
      </c>
      <c r="J503" s="38">
        <v>0</v>
      </c>
      <c r="K503" s="38">
        <v>0</v>
      </c>
      <c r="L503" s="38">
        <v>1.68</v>
      </c>
      <c r="M503" s="38">
        <v>10033.64</v>
      </c>
      <c r="N503" s="46" t="s">
        <v>450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40">
        <v>45918.251018518517</v>
      </c>
      <c r="B504" s="41">
        <v>443985065</v>
      </c>
      <c r="C504" s="42" t="s">
        <v>36</v>
      </c>
      <c r="D504" s="42" t="s">
        <v>37</v>
      </c>
      <c r="E504" s="42" t="s">
        <v>46</v>
      </c>
      <c r="F504" s="42" t="s">
        <v>38</v>
      </c>
      <c r="G504" s="43">
        <v>3664.52</v>
      </c>
      <c r="H504" s="41">
        <v>443195777</v>
      </c>
      <c r="I504" s="44">
        <v>0</v>
      </c>
      <c r="J504" s="43">
        <v>0</v>
      </c>
      <c r="K504" s="43">
        <v>0</v>
      </c>
      <c r="L504" s="43">
        <v>0</v>
      </c>
      <c r="M504" s="43">
        <v>10033.64</v>
      </c>
      <c r="N504" s="45" t="s">
        <v>268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35">
        <v>45918.251030092593</v>
      </c>
      <c r="B505" s="36">
        <v>443985069</v>
      </c>
      <c r="C505" s="37" t="s">
        <v>36</v>
      </c>
      <c r="D505" s="37" t="s">
        <v>37</v>
      </c>
      <c r="E505" s="37" t="s">
        <v>46</v>
      </c>
      <c r="F505" s="37" t="s">
        <v>38</v>
      </c>
      <c r="G505" s="38">
        <v>3664.53</v>
      </c>
      <c r="H505" s="36">
        <v>443195781</v>
      </c>
      <c r="I505" s="39">
        <v>0</v>
      </c>
      <c r="J505" s="38">
        <v>0</v>
      </c>
      <c r="K505" s="38">
        <v>0</v>
      </c>
      <c r="L505" s="38">
        <v>0</v>
      </c>
      <c r="M505" s="38">
        <v>10033.64</v>
      </c>
      <c r="N505" s="46" t="s">
        <v>395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40">
        <v>45918.252835648149</v>
      </c>
      <c r="B506" s="41">
        <v>443985673</v>
      </c>
      <c r="C506" s="42" t="s">
        <v>36</v>
      </c>
      <c r="D506" s="42" t="s">
        <v>39</v>
      </c>
      <c r="E506" s="42" t="s">
        <v>47</v>
      </c>
      <c r="F506" s="42" t="s">
        <v>38</v>
      </c>
      <c r="G506" s="43">
        <v>3662.48</v>
      </c>
      <c r="H506" s="41">
        <v>443196374</v>
      </c>
      <c r="I506" s="44">
        <v>0</v>
      </c>
      <c r="J506" s="43">
        <v>0</v>
      </c>
      <c r="K506" s="43">
        <v>0</v>
      </c>
      <c r="L506" s="43">
        <v>-2.56</v>
      </c>
      <c r="M506" s="43">
        <v>10031.08</v>
      </c>
      <c r="N506" s="45" t="s">
        <v>451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35">
        <v>45918.254432870373</v>
      </c>
      <c r="B507" s="36">
        <v>443986080</v>
      </c>
      <c r="C507" s="37" t="s">
        <v>36</v>
      </c>
      <c r="D507" s="37" t="s">
        <v>39</v>
      </c>
      <c r="E507" s="37" t="s">
        <v>47</v>
      </c>
      <c r="F507" s="37" t="s">
        <v>38</v>
      </c>
      <c r="G507" s="38">
        <v>3662.06</v>
      </c>
      <c r="H507" s="36">
        <v>443196767</v>
      </c>
      <c r="I507" s="39">
        <v>0</v>
      </c>
      <c r="J507" s="38">
        <v>0</v>
      </c>
      <c r="K507" s="38">
        <v>0</v>
      </c>
      <c r="L507" s="38">
        <v>-3</v>
      </c>
      <c r="M507" s="38">
        <v>10028.08</v>
      </c>
      <c r="N507" s="46" t="s">
        <v>413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40">
        <v>45918.254872685182</v>
      </c>
      <c r="B508" s="41">
        <v>443986148</v>
      </c>
      <c r="C508" s="42" t="s">
        <v>36</v>
      </c>
      <c r="D508" s="42" t="s">
        <v>39</v>
      </c>
      <c r="E508" s="42" t="s">
        <v>47</v>
      </c>
      <c r="F508" s="42" t="s">
        <v>38</v>
      </c>
      <c r="G508" s="43">
        <v>3662.01</v>
      </c>
      <c r="H508" s="41">
        <v>443196833</v>
      </c>
      <c r="I508" s="44">
        <v>0</v>
      </c>
      <c r="J508" s="43">
        <v>0</v>
      </c>
      <c r="K508" s="43">
        <v>0</v>
      </c>
      <c r="L508" s="43">
        <v>-2.97</v>
      </c>
      <c r="M508" s="43">
        <v>10025.11</v>
      </c>
      <c r="N508" s="45" t="s">
        <v>452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35">
        <v>45918.254872685182</v>
      </c>
      <c r="B509" s="36">
        <v>443986149</v>
      </c>
      <c r="C509" s="37" t="s">
        <v>36</v>
      </c>
      <c r="D509" s="37" t="s">
        <v>39</v>
      </c>
      <c r="E509" s="37" t="s">
        <v>47</v>
      </c>
      <c r="F509" s="37" t="s">
        <v>38</v>
      </c>
      <c r="G509" s="38">
        <v>3661.96</v>
      </c>
      <c r="H509" s="36">
        <v>443196834</v>
      </c>
      <c r="I509" s="39">
        <v>0</v>
      </c>
      <c r="J509" s="38">
        <v>0</v>
      </c>
      <c r="K509" s="38">
        <v>0</v>
      </c>
      <c r="L509" s="38">
        <v>-3.09</v>
      </c>
      <c r="M509" s="38">
        <v>10022.02</v>
      </c>
      <c r="N509" s="46" t="s">
        <v>453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40">
        <v>45918.254988425928</v>
      </c>
      <c r="B510" s="41">
        <v>443986180</v>
      </c>
      <c r="C510" s="42" t="s">
        <v>36</v>
      </c>
      <c r="D510" s="42" t="s">
        <v>39</v>
      </c>
      <c r="E510" s="42" t="s">
        <v>47</v>
      </c>
      <c r="F510" s="42" t="s">
        <v>38</v>
      </c>
      <c r="G510" s="43">
        <v>3661.49</v>
      </c>
      <c r="H510" s="41">
        <v>443196863</v>
      </c>
      <c r="I510" s="44">
        <v>0</v>
      </c>
      <c r="J510" s="43">
        <v>0</v>
      </c>
      <c r="K510" s="43">
        <v>0</v>
      </c>
      <c r="L510" s="43">
        <v>-3.03</v>
      </c>
      <c r="M510" s="43">
        <v>10018.99</v>
      </c>
      <c r="N510" s="45" t="s">
        <v>454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35">
        <v>45918.254988425928</v>
      </c>
      <c r="B511" s="36">
        <v>443986181</v>
      </c>
      <c r="C511" s="37" t="s">
        <v>36</v>
      </c>
      <c r="D511" s="37" t="s">
        <v>39</v>
      </c>
      <c r="E511" s="37" t="s">
        <v>47</v>
      </c>
      <c r="F511" s="37" t="s">
        <v>38</v>
      </c>
      <c r="G511" s="38">
        <v>3661.49</v>
      </c>
      <c r="H511" s="36">
        <v>443196864</v>
      </c>
      <c r="I511" s="39">
        <v>0</v>
      </c>
      <c r="J511" s="38">
        <v>0</v>
      </c>
      <c r="K511" s="38">
        <v>0</v>
      </c>
      <c r="L511" s="38">
        <v>-3.04</v>
      </c>
      <c r="M511" s="38">
        <v>10015.950000000001</v>
      </c>
      <c r="N511" s="46" t="s">
        <v>384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40">
        <v>45918.256805555553</v>
      </c>
      <c r="B512" s="41">
        <v>443986679</v>
      </c>
      <c r="C512" s="42" t="s">
        <v>36</v>
      </c>
      <c r="D512" s="42" t="s">
        <v>39</v>
      </c>
      <c r="E512" s="42" t="s">
        <v>46</v>
      </c>
      <c r="F512" s="42" t="s">
        <v>38</v>
      </c>
      <c r="G512" s="43">
        <v>3662.48</v>
      </c>
      <c r="H512" s="41">
        <v>443197339</v>
      </c>
      <c r="I512" s="44">
        <v>0</v>
      </c>
      <c r="J512" s="43">
        <v>0</v>
      </c>
      <c r="K512" s="43">
        <v>0</v>
      </c>
      <c r="L512" s="43">
        <v>0</v>
      </c>
      <c r="M512" s="43">
        <v>10015.950000000001</v>
      </c>
      <c r="N512" s="45" t="s">
        <v>150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35">
        <v>45918.25681712963</v>
      </c>
      <c r="B513" s="36">
        <v>443986682</v>
      </c>
      <c r="C513" s="37" t="s">
        <v>36</v>
      </c>
      <c r="D513" s="37" t="s">
        <v>39</v>
      </c>
      <c r="E513" s="37" t="s">
        <v>46</v>
      </c>
      <c r="F513" s="37" t="s">
        <v>38</v>
      </c>
      <c r="G513" s="38">
        <v>3662.58</v>
      </c>
      <c r="H513" s="36">
        <v>443197342</v>
      </c>
      <c r="I513" s="39">
        <v>0</v>
      </c>
      <c r="J513" s="38">
        <v>0</v>
      </c>
      <c r="K513" s="38">
        <v>0</v>
      </c>
      <c r="L513" s="38">
        <v>0</v>
      </c>
      <c r="M513" s="38">
        <v>10015.950000000001</v>
      </c>
      <c r="N513" s="46" t="s">
        <v>48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40">
        <v>45918.25681712963</v>
      </c>
      <c r="B514" s="41">
        <v>443986683</v>
      </c>
      <c r="C514" s="42" t="s">
        <v>36</v>
      </c>
      <c r="D514" s="42" t="s">
        <v>39</v>
      </c>
      <c r="E514" s="42" t="s">
        <v>46</v>
      </c>
      <c r="F514" s="42" t="s">
        <v>38</v>
      </c>
      <c r="G514" s="43">
        <v>3662.58</v>
      </c>
      <c r="H514" s="41">
        <v>443197343</v>
      </c>
      <c r="I514" s="44">
        <v>0</v>
      </c>
      <c r="J514" s="43">
        <v>0</v>
      </c>
      <c r="K514" s="43">
        <v>0</v>
      </c>
      <c r="L514" s="43">
        <v>0</v>
      </c>
      <c r="M514" s="43">
        <v>10015.950000000001</v>
      </c>
      <c r="N514" s="45" t="s">
        <v>49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35">
        <v>45918.25681712963</v>
      </c>
      <c r="B515" s="36">
        <v>443986685</v>
      </c>
      <c r="C515" s="37" t="s">
        <v>36</v>
      </c>
      <c r="D515" s="37" t="s">
        <v>39</v>
      </c>
      <c r="E515" s="37" t="s">
        <v>46</v>
      </c>
      <c r="F515" s="37" t="s">
        <v>38</v>
      </c>
      <c r="G515" s="38">
        <v>3662.58</v>
      </c>
      <c r="H515" s="36">
        <v>443197345</v>
      </c>
      <c r="I515" s="39">
        <v>0</v>
      </c>
      <c r="J515" s="38">
        <v>0</v>
      </c>
      <c r="K515" s="38">
        <v>0</v>
      </c>
      <c r="L515" s="38">
        <v>0</v>
      </c>
      <c r="M515" s="38">
        <v>10015.950000000001</v>
      </c>
      <c r="N515" s="46" t="s">
        <v>53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40">
        <v>45918.257384259261</v>
      </c>
      <c r="B516" s="41">
        <v>443986792</v>
      </c>
      <c r="C516" s="42" t="s">
        <v>36</v>
      </c>
      <c r="D516" s="42" t="s">
        <v>37</v>
      </c>
      <c r="E516" s="42" t="s">
        <v>46</v>
      </c>
      <c r="F516" s="42" t="s">
        <v>38</v>
      </c>
      <c r="G516" s="43">
        <v>3663.03</v>
      </c>
      <c r="H516" s="41">
        <v>443197453</v>
      </c>
      <c r="I516" s="44">
        <v>0</v>
      </c>
      <c r="J516" s="43">
        <v>0</v>
      </c>
      <c r="K516" s="43">
        <v>0</v>
      </c>
      <c r="L516" s="43">
        <v>0</v>
      </c>
      <c r="M516" s="43">
        <v>10015.950000000001</v>
      </c>
      <c r="N516" s="45" t="s">
        <v>268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35">
        <v>45918.257395833331</v>
      </c>
      <c r="B517" s="36">
        <v>443986793</v>
      </c>
      <c r="C517" s="37" t="s">
        <v>36</v>
      </c>
      <c r="D517" s="37" t="s">
        <v>37</v>
      </c>
      <c r="E517" s="37" t="s">
        <v>46</v>
      </c>
      <c r="F517" s="37" t="s">
        <v>38</v>
      </c>
      <c r="G517" s="38">
        <v>3663.03</v>
      </c>
      <c r="H517" s="36">
        <v>443197454</v>
      </c>
      <c r="I517" s="39">
        <v>0</v>
      </c>
      <c r="J517" s="38">
        <v>0</v>
      </c>
      <c r="K517" s="38">
        <v>0</v>
      </c>
      <c r="L517" s="38">
        <v>0</v>
      </c>
      <c r="M517" s="38">
        <v>10015.950000000001</v>
      </c>
      <c r="N517" s="46" t="s">
        <v>395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40">
        <v>45918.267361111109</v>
      </c>
      <c r="B518" s="41">
        <v>443988603</v>
      </c>
      <c r="C518" s="42" t="s">
        <v>36</v>
      </c>
      <c r="D518" s="42" t="s">
        <v>37</v>
      </c>
      <c r="E518" s="42" t="s">
        <v>47</v>
      </c>
      <c r="F518" s="42" t="s">
        <v>38</v>
      </c>
      <c r="G518" s="43">
        <v>3662.31</v>
      </c>
      <c r="H518" s="41">
        <v>443199199</v>
      </c>
      <c r="I518" s="44">
        <v>0</v>
      </c>
      <c r="J518" s="43">
        <v>0</v>
      </c>
      <c r="K518" s="43">
        <v>0</v>
      </c>
      <c r="L518" s="43">
        <v>0.17</v>
      </c>
      <c r="M518" s="43">
        <v>10016.120000000001</v>
      </c>
      <c r="N518" s="45" t="s">
        <v>455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35">
        <v>45918.267361111109</v>
      </c>
      <c r="B519" s="36">
        <v>443988604</v>
      </c>
      <c r="C519" s="37" t="s">
        <v>36</v>
      </c>
      <c r="D519" s="37" t="s">
        <v>37</v>
      </c>
      <c r="E519" s="37" t="s">
        <v>47</v>
      </c>
      <c r="F519" s="37" t="s">
        <v>38</v>
      </c>
      <c r="G519" s="38">
        <v>3662.31</v>
      </c>
      <c r="H519" s="36">
        <v>443199200</v>
      </c>
      <c r="I519" s="39">
        <v>0</v>
      </c>
      <c r="J519" s="38">
        <v>0</v>
      </c>
      <c r="K519" s="38">
        <v>0</v>
      </c>
      <c r="L519" s="38">
        <v>0.27</v>
      </c>
      <c r="M519" s="38">
        <v>10016.39</v>
      </c>
      <c r="N519" s="46" t="s">
        <v>455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40">
        <v>45918.267361111109</v>
      </c>
      <c r="B520" s="41">
        <v>443988605</v>
      </c>
      <c r="C520" s="42" t="s">
        <v>36</v>
      </c>
      <c r="D520" s="42" t="s">
        <v>37</v>
      </c>
      <c r="E520" s="42" t="s">
        <v>47</v>
      </c>
      <c r="F520" s="42" t="s">
        <v>38</v>
      </c>
      <c r="G520" s="43">
        <v>3662.31</v>
      </c>
      <c r="H520" s="41">
        <v>443199201</v>
      </c>
      <c r="I520" s="44">
        <v>0</v>
      </c>
      <c r="J520" s="43">
        <v>0</v>
      </c>
      <c r="K520" s="43">
        <v>0</v>
      </c>
      <c r="L520" s="43">
        <v>0.27</v>
      </c>
      <c r="M520" s="43">
        <v>10016.66</v>
      </c>
      <c r="N520" s="45" t="s">
        <v>455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35">
        <v>45918.267361111109</v>
      </c>
      <c r="B521" s="36">
        <v>443988606</v>
      </c>
      <c r="C521" s="37" t="s">
        <v>36</v>
      </c>
      <c r="D521" s="37" t="s">
        <v>37</v>
      </c>
      <c r="E521" s="37" t="s">
        <v>47</v>
      </c>
      <c r="F521" s="37" t="s">
        <v>38</v>
      </c>
      <c r="G521" s="38">
        <v>3662.31</v>
      </c>
      <c r="H521" s="36">
        <v>443199202</v>
      </c>
      <c r="I521" s="39">
        <v>0</v>
      </c>
      <c r="J521" s="38">
        <v>0</v>
      </c>
      <c r="K521" s="38">
        <v>0</v>
      </c>
      <c r="L521" s="38">
        <v>0.27</v>
      </c>
      <c r="M521" s="38">
        <v>10016.93</v>
      </c>
      <c r="N521" s="46" t="s">
        <v>455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40">
        <v>45918.267685185187</v>
      </c>
      <c r="B522" s="41">
        <v>443988659</v>
      </c>
      <c r="C522" s="42" t="s">
        <v>36</v>
      </c>
      <c r="D522" s="42" t="s">
        <v>39</v>
      </c>
      <c r="E522" s="42" t="s">
        <v>46</v>
      </c>
      <c r="F522" s="42" t="s">
        <v>38</v>
      </c>
      <c r="G522" s="43">
        <v>3661.97</v>
      </c>
      <c r="H522" s="41">
        <v>443199246</v>
      </c>
      <c r="I522" s="44">
        <v>0</v>
      </c>
      <c r="J522" s="43">
        <v>0</v>
      </c>
      <c r="K522" s="43">
        <v>0</v>
      </c>
      <c r="L522" s="43">
        <v>0</v>
      </c>
      <c r="M522" s="43">
        <v>10016.93</v>
      </c>
      <c r="N522" s="45" t="s">
        <v>53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35">
        <v>45918.267696759256</v>
      </c>
      <c r="B523" s="36">
        <v>443988661</v>
      </c>
      <c r="C523" s="37" t="s">
        <v>36</v>
      </c>
      <c r="D523" s="37" t="s">
        <v>39</v>
      </c>
      <c r="E523" s="37" t="s">
        <v>46</v>
      </c>
      <c r="F523" s="37" t="s">
        <v>38</v>
      </c>
      <c r="G523" s="38">
        <v>3661.97</v>
      </c>
      <c r="H523" s="36">
        <v>443199248</v>
      </c>
      <c r="I523" s="39">
        <v>0</v>
      </c>
      <c r="J523" s="38">
        <v>0</v>
      </c>
      <c r="K523" s="38">
        <v>0</v>
      </c>
      <c r="L523" s="38">
        <v>0</v>
      </c>
      <c r="M523" s="38">
        <v>10016.93</v>
      </c>
      <c r="N523" s="46" t="s">
        <v>48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40">
        <v>45918.267696759256</v>
      </c>
      <c r="B524" s="41">
        <v>443988664</v>
      </c>
      <c r="C524" s="42" t="s">
        <v>36</v>
      </c>
      <c r="D524" s="42" t="s">
        <v>39</v>
      </c>
      <c r="E524" s="42" t="s">
        <v>46</v>
      </c>
      <c r="F524" s="42" t="s">
        <v>38</v>
      </c>
      <c r="G524" s="43">
        <v>3661.97</v>
      </c>
      <c r="H524" s="41">
        <v>443199252</v>
      </c>
      <c r="I524" s="44">
        <v>0</v>
      </c>
      <c r="J524" s="43">
        <v>0</v>
      </c>
      <c r="K524" s="43">
        <v>0</v>
      </c>
      <c r="L524" s="43">
        <v>0</v>
      </c>
      <c r="M524" s="43">
        <v>10016.93</v>
      </c>
      <c r="N524" s="45" t="s">
        <v>150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35">
        <v>45918.267696759256</v>
      </c>
      <c r="B525" s="36">
        <v>443988666</v>
      </c>
      <c r="C525" s="37" t="s">
        <v>36</v>
      </c>
      <c r="D525" s="37" t="s">
        <v>39</v>
      </c>
      <c r="E525" s="37" t="s">
        <v>46</v>
      </c>
      <c r="F525" s="37" t="s">
        <v>38</v>
      </c>
      <c r="G525" s="38">
        <v>3661.97</v>
      </c>
      <c r="H525" s="36">
        <v>443199254</v>
      </c>
      <c r="I525" s="39">
        <v>0</v>
      </c>
      <c r="J525" s="38">
        <v>0</v>
      </c>
      <c r="K525" s="38">
        <v>0</v>
      </c>
      <c r="L525" s="38">
        <v>0</v>
      </c>
      <c r="M525" s="38">
        <v>10016.93</v>
      </c>
      <c r="N525" s="46" t="s">
        <v>49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40">
        <v>45918.281712962962</v>
      </c>
      <c r="B526" s="41">
        <v>443991176</v>
      </c>
      <c r="C526" s="42" t="s">
        <v>36</v>
      </c>
      <c r="D526" s="42" t="s">
        <v>37</v>
      </c>
      <c r="E526" s="42" t="s">
        <v>47</v>
      </c>
      <c r="F526" s="42" t="s">
        <v>38</v>
      </c>
      <c r="G526" s="43">
        <v>3661.36</v>
      </c>
      <c r="H526" s="41">
        <v>443201804</v>
      </c>
      <c r="I526" s="44">
        <v>0</v>
      </c>
      <c r="J526" s="43">
        <v>0</v>
      </c>
      <c r="K526" s="43">
        <v>0</v>
      </c>
      <c r="L526" s="43">
        <v>0.61</v>
      </c>
      <c r="M526" s="43">
        <v>10017.540000000001</v>
      </c>
      <c r="N526" s="45" t="s">
        <v>578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35">
        <v>45918.281712962962</v>
      </c>
      <c r="B527" s="36">
        <v>443991177</v>
      </c>
      <c r="C527" s="37" t="s">
        <v>36</v>
      </c>
      <c r="D527" s="37" t="s">
        <v>37</v>
      </c>
      <c r="E527" s="37" t="s">
        <v>47</v>
      </c>
      <c r="F527" s="37" t="s">
        <v>38</v>
      </c>
      <c r="G527" s="38">
        <v>3661.36</v>
      </c>
      <c r="H527" s="36">
        <v>443201805</v>
      </c>
      <c r="I527" s="39">
        <v>0</v>
      </c>
      <c r="J527" s="38">
        <v>0</v>
      </c>
      <c r="K527" s="38">
        <v>0</v>
      </c>
      <c r="L527" s="38">
        <v>0.61</v>
      </c>
      <c r="M527" s="38">
        <v>10018.15</v>
      </c>
      <c r="N527" s="46" t="s">
        <v>578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40">
        <v>45918.281712962962</v>
      </c>
      <c r="B528" s="41">
        <v>443991178</v>
      </c>
      <c r="C528" s="42" t="s">
        <v>36</v>
      </c>
      <c r="D528" s="42" t="s">
        <v>37</v>
      </c>
      <c r="E528" s="42" t="s">
        <v>47</v>
      </c>
      <c r="F528" s="42" t="s">
        <v>38</v>
      </c>
      <c r="G528" s="43">
        <v>3661.36</v>
      </c>
      <c r="H528" s="41">
        <v>443201806</v>
      </c>
      <c r="I528" s="44">
        <v>0</v>
      </c>
      <c r="J528" s="43">
        <v>0</v>
      </c>
      <c r="K528" s="43">
        <v>0</v>
      </c>
      <c r="L528" s="43">
        <v>0.61</v>
      </c>
      <c r="M528" s="43">
        <v>10018.76</v>
      </c>
      <c r="N528" s="45" t="s">
        <v>578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35">
        <v>45918.281712962962</v>
      </c>
      <c r="B529" s="36">
        <v>443991179</v>
      </c>
      <c r="C529" s="37" t="s">
        <v>36</v>
      </c>
      <c r="D529" s="37" t="s">
        <v>37</v>
      </c>
      <c r="E529" s="37" t="s">
        <v>47</v>
      </c>
      <c r="F529" s="37" t="s">
        <v>38</v>
      </c>
      <c r="G529" s="38">
        <v>3661.36</v>
      </c>
      <c r="H529" s="36">
        <v>443201807</v>
      </c>
      <c r="I529" s="39">
        <v>0</v>
      </c>
      <c r="J529" s="38">
        <v>0</v>
      </c>
      <c r="K529" s="38">
        <v>0</v>
      </c>
      <c r="L529" s="38">
        <v>0.61</v>
      </c>
      <c r="M529" s="38">
        <v>10019.370000000001</v>
      </c>
      <c r="N529" s="46" t="s">
        <v>578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40">
        <v>45918.281921296293</v>
      </c>
      <c r="B530" s="41">
        <v>443991227</v>
      </c>
      <c r="C530" s="42" t="s">
        <v>36</v>
      </c>
      <c r="D530" s="42" t="s">
        <v>39</v>
      </c>
      <c r="E530" s="42" t="s">
        <v>46</v>
      </c>
      <c r="F530" s="42" t="s">
        <v>38</v>
      </c>
      <c r="G530" s="43">
        <v>3660.95</v>
      </c>
      <c r="H530" s="41">
        <v>443201861</v>
      </c>
      <c r="I530" s="44">
        <v>0</v>
      </c>
      <c r="J530" s="43">
        <v>0</v>
      </c>
      <c r="K530" s="43">
        <v>0</v>
      </c>
      <c r="L530" s="43">
        <v>0</v>
      </c>
      <c r="M530" s="43">
        <v>10019.370000000001</v>
      </c>
      <c r="N530" s="45" t="s">
        <v>150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35">
        <v>45918.281921296293</v>
      </c>
      <c r="B531" s="36">
        <v>443991228</v>
      </c>
      <c r="C531" s="37" t="s">
        <v>36</v>
      </c>
      <c r="D531" s="37" t="s">
        <v>39</v>
      </c>
      <c r="E531" s="37" t="s">
        <v>46</v>
      </c>
      <c r="F531" s="37" t="s">
        <v>38</v>
      </c>
      <c r="G531" s="38">
        <v>3661.03</v>
      </c>
      <c r="H531" s="36">
        <v>443201862</v>
      </c>
      <c r="I531" s="39">
        <v>0</v>
      </c>
      <c r="J531" s="38">
        <v>0</v>
      </c>
      <c r="K531" s="38">
        <v>0</v>
      </c>
      <c r="L531" s="38">
        <v>0</v>
      </c>
      <c r="M531" s="38">
        <v>10019.370000000001</v>
      </c>
      <c r="N531" s="46" t="s">
        <v>53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40">
        <v>45918.28193287037</v>
      </c>
      <c r="B532" s="41">
        <v>443991229</v>
      </c>
      <c r="C532" s="42" t="s">
        <v>36</v>
      </c>
      <c r="D532" s="42" t="s">
        <v>39</v>
      </c>
      <c r="E532" s="42" t="s">
        <v>46</v>
      </c>
      <c r="F532" s="42" t="s">
        <v>38</v>
      </c>
      <c r="G532" s="43">
        <v>3661.03</v>
      </c>
      <c r="H532" s="41">
        <v>443201863</v>
      </c>
      <c r="I532" s="44">
        <v>0</v>
      </c>
      <c r="J532" s="43">
        <v>0</v>
      </c>
      <c r="K532" s="43">
        <v>0</v>
      </c>
      <c r="L532" s="43">
        <v>0</v>
      </c>
      <c r="M532" s="43">
        <v>10019.370000000001</v>
      </c>
      <c r="N532" s="45" t="s">
        <v>48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35">
        <v>45918.28193287037</v>
      </c>
      <c r="B533" s="36">
        <v>443991230</v>
      </c>
      <c r="C533" s="37" t="s">
        <v>36</v>
      </c>
      <c r="D533" s="37" t="s">
        <v>39</v>
      </c>
      <c r="E533" s="37" t="s">
        <v>46</v>
      </c>
      <c r="F533" s="37" t="s">
        <v>38</v>
      </c>
      <c r="G533" s="38">
        <v>3661.03</v>
      </c>
      <c r="H533" s="36">
        <v>443201864</v>
      </c>
      <c r="I533" s="39">
        <v>0</v>
      </c>
      <c r="J533" s="38">
        <v>0</v>
      </c>
      <c r="K533" s="38">
        <v>0</v>
      </c>
      <c r="L533" s="38">
        <v>0</v>
      </c>
      <c r="M533" s="38">
        <v>10019.370000000001</v>
      </c>
      <c r="N533" s="46" t="s">
        <v>49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40">
        <v>45918.283009259256</v>
      </c>
      <c r="B534" s="41">
        <v>443991584</v>
      </c>
      <c r="C534" s="42" t="s">
        <v>36</v>
      </c>
      <c r="D534" s="42" t="s">
        <v>39</v>
      </c>
      <c r="E534" s="42" t="s">
        <v>47</v>
      </c>
      <c r="F534" s="42" t="s">
        <v>38</v>
      </c>
      <c r="G534" s="43">
        <v>3660.03</v>
      </c>
      <c r="H534" s="41">
        <v>443202203</v>
      </c>
      <c r="I534" s="44">
        <v>0</v>
      </c>
      <c r="J534" s="43">
        <v>0</v>
      </c>
      <c r="K534" s="43">
        <v>0</v>
      </c>
      <c r="L534" s="43">
        <v>-3</v>
      </c>
      <c r="M534" s="43">
        <v>10016.370000000001</v>
      </c>
      <c r="N534" s="45" t="s">
        <v>579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35">
        <v>45918.283229166664</v>
      </c>
      <c r="B535" s="36">
        <v>443991605</v>
      </c>
      <c r="C535" s="37" t="s">
        <v>36</v>
      </c>
      <c r="D535" s="37" t="s">
        <v>39</v>
      </c>
      <c r="E535" s="37" t="s">
        <v>47</v>
      </c>
      <c r="F535" s="37" t="s">
        <v>38</v>
      </c>
      <c r="G535" s="38">
        <v>3659.91</v>
      </c>
      <c r="H535" s="36">
        <v>443202222</v>
      </c>
      <c r="I535" s="39">
        <v>0</v>
      </c>
      <c r="J535" s="38">
        <v>0</v>
      </c>
      <c r="K535" s="38">
        <v>0</v>
      </c>
      <c r="L535" s="38">
        <v>-3.12</v>
      </c>
      <c r="M535" s="38">
        <v>10013.25</v>
      </c>
      <c r="N535" s="46" t="s">
        <v>580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40">
        <v>45918.287106481483</v>
      </c>
      <c r="B536" s="41">
        <v>443992244</v>
      </c>
      <c r="C536" s="42" t="s">
        <v>36</v>
      </c>
      <c r="D536" s="42" t="s">
        <v>37</v>
      </c>
      <c r="E536" s="42" t="s">
        <v>47</v>
      </c>
      <c r="F536" s="42" t="s">
        <v>38</v>
      </c>
      <c r="G536" s="43">
        <v>3659.45</v>
      </c>
      <c r="H536" s="41">
        <v>443202845</v>
      </c>
      <c r="I536" s="44">
        <v>0</v>
      </c>
      <c r="J536" s="43">
        <v>0</v>
      </c>
      <c r="K536" s="43">
        <v>0</v>
      </c>
      <c r="L536" s="43">
        <v>1.5</v>
      </c>
      <c r="M536" s="43">
        <v>10014.75</v>
      </c>
      <c r="N536" s="45" t="s">
        <v>581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35">
        <v>45918.287824074076</v>
      </c>
      <c r="B537" s="36">
        <v>443992308</v>
      </c>
      <c r="C537" s="37" t="s">
        <v>36</v>
      </c>
      <c r="D537" s="37" t="s">
        <v>39</v>
      </c>
      <c r="E537" s="37" t="s">
        <v>46</v>
      </c>
      <c r="F537" s="37" t="s">
        <v>38</v>
      </c>
      <c r="G537" s="38">
        <v>3659.49</v>
      </c>
      <c r="H537" s="36">
        <v>443202901</v>
      </c>
      <c r="I537" s="39">
        <v>0</v>
      </c>
      <c r="J537" s="38">
        <v>0</v>
      </c>
      <c r="K537" s="38">
        <v>0</v>
      </c>
      <c r="L537" s="38">
        <v>0</v>
      </c>
      <c r="M537" s="38">
        <v>10014.75</v>
      </c>
      <c r="N537" s="46" t="s">
        <v>150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40">
        <v>45918.293275462966</v>
      </c>
      <c r="B538" s="41">
        <v>443993588</v>
      </c>
      <c r="C538" s="42" t="s">
        <v>36</v>
      </c>
      <c r="D538" s="42" t="s">
        <v>37</v>
      </c>
      <c r="E538" s="42" t="s">
        <v>47</v>
      </c>
      <c r="F538" s="42" t="s">
        <v>38</v>
      </c>
      <c r="G538" s="43">
        <v>3657.93</v>
      </c>
      <c r="H538" s="41">
        <v>443204128</v>
      </c>
      <c r="I538" s="44">
        <v>0</v>
      </c>
      <c r="J538" s="43">
        <v>0</v>
      </c>
      <c r="K538" s="43">
        <v>0</v>
      </c>
      <c r="L538" s="43">
        <v>3.1</v>
      </c>
      <c r="M538" s="43">
        <v>10017.85</v>
      </c>
      <c r="N538" s="45" t="s">
        <v>582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35">
        <v>45918.293275462966</v>
      </c>
      <c r="B539" s="36">
        <v>443993589</v>
      </c>
      <c r="C539" s="37" t="s">
        <v>36</v>
      </c>
      <c r="D539" s="37" t="s">
        <v>37</v>
      </c>
      <c r="E539" s="37" t="s">
        <v>47</v>
      </c>
      <c r="F539" s="37" t="s">
        <v>38</v>
      </c>
      <c r="G539" s="38">
        <v>3657.93</v>
      </c>
      <c r="H539" s="36">
        <v>443204129</v>
      </c>
      <c r="I539" s="39">
        <v>0</v>
      </c>
      <c r="J539" s="38">
        <v>0</v>
      </c>
      <c r="K539" s="38">
        <v>0</v>
      </c>
      <c r="L539" s="38">
        <v>3.1</v>
      </c>
      <c r="M539" s="38">
        <v>10020.950000000001</v>
      </c>
      <c r="N539" s="46" t="s">
        <v>582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40">
        <v>45918.293275462966</v>
      </c>
      <c r="B540" s="41">
        <v>443993590</v>
      </c>
      <c r="C540" s="42" t="s">
        <v>36</v>
      </c>
      <c r="D540" s="42" t="s">
        <v>37</v>
      </c>
      <c r="E540" s="42" t="s">
        <v>47</v>
      </c>
      <c r="F540" s="42" t="s">
        <v>38</v>
      </c>
      <c r="G540" s="43">
        <v>3657.93</v>
      </c>
      <c r="H540" s="41">
        <v>443204130</v>
      </c>
      <c r="I540" s="44">
        <v>0</v>
      </c>
      <c r="J540" s="43">
        <v>0</v>
      </c>
      <c r="K540" s="43">
        <v>0</v>
      </c>
      <c r="L540" s="43">
        <v>1.56</v>
      </c>
      <c r="M540" s="43">
        <v>10022.51</v>
      </c>
      <c r="N540" s="45" t="s">
        <v>583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35">
        <v>45918.293796296297</v>
      </c>
      <c r="B541" s="36">
        <v>443993737</v>
      </c>
      <c r="C541" s="37" t="s">
        <v>36</v>
      </c>
      <c r="D541" s="37" t="s">
        <v>37</v>
      </c>
      <c r="E541" s="37" t="s">
        <v>47</v>
      </c>
      <c r="F541" s="37" t="s">
        <v>38</v>
      </c>
      <c r="G541" s="38">
        <v>3657.43</v>
      </c>
      <c r="H541" s="36">
        <v>443204272</v>
      </c>
      <c r="I541" s="39">
        <v>0</v>
      </c>
      <c r="J541" s="38">
        <v>0</v>
      </c>
      <c r="K541" s="38">
        <v>0</v>
      </c>
      <c r="L541" s="38">
        <v>3.6</v>
      </c>
      <c r="M541" s="38">
        <v>10026.11</v>
      </c>
      <c r="N541" s="46" t="s">
        <v>584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40">
        <v>45918.296157407407</v>
      </c>
      <c r="B542" s="41">
        <v>443994533</v>
      </c>
      <c r="C542" s="42" t="s">
        <v>36</v>
      </c>
      <c r="D542" s="42" t="s">
        <v>39</v>
      </c>
      <c r="E542" s="42" t="s">
        <v>46</v>
      </c>
      <c r="F542" s="42" t="s">
        <v>38</v>
      </c>
      <c r="G542" s="43">
        <v>3657.87</v>
      </c>
      <c r="H542" s="41">
        <v>443205050</v>
      </c>
      <c r="I542" s="44">
        <v>0</v>
      </c>
      <c r="J542" s="43">
        <v>0</v>
      </c>
      <c r="K542" s="43">
        <v>0</v>
      </c>
      <c r="L542" s="43">
        <v>0</v>
      </c>
      <c r="M542" s="43">
        <v>10026.11</v>
      </c>
      <c r="N542" s="45" t="s">
        <v>53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35">
        <v>45918.296157407407</v>
      </c>
      <c r="B543" s="36">
        <v>443994534</v>
      </c>
      <c r="C543" s="37" t="s">
        <v>36</v>
      </c>
      <c r="D543" s="37" t="s">
        <v>39</v>
      </c>
      <c r="E543" s="37" t="s">
        <v>46</v>
      </c>
      <c r="F543" s="37" t="s">
        <v>38</v>
      </c>
      <c r="G543" s="38">
        <v>3657.83</v>
      </c>
      <c r="H543" s="36">
        <v>443205051</v>
      </c>
      <c r="I543" s="39">
        <v>0</v>
      </c>
      <c r="J543" s="38">
        <v>0</v>
      </c>
      <c r="K543" s="38">
        <v>0</v>
      </c>
      <c r="L543" s="38">
        <v>0</v>
      </c>
      <c r="M543" s="38">
        <v>10026.11</v>
      </c>
      <c r="N543" s="46" t="s">
        <v>49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40">
        <v>45918.296168981484</v>
      </c>
      <c r="B544" s="41">
        <v>443994535</v>
      </c>
      <c r="C544" s="42" t="s">
        <v>36</v>
      </c>
      <c r="D544" s="42" t="s">
        <v>39</v>
      </c>
      <c r="E544" s="42" t="s">
        <v>46</v>
      </c>
      <c r="F544" s="42" t="s">
        <v>38</v>
      </c>
      <c r="G544" s="43">
        <v>3657.81</v>
      </c>
      <c r="H544" s="41">
        <v>443205052</v>
      </c>
      <c r="I544" s="44">
        <v>0</v>
      </c>
      <c r="J544" s="43">
        <v>0</v>
      </c>
      <c r="K544" s="43">
        <v>0</v>
      </c>
      <c r="L544" s="43">
        <v>0</v>
      </c>
      <c r="M544" s="43">
        <v>10026.11</v>
      </c>
      <c r="N544" s="45" t="s">
        <v>150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35">
        <v>45918.296168981484</v>
      </c>
      <c r="B545" s="36">
        <v>443994537</v>
      </c>
      <c r="C545" s="37" t="s">
        <v>36</v>
      </c>
      <c r="D545" s="37" t="s">
        <v>39</v>
      </c>
      <c r="E545" s="37" t="s">
        <v>46</v>
      </c>
      <c r="F545" s="37" t="s">
        <v>38</v>
      </c>
      <c r="G545" s="38">
        <v>3657.81</v>
      </c>
      <c r="H545" s="36">
        <v>443205054</v>
      </c>
      <c r="I545" s="39">
        <v>0</v>
      </c>
      <c r="J545" s="38">
        <v>0</v>
      </c>
      <c r="K545" s="38">
        <v>0</v>
      </c>
      <c r="L545" s="38">
        <v>0</v>
      </c>
      <c r="M545" s="38">
        <v>10026.11</v>
      </c>
      <c r="N545" s="46" t="s">
        <v>48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40">
        <v>45918.296620370369</v>
      </c>
      <c r="B546" s="41">
        <v>443994582</v>
      </c>
      <c r="C546" s="42" t="s">
        <v>36</v>
      </c>
      <c r="D546" s="42" t="s">
        <v>39</v>
      </c>
      <c r="E546" s="42" t="s">
        <v>46</v>
      </c>
      <c r="F546" s="42" t="s">
        <v>38</v>
      </c>
      <c r="G546" s="43">
        <v>3658</v>
      </c>
      <c r="H546" s="41">
        <v>443205097</v>
      </c>
      <c r="I546" s="44">
        <v>0</v>
      </c>
      <c r="J546" s="43">
        <v>0</v>
      </c>
      <c r="K546" s="43">
        <v>0</v>
      </c>
      <c r="L546" s="43">
        <v>0</v>
      </c>
      <c r="M546" s="43">
        <v>10026.11</v>
      </c>
      <c r="N546" s="45" t="s">
        <v>268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35">
        <v>45918.296620370369</v>
      </c>
      <c r="B547" s="36">
        <v>443994583</v>
      </c>
      <c r="C547" s="37" t="s">
        <v>36</v>
      </c>
      <c r="D547" s="37" t="s">
        <v>39</v>
      </c>
      <c r="E547" s="37" t="s">
        <v>46</v>
      </c>
      <c r="F547" s="37" t="s">
        <v>38</v>
      </c>
      <c r="G547" s="38">
        <v>3657.97</v>
      </c>
      <c r="H547" s="36">
        <v>443205098</v>
      </c>
      <c r="I547" s="39">
        <v>0</v>
      </c>
      <c r="J547" s="38">
        <v>0</v>
      </c>
      <c r="K547" s="38">
        <v>0</v>
      </c>
      <c r="L547" s="38">
        <v>0</v>
      </c>
      <c r="M547" s="38">
        <v>10026.11</v>
      </c>
      <c r="N547" s="46" t="s">
        <v>395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40">
        <v>45918.298587962963</v>
      </c>
      <c r="B548" s="41">
        <v>443994918</v>
      </c>
      <c r="C548" s="42" t="s">
        <v>36</v>
      </c>
      <c r="D548" s="42" t="s">
        <v>39</v>
      </c>
      <c r="E548" s="42" t="s">
        <v>46</v>
      </c>
      <c r="F548" s="42" t="s">
        <v>38</v>
      </c>
      <c r="G548" s="43">
        <v>3658.79</v>
      </c>
      <c r="H548" s="41">
        <v>443205423</v>
      </c>
      <c r="I548" s="44">
        <v>0</v>
      </c>
      <c r="J548" s="43">
        <v>0</v>
      </c>
      <c r="K548" s="43">
        <v>0</v>
      </c>
      <c r="L548" s="43">
        <v>0</v>
      </c>
      <c r="M548" s="43">
        <v>10026.11</v>
      </c>
      <c r="N548" s="45" t="s">
        <v>125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35">
        <v>45918.29859953704</v>
      </c>
      <c r="B549" s="36">
        <v>443994919</v>
      </c>
      <c r="C549" s="37" t="s">
        <v>36</v>
      </c>
      <c r="D549" s="37" t="s">
        <v>39</v>
      </c>
      <c r="E549" s="37" t="s">
        <v>46</v>
      </c>
      <c r="F549" s="37" t="s">
        <v>38</v>
      </c>
      <c r="G549" s="38">
        <v>3658.79</v>
      </c>
      <c r="H549" s="36">
        <v>443205424</v>
      </c>
      <c r="I549" s="39">
        <v>0</v>
      </c>
      <c r="J549" s="38">
        <v>0</v>
      </c>
      <c r="K549" s="38">
        <v>0</v>
      </c>
      <c r="L549" s="38">
        <v>0</v>
      </c>
      <c r="M549" s="38">
        <v>10026.11</v>
      </c>
      <c r="N549" s="46" t="s">
        <v>124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40">
        <v>45918.298622685186</v>
      </c>
      <c r="B550" s="41">
        <v>443994922</v>
      </c>
      <c r="C550" s="42" t="s">
        <v>36</v>
      </c>
      <c r="D550" s="42" t="s">
        <v>39</v>
      </c>
      <c r="E550" s="42" t="s">
        <v>46</v>
      </c>
      <c r="F550" s="42" t="s">
        <v>38</v>
      </c>
      <c r="G550" s="43">
        <v>3658.74</v>
      </c>
      <c r="H550" s="41">
        <v>443205427</v>
      </c>
      <c r="I550" s="44">
        <v>0</v>
      </c>
      <c r="J550" s="43">
        <v>0</v>
      </c>
      <c r="K550" s="43">
        <v>0</v>
      </c>
      <c r="L550" s="43">
        <v>0</v>
      </c>
      <c r="M550" s="43">
        <v>10026.11</v>
      </c>
      <c r="N550" s="45" t="s">
        <v>123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35">
        <v>45918.315613425926</v>
      </c>
      <c r="B551" s="36">
        <v>443997513</v>
      </c>
      <c r="C551" s="37" t="s">
        <v>36</v>
      </c>
      <c r="D551" s="37" t="s">
        <v>37</v>
      </c>
      <c r="E551" s="37" t="s">
        <v>47</v>
      </c>
      <c r="F551" s="37" t="s">
        <v>38</v>
      </c>
      <c r="G551" s="38">
        <v>3656.3</v>
      </c>
      <c r="H551" s="36">
        <v>443207898</v>
      </c>
      <c r="I551" s="39">
        <v>0</v>
      </c>
      <c r="J551" s="38">
        <v>0</v>
      </c>
      <c r="K551" s="38">
        <v>0</v>
      </c>
      <c r="L551" s="38">
        <v>1.51</v>
      </c>
      <c r="M551" s="38">
        <v>10027.620000000001</v>
      </c>
      <c r="N551" s="46" t="s">
        <v>585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40">
        <v>45918.318611111114</v>
      </c>
      <c r="B552" s="41">
        <v>443998251</v>
      </c>
      <c r="C552" s="42" t="s">
        <v>36</v>
      </c>
      <c r="D552" s="42" t="s">
        <v>39</v>
      </c>
      <c r="E552" s="42" t="s">
        <v>46</v>
      </c>
      <c r="F552" s="42" t="s">
        <v>38</v>
      </c>
      <c r="G552" s="43">
        <v>3656.29</v>
      </c>
      <c r="H552" s="41">
        <v>443208612</v>
      </c>
      <c r="I552" s="44">
        <v>0</v>
      </c>
      <c r="J552" s="43">
        <v>0</v>
      </c>
      <c r="K552" s="43">
        <v>0</v>
      </c>
      <c r="L552" s="43">
        <v>0</v>
      </c>
      <c r="M552" s="43">
        <v>10027.620000000001</v>
      </c>
      <c r="N552" s="45" t="s">
        <v>150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35">
        <v>45918.319976851853</v>
      </c>
      <c r="B553" s="36">
        <v>443998813</v>
      </c>
      <c r="C553" s="37" t="s">
        <v>36</v>
      </c>
      <c r="D553" s="37" t="s">
        <v>37</v>
      </c>
      <c r="E553" s="37" t="s">
        <v>47</v>
      </c>
      <c r="F553" s="37" t="s">
        <v>38</v>
      </c>
      <c r="G553" s="38">
        <v>3656.61</v>
      </c>
      <c r="H553" s="36">
        <v>443209172</v>
      </c>
      <c r="I553" s="39">
        <v>0</v>
      </c>
      <c r="J553" s="38">
        <v>0</v>
      </c>
      <c r="K553" s="38">
        <v>0</v>
      </c>
      <c r="L553" s="38">
        <v>1.26</v>
      </c>
      <c r="M553" s="38">
        <v>10028.879999999999</v>
      </c>
      <c r="N553" s="46" t="s">
        <v>586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40">
        <v>45918.319976851853</v>
      </c>
      <c r="B554" s="41">
        <v>443998814</v>
      </c>
      <c r="C554" s="42" t="s">
        <v>36</v>
      </c>
      <c r="D554" s="42" t="s">
        <v>37</v>
      </c>
      <c r="E554" s="42" t="s">
        <v>47</v>
      </c>
      <c r="F554" s="42" t="s">
        <v>38</v>
      </c>
      <c r="G554" s="43">
        <v>3656.61</v>
      </c>
      <c r="H554" s="41">
        <v>443209173</v>
      </c>
      <c r="I554" s="44">
        <v>0</v>
      </c>
      <c r="J554" s="43">
        <v>0</v>
      </c>
      <c r="K554" s="43">
        <v>0</v>
      </c>
      <c r="L554" s="43">
        <v>1.22</v>
      </c>
      <c r="M554" s="43">
        <v>10030.1</v>
      </c>
      <c r="N554" s="45" t="s">
        <v>586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35">
        <v>45918.319976851853</v>
      </c>
      <c r="B555" s="36">
        <v>443998815</v>
      </c>
      <c r="C555" s="37" t="s">
        <v>36</v>
      </c>
      <c r="D555" s="37" t="s">
        <v>37</v>
      </c>
      <c r="E555" s="37" t="s">
        <v>47</v>
      </c>
      <c r="F555" s="37" t="s">
        <v>38</v>
      </c>
      <c r="G555" s="38">
        <v>3656.61</v>
      </c>
      <c r="H555" s="36">
        <v>443209174</v>
      </c>
      <c r="I555" s="39">
        <v>0</v>
      </c>
      <c r="J555" s="38">
        <v>0</v>
      </c>
      <c r="K555" s="38">
        <v>0</v>
      </c>
      <c r="L555" s="38">
        <v>1.2</v>
      </c>
      <c r="M555" s="38">
        <v>10031.299999999999</v>
      </c>
      <c r="N555" s="46" t="s">
        <v>586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40">
        <v>45918.32</v>
      </c>
      <c r="B556" s="41">
        <v>443998819</v>
      </c>
      <c r="C556" s="42" t="s">
        <v>36</v>
      </c>
      <c r="D556" s="42" t="s">
        <v>39</v>
      </c>
      <c r="E556" s="42" t="s">
        <v>46</v>
      </c>
      <c r="F556" s="42" t="s">
        <v>38</v>
      </c>
      <c r="G556" s="43">
        <v>3656.23</v>
      </c>
      <c r="H556" s="41">
        <v>443209177</v>
      </c>
      <c r="I556" s="44">
        <v>0</v>
      </c>
      <c r="J556" s="43">
        <v>0</v>
      </c>
      <c r="K556" s="43">
        <v>0</v>
      </c>
      <c r="L556" s="43">
        <v>0</v>
      </c>
      <c r="M556" s="43">
        <v>10031.299999999999</v>
      </c>
      <c r="N556" s="45" t="s">
        <v>53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35">
        <v>45918.32</v>
      </c>
      <c r="B557" s="36">
        <v>443998820</v>
      </c>
      <c r="C557" s="37" t="s">
        <v>36</v>
      </c>
      <c r="D557" s="37" t="s">
        <v>39</v>
      </c>
      <c r="E557" s="37" t="s">
        <v>46</v>
      </c>
      <c r="F557" s="37" t="s">
        <v>38</v>
      </c>
      <c r="G557" s="38">
        <v>3656.23</v>
      </c>
      <c r="H557" s="36">
        <v>443209178</v>
      </c>
      <c r="I557" s="39">
        <v>0</v>
      </c>
      <c r="J557" s="38">
        <v>0</v>
      </c>
      <c r="K557" s="38">
        <v>0</v>
      </c>
      <c r="L557" s="38">
        <v>0</v>
      </c>
      <c r="M557" s="38">
        <v>10031.299999999999</v>
      </c>
      <c r="N557" s="46" t="s">
        <v>49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40">
        <v>45918.320011574076</v>
      </c>
      <c r="B558" s="41">
        <v>443998821</v>
      </c>
      <c r="C558" s="42" t="s">
        <v>36</v>
      </c>
      <c r="D558" s="42" t="s">
        <v>39</v>
      </c>
      <c r="E558" s="42" t="s">
        <v>46</v>
      </c>
      <c r="F558" s="42" t="s">
        <v>38</v>
      </c>
      <c r="G558" s="43">
        <v>3656.23</v>
      </c>
      <c r="H558" s="41">
        <v>443209179</v>
      </c>
      <c r="I558" s="44">
        <v>0</v>
      </c>
      <c r="J558" s="43">
        <v>0</v>
      </c>
      <c r="K558" s="43">
        <v>0</v>
      </c>
      <c r="L558" s="43">
        <v>0</v>
      </c>
      <c r="M558" s="43">
        <v>10031.299999999999</v>
      </c>
      <c r="N558" s="45" t="s">
        <v>48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35">
        <v>45918.320798611108</v>
      </c>
      <c r="B559" s="36">
        <v>443999025</v>
      </c>
      <c r="C559" s="37" t="s">
        <v>36</v>
      </c>
      <c r="D559" s="37" t="s">
        <v>37</v>
      </c>
      <c r="E559" s="37" t="s">
        <v>47</v>
      </c>
      <c r="F559" s="37" t="s">
        <v>38</v>
      </c>
      <c r="G559" s="38">
        <v>3657.55</v>
      </c>
      <c r="H559" s="36">
        <v>443209379</v>
      </c>
      <c r="I559" s="39">
        <v>0</v>
      </c>
      <c r="J559" s="38">
        <v>0</v>
      </c>
      <c r="K559" s="38">
        <v>0</v>
      </c>
      <c r="L559" s="38">
        <v>1.24</v>
      </c>
      <c r="M559" s="38">
        <v>10032.540000000001</v>
      </c>
      <c r="N559" s="46" t="s">
        <v>587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40">
        <v>45918.320798611108</v>
      </c>
      <c r="B560" s="41">
        <v>443999026</v>
      </c>
      <c r="C560" s="42" t="s">
        <v>36</v>
      </c>
      <c r="D560" s="42" t="s">
        <v>37</v>
      </c>
      <c r="E560" s="42" t="s">
        <v>47</v>
      </c>
      <c r="F560" s="42" t="s">
        <v>38</v>
      </c>
      <c r="G560" s="43">
        <v>3657.55</v>
      </c>
      <c r="H560" s="41">
        <v>443209380</v>
      </c>
      <c r="I560" s="44">
        <v>0</v>
      </c>
      <c r="J560" s="43">
        <v>0</v>
      </c>
      <c r="K560" s="43">
        <v>0</v>
      </c>
      <c r="L560" s="43">
        <v>1.24</v>
      </c>
      <c r="M560" s="43">
        <v>10033.780000000001</v>
      </c>
      <c r="N560" s="45" t="s">
        <v>587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35">
        <v>45918.320821759262</v>
      </c>
      <c r="B561" s="36">
        <v>443999034</v>
      </c>
      <c r="C561" s="37" t="s">
        <v>36</v>
      </c>
      <c r="D561" s="37" t="s">
        <v>39</v>
      </c>
      <c r="E561" s="37" t="s">
        <v>46</v>
      </c>
      <c r="F561" s="37" t="s">
        <v>38</v>
      </c>
      <c r="G561" s="38">
        <v>3657.33</v>
      </c>
      <c r="H561" s="36">
        <v>443209388</v>
      </c>
      <c r="I561" s="39">
        <v>0</v>
      </c>
      <c r="J561" s="38">
        <v>0</v>
      </c>
      <c r="K561" s="38">
        <v>0</v>
      </c>
      <c r="L561" s="38">
        <v>0</v>
      </c>
      <c r="M561" s="38">
        <v>10033.780000000001</v>
      </c>
      <c r="N561" s="46" t="s">
        <v>125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40">
        <v>45918.320821759262</v>
      </c>
      <c r="B562" s="41">
        <v>443999036</v>
      </c>
      <c r="C562" s="42" t="s">
        <v>36</v>
      </c>
      <c r="D562" s="42" t="s">
        <v>39</v>
      </c>
      <c r="E562" s="42" t="s">
        <v>46</v>
      </c>
      <c r="F562" s="42" t="s">
        <v>38</v>
      </c>
      <c r="G562" s="43">
        <v>3657.27</v>
      </c>
      <c r="H562" s="41">
        <v>443209390</v>
      </c>
      <c r="I562" s="44">
        <v>0</v>
      </c>
      <c r="J562" s="43">
        <v>0</v>
      </c>
      <c r="K562" s="43">
        <v>0</v>
      </c>
      <c r="L562" s="43">
        <v>0</v>
      </c>
      <c r="M562" s="43">
        <v>10033.780000000001</v>
      </c>
      <c r="N562" s="45" t="s">
        <v>124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35">
        <v>45918.326666666668</v>
      </c>
      <c r="B563" s="36">
        <v>444000594</v>
      </c>
      <c r="C563" s="37" t="s">
        <v>36</v>
      </c>
      <c r="D563" s="37" t="s">
        <v>37</v>
      </c>
      <c r="E563" s="37" t="s">
        <v>47</v>
      </c>
      <c r="F563" s="37" t="s">
        <v>38</v>
      </c>
      <c r="G563" s="38">
        <v>3657.01</v>
      </c>
      <c r="H563" s="36">
        <v>443210912</v>
      </c>
      <c r="I563" s="39">
        <v>0</v>
      </c>
      <c r="J563" s="38">
        <v>0</v>
      </c>
      <c r="K563" s="38">
        <v>0</v>
      </c>
      <c r="L563" s="38">
        <v>1.73</v>
      </c>
      <c r="M563" s="38">
        <v>10035.51</v>
      </c>
      <c r="N563" s="46" t="s">
        <v>588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40">
        <v>45918.327060185184</v>
      </c>
      <c r="B564" s="41">
        <v>444000641</v>
      </c>
      <c r="C564" s="42" t="s">
        <v>36</v>
      </c>
      <c r="D564" s="42" t="s">
        <v>39</v>
      </c>
      <c r="E564" s="42" t="s">
        <v>46</v>
      </c>
      <c r="F564" s="42" t="s">
        <v>38</v>
      </c>
      <c r="G564" s="43">
        <v>3656.79</v>
      </c>
      <c r="H564" s="41">
        <v>443210955</v>
      </c>
      <c r="I564" s="44">
        <v>0</v>
      </c>
      <c r="J564" s="43">
        <v>0</v>
      </c>
      <c r="K564" s="43">
        <v>0</v>
      </c>
      <c r="L564" s="43">
        <v>0</v>
      </c>
      <c r="M564" s="43">
        <v>10035.51</v>
      </c>
      <c r="N564" s="45" t="s">
        <v>123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35">
        <v>45918.33153935185</v>
      </c>
      <c r="B565" s="36">
        <v>444002046</v>
      </c>
      <c r="C565" s="37" t="s">
        <v>36</v>
      </c>
      <c r="D565" s="37" t="s">
        <v>37</v>
      </c>
      <c r="E565" s="37" t="s">
        <v>47</v>
      </c>
      <c r="F565" s="37" t="s">
        <v>38</v>
      </c>
      <c r="G565" s="38">
        <v>3654.73</v>
      </c>
      <c r="H565" s="36">
        <v>443212316</v>
      </c>
      <c r="I565" s="39">
        <v>0</v>
      </c>
      <c r="J565" s="38">
        <v>0</v>
      </c>
      <c r="K565" s="38">
        <v>0</v>
      </c>
      <c r="L565" s="38">
        <v>1.56</v>
      </c>
      <c r="M565" s="38">
        <v>10037.07</v>
      </c>
      <c r="N565" s="46" t="s">
        <v>589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40">
        <v>45918.331608796296</v>
      </c>
      <c r="B566" s="41">
        <v>444002118</v>
      </c>
      <c r="C566" s="42" t="s">
        <v>36</v>
      </c>
      <c r="D566" s="42" t="s">
        <v>37</v>
      </c>
      <c r="E566" s="42" t="s">
        <v>47</v>
      </c>
      <c r="F566" s="42" t="s">
        <v>38</v>
      </c>
      <c r="G566" s="43">
        <v>3654.49</v>
      </c>
      <c r="H566" s="41">
        <v>443212380</v>
      </c>
      <c r="I566" s="44">
        <v>0</v>
      </c>
      <c r="J566" s="43">
        <v>0</v>
      </c>
      <c r="K566" s="43">
        <v>0</v>
      </c>
      <c r="L566" s="43">
        <v>3.51</v>
      </c>
      <c r="M566" s="43">
        <v>10040.58</v>
      </c>
      <c r="N566" s="45" t="s">
        <v>590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35">
        <v>45918.331608796296</v>
      </c>
      <c r="B567" s="36">
        <v>444002119</v>
      </c>
      <c r="C567" s="37" t="s">
        <v>36</v>
      </c>
      <c r="D567" s="37" t="s">
        <v>37</v>
      </c>
      <c r="E567" s="37" t="s">
        <v>47</v>
      </c>
      <c r="F567" s="37" t="s">
        <v>38</v>
      </c>
      <c r="G567" s="38">
        <v>3654.49</v>
      </c>
      <c r="H567" s="36">
        <v>443212381</v>
      </c>
      <c r="I567" s="39">
        <v>0</v>
      </c>
      <c r="J567" s="38">
        <v>0</v>
      </c>
      <c r="K567" s="38">
        <v>0</v>
      </c>
      <c r="L567" s="38">
        <v>3.48</v>
      </c>
      <c r="M567" s="38">
        <v>10044.06</v>
      </c>
      <c r="N567" s="46" t="s">
        <v>590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40">
        <v>45918.334675925929</v>
      </c>
      <c r="B568" s="41">
        <v>444003059</v>
      </c>
      <c r="C568" s="42" t="s">
        <v>36</v>
      </c>
      <c r="D568" s="42" t="s">
        <v>37</v>
      </c>
      <c r="E568" s="42" t="s">
        <v>47</v>
      </c>
      <c r="F568" s="42" t="s">
        <v>38</v>
      </c>
      <c r="G568" s="43">
        <v>3653.17</v>
      </c>
      <c r="H568" s="41">
        <v>443213322</v>
      </c>
      <c r="I568" s="44">
        <v>0</v>
      </c>
      <c r="J568" s="43">
        <v>0</v>
      </c>
      <c r="K568" s="43">
        <v>0</v>
      </c>
      <c r="L568" s="43">
        <v>3.06</v>
      </c>
      <c r="M568" s="43">
        <v>10047.120000000001</v>
      </c>
      <c r="N568" s="45" t="s">
        <v>591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35">
        <v>45918.334675925929</v>
      </c>
      <c r="B569" s="36">
        <v>444003060</v>
      </c>
      <c r="C569" s="37" t="s">
        <v>36</v>
      </c>
      <c r="D569" s="37" t="s">
        <v>37</v>
      </c>
      <c r="E569" s="37" t="s">
        <v>47</v>
      </c>
      <c r="F569" s="37" t="s">
        <v>38</v>
      </c>
      <c r="G569" s="38">
        <v>3653.17</v>
      </c>
      <c r="H569" s="36">
        <v>443213323</v>
      </c>
      <c r="I569" s="39">
        <v>0</v>
      </c>
      <c r="J569" s="38">
        <v>0</v>
      </c>
      <c r="K569" s="38">
        <v>0</v>
      </c>
      <c r="L569" s="38">
        <v>3.06</v>
      </c>
      <c r="M569" s="38">
        <v>10050.18</v>
      </c>
      <c r="N569" s="46" t="s">
        <v>591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40">
        <v>45918.335509259261</v>
      </c>
      <c r="B570" s="41">
        <v>444003218</v>
      </c>
      <c r="C570" s="42" t="s">
        <v>36</v>
      </c>
      <c r="D570" s="42" t="s">
        <v>39</v>
      </c>
      <c r="E570" s="42" t="s">
        <v>46</v>
      </c>
      <c r="F570" s="42" t="s">
        <v>38</v>
      </c>
      <c r="G570" s="43">
        <v>3653.88</v>
      </c>
      <c r="H570" s="41">
        <v>443213475</v>
      </c>
      <c r="I570" s="44">
        <v>0</v>
      </c>
      <c r="J570" s="43">
        <v>0</v>
      </c>
      <c r="K570" s="43">
        <v>0</v>
      </c>
      <c r="L570" s="43">
        <v>0</v>
      </c>
      <c r="M570" s="43">
        <v>10050.18</v>
      </c>
      <c r="N570" s="45" t="s">
        <v>150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35">
        <v>45918.335509259261</v>
      </c>
      <c r="B571" s="36">
        <v>444003220</v>
      </c>
      <c r="C571" s="37" t="s">
        <v>36</v>
      </c>
      <c r="D571" s="37" t="s">
        <v>39</v>
      </c>
      <c r="E571" s="37" t="s">
        <v>46</v>
      </c>
      <c r="F571" s="37" t="s">
        <v>38</v>
      </c>
      <c r="G571" s="38">
        <v>3653.88</v>
      </c>
      <c r="H571" s="36">
        <v>443213477</v>
      </c>
      <c r="I571" s="39">
        <v>0</v>
      </c>
      <c r="J571" s="38">
        <v>0</v>
      </c>
      <c r="K571" s="38">
        <v>0</v>
      </c>
      <c r="L571" s="38">
        <v>0</v>
      </c>
      <c r="M571" s="38">
        <v>10050.18</v>
      </c>
      <c r="N571" s="46" t="s">
        <v>48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40">
        <v>45918.335509259261</v>
      </c>
      <c r="B572" s="41">
        <v>444003221</v>
      </c>
      <c r="C572" s="42" t="s">
        <v>36</v>
      </c>
      <c r="D572" s="42" t="s">
        <v>39</v>
      </c>
      <c r="E572" s="42" t="s">
        <v>46</v>
      </c>
      <c r="F572" s="42" t="s">
        <v>38</v>
      </c>
      <c r="G572" s="43">
        <v>3653.88</v>
      </c>
      <c r="H572" s="41">
        <v>443213478</v>
      </c>
      <c r="I572" s="44">
        <v>0</v>
      </c>
      <c r="J572" s="43">
        <v>0</v>
      </c>
      <c r="K572" s="43">
        <v>0</v>
      </c>
      <c r="L572" s="43">
        <v>0</v>
      </c>
      <c r="M572" s="43">
        <v>10050.18</v>
      </c>
      <c r="N572" s="45" t="s">
        <v>49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35">
        <v>45918.335555555554</v>
      </c>
      <c r="B573" s="36">
        <v>444003254</v>
      </c>
      <c r="C573" s="37" t="s">
        <v>36</v>
      </c>
      <c r="D573" s="37" t="s">
        <v>37</v>
      </c>
      <c r="E573" s="37" t="s">
        <v>47</v>
      </c>
      <c r="F573" s="37" t="s">
        <v>38</v>
      </c>
      <c r="G573" s="38">
        <v>3654.2</v>
      </c>
      <c r="H573" s="36">
        <v>443213511</v>
      </c>
      <c r="I573" s="39">
        <v>0</v>
      </c>
      <c r="J573" s="38">
        <v>0</v>
      </c>
      <c r="K573" s="38">
        <v>0</v>
      </c>
      <c r="L573" s="38">
        <v>2.0299999999999998</v>
      </c>
      <c r="M573" s="38">
        <v>10052.209999999999</v>
      </c>
      <c r="N573" s="46" t="s">
        <v>592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40">
        <v>45918.335625</v>
      </c>
      <c r="B574" s="41">
        <v>444003472</v>
      </c>
      <c r="C574" s="42" t="s">
        <v>36</v>
      </c>
      <c r="D574" s="42" t="s">
        <v>39</v>
      </c>
      <c r="E574" s="42" t="s">
        <v>46</v>
      </c>
      <c r="F574" s="42" t="s">
        <v>38</v>
      </c>
      <c r="G574" s="43">
        <v>3653.88</v>
      </c>
      <c r="H574" s="41">
        <v>443213728</v>
      </c>
      <c r="I574" s="44">
        <v>0</v>
      </c>
      <c r="J574" s="43">
        <v>0</v>
      </c>
      <c r="K574" s="43">
        <v>0</v>
      </c>
      <c r="L574" s="43">
        <v>0</v>
      </c>
      <c r="M574" s="43">
        <v>10052.209999999999</v>
      </c>
      <c r="N574" s="45" t="s">
        <v>53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35">
        <v>45918.336782407408</v>
      </c>
      <c r="B575" s="36">
        <v>444003578</v>
      </c>
      <c r="C575" s="37" t="s">
        <v>36</v>
      </c>
      <c r="D575" s="37" t="s">
        <v>39</v>
      </c>
      <c r="E575" s="37" t="s">
        <v>46</v>
      </c>
      <c r="F575" s="37" t="s">
        <v>38</v>
      </c>
      <c r="G575" s="38">
        <v>3653.99</v>
      </c>
      <c r="H575" s="36">
        <v>443213829</v>
      </c>
      <c r="I575" s="39">
        <v>0</v>
      </c>
      <c r="J575" s="38">
        <v>0</v>
      </c>
      <c r="K575" s="38">
        <v>0</v>
      </c>
      <c r="L575" s="38">
        <v>0</v>
      </c>
      <c r="M575" s="38">
        <v>10052.209999999999</v>
      </c>
      <c r="N575" s="46" t="s">
        <v>395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40">
        <v>45918.336782407408</v>
      </c>
      <c r="B576" s="41">
        <v>444003579</v>
      </c>
      <c r="C576" s="42" t="s">
        <v>36</v>
      </c>
      <c r="D576" s="42" t="s">
        <v>39</v>
      </c>
      <c r="E576" s="42" t="s">
        <v>46</v>
      </c>
      <c r="F576" s="42" t="s">
        <v>38</v>
      </c>
      <c r="G576" s="43">
        <v>3654</v>
      </c>
      <c r="H576" s="41">
        <v>443213830</v>
      </c>
      <c r="I576" s="44">
        <v>0</v>
      </c>
      <c r="J576" s="43">
        <v>0</v>
      </c>
      <c r="K576" s="43">
        <v>0</v>
      </c>
      <c r="L576" s="43">
        <v>0</v>
      </c>
      <c r="M576" s="43">
        <v>10052.209999999999</v>
      </c>
      <c r="N576" s="45" t="s">
        <v>268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35">
        <v>45918.337013888886</v>
      </c>
      <c r="B577" s="36">
        <v>444003688</v>
      </c>
      <c r="C577" s="37" t="s">
        <v>36</v>
      </c>
      <c r="D577" s="37" t="s">
        <v>37</v>
      </c>
      <c r="E577" s="37" t="s">
        <v>47</v>
      </c>
      <c r="F577" s="37" t="s">
        <v>38</v>
      </c>
      <c r="G577" s="38">
        <v>3654.57</v>
      </c>
      <c r="H577" s="36">
        <v>443213938</v>
      </c>
      <c r="I577" s="39">
        <v>0</v>
      </c>
      <c r="J577" s="38">
        <v>0</v>
      </c>
      <c r="K577" s="38">
        <v>0</v>
      </c>
      <c r="L577" s="38">
        <v>2.76</v>
      </c>
      <c r="M577" s="38">
        <v>10054.969999999999</v>
      </c>
      <c r="N577" s="46" t="s">
        <v>593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40">
        <v>45918.337013888886</v>
      </c>
      <c r="B578" s="41">
        <v>444003689</v>
      </c>
      <c r="C578" s="42" t="s">
        <v>36</v>
      </c>
      <c r="D578" s="42" t="s">
        <v>37</v>
      </c>
      <c r="E578" s="42" t="s">
        <v>47</v>
      </c>
      <c r="F578" s="42" t="s">
        <v>38</v>
      </c>
      <c r="G578" s="43">
        <v>3654.65</v>
      </c>
      <c r="H578" s="41">
        <v>443213939</v>
      </c>
      <c r="I578" s="44">
        <v>0</v>
      </c>
      <c r="J578" s="43">
        <v>0</v>
      </c>
      <c r="K578" s="43">
        <v>0</v>
      </c>
      <c r="L578" s="43">
        <v>2.62</v>
      </c>
      <c r="M578" s="43">
        <v>10057.59</v>
      </c>
      <c r="N578" s="45" t="s">
        <v>594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35">
        <v>45918.337013888886</v>
      </c>
      <c r="B579" s="36">
        <v>444003691</v>
      </c>
      <c r="C579" s="37" t="s">
        <v>36</v>
      </c>
      <c r="D579" s="37" t="s">
        <v>37</v>
      </c>
      <c r="E579" s="37" t="s">
        <v>47</v>
      </c>
      <c r="F579" s="37" t="s">
        <v>38</v>
      </c>
      <c r="G579" s="38">
        <v>3654.75</v>
      </c>
      <c r="H579" s="36">
        <v>443213941</v>
      </c>
      <c r="I579" s="39">
        <v>0</v>
      </c>
      <c r="J579" s="38">
        <v>0</v>
      </c>
      <c r="K579" s="38">
        <v>0</v>
      </c>
      <c r="L579" s="38">
        <v>2.04</v>
      </c>
      <c r="M579" s="38">
        <v>10059.629999999999</v>
      </c>
      <c r="N579" s="46" t="s">
        <v>431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40">
        <v>45918.341666666667</v>
      </c>
      <c r="B580" s="41">
        <v>444004921</v>
      </c>
      <c r="C580" s="42" t="s">
        <v>36</v>
      </c>
      <c r="D580" s="42" t="s">
        <v>37</v>
      </c>
      <c r="E580" s="42" t="s">
        <v>47</v>
      </c>
      <c r="F580" s="42" t="s">
        <v>38</v>
      </c>
      <c r="G580" s="43">
        <v>3652.23</v>
      </c>
      <c r="H580" s="41">
        <v>443215221</v>
      </c>
      <c r="I580" s="44">
        <v>0</v>
      </c>
      <c r="J580" s="43">
        <v>0</v>
      </c>
      <c r="K580" s="43">
        <v>0</v>
      </c>
      <c r="L580" s="43">
        <v>1.65</v>
      </c>
      <c r="M580" s="43">
        <v>10061.280000000001</v>
      </c>
      <c r="N580" s="45" t="s">
        <v>595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35">
        <v>45918.342650462961</v>
      </c>
      <c r="B581" s="36">
        <v>444005305</v>
      </c>
      <c r="C581" s="37" t="s">
        <v>36</v>
      </c>
      <c r="D581" s="37" t="s">
        <v>37</v>
      </c>
      <c r="E581" s="37" t="s">
        <v>47</v>
      </c>
      <c r="F581" s="37" t="s">
        <v>38</v>
      </c>
      <c r="G581" s="38">
        <v>3653.02</v>
      </c>
      <c r="H581" s="36">
        <v>443215662</v>
      </c>
      <c r="I581" s="39">
        <v>0</v>
      </c>
      <c r="J581" s="38">
        <v>0</v>
      </c>
      <c r="K581" s="38">
        <v>0</v>
      </c>
      <c r="L581" s="38">
        <v>0.86</v>
      </c>
      <c r="M581" s="38">
        <v>10062.14</v>
      </c>
      <c r="N581" s="46" t="s">
        <v>596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40">
        <v>45918.342650462961</v>
      </c>
      <c r="B582" s="41">
        <v>444005306</v>
      </c>
      <c r="C582" s="42" t="s">
        <v>36</v>
      </c>
      <c r="D582" s="42" t="s">
        <v>37</v>
      </c>
      <c r="E582" s="42" t="s">
        <v>47</v>
      </c>
      <c r="F582" s="42" t="s">
        <v>38</v>
      </c>
      <c r="G582" s="43">
        <v>3653.02</v>
      </c>
      <c r="H582" s="41">
        <v>443215663</v>
      </c>
      <c r="I582" s="44">
        <v>0</v>
      </c>
      <c r="J582" s="43">
        <v>0</v>
      </c>
      <c r="K582" s="43">
        <v>0</v>
      </c>
      <c r="L582" s="43">
        <v>0.86</v>
      </c>
      <c r="M582" s="43">
        <v>10063</v>
      </c>
      <c r="N582" s="45" t="s">
        <v>260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35">
        <v>45918.342650462961</v>
      </c>
      <c r="B583" s="36">
        <v>444005307</v>
      </c>
      <c r="C583" s="37" t="s">
        <v>36</v>
      </c>
      <c r="D583" s="37" t="s">
        <v>37</v>
      </c>
      <c r="E583" s="37" t="s">
        <v>47</v>
      </c>
      <c r="F583" s="37" t="s">
        <v>38</v>
      </c>
      <c r="G583" s="38">
        <v>3653.02</v>
      </c>
      <c r="H583" s="36">
        <v>443215664</v>
      </c>
      <c r="I583" s="39">
        <v>0</v>
      </c>
      <c r="J583" s="38">
        <v>0</v>
      </c>
      <c r="K583" s="38">
        <v>0</v>
      </c>
      <c r="L583" s="38">
        <v>0.86</v>
      </c>
      <c r="M583" s="38">
        <v>10063.86</v>
      </c>
      <c r="N583" s="46" t="s">
        <v>596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40">
        <v>45918.342685185184</v>
      </c>
      <c r="B584" s="41">
        <v>444005320</v>
      </c>
      <c r="C584" s="42" t="s">
        <v>36</v>
      </c>
      <c r="D584" s="42" t="s">
        <v>39</v>
      </c>
      <c r="E584" s="42" t="s">
        <v>46</v>
      </c>
      <c r="F584" s="42" t="s">
        <v>38</v>
      </c>
      <c r="G584" s="43">
        <v>3652.63</v>
      </c>
      <c r="H584" s="41">
        <v>443215676</v>
      </c>
      <c r="I584" s="44">
        <v>0</v>
      </c>
      <c r="J584" s="43">
        <v>0</v>
      </c>
      <c r="K584" s="43">
        <v>0</v>
      </c>
      <c r="L584" s="43">
        <v>0</v>
      </c>
      <c r="M584" s="43">
        <v>10063.86</v>
      </c>
      <c r="N584" s="45" t="s">
        <v>49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35">
        <v>45918.342685185184</v>
      </c>
      <c r="B585" s="36">
        <v>444005322</v>
      </c>
      <c r="C585" s="37" t="s">
        <v>36</v>
      </c>
      <c r="D585" s="37" t="s">
        <v>39</v>
      </c>
      <c r="E585" s="37" t="s">
        <v>46</v>
      </c>
      <c r="F585" s="37" t="s">
        <v>38</v>
      </c>
      <c r="G585" s="38">
        <v>3652.6</v>
      </c>
      <c r="H585" s="36">
        <v>443215678</v>
      </c>
      <c r="I585" s="39">
        <v>0</v>
      </c>
      <c r="J585" s="38">
        <v>0</v>
      </c>
      <c r="K585" s="38">
        <v>0</v>
      </c>
      <c r="L585" s="38">
        <v>0</v>
      </c>
      <c r="M585" s="38">
        <v>10063.86</v>
      </c>
      <c r="N585" s="46" t="s">
        <v>53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40">
        <v>45918.342685185184</v>
      </c>
      <c r="B586" s="41">
        <v>444005323</v>
      </c>
      <c r="C586" s="42" t="s">
        <v>36</v>
      </c>
      <c r="D586" s="42" t="s">
        <v>39</v>
      </c>
      <c r="E586" s="42" t="s">
        <v>46</v>
      </c>
      <c r="F586" s="42" t="s">
        <v>38</v>
      </c>
      <c r="G586" s="43">
        <v>3652.6</v>
      </c>
      <c r="H586" s="41">
        <v>443215679</v>
      </c>
      <c r="I586" s="44">
        <v>0</v>
      </c>
      <c r="J586" s="43">
        <v>0</v>
      </c>
      <c r="K586" s="43">
        <v>0</v>
      </c>
      <c r="L586" s="43">
        <v>0</v>
      </c>
      <c r="M586" s="43">
        <v>10063.86</v>
      </c>
      <c r="N586" s="45" t="s">
        <v>150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35">
        <v>45918.34269675926</v>
      </c>
      <c r="B587" s="36">
        <v>444005324</v>
      </c>
      <c r="C587" s="37" t="s">
        <v>36</v>
      </c>
      <c r="D587" s="37" t="s">
        <v>39</v>
      </c>
      <c r="E587" s="37" t="s">
        <v>46</v>
      </c>
      <c r="F587" s="37" t="s">
        <v>38</v>
      </c>
      <c r="G587" s="38">
        <v>3652.56</v>
      </c>
      <c r="H587" s="36">
        <v>443215680</v>
      </c>
      <c r="I587" s="39">
        <v>0</v>
      </c>
      <c r="J587" s="38">
        <v>0</v>
      </c>
      <c r="K587" s="38">
        <v>0</v>
      </c>
      <c r="L587" s="38">
        <v>0</v>
      </c>
      <c r="M587" s="38">
        <v>10063.86</v>
      </c>
      <c r="N587" s="46" t="s">
        <v>48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40">
        <v>45918.342916666668</v>
      </c>
      <c r="B588" s="41">
        <v>444005430</v>
      </c>
      <c r="C588" s="42" t="s">
        <v>36</v>
      </c>
      <c r="D588" s="42" t="s">
        <v>37</v>
      </c>
      <c r="E588" s="42" t="s">
        <v>47</v>
      </c>
      <c r="F588" s="42" t="s">
        <v>38</v>
      </c>
      <c r="G588" s="43">
        <v>3655.33</v>
      </c>
      <c r="H588" s="41">
        <v>443215791</v>
      </c>
      <c r="I588" s="44">
        <v>0</v>
      </c>
      <c r="J588" s="43">
        <v>0</v>
      </c>
      <c r="K588" s="43">
        <v>0</v>
      </c>
      <c r="L588" s="43">
        <v>-2.7</v>
      </c>
      <c r="M588" s="43">
        <v>10061.16</v>
      </c>
      <c r="N588" s="45" t="s">
        <v>597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35">
        <v>45918.342928240738</v>
      </c>
      <c r="B589" s="36">
        <v>444005502</v>
      </c>
      <c r="C589" s="37" t="s">
        <v>36</v>
      </c>
      <c r="D589" s="37" t="s">
        <v>37</v>
      </c>
      <c r="E589" s="37" t="s">
        <v>47</v>
      </c>
      <c r="F589" s="37" t="s">
        <v>38</v>
      </c>
      <c r="G589" s="38">
        <v>3655.63</v>
      </c>
      <c r="H589" s="36">
        <v>443215861</v>
      </c>
      <c r="I589" s="39">
        <v>0</v>
      </c>
      <c r="J589" s="38">
        <v>0</v>
      </c>
      <c r="K589" s="38">
        <v>0</v>
      </c>
      <c r="L589" s="38">
        <v>-3.03</v>
      </c>
      <c r="M589" s="38">
        <v>10058.129999999999</v>
      </c>
      <c r="N589" s="46" t="s">
        <v>598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40">
        <v>45918.342928240738</v>
      </c>
      <c r="B590" s="41">
        <v>444005503</v>
      </c>
      <c r="C590" s="42" t="s">
        <v>36</v>
      </c>
      <c r="D590" s="42" t="s">
        <v>37</v>
      </c>
      <c r="E590" s="42" t="s">
        <v>47</v>
      </c>
      <c r="F590" s="42" t="s">
        <v>38</v>
      </c>
      <c r="G590" s="43">
        <v>3655.63</v>
      </c>
      <c r="H590" s="41">
        <v>443215862</v>
      </c>
      <c r="I590" s="44">
        <v>0</v>
      </c>
      <c r="J590" s="43">
        <v>0</v>
      </c>
      <c r="K590" s="43">
        <v>0</v>
      </c>
      <c r="L590" s="43">
        <v>-3.03</v>
      </c>
      <c r="M590" s="43">
        <v>10055.1</v>
      </c>
      <c r="N590" s="45" t="s">
        <v>598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35">
        <v>45918.342928240738</v>
      </c>
      <c r="B591" s="36">
        <v>444005504</v>
      </c>
      <c r="C591" s="37" t="s">
        <v>36</v>
      </c>
      <c r="D591" s="37" t="s">
        <v>37</v>
      </c>
      <c r="E591" s="37" t="s">
        <v>47</v>
      </c>
      <c r="F591" s="37" t="s">
        <v>38</v>
      </c>
      <c r="G591" s="38">
        <v>3655.63</v>
      </c>
      <c r="H591" s="36">
        <v>443215863</v>
      </c>
      <c r="I591" s="39">
        <v>0</v>
      </c>
      <c r="J591" s="38">
        <v>0</v>
      </c>
      <c r="K591" s="38">
        <v>0</v>
      </c>
      <c r="L591" s="38">
        <v>-3.07</v>
      </c>
      <c r="M591" s="38">
        <v>10052.030000000001</v>
      </c>
      <c r="N591" s="46" t="s">
        <v>599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40">
        <v>45918.347407407404</v>
      </c>
      <c r="B592" s="41">
        <v>444007332</v>
      </c>
      <c r="C592" s="42" t="s">
        <v>36</v>
      </c>
      <c r="D592" s="42" t="s">
        <v>37</v>
      </c>
      <c r="E592" s="42" t="s">
        <v>47</v>
      </c>
      <c r="F592" s="42" t="s">
        <v>38</v>
      </c>
      <c r="G592" s="43">
        <v>3657</v>
      </c>
      <c r="H592" s="41">
        <v>443217682</v>
      </c>
      <c r="I592" s="44">
        <v>0</v>
      </c>
      <c r="J592" s="43">
        <v>0</v>
      </c>
      <c r="K592" s="43">
        <v>0</v>
      </c>
      <c r="L592" s="43">
        <v>-3.01</v>
      </c>
      <c r="M592" s="43">
        <v>10049.02</v>
      </c>
      <c r="N592" s="45" t="s">
        <v>600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35">
        <v>45918.347407407404</v>
      </c>
      <c r="B593" s="36">
        <v>444007333</v>
      </c>
      <c r="C593" s="37" t="s">
        <v>36</v>
      </c>
      <c r="D593" s="37" t="s">
        <v>37</v>
      </c>
      <c r="E593" s="37" t="s">
        <v>47</v>
      </c>
      <c r="F593" s="37" t="s">
        <v>38</v>
      </c>
      <c r="G593" s="38">
        <v>3657</v>
      </c>
      <c r="H593" s="36">
        <v>443217683</v>
      </c>
      <c r="I593" s="39">
        <v>0</v>
      </c>
      <c r="J593" s="38">
        <v>0</v>
      </c>
      <c r="K593" s="38">
        <v>0</v>
      </c>
      <c r="L593" s="38">
        <v>-3</v>
      </c>
      <c r="M593" s="38">
        <v>10046.02</v>
      </c>
      <c r="N593" s="46" t="s">
        <v>600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40">
        <v>45918.353564814817</v>
      </c>
      <c r="B594" s="41">
        <v>444009079</v>
      </c>
      <c r="C594" s="42" t="s">
        <v>36</v>
      </c>
      <c r="D594" s="42" t="s">
        <v>37</v>
      </c>
      <c r="E594" s="42" t="s">
        <v>46</v>
      </c>
      <c r="F594" s="42" t="s">
        <v>38</v>
      </c>
      <c r="G594" s="43">
        <v>3657.87</v>
      </c>
      <c r="H594" s="41">
        <v>443219391</v>
      </c>
      <c r="I594" s="44">
        <v>0</v>
      </c>
      <c r="J594" s="43">
        <v>0</v>
      </c>
      <c r="K594" s="43">
        <v>0</v>
      </c>
      <c r="L594" s="43">
        <v>0</v>
      </c>
      <c r="M594" s="43">
        <v>10046.02</v>
      </c>
      <c r="N594" s="45" t="s">
        <v>150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35">
        <v>45918.353564814817</v>
      </c>
      <c r="B595" s="36">
        <v>444009080</v>
      </c>
      <c r="C595" s="37" t="s">
        <v>36</v>
      </c>
      <c r="D595" s="37" t="s">
        <v>37</v>
      </c>
      <c r="E595" s="37" t="s">
        <v>46</v>
      </c>
      <c r="F595" s="37" t="s">
        <v>38</v>
      </c>
      <c r="G595" s="38">
        <v>3657.84</v>
      </c>
      <c r="H595" s="36">
        <v>443219392</v>
      </c>
      <c r="I595" s="39">
        <v>0</v>
      </c>
      <c r="J595" s="38">
        <v>0</v>
      </c>
      <c r="K595" s="38">
        <v>0</v>
      </c>
      <c r="L595" s="38">
        <v>0</v>
      </c>
      <c r="M595" s="38">
        <v>10046.02</v>
      </c>
      <c r="N595" s="46" t="s">
        <v>49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40">
        <v>45918.353564814817</v>
      </c>
      <c r="B596" s="41">
        <v>444009083</v>
      </c>
      <c r="C596" s="42" t="s">
        <v>36</v>
      </c>
      <c r="D596" s="42" t="s">
        <v>37</v>
      </c>
      <c r="E596" s="42" t="s">
        <v>46</v>
      </c>
      <c r="F596" s="42" t="s">
        <v>38</v>
      </c>
      <c r="G596" s="43">
        <v>3657.84</v>
      </c>
      <c r="H596" s="41">
        <v>443219395</v>
      </c>
      <c r="I596" s="44">
        <v>0</v>
      </c>
      <c r="J596" s="43">
        <v>0</v>
      </c>
      <c r="K596" s="43">
        <v>0</v>
      </c>
      <c r="L596" s="43">
        <v>0</v>
      </c>
      <c r="M596" s="43">
        <v>10046.02</v>
      </c>
      <c r="N596" s="45" t="s">
        <v>53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35">
        <v>45918.353576388887</v>
      </c>
      <c r="B597" s="36">
        <v>444009087</v>
      </c>
      <c r="C597" s="37" t="s">
        <v>36</v>
      </c>
      <c r="D597" s="37" t="s">
        <v>37</v>
      </c>
      <c r="E597" s="37" t="s">
        <v>46</v>
      </c>
      <c r="F597" s="37" t="s">
        <v>38</v>
      </c>
      <c r="G597" s="38">
        <v>3657.87</v>
      </c>
      <c r="H597" s="36">
        <v>443219399</v>
      </c>
      <c r="I597" s="39">
        <v>0</v>
      </c>
      <c r="J597" s="38">
        <v>0</v>
      </c>
      <c r="K597" s="38">
        <v>0</v>
      </c>
      <c r="L597" s="38">
        <v>0</v>
      </c>
      <c r="M597" s="38">
        <v>10046.02</v>
      </c>
      <c r="N597" s="46" t="s">
        <v>48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40">
        <v>45918.358495370368</v>
      </c>
      <c r="B598" s="41">
        <v>444010874</v>
      </c>
      <c r="C598" s="42" t="s">
        <v>36</v>
      </c>
      <c r="D598" s="42" t="s">
        <v>39</v>
      </c>
      <c r="E598" s="42" t="s">
        <v>47</v>
      </c>
      <c r="F598" s="42" t="s">
        <v>38</v>
      </c>
      <c r="G598" s="43">
        <v>3655.36</v>
      </c>
      <c r="H598" s="41">
        <v>443221165</v>
      </c>
      <c r="I598" s="44">
        <v>0</v>
      </c>
      <c r="J598" s="43">
        <v>0</v>
      </c>
      <c r="K598" s="43">
        <v>0</v>
      </c>
      <c r="L598" s="43">
        <v>-2.48</v>
      </c>
      <c r="M598" s="43">
        <v>10043.540000000001</v>
      </c>
      <c r="N598" s="45" t="s">
        <v>601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35">
        <v>45918.36010416667</v>
      </c>
      <c r="B599" s="36">
        <v>444011551</v>
      </c>
      <c r="C599" s="37" t="s">
        <v>36</v>
      </c>
      <c r="D599" s="37" t="s">
        <v>39</v>
      </c>
      <c r="E599" s="37" t="s">
        <v>47</v>
      </c>
      <c r="F599" s="37" t="s">
        <v>38</v>
      </c>
      <c r="G599" s="38">
        <v>3654.88</v>
      </c>
      <c r="H599" s="36">
        <v>443221822</v>
      </c>
      <c r="I599" s="39">
        <v>0</v>
      </c>
      <c r="J599" s="38">
        <v>0</v>
      </c>
      <c r="K599" s="38">
        <v>0</v>
      </c>
      <c r="L599" s="38">
        <v>-2.99</v>
      </c>
      <c r="M599" s="38">
        <v>10040.549999999999</v>
      </c>
      <c r="N599" s="46" t="s">
        <v>602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40">
        <v>45918.360115740739</v>
      </c>
      <c r="B600" s="41">
        <v>444011587</v>
      </c>
      <c r="C600" s="42" t="s">
        <v>36</v>
      </c>
      <c r="D600" s="42" t="s">
        <v>39</v>
      </c>
      <c r="E600" s="42" t="s">
        <v>47</v>
      </c>
      <c r="F600" s="42" t="s">
        <v>38</v>
      </c>
      <c r="G600" s="43">
        <v>3654.87</v>
      </c>
      <c r="H600" s="41">
        <v>443221858</v>
      </c>
      <c r="I600" s="44">
        <v>0</v>
      </c>
      <c r="J600" s="43">
        <v>0</v>
      </c>
      <c r="K600" s="43">
        <v>0</v>
      </c>
      <c r="L600" s="43">
        <v>-2.97</v>
      </c>
      <c r="M600" s="43">
        <v>10037.58</v>
      </c>
      <c r="N600" s="45" t="s">
        <v>603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35">
        <v>45918.360115740739</v>
      </c>
      <c r="B601" s="36">
        <v>444011589</v>
      </c>
      <c r="C601" s="37" t="s">
        <v>36</v>
      </c>
      <c r="D601" s="37" t="s">
        <v>39</v>
      </c>
      <c r="E601" s="37" t="s">
        <v>47</v>
      </c>
      <c r="F601" s="37" t="s">
        <v>38</v>
      </c>
      <c r="G601" s="38">
        <v>3654.87</v>
      </c>
      <c r="H601" s="36">
        <v>443221859</v>
      </c>
      <c r="I601" s="39">
        <v>0</v>
      </c>
      <c r="J601" s="38">
        <v>0</v>
      </c>
      <c r="K601" s="38">
        <v>0</v>
      </c>
      <c r="L601" s="38">
        <v>-3</v>
      </c>
      <c r="M601" s="38">
        <v>10034.58</v>
      </c>
      <c r="N601" s="46" t="s">
        <v>603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40">
        <v>45918.363981481481</v>
      </c>
      <c r="B602" s="41">
        <v>444014296</v>
      </c>
      <c r="C602" s="42" t="s">
        <v>36</v>
      </c>
      <c r="D602" s="42" t="s">
        <v>39</v>
      </c>
      <c r="E602" s="42" t="s">
        <v>46</v>
      </c>
      <c r="F602" s="42" t="s">
        <v>38</v>
      </c>
      <c r="G602" s="43">
        <v>3653.51</v>
      </c>
      <c r="H602" s="41">
        <v>443224528</v>
      </c>
      <c r="I602" s="44">
        <v>0</v>
      </c>
      <c r="J602" s="43">
        <v>0</v>
      </c>
      <c r="K602" s="43">
        <v>0</v>
      </c>
      <c r="L602" s="43">
        <v>0</v>
      </c>
      <c r="M602" s="43">
        <v>10034.58</v>
      </c>
      <c r="N602" s="45" t="s">
        <v>49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35">
        <v>45918.363981481481</v>
      </c>
      <c r="B603" s="36">
        <v>444014297</v>
      </c>
      <c r="C603" s="37" t="s">
        <v>36</v>
      </c>
      <c r="D603" s="37" t="s">
        <v>39</v>
      </c>
      <c r="E603" s="37" t="s">
        <v>46</v>
      </c>
      <c r="F603" s="37" t="s">
        <v>38</v>
      </c>
      <c r="G603" s="38">
        <v>3653.51</v>
      </c>
      <c r="H603" s="36">
        <v>443224529</v>
      </c>
      <c r="I603" s="39">
        <v>0</v>
      </c>
      <c r="J603" s="38">
        <v>0</v>
      </c>
      <c r="K603" s="38">
        <v>0</v>
      </c>
      <c r="L603" s="38">
        <v>0</v>
      </c>
      <c r="M603" s="38">
        <v>10034.58</v>
      </c>
      <c r="N603" s="46" t="s">
        <v>53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40">
        <v>45918.363981481481</v>
      </c>
      <c r="B604" s="41">
        <v>444014299</v>
      </c>
      <c r="C604" s="42" t="s">
        <v>36</v>
      </c>
      <c r="D604" s="42" t="s">
        <v>39</v>
      </c>
      <c r="E604" s="42" t="s">
        <v>46</v>
      </c>
      <c r="F604" s="42" t="s">
        <v>38</v>
      </c>
      <c r="G604" s="43">
        <v>3653.51</v>
      </c>
      <c r="H604" s="41">
        <v>443224531</v>
      </c>
      <c r="I604" s="44">
        <v>0</v>
      </c>
      <c r="J604" s="43">
        <v>0</v>
      </c>
      <c r="K604" s="43">
        <v>0</v>
      </c>
      <c r="L604" s="43">
        <v>0</v>
      </c>
      <c r="M604" s="43">
        <v>10034.58</v>
      </c>
      <c r="N604" s="45" t="s">
        <v>150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35">
        <v>45918.363993055558</v>
      </c>
      <c r="B605" s="36">
        <v>444014300</v>
      </c>
      <c r="C605" s="37" t="s">
        <v>36</v>
      </c>
      <c r="D605" s="37" t="s">
        <v>39</v>
      </c>
      <c r="E605" s="37" t="s">
        <v>46</v>
      </c>
      <c r="F605" s="37" t="s">
        <v>38</v>
      </c>
      <c r="G605" s="38">
        <v>3653.5</v>
      </c>
      <c r="H605" s="36">
        <v>443224532</v>
      </c>
      <c r="I605" s="39">
        <v>0</v>
      </c>
      <c r="J605" s="38">
        <v>0</v>
      </c>
      <c r="K605" s="38">
        <v>0</v>
      </c>
      <c r="L605" s="38">
        <v>0</v>
      </c>
      <c r="M605" s="38">
        <v>10034.58</v>
      </c>
      <c r="N605" s="46" t="s">
        <v>48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40">
        <v>45918.369293981479</v>
      </c>
      <c r="B606" s="41">
        <v>444016411</v>
      </c>
      <c r="C606" s="42" t="s">
        <v>36</v>
      </c>
      <c r="D606" s="42" t="s">
        <v>37</v>
      </c>
      <c r="E606" s="42" t="s">
        <v>47</v>
      </c>
      <c r="F606" s="42" t="s">
        <v>38</v>
      </c>
      <c r="G606" s="43">
        <v>3653.2</v>
      </c>
      <c r="H606" s="41">
        <v>443226585</v>
      </c>
      <c r="I606" s="44">
        <v>0</v>
      </c>
      <c r="J606" s="43">
        <v>0</v>
      </c>
      <c r="K606" s="43">
        <v>0</v>
      </c>
      <c r="L606" s="43">
        <v>0.31</v>
      </c>
      <c r="M606" s="43">
        <v>10034.89</v>
      </c>
      <c r="N606" s="45" t="s">
        <v>604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35">
        <v>45918.369293981479</v>
      </c>
      <c r="B607" s="36">
        <v>444016412</v>
      </c>
      <c r="C607" s="37" t="s">
        <v>36</v>
      </c>
      <c r="D607" s="37" t="s">
        <v>37</v>
      </c>
      <c r="E607" s="37" t="s">
        <v>47</v>
      </c>
      <c r="F607" s="37" t="s">
        <v>38</v>
      </c>
      <c r="G607" s="38">
        <v>3653.2</v>
      </c>
      <c r="H607" s="36">
        <v>443226586</v>
      </c>
      <c r="I607" s="39">
        <v>0</v>
      </c>
      <c r="J607" s="38">
        <v>0</v>
      </c>
      <c r="K607" s="38">
        <v>0</v>
      </c>
      <c r="L607" s="38">
        <v>0.31</v>
      </c>
      <c r="M607" s="38">
        <v>10035.200000000001</v>
      </c>
      <c r="N607" s="46" t="s">
        <v>604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40">
        <v>45918.369293981479</v>
      </c>
      <c r="B608" s="41">
        <v>444016413</v>
      </c>
      <c r="C608" s="42" t="s">
        <v>36</v>
      </c>
      <c r="D608" s="42" t="s">
        <v>37</v>
      </c>
      <c r="E608" s="42" t="s">
        <v>47</v>
      </c>
      <c r="F608" s="42" t="s">
        <v>38</v>
      </c>
      <c r="G608" s="43">
        <v>3653.2</v>
      </c>
      <c r="H608" s="41">
        <v>443226587</v>
      </c>
      <c r="I608" s="44">
        <v>0</v>
      </c>
      <c r="J608" s="43">
        <v>0</v>
      </c>
      <c r="K608" s="43">
        <v>0</v>
      </c>
      <c r="L608" s="43">
        <v>0.31</v>
      </c>
      <c r="M608" s="43">
        <v>10035.51</v>
      </c>
      <c r="N608" s="45" t="s">
        <v>604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35">
        <v>45918.369293981479</v>
      </c>
      <c r="B609" s="36">
        <v>444016414</v>
      </c>
      <c r="C609" s="37" t="s">
        <v>36</v>
      </c>
      <c r="D609" s="37" t="s">
        <v>37</v>
      </c>
      <c r="E609" s="37" t="s">
        <v>47</v>
      </c>
      <c r="F609" s="37" t="s">
        <v>38</v>
      </c>
      <c r="G609" s="38">
        <v>3653.2</v>
      </c>
      <c r="H609" s="36">
        <v>443226588</v>
      </c>
      <c r="I609" s="39">
        <v>0</v>
      </c>
      <c r="J609" s="38">
        <v>0</v>
      </c>
      <c r="K609" s="38">
        <v>0</v>
      </c>
      <c r="L609" s="38">
        <v>0.3</v>
      </c>
      <c r="M609" s="38">
        <v>10035.81</v>
      </c>
      <c r="N609" s="46" t="s">
        <v>604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40">
        <v>45918.369305555556</v>
      </c>
      <c r="B610" s="41">
        <v>444016419</v>
      </c>
      <c r="C610" s="42" t="s">
        <v>36</v>
      </c>
      <c r="D610" s="42" t="s">
        <v>39</v>
      </c>
      <c r="E610" s="42" t="s">
        <v>46</v>
      </c>
      <c r="F610" s="42" t="s">
        <v>38</v>
      </c>
      <c r="G610" s="43">
        <v>3653.2</v>
      </c>
      <c r="H610" s="41">
        <v>443226592</v>
      </c>
      <c r="I610" s="44">
        <v>0</v>
      </c>
      <c r="J610" s="43">
        <v>0</v>
      </c>
      <c r="K610" s="43">
        <v>0</v>
      </c>
      <c r="L610" s="43">
        <v>0</v>
      </c>
      <c r="M610" s="43">
        <v>10035.81</v>
      </c>
      <c r="N610" s="45" t="s">
        <v>150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35">
        <v>45918.369305555556</v>
      </c>
      <c r="B611" s="36">
        <v>444016421</v>
      </c>
      <c r="C611" s="37" t="s">
        <v>36</v>
      </c>
      <c r="D611" s="37" t="s">
        <v>39</v>
      </c>
      <c r="E611" s="37" t="s">
        <v>46</v>
      </c>
      <c r="F611" s="37" t="s">
        <v>38</v>
      </c>
      <c r="G611" s="38">
        <v>3652.86</v>
      </c>
      <c r="H611" s="36">
        <v>443226594</v>
      </c>
      <c r="I611" s="39">
        <v>0</v>
      </c>
      <c r="J611" s="38">
        <v>0</v>
      </c>
      <c r="K611" s="38">
        <v>0</v>
      </c>
      <c r="L611" s="38">
        <v>0</v>
      </c>
      <c r="M611" s="38">
        <v>10035.81</v>
      </c>
      <c r="N611" s="46" t="s">
        <v>49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40">
        <v>45918.369305555556</v>
      </c>
      <c r="B612" s="41">
        <v>444016422</v>
      </c>
      <c r="C612" s="42" t="s">
        <v>36</v>
      </c>
      <c r="D612" s="42" t="s">
        <v>39</v>
      </c>
      <c r="E612" s="42" t="s">
        <v>46</v>
      </c>
      <c r="F612" s="42" t="s">
        <v>38</v>
      </c>
      <c r="G612" s="43">
        <v>3652.96</v>
      </c>
      <c r="H612" s="41">
        <v>443226595</v>
      </c>
      <c r="I612" s="44">
        <v>0</v>
      </c>
      <c r="J612" s="43">
        <v>0</v>
      </c>
      <c r="K612" s="43">
        <v>0</v>
      </c>
      <c r="L612" s="43">
        <v>0</v>
      </c>
      <c r="M612" s="43">
        <v>10035.81</v>
      </c>
      <c r="N612" s="45" t="s">
        <v>53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35">
        <v>45918.369317129633</v>
      </c>
      <c r="B613" s="36">
        <v>444016423</v>
      </c>
      <c r="C613" s="37" t="s">
        <v>36</v>
      </c>
      <c r="D613" s="37" t="s">
        <v>39</v>
      </c>
      <c r="E613" s="37" t="s">
        <v>46</v>
      </c>
      <c r="F613" s="37" t="s">
        <v>38</v>
      </c>
      <c r="G613" s="38">
        <v>3652.95</v>
      </c>
      <c r="H613" s="36">
        <v>443226596</v>
      </c>
      <c r="I613" s="39">
        <v>0</v>
      </c>
      <c r="J613" s="38">
        <v>0</v>
      </c>
      <c r="K613" s="38">
        <v>0</v>
      </c>
      <c r="L613" s="38">
        <v>0</v>
      </c>
      <c r="M613" s="38">
        <v>10035.81</v>
      </c>
      <c r="N613" s="46" t="s">
        <v>48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40">
        <v>45918.371180555558</v>
      </c>
      <c r="B614" s="41">
        <v>444018045</v>
      </c>
      <c r="C614" s="42" t="s">
        <v>36</v>
      </c>
      <c r="D614" s="42" t="s">
        <v>37</v>
      </c>
      <c r="E614" s="42" t="s">
        <v>47</v>
      </c>
      <c r="F614" s="42" t="s">
        <v>38</v>
      </c>
      <c r="G614" s="43">
        <v>3651.21</v>
      </c>
      <c r="H614" s="41">
        <v>443228169</v>
      </c>
      <c r="I614" s="44">
        <v>0</v>
      </c>
      <c r="J614" s="43">
        <v>0</v>
      </c>
      <c r="K614" s="43">
        <v>0</v>
      </c>
      <c r="L614" s="43">
        <v>1.99</v>
      </c>
      <c r="M614" s="43">
        <v>10037.799999999999</v>
      </c>
      <c r="N614" s="45" t="s">
        <v>605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35">
        <v>45918.37127314815</v>
      </c>
      <c r="B615" s="36">
        <v>444018645</v>
      </c>
      <c r="C615" s="37" t="s">
        <v>36</v>
      </c>
      <c r="D615" s="37" t="s">
        <v>37</v>
      </c>
      <c r="E615" s="37" t="s">
        <v>47</v>
      </c>
      <c r="F615" s="37" t="s">
        <v>38</v>
      </c>
      <c r="G615" s="38">
        <v>3649.86</v>
      </c>
      <c r="H615" s="36">
        <v>443228749</v>
      </c>
      <c r="I615" s="39">
        <v>0</v>
      </c>
      <c r="J615" s="38">
        <v>0</v>
      </c>
      <c r="K615" s="38">
        <v>0</v>
      </c>
      <c r="L615" s="38">
        <v>3</v>
      </c>
      <c r="M615" s="38">
        <v>10040.799999999999</v>
      </c>
      <c r="N615" s="46" t="s">
        <v>606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40">
        <v>45918.37127314815</v>
      </c>
      <c r="B616" s="41">
        <v>444018648</v>
      </c>
      <c r="C616" s="42" t="s">
        <v>36</v>
      </c>
      <c r="D616" s="42" t="s">
        <v>37</v>
      </c>
      <c r="E616" s="42" t="s">
        <v>47</v>
      </c>
      <c r="F616" s="42" t="s">
        <v>38</v>
      </c>
      <c r="G616" s="43">
        <v>3649.86</v>
      </c>
      <c r="H616" s="41">
        <v>443228751</v>
      </c>
      <c r="I616" s="44">
        <v>0</v>
      </c>
      <c r="J616" s="43">
        <v>0</v>
      </c>
      <c r="K616" s="43">
        <v>0</v>
      </c>
      <c r="L616" s="43">
        <v>3.09</v>
      </c>
      <c r="M616" s="43">
        <v>10043.89</v>
      </c>
      <c r="N616" s="45" t="s">
        <v>606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35">
        <v>45918.372106481482</v>
      </c>
      <c r="B617" s="36">
        <v>444019631</v>
      </c>
      <c r="C617" s="37" t="s">
        <v>36</v>
      </c>
      <c r="D617" s="37" t="s">
        <v>37</v>
      </c>
      <c r="E617" s="37" t="s">
        <v>47</v>
      </c>
      <c r="F617" s="37" t="s">
        <v>38</v>
      </c>
      <c r="G617" s="38">
        <v>3652.04</v>
      </c>
      <c r="H617" s="36">
        <v>443229694</v>
      </c>
      <c r="I617" s="39">
        <v>0</v>
      </c>
      <c r="J617" s="38">
        <v>0</v>
      </c>
      <c r="K617" s="38">
        <v>0</v>
      </c>
      <c r="L617" s="38">
        <v>0.92</v>
      </c>
      <c r="M617" s="38">
        <v>10044.81</v>
      </c>
      <c r="N617" s="46" t="s">
        <v>607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40">
        <v>45918.372314814813</v>
      </c>
      <c r="B618" s="41">
        <v>444019674</v>
      </c>
      <c r="C618" s="42" t="s">
        <v>36</v>
      </c>
      <c r="D618" s="42" t="s">
        <v>39</v>
      </c>
      <c r="E618" s="42" t="s">
        <v>46</v>
      </c>
      <c r="F618" s="42" t="s">
        <v>38</v>
      </c>
      <c r="G618" s="43">
        <v>3651.79</v>
      </c>
      <c r="H618" s="41">
        <v>443229730</v>
      </c>
      <c r="I618" s="44">
        <v>0</v>
      </c>
      <c r="J618" s="43">
        <v>0</v>
      </c>
      <c r="K618" s="43">
        <v>0</v>
      </c>
      <c r="L618" s="43">
        <v>0</v>
      </c>
      <c r="M618" s="43">
        <v>10044.81</v>
      </c>
      <c r="N618" s="45" t="s">
        <v>150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35">
        <v>45918.372314814813</v>
      </c>
      <c r="B619" s="36">
        <v>444019675</v>
      </c>
      <c r="C619" s="37" t="s">
        <v>36</v>
      </c>
      <c r="D619" s="37" t="s">
        <v>39</v>
      </c>
      <c r="E619" s="37" t="s">
        <v>46</v>
      </c>
      <c r="F619" s="37" t="s">
        <v>38</v>
      </c>
      <c r="G619" s="38">
        <v>3651.79</v>
      </c>
      <c r="H619" s="36">
        <v>443229731</v>
      </c>
      <c r="I619" s="39">
        <v>0</v>
      </c>
      <c r="J619" s="38">
        <v>0</v>
      </c>
      <c r="K619" s="38">
        <v>0</v>
      </c>
      <c r="L619" s="38">
        <v>0</v>
      </c>
      <c r="M619" s="38">
        <v>10044.81</v>
      </c>
      <c r="N619" s="46" t="s">
        <v>48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40">
        <v>45918.372314814813</v>
      </c>
      <c r="B620" s="41">
        <v>444019676</v>
      </c>
      <c r="C620" s="42" t="s">
        <v>36</v>
      </c>
      <c r="D620" s="42" t="s">
        <v>39</v>
      </c>
      <c r="E620" s="42" t="s">
        <v>46</v>
      </c>
      <c r="F620" s="42" t="s">
        <v>38</v>
      </c>
      <c r="G620" s="43">
        <v>3651.79</v>
      </c>
      <c r="H620" s="41">
        <v>443229732</v>
      </c>
      <c r="I620" s="44">
        <v>0</v>
      </c>
      <c r="J620" s="43">
        <v>0</v>
      </c>
      <c r="K620" s="43">
        <v>0</v>
      </c>
      <c r="L620" s="43">
        <v>0</v>
      </c>
      <c r="M620" s="43">
        <v>10044.81</v>
      </c>
      <c r="N620" s="45" t="s">
        <v>49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35">
        <v>45918.37232638889</v>
      </c>
      <c r="B621" s="36">
        <v>444019677</v>
      </c>
      <c r="C621" s="37" t="s">
        <v>36</v>
      </c>
      <c r="D621" s="37" t="s">
        <v>39</v>
      </c>
      <c r="E621" s="37" t="s">
        <v>46</v>
      </c>
      <c r="F621" s="37" t="s">
        <v>38</v>
      </c>
      <c r="G621" s="38">
        <v>3651.71</v>
      </c>
      <c r="H621" s="36">
        <v>443229733</v>
      </c>
      <c r="I621" s="39">
        <v>0</v>
      </c>
      <c r="J621" s="38">
        <v>0</v>
      </c>
      <c r="K621" s="38">
        <v>0</v>
      </c>
      <c r="L621" s="38">
        <v>0</v>
      </c>
      <c r="M621" s="38">
        <v>10044.81</v>
      </c>
      <c r="N621" s="46" t="s">
        <v>53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40">
        <v>45918.375949074078</v>
      </c>
      <c r="B622" s="41">
        <v>444022098</v>
      </c>
      <c r="C622" s="42" t="s">
        <v>36</v>
      </c>
      <c r="D622" s="42" t="s">
        <v>37</v>
      </c>
      <c r="E622" s="42" t="s">
        <v>47</v>
      </c>
      <c r="F622" s="42" t="s">
        <v>38</v>
      </c>
      <c r="G622" s="43">
        <v>3650.27</v>
      </c>
      <c r="H622" s="41">
        <v>443232180</v>
      </c>
      <c r="I622" s="44">
        <v>0</v>
      </c>
      <c r="J622" s="43">
        <v>0</v>
      </c>
      <c r="K622" s="43">
        <v>0</v>
      </c>
      <c r="L622" s="43">
        <v>1.52</v>
      </c>
      <c r="M622" s="43">
        <v>10046.33</v>
      </c>
      <c r="N622" s="45" t="s">
        <v>608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35">
        <v>45918.377372685187</v>
      </c>
      <c r="B623" s="36">
        <v>444023463</v>
      </c>
      <c r="C623" s="37" t="s">
        <v>36</v>
      </c>
      <c r="D623" s="37" t="s">
        <v>37</v>
      </c>
      <c r="E623" s="37" t="s">
        <v>47</v>
      </c>
      <c r="F623" s="37" t="s">
        <v>38</v>
      </c>
      <c r="G623" s="38">
        <v>3648.78</v>
      </c>
      <c r="H623" s="36">
        <v>443233632</v>
      </c>
      <c r="I623" s="39">
        <v>0</v>
      </c>
      <c r="J623" s="38">
        <v>0</v>
      </c>
      <c r="K623" s="38">
        <v>0</v>
      </c>
      <c r="L623" s="38">
        <v>3.01</v>
      </c>
      <c r="M623" s="38">
        <v>10049.34</v>
      </c>
      <c r="N623" s="46" t="s">
        <v>609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40">
        <v>45918.377372685187</v>
      </c>
      <c r="B624" s="41">
        <v>444023465</v>
      </c>
      <c r="C624" s="42" t="s">
        <v>36</v>
      </c>
      <c r="D624" s="42" t="s">
        <v>37</v>
      </c>
      <c r="E624" s="42" t="s">
        <v>47</v>
      </c>
      <c r="F624" s="42" t="s">
        <v>38</v>
      </c>
      <c r="G624" s="43">
        <v>3648.78</v>
      </c>
      <c r="H624" s="41">
        <v>443233633</v>
      </c>
      <c r="I624" s="44">
        <v>0</v>
      </c>
      <c r="J624" s="43">
        <v>0</v>
      </c>
      <c r="K624" s="43">
        <v>0</v>
      </c>
      <c r="L624" s="43">
        <v>3.01</v>
      </c>
      <c r="M624" s="43">
        <v>10052.35</v>
      </c>
      <c r="N624" s="45" t="s">
        <v>609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35">
        <v>45918.377395833333</v>
      </c>
      <c r="B625" s="36">
        <v>444023648</v>
      </c>
      <c r="C625" s="37" t="s">
        <v>36</v>
      </c>
      <c r="D625" s="37" t="s">
        <v>37</v>
      </c>
      <c r="E625" s="37" t="s">
        <v>47</v>
      </c>
      <c r="F625" s="37" t="s">
        <v>38</v>
      </c>
      <c r="G625" s="38">
        <v>3648.23</v>
      </c>
      <c r="H625" s="36">
        <v>443233818</v>
      </c>
      <c r="I625" s="39">
        <v>0</v>
      </c>
      <c r="J625" s="38">
        <v>0</v>
      </c>
      <c r="K625" s="38">
        <v>0</v>
      </c>
      <c r="L625" s="38">
        <v>3.48</v>
      </c>
      <c r="M625" s="38">
        <v>10055.83</v>
      </c>
      <c r="N625" s="46" t="s">
        <v>610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40">
        <v>45918.386203703703</v>
      </c>
      <c r="B626" s="41">
        <v>444036283</v>
      </c>
      <c r="C626" s="42" t="s">
        <v>36</v>
      </c>
      <c r="D626" s="42" t="s">
        <v>39</v>
      </c>
      <c r="E626" s="42" t="s">
        <v>46</v>
      </c>
      <c r="F626" s="42" t="s">
        <v>38</v>
      </c>
      <c r="G626" s="43">
        <v>3637.97</v>
      </c>
      <c r="H626" s="41">
        <v>443246235</v>
      </c>
      <c r="I626" s="44">
        <v>0</v>
      </c>
      <c r="J626" s="43">
        <v>0</v>
      </c>
      <c r="K626" s="43">
        <v>0</v>
      </c>
      <c r="L626" s="43">
        <v>0</v>
      </c>
      <c r="M626" s="43">
        <v>10055.83</v>
      </c>
      <c r="N626" s="45" t="s">
        <v>53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35">
        <v>45918.386203703703</v>
      </c>
      <c r="B627" s="36">
        <v>444036287</v>
      </c>
      <c r="C627" s="37" t="s">
        <v>36</v>
      </c>
      <c r="D627" s="37" t="s">
        <v>39</v>
      </c>
      <c r="E627" s="37" t="s">
        <v>46</v>
      </c>
      <c r="F627" s="37" t="s">
        <v>38</v>
      </c>
      <c r="G627" s="38">
        <v>3638.03</v>
      </c>
      <c r="H627" s="36">
        <v>443246239</v>
      </c>
      <c r="I627" s="39">
        <v>0</v>
      </c>
      <c r="J627" s="38">
        <v>0</v>
      </c>
      <c r="K627" s="38">
        <v>0</v>
      </c>
      <c r="L627" s="38">
        <v>0</v>
      </c>
      <c r="M627" s="38">
        <v>10055.83</v>
      </c>
      <c r="N627" s="46" t="s">
        <v>49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40">
        <v>45918.386203703703</v>
      </c>
      <c r="B628" s="41">
        <v>444036289</v>
      </c>
      <c r="C628" s="42" t="s">
        <v>36</v>
      </c>
      <c r="D628" s="42" t="s">
        <v>39</v>
      </c>
      <c r="E628" s="42" t="s">
        <v>46</v>
      </c>
      <c r="F628" s="42" t="s">
        <v>38</v>
      </c>
      <c r="G628" s="43">
        <v>3638.01</v>
      </c>
      <c r="H628" s="41">
        <v>443246241</v>
      </c>
      <c r="I628" s="44">
        <v>0</v>
      </c>
      <c r="J628" s="43">
        <v>0</v>
      </c>
      <c r="K628" s="43">
        <v>0</v>
      </c>
      <c r="L628" s="43">
        <v>0</v>
      </c>
      <c r="M628" s="43">
        <v>10055.83</v>
      </c>
      <c r="N628" s="45" t="s">
        <v>48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35">
        <v>45918.38621527778</v>
      </c>
      <c r="B629" s="36">
        <v>444036291</v>
      </c>
      <c r="C629" s="37" t="s">
        <v>36</v>
      </c>
      <c r="D629" s="37" t="s">
        <v>39</v>
      </c>
      <c r="E629" s="37" t="s">
        <v>46</v>
      </c>
      <c r="F629" s="37" t="s">
        <v>38</v>
      </c>
      <c r="G629" s="38">
        <v>3638.03</v>
      </c>
      <c r="H629" s="36">
        <v>443246243</v>
      </c>
      <c r="I629" s="39">
        <v>0</v>
      </c>
      <c r="J629" s="38">
        <v>0</v>
      </c>
      <c r="K629" s="38">
        <v>0</v>
      </c>
      <c r="L629" s="38">
        <v>0</v>
      </c>
      <c r="M629" s="38">
        <v>10055.83</v>
      </c>
      <c r="N629" s="46" t="s">
        <v>150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40">
        <v>45918.387233796297</v>
      </c>
      <c r="B630" s="41">
        <v>444036971</v>
      </c>
      <c r="C630" s="42" t="s">
        <v>36</v>
      </c>
      <c r="D630" s="42" t="s">
        <v>37</v>
      </c>
      <c r="E630" s="42" t="s">
        <v>47</v>
      </c>
      <c r="F630" s="42" t="s">
        <v>38</v>
      </c>
      <c r="G630" s="43">
        <v>3636.4</v>
      </c>
      <c r="H630" s="41">
        <v>443246918</v>
      </c>
      <c r="I630" s="44">
        <v>0</v>
      </c>
      <c r="J630" s="43">
        <v>0</v>
      </c>
      <c r="K630" s="43">
        <v>0</v>
      </c>
      <c r="L630" s="43">
        <v>1.63</v>
      </c>
      <c r="M630" s="43">
        <v>10057.459999999999</v>
      </c>
      <c r="N630" s="45" t="s">
        <v>611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35">
        <v>45918.38789351852</v>
      </c>
      <c r="B631" s="36">
        <v>444037485</v>
      </c>
      <c r="C631" s="37" t="s">
        <v>36</v>
      </c>
      <c r="D631" s="37" t="s">
        <v>37</v>
      </c>
      <c r="E631" s="37" t="s">
        <v>47</v>
      </c>
      <c r="F631" s="37" t="s">
        <v>38</v>
      </c>
      <c r="G631" s="38">
        <v>3637.33</v>
      </c>
      <c r="H631" s="36">
        <v>443247425</v>
      </c>
      <c r="I631" s="39">
        <v>0</v>
      </c>
      <c r="J631" s="38">
        <v>0</v>
      </c>
      <c r="K631" s="38">
        <v>0</v>
      </c>
      <c r="L631" s="38">
        <v>0.7</v>
      </c>
      <c r="M631" s="38">
        <v>10058.16</v>
      </c>
      <c r="N631" s="46" t="s">
        <v>612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40">
        <v>45918.38789351852</v>
      </c>
      <c r="B632" s="41">
        <v>444037488</v>
      </c>
      <c r="C632" s="42" t="s">
        <v>36</v>
      </c>
      <c r="D632" s="42" t="s">
        <v>37</v>
      </c>
      <c r="E632" s="42" t="s">
        <v>47</v>
      </c>
      <c r="F632" s="42" t="s">
        <v>38</v>
      </c>
      <c r="G632" s="43">
        <v>3637.34</v>
      </c>
      <c r="H632" s="41">
        <v>443247428</v>
      </c>
      <c r="I632" s="44">
        <v>0</v>
      </c>
      <c r="J632" s="43">
        <v>0</v>
      </c>
      <c r="K632" s="43">
        <v>0</v>
      </c>
      <c r="L632" s="43">
        <v>0.67</v>
      </c>
      <c r="M632" s="43">
        <v>10058.83</v>
      </c>
      <c r="N632" s="45" t="s">
        <v>613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35">
        <v>45918.38789351852</v>
      </c>
      <c r="B633" s="36">
        <v>444037491</v>
      </c>
      <c r="C633" s="37" t="s">
        <v>36</v>
      </c>
      <c r="D633" s="37" t="s">
        <v>37</v>
      </c>
      <c r="E633" s="37" t="s">
        <v>47</v>
      </c>
      <c r="F633" s="37" t="s">
        <v>38</v>
      </c>
      <c r="G633" s="38">
        <v>3637.63</v>
      </c>
      <c r="H633" s="36">
        <v>443247431</v>
      </c>
      <c r="I633" s="39">
        <v>0</v>
      </c>
      <c r="J633" s="38">
        <v>0</v>
      </c>
      <c r="K633" s="38">
        <v>0</v>
      </c>
      <c r="L633" s="38">
        <v>0.34</v>
      </c>
      <c r="M633" s="38">
        <v>10059.17</v>
      </c>
      <c r="N633" s="46" t="s">
        <v>614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40">
        <v>45918.387939814813</v>
      </c>
      <c r="B634" s="41">
        <v>444037529</v>
      </c>
      <c r="C634" s="42" t="s">
        <v>36</v>
      </c>
      <c r="D634" s="42" t="s">
        <v>39</v>
      </c>
      <c r="E634" s="42" t="s">
        <v>46</v>
      </c>
      <c r="F634" s="42" t="s">
        <v>38</v>
      </c>
      <c r="G634" s="43">
        <v>3637.71</v>
      </c>
      <c r="H634" s="41">
        <v>443247469</v>
      </c>
      <c r="I634" s="44">
        <v>0</v>
      </c>
      <c r="J634" s="43">
        <v>0</v>
      </c>
      <c r="K634" s="43">
        <v>0</v>
      </c>
      <c r="L634" s="43">
        <v>0</v>
      </c>
      <c r="M634" s="43">
        <v>10059.17</v>
      </c>
      <c r="N634" s="45" t="s">
        <v>48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35">
        <v>45918.387939814813</v>
      </c>
      <c r="B635" s="36">
        <v>444037530</v>
      </c>
      <c r="C635" s="37" t="s">
        <v>36</v>
      </c>
      <c r="D635" s="37" t="s">
        <v>39</v>
      </c>
      <c r="E635" s="37" t="s">
        <v>46</v>
      </c>
      <c r="F635" s="37" t="s">
        <v>38</v>
      </c>
      <c r="G635" s="38">
        <v>3637.72</v>
      </c>
      <c r="H635" s="36">
        <v>443247470</v>
      </c>
      <c r="I635" s="39">
        <v>0</v>
      </c>
      <c r="J635" s="38">
        <v>0</v>
      </c>
      <c r="K635" s="38">
        <v>0</v>
      </c>
      <c r="L635" s="38">
        <v>0</v>
      </c>
      <c r="M635" s="38">
        <v>10059.17</v>
      </c>
      <c r="N635" s="46" t="s">
        <v>53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40">
        <v>45918.387939814813</v>
      </c>
      <c r="B636" s="41">
        <v>444037531</v>
      </c>
      <c r="C636" s="42" t="s">
        <v>36</v>
      </c>
      <c r="D636" s="42" t="s">
        <v>39</v>
      </c>
      <c r="E636" s="42" t="s">
        <v>46</v>
      </c>
      <c r="F636" s="42" t="s">
        <v>38</v>
      </c>
      <c r="G636" s="43">
        <v>3637.73</v>
      </c>
      <c r="H636" s="41">
        <v>443247471</v>
      </c>
      <c r="I636" s="44">
        <v>0</v>
      </c>
      <c r="J636" s="43">
        <v>0</v>
      </c>
      <c r="K636" s="43">
        <v>0</v>
      </c>
      <c r="L636" s="43">
        <v>0</v>
      </c>
      <c r="M636" s="43">
        <v>10059.17</v>
      </c>
      <c r="N636" s="45" t="s">
        <v>150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35">
        <v>45918.38795138889</v>
      </c>
      <c r="B637" s="36">
        <v>444037532</v>
      </c>
      <c r="C637" s="37" t="s">
        <v>36</v>
      </c>
      <c r="D637" s="37" t="s">
        <v>39</v>
      </c>
      <c r="E637" s="37" t="s">
        <v>46</v>
      </c>
      <c r="F637" s="37" t="s">
        <v>38</v>
      </c>
      <c r="G637" s="38">
        <v>3637.67</v>
      </c>
      <c r="H637" s="36">
        <v>443247472</v>
      </c>
      <c r="I637" s="39">
        <v>0</v>
      </c>
      <c r="J637" s="38">
        <v>0</v>
      </c>
      <c r="K637" s="38">
        <v>0</v>
      </c>
      <c r="L637" s="38">
        <v>0</v>
      </c>
      <c r="M637" s="38">
        <v>10059.17</v>
      </c>
      <c r="N637" s="46" t="s">
        <v>49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40">
        <v>45918.38826388889</v>
      </c>
      <c r="B638" s="41">
        <v>444037610</v>
      </c>
      <c r="C638" s="42" t="s">
        <v>36</v>
      </c>
      <c r="D638" s="42" t="s">
        <v>37</v>
      </c>
      <c r="E638" s="42" t="s">
        <v>47</v>
      </c>
      <c r="F638" s="42" t="s">
        <v>38</v>
      </c>
      <c r="G638" s="43">
        <v>3636.21</v>
      </c>
      <c r="H638" s="41">
        <v>443247549</v>
      </c>
      <c r="I638" s="44">
        <v>0</v>
      </c>
      <c r="J638" s="43">
        <v>0</v>
      </c>
      <c r="K638" s="43">
        <v>0</v>
      </c>
      <c r="L638" s="43">
        <v>1.52</v>
      </c>
      <c r="M638" s="43">
        <v>10060.69</v>
      </c>
      <c r="N638" s="45" t="s">
        <v>615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35">
        <v>45918.388749999998</v>
      </c>
      <c r="B639" s="36">
        <v>444037742</v>
      </c>
      <c r="C639" s="37" t="s">
        <v>36</v>
      </c>
      <c r="D639" s="37" t="s">
        <v>39</v>
      </c>
      <c r="E639" s="37" t="s">
        <v>46</v>
      </c>
      <c r="F639" s="37" t="s">
        <v>38</v>
      </c>
      <c r="G639" s="38">
        <v>3637.52</v>
      </c>
      <c r="H639" s="36">
        <v>443247692</v>
      </c>
      <c r="I639" s="39">
        <v>0</v>
      </c>
      <c r="J639" s="38">
        <v>0</v>
      </c>
      <c r="K639" s="38">
        <v>0</v>
      </c>
      <c r="L639" s="38">
        <v>0</v>
      </c>
      <c r="M639" s="38">
        <v>10060.69</v>
      </c>
      <c r="N639" s="46" t="s">
        <v>150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40">
        <v>45918.389097222222</v>
      </c>
      <c r="B640" s="41">
        <v>444037860</v>
      </c>
      <c r="C640" s="42" t="s">
        <v>36</v>
      </c>
      <c r="D640" s="42" t="s">
        <v>39</v>
      </c>
      <c r="E640" s="42" t="s">
        <v>46</v>
      </c>
      <c r="F640" s="42" t="s">
        <v>38</v>
      </c>
      <c r="G640" s="43">
        <v>3638.61</v>
      </c>
      <c r="H640" s="41">
        <v>443247808</v>
      </c>
      <c r="I640" s="44">
        <v>0</v>
      </c>
      <c r="J640" s="43">
        <v>0</v>
      </c>
      <c r="K640" s="43">
        <v>0</v>
      </c>
      <c r="L640" s="43">
        <v>0</v>
      </c>
      <c r="M640" s="43">
        <v>10060.69</v>
      </c>
      <c r="N640" s="45" t="s">
        <v>616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35">
        <v>45918.389097222222</v>
      </c>
      <c r="B641" s="36">
        <v>444037862</v>
      </c>
      <c r="C641" s="37" t="s">
        <v>36</v>
      </c>
      <c r="D641" s="37" t="s">
        <v>39</v>
      </c>
      <c r="E641" s="37" t="s">
        <v>46</v>
      </c>
      <c r="F641" s="37" t="s">
        <v>38</v>
      </c>
      <c r="G641" s="38">
        <v>3638.54</v>
      </c>
      <c r="H641" s="36">
        <v>443247810</v>
      </c>
      <c r="I641" s="39">
        <v>0</v>
      </c>
      <c r="J641" s="38">
        <v>0</v>
      </c>
      <c r="K641" s="38">
        <v>0</v>
      </c>
      <c r="L641" s="38">
        <v>0</v>
      </c>
      <c r="M641" s="38">
        <v>10060.69</v>
      </c>
      <c r="N641" s="46" t="s">
        <v>268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40">
        <v>45918.390625</v>
      </c>
      <c r="B642" s="41">
        <v>444038703</v>
      </c>
      <c r="C642" s="42" t="s">
        <v>36</v>
      </c>
      <c r="D642" s="42" t="s">
        <v>37</v>
      </c>
      <c r="E642" s="42" t="s">
        <v>47</v>
      </c>
      <c r="F642" s="42" t="s">
        <v>38</v>
      </c>
      <c r="G642" s="43">
        <v>3635.79</v>
      </c>
      <c r="H642" s="41">
        <v>443248651</v>
      </c>
      <c r="I642" s="44">
        <v>0</v>
      </c>
      <c r="J642" s="43">
        <v>0</v>
      </c>
      <c r="K642" s="43">
        <v>0</v>
      </c>
      <c r="L642" s="43">
        <v>1.73</v>
      </c>
      <c r="M642" s="43">
        <v>10062.42</v>
      </c>
      <c r="N642" s="45" t="s">
        <v>617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35">
        <v>45918.390914351854</v>
      </c>
      <c r="B643" s="36">
        <v>444039006</v>
      </c>
      <c r="C643" s="37" t="s">
        <v>36</v>
      </c>
      <c r="D643" s="37" t="s">
        <v>37</v>
      </c>
      <c r="E643" s="37" t="s">
        <v>47</v>
      </c>
      <c r="F643" s="37" t="s">
        <v>38</v>
      </c>
      <c r="G643" s="38">
        <v>3635.13</v>
      </c>
      <c r="H643" s="36">
        <v>443248954</v>
      </c>
      <c r="I643" s="39">
        <v>0</v>
      </c>
      <c r="J643" s="38">
        <v>0</v>
      </c>
      <c r="K643" s="38">
        <v>0</v>
      </c>
      <c r="L643" s="38">
        <v>3.48</v>
      </c>
      <c r="M643" s="38">
        <v>10065.9</v>
      </c>
      <c r="N643" s="46" t="s">
        <v>618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40">
        <v>45918.391006944446</v>
      </c>
      <c r="B644" s="41">
        <v>444039161</v>
      </c>
      <c r="C644" s="42" t="s">
        <v>36</v>
      </c>
      <c r="D644" s="42" t="s">
        <v>37</v>
      </c>
      <c r="E644" s="42" t="s">
        <v>47</v>
      </c>
      <c r="F644" s="42" t="s">
        <v>38</v>
      </c>
      <c r="G644" s="43">
        <v>3635.08</v>
      </c>
      <c r="H644" s="41">
        <v>443249106</v>
      </c>
      <c r="I644" s="44">
        <v>0</v>
      </c>
      <c r="J644" s="43">
        <v>0</v>
      </c>
      <c r="K644" s="43">
        <v>0</v>
      </c>
      <c r="L644" s="43">
        <v>3.46</v>
      </c>
      <c r="M644" s="43">
        <v>10069.36</v>
      </c>
      <c r="N644" s="45" t="s">
        <v>619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35">
        <v>45918.391041666669</v>
      </c>
      <c r="B645" s="36">
        <v>444039228</v>
      </c>
      <c r="C645" s="37" t="s">
        <v>36</v>
      </c>
      <c r="D645" s="37" t="s">
        <v>37</v>
      </c>
      <c r="E645" s="37" t="s">
        <v>47</v>
      </c>
      <c r="F645" s="37" t="s">
        <v>38</v>
      </c>
      <c r="G645" s="38">
        <v>3634.66</v>
      </c>
      <c r="H645" s="36">
        <v>443249171</v>
      </c>
      <c r="I645" s="39">
        <v>0</v>
      </c>
      <c r="J645" s="38">
        <v>0</v>
      </c>
      <c r="K645" s="38">
        <v>0</v>
      </c>
      <c r="L645" s="38">
        <v>3.05</v>
      </c>
      <c r="M645" s="38">
        <v>10072.41</v>
      </c>
      <c r="N645" s="46" t="s">
        <v>620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40">
        <v>45918.391041666669</v>
      </c>
      <c r="B646" s="41">
        <v>444039230</v>
      </c>
      <c r="C646" s="42" t="s">
        <v>36</v>
      </c>
      <c r="D646" s="42" t="s">
        <v>37</v>
      </c>
      <c r="E646" s="42" t="s">
        <v>47</v>
      </c>
      <c r="F646" s="42" t="s">
        <v>38</v>
      </c>
      <c r="G646" s="43">
        <v>3634.66</v>
      </c>
      <c r="H646" s="41">
        <v>443249173</v>
      </c>
      <c r="I646" s="44">
        <v>0</v>
      </c>
      <c r="J646" s="43">
        <v>0</v>
      </c>
      <c r="K646" s="43">
        <v>0</v>
      </c>
      <c r="L646" s="43">
        <v>3.01</v>
      </c>
      <c r="M646" s="43">
        <v>10075.42</v>
      </c>
      <c r="N646" s="45" t="s">
        <v>620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35">
        <v>45918.391377314816</v>
      </c>
      <c r="B647" s="36">
        <v>444039376</v>
      </c>
      <c r="C647" s="37" t="s">
        <v>36</v>
      </c>
      <c r="D647" s="37" t="s">
        <v>37</v>
      </c>
      <c r="E647" s="37" t="s">
        <v>47</v>
      </c>
      <c r="F647" s="37" t="s">
        <v>38</v>
      </c>
      <c r="G647" s="38">
        <v>3636.79</v>
      </c>
      <c r="H647" s="36">
        <v>443249317</v>
      </c>
      <c r="I647" s="39">
        <v>0</v>
      </c>
      <c r="J647" s="38">
        <v>0</v>
      </c>
      <c r="K647" s="38">
        <v>0</v>
      </c>
      <c r="L647" s="38">
        <v>0.93</v>
      </c>
      <c r="M647" s="38">
        <v>10076.35</v>
      </c>
      <c r="N647" s="46" t="s">
        <v>621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40">
        <v>45918.391412037039</v>
      </c>
      <c r="B648" s="41">
        <v>444039380</v>
      </c>
      <c r="C648" s="42" t="s">
        <v>36</v>
      </c>
      <c r="D648" s="42" t="s">
        <v>39</v>
      </c>
      <c r="E648" s="42" t="s">
        <v>46</v>
      </c>
      <c r="F648" s="42" t="s">
        <v>38</v>
      </c>
      <c r="G648" s="43">
        <v>3636.49</v>
      </c>
      <c r="H648" s="41">
        <v>443249321</v>
      </c>
      <c r="I648" s="44">
        <v>0</v>
      </c>
      <c r="J648" s="43">
        <v>0</v>
      </c>
      <c r="K648" s="43">
        <v>0</v>
      </c>
      <c r="L648" s="43">
        <v>0</v>
      </c>
      <c r="M648" s="43">
        <v>10076.35</v>
      </c>
      <c r="N648" s="45" t="s">
        <v>49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35">
        <v>45918.391412037039</v>
      </c>
      <c r="B649" s="36">
        <v>444039398</v>
      </c>
      <c r="C649" s="37" t="s">
        <v>36</v>
      </c>
      <c r="D649" s="37" t="s">
        <v>39</v>
      </c>
      <c r="E649" s="37" t="s">
        <v>46</v>
      </c>
      <c r="F649" s="37" t="s">
        <v>38</v>
      </c>
      <c r="G649" s="38">
        <v>3636.27</v>
      </c>
      <c r="H649" s="36">
        <v>443249340</v>
      </c>
      <c r="I649" s="39">
        <v>0</v>
      </c>
      <c r="J649" s="38">
        <v>0</v>
      </c>
      <c r="K649" s="38">
        <v>0</v>
      </c>
      <c r="L649" s="38">
        <v>0</v>
      </c>
      <c r="M649" s="38">
        <v>10076.35</v>
      </c>
      <c r="N649" s="46" t="s">
        <v>53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40">
        <v>45918.391412037039</v>
      </c>
      <c r="B650" s="41">
        <v>444039406</v>
      </c>
      <c r="C650" s="42" t="s">
        <v>36</v>
      </c>
      <c r="D650" s="42" t="s">
        <v>39</v>
      </c>
      <c r="E650" s="42" t="s">
        <v>46</v>
      </c>
      <c r="F650" s="42" t="s">
        <v>38</v>
      </c>
      <c r="G650" s="43">
        <v>3636.26</v>
      </c>
      <c r="H650" s="41">
        <v>443249347</v>
      </c>
      <c r="I650" s="44">
        <v>0</v>
      </c>
      <c r="J650" s="43">
        <v>0</v>
      </c>
      <c r="K650" s="43">
        <v>0</v>
      </c>
      <c r="L650" s="43">
        <v>0</v>
      </c>
      <c r="M650" s="43">
        <v>10076.35</v>
      </c>
      <c r="N650" s="45" t="s">
        <v>48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35">
        <v>45918.391423611109</v>
      </c>
      <c r="B651" s="36">
        <v>444039409</v>
      </c>
      <c r="C651" s="37" t="s">
        <v>36</v>
      </c>
      <c r="D651" s="37" t="s">
        <v>39</v>
      </c>
      <c r="E651" s="37" t="s">
        <v>46</v>
      </c>
      <c r="F651" s="37" t="s">
        <v>38</v>
      </c>
      <c r="G651" s="38">
        <v>3636.18</v>
      </c>
      <c r="H651" s="36">
        <v>443249350</v>
      </c>
      <c r="I651" s="39">
        <v>0</v>
      </c>
      <c r="J651" s="38">
        <v>0</v>
      </c>
      <c r="K651" s="38">
        <v>0</v>
      </c>
      <c r="L651" s="38">
        <v>0</v>
      </c>
      <c r="M651" s="38">
        <v>10076.35</v>
      </c>
      <c r="N651" s="46" t="s">
        <v>150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40">
        <v>45918.391736111109</v>
      </c>
      <c r="B652" s="41">
        <v>444039625</v>
      </c>
      <c r="C652" s="42" t="s">
        <v>36</v>
      </c>
      <c r="D652" s="42" t="s">
        <v>37</v>
      </c>
      <c r="E652" s="42" t="s">
        <v>47</v>
      </c>
      <c r="F652" s="42" t="s">
        <v>38</v>
      </c>
      <c r="G652" s="43">
        <v>3634.99</v>
      </c>
      <c r="H652" s="41">
        <v>443249565</v>
      </c>
      <c r="I652" s="44">
        <v>0</v>
      </c>
      <c r="J652" s="43">
        <v>0</v>
      </c>
      <c r="K652" s="43">
        <v>0</v>
      </c>
      <c r="L652" s="43">
        <v>1.19</v>
      </c>
      <c r="M652" s="43">
        <v>10077.540000000001</v>
      </c>
      <c r="N652" s="45" t="s">
        <v>622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35">
        <v>45918.392245370371</v>
      </c>
      <c r="B653" s="36">
        <v>444039772</v>
      </c>
      <c r="C653" s="37" t="s">
        <v>36</v>
      </c>
      <c r="D653" s="37" t="s">
        <v>37</v>
      </c>
      <c r="E653" s="37" t="s">
        <v>47</v>
      </c>
      <c r="F653" s="37" t="s">
        <v>38</v>
      </c>
      <c r="G653" s="38">
        <v>3636.3</v>
      </c>
      <c r="H653" s="36">
        <v>443249704</v>
      </c>
      <c r="I653" s="39">
        <v>0</v>
      </c>
      <c r="J653" s="38">
        <v>0</v>
      </c>
      <c r="K653" s="38">
        <v>0</v>
      </c>
      <c r="L653" s="38">
        <v>0.19</v>
      </c>
      <c r="M653" s="38">
        <v>10077.73</v>
      </c>
      <c r="N653" s="46" t="s">
        <v>623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40">
        <v>45918.392245370371</v>
      </c>
      <c r="B654" s="41">
        <v>444039773</v>
      </c>
      <c r="C654" s="42" t="s">
        <v>36</v>
      </c>
      <c r="D654" s="42" t="s">
        <v>37</v>
      </c>
      <c r="E654" s="42" t="s">
        <v>47</v>
      </c>
      <c r="F654" s="42" t="s">
        <v>38</v>
      </c>
      <c r="G654" s="43">
        <v>3636.3</v>
      </c>
      <c r="H654" s="41">
        <v>443249705</v>
      </c>
      <c r="I654" s="44">
        <v>0</v>
      </c>
      <c r="J654" s="43">
        <v>0</v>
      </c>
      <c r="K654" s="43">
        <v>0</v>
      </c>
      <c r="L654" s="43">
        <v>-0.03</v>
      </c>
      <c r="M654" s="43">
        <v>10077.700000000001</v>
      </c>
      <c r="N654" s="45" t="s">
        <v>624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35">
        <v>45918.392245370371</v>
      </c>
      <c r="B655" s="36">
        <v>444039774</v>
      </c>
      <c r="C655" s="37" t="s">
        <v>36</v>
      </c>
      <c r="D655" s="37" t="s">
        <v>37</v>
      </c>
      <c r="E655" s="37" t="s">
        <v>47</v>
      </c>
      <c r="F655" s="37" t="s">
        <v>38</v>
      </c>
      <c r="G655" s="38">
        <v>3636.3</v>
      </c>
      <c r="H655" s="36">
        <v>443249706</v>
      </c>
      <c r="I655" s="39">
        <v>0</v>
      </c>
      <c r="J655" s="38">
        <v>0</v>
      </c>
      <c r="K655" s="38">
        <v>0</v>
      </c>
      <c r="L655" s="38">
        <v>-0.04</v>
      </c>
      <c r="M655" s="38">
        <v>10077.66</v>
      </c>
      <c r="N655" s="46" t="s">
        <v>623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40">
        <v>45918.392685185187</v>
      </c>
      <c r="B656" s="41">
        <v>444039966</v>
      </c>
      <c r="C656" s="42" t="s">
        <v>36</v>
      </c>
      <c r="D656" s="42" t="s">
        <v>39</v>
      </c>
      <c r="E656" s="42" t="s">
        <v>46</v>
      </c>
      <c r="F656" s="42" t="s">
        <v>38</v>
      </c>
      <c r="G656" s="43">
        <v>3636.78</v>
      </c>
      <c r="H656" s="41">
        <v>443249904</v>
      </c>
      <c r="I656" s="44">
        <v>0</v>
      </c>
      <c r="J656" s="43">
        <v>0</v>
      </c>
      <c r="K656" s="43">
        <v>0</v>
      </c>
      <c r="L656" s="43">
        <v>0</v>
      </c>
      <c r="M656" s="43">
        <v>10077.66</v>
      </c>
      <c r="N656" s="45" t="s">
        <v>150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35">
        <v>45918.392685185187</v>
      </c>
      <c r="B657" s="36">
        <v>444039968</v>
      </c>
      <c r="C657" s="37" t="s">
        <v>36</v>
      </c>
      <c r="D657" s="37" t="s">
        <v>39</v>
      </c>
      <c r="E657" s="37" t="s">
        <v>46</v>
      </c>
      <c r="F657" s="37" t="s">
        <v>38</v>
      </c>
      <c r="G657" s="38">
        <v>3636.78</v>
      </c>
      <c r="H657" s="36">
        <v>443249906</v>
      </c>
      <c r="I657" s="39">
        <v>0</v>
      </c>
      <c r="J657" s="38">
        <v>0</v>
      </c>
      <c r="K657" s="38">
        <v>0</v>
      </c>
      <c r="L657" s="38">
        <v>0</v>
      </c>
      <c r="M657" s="38">
        <v>10077.66</v>
      </c>
      <c r="N657" s="46" t="s">
        <v>48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40">
        <v>45918.392685185187</v>
      </c>
      <c r="B658" s="41">
        <v>444039970</v>
      </c>
      <c r="C658" s="42" t="s">
        <v>36</v>
      </c>
      <c r="D658" s="42" t="s">
        <v>39</v>
      </c>
      <c r="E658" s="42" t="s">
        <v>46</v>
      </c>
      <c r="F658" s="42" t="s">
        <v>38</v>
      </c>
      <c r="G658" s="43">
        <v>3636.78</v>
      </c>
      <c r="H658" s="41">
        <v>443249908</v>
      </c>
      <c r="I658" s="44">
        <v>0</v>
      </c>
      <c r="J658" s="43">
        <v>0</v>
      </c>
      <c r="K658" s="43">
        <v>0</v>
      </c>
      <c r="L658" s="43">
        <v>0</v>
      </c>
      <c r="M658" s="43">
        <v>10077.66</v>
      </c>
      <c r="N658" s="45" t="s">
        <v>53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35">
        <v>45918.392696759256</v>
      </c>
      <c r="B659" s="36">
        <v>444039971</v>
      </c>
      <c r="C659" s="37" t="s">
        <v>36</v>
      </c>
      <c r="D659" s="37" t="s">
        <v>39</v>
      </c>
      <c r="E659" s="37" t="s">
        <v>46</v>
      </c>
      <c r="F659" s="37" t="s">
        <v>38</v>
      </c>
      <c r="G659" s="38">
        <v>3636.77</v>
      </c>
      <c r="H659" s="36">
        <v>443249909</v>
      </c>
      <c r="I659" s="39">
        <v>0</v>
      </c>
      <c r="J659" s="38">
        <v>0</v>
      </c>
      <c r="K659" s="38">
        <v>0</v>
      </c>
      <c r="L659" s="38">
        <v>0</v>
      </c>
      <c r="M659" s="38">
        <v>10077.66</v>
      </c>
      <c r="N659" s="46" t="s">
        <v>49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40">
        <v>45918.394305555557</v>
      </c>
      <c r="B660" s="41">
        <v>444040953</v>
      </c>
      <c r="C660" s="42" t="s">
        <v>36</v>
      </c>
      <c r="D660" s="42" t="s">
        <v>39</v>
      </c>
      <c r="E660" s="42" t="s">
        <v>46</v>
      </c>
      <c r="F660" s="42" t="s">
        <v>38</v>
      </c>
      <c r="G660" s="43">
        <v>3636.91</v>
      </c>
      <c r="H660" s="41">
        <v>443250898</v>
      </c>
      <c r="I660" s="44">
        <v>0</v>
      </c>
      <c r="J660" s="43">
        <v>0</v>
      </c>
      <c r="K660" s="43">
        <v>0</v>
      </c>
      <c r="L660" s="43">
        <v>0</v>
      </c>
      <c r="M660" s="43">
        <v>10077.66</v>
      </c>
      <c r="N660" s="45" t="s">
        <v>616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35">
        <v>45918.394305555557</v>
      </c>
      <c r="B661" s="36">
        <v>444040957</v>
      </c>
      <c r="C661" s="37" t="s">
        <v>36</v>
      </c>
      <c r="D661" s="37" t="s">
        <v>39</v>
      </c>
      <c r="E661" s="37" t="s">
        <v>46</v>
      </c>
      <c r="F661" s="37" t="s">
        <v>38</v>
      </c>
      <c r="G661" s="38">
        <v>3636.87</v>
      </c>
      <c r="H661" s="36">
        <v>443250902</v>
      </c>
      <c r="I661" s="39">
        <v>0</v>
      </c>
      <c r="J661" s="38">
        <v>0</v>
      </c>
      <c r="K661" s="38">
        <v>0</v>
      </c>
      <c r="L661" s="38">
        <v>0</v>
      </c>
      <c r="M661" s="38">
        <v>10077.66</v>
      </c>
      <c r="N661" s="46" t="s">
        <v>268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40">
        <v>45918.395011574074</v>
      </c>
      <c r="B662" s="41">
        <v>444041405</v>
      </c>
      <c r="C662" s="42" t="s">
        <v>36</v>
      </c>
      <c r="D662" s="42" t="s">
        <v>37</v>
      </c>
      <c r="E662" s="42" t="s">
        <v>47</v>
      </c>
      <c r="F662" s="42" t="s">
        <v>38</v>
      </c>
      <c r="G662" s="43">
        <v>3639.28</v>
      </c>
      <c r="H662" s="41">
        <v>443251340</v>
      </c>
      <c r="I662" s="44">
        <v>0</v>
      </c>
      <c r="J662" s="43">
        <v>0</v>
      </c>
      <c r="K662" s="43">
        <v>0</v>
      </c>
      <c r="L662" s="43">
        <v>-2.5099999999999998</v>
      </c>
      <c r="M662" s="43">
        <v>10075.15</v>
      </c>
      <c r="N662" s="45" t="s">
        <v>625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35">
        <v>45918.395416666666</v>
      </c>
      <c r="B663" s="36">
        <v>444041601</v>
      </c>
      <c r="C663" s="37" t="s">
        <v>36</v>
      </c>
      <c r="D663" s="37" t="s">
        <v>37</v>
      </c>
      <c r="E663" s="37" t="s">
        <v>47</v>
      </c>
      <c r="F663" s="37" t="s">
        <v>38</v>
      </c>
      <c r="G663" s="38">
        <v>3639.82</v>
      </c>
      <c r="H663" s="36">
        <v>443251529</v>
      </c>
      <c r="I663" s="39">
        <v>0</v>
      </c>
      <c r="J663" s="38">
        <v>0</v>
      </c>
      <c r="K663" s="38">
        <v>0</v>
      </c>
      <c r="L663" s="38">
        <v>-3.04</v>
      </c>
      <c r="M663" s="38">
        <v>10072.11</v>
      </c>
      <c r="N663" s="46" t="s">
        <v>626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40">
        <v>45918.395416666666</v>
      </c>
      <c r="B664" s="41">
        <v>444041603</v>
      </c>
      <c r="C664" s="42" t="s">
        <v>36</v>
      </c>
      <c r="D664" s="42" t="s">
        <v>37</v>
      </c>
      <c r="E664" s="42" t="s">
        <v>47</v>
      </c>
      <c r="F664" s="42" t="s">
        <v>38</v>
      </c>
      <c r="G664" s="43">
        <v>3639.82</v>
      </c>
      <c r="H664" s="41">
        <v>443251530</v>
      </c>
      <c r="I664" s="44">
        <v>0</v>
      </c>
      <c r="J664" s="43">
        <v>0</v>
      </c>
      <c r="K664" s="43">
        <v>0</v>
      </c>
      <c r="L664" s="43">
        <v>-3.04</v>
      </c>
      <c r="M664" s="43">
        <v>10069.07</v>
      </c>
      <c r="N664" s="45" t="s">
        <v>626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35">
        <v>45918.395416666666</v>
      </c>
      <c r="B665" s="36">
        <v>444041604</v>
      </c>
      <c r="C665" s="37" t="s">
        <v>36</v>
      </c>
      <c r="D665" s="37" t="s">
        <v>37</v>
      </c>
      <c r="E665" s="37" t="s">
        <v>47</v>
      </c>
      <c r="F665" s="37" t="s">
        <v>38</v>
      </c>
      <c r="G665" s="38">
        <v>3639.82</v>
      </c>
      <c r="H665" s="36">
        <v>443251531</v>
      </c>
      <c r="I665" s="39">
        <v>0</v>
      </c>
      <c r="J665" s="38">
        <v>0</v>
      </c>
      <c r="K665" s="38">
        <v>0</v>
      </c>
      <c r="L665" s="38">
        <v>-3.04</v>
      </c>
      <c r="M665" s="38">
        <v>10066.030000000001</v>
      </c>
      <c r="N665" s="46" t="s">
        <v>626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40">
        <v>45918.399108796293</v>
      </c>
      <c r="B666" s="41">
        <v>444042889</v>
      </c>
      <c r="C666" s="42" t="s">
        <v>36</v>
      </c>
      <c r="D666" s="42" t="s">
        <v>37</v>
      </c>
      <c r="E666" s="42" t="s">
        <v>47</v>
      </c>
      <c r="F666" s="42" t="s">
        <v>38</v>
      </c>
      <c r="G666" s="43">
        <v>3640.01</v>
      </c>
      <c r="H666" s="41">
        <v>443252835</v>
      </c>
      <c r="I666" s="44">
        <v>0</v>
      </c>
      <c r="J666" s="43">
        <v>0</v>
      </c>
      <c r="K666" s="43">
        <v>0</v>
      </c>
      <c r="L666" s="43">
        <v>-3.1</v>
      </c>
      <c r="M666" s="43">
        <v>10062.93</v>
      </c>
      <c r="N666" s="45" t="s">
        <v>627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35">
        <v>45918.399108796293</v>
      </c>
      <c r="B667" s="36">
        <v>444042891</v>
      </c>
      <c r="C667" s="37" t="s">
        <v>36</v>
      </c>
      <c r="D667" s="37" t="s">
        <v>37</v>
      </c>
      <c r="E667" s="37" t="s">
        <v>47</v>
      </c>
      <c r="F667" s="37" t="s">
        <v>38</v>
      </c>
      <c r="G667" s="38">
        <v>3640.01</v>
      </c>
      <c r="H667" s="36">
        <v>443252836</v>
      </c>
      <c r="I667" s="39">
        <v>0</v>
      </c>
      <c r="J667" s="38">
        <v>0</v>
      </c>
      <c r="K667" s="38">
        <v>0</v>
      </c>
      <c r="L667" s="38">
        <v>-3.14</v>
      </c>
      <c r="M667" s="38">
        <v>10059.790000000001</v>
      </c>
      <c r="N667" s="46" t="s">
        <v>628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40">
        <v>45918.400092592594</v>
      </c>
      <c r="B668" s="41">
        <v>444043662</v>
      </c>
      <c r="C668" s="42" t="s">
        <v>36</v>
      </c>
      <c r="D668" s="42" t="s">
        <v>39</v>
      </c>
      <c r="E668" s="42" t="s">
        <v>46</v>
      </c>
      <c r="F668" s="42" t="s">
        <v>38</v>
      </c>
      <c r="G668" s="43">
        <v>3637.76</v>
      </c>
      <c r="H668" s="41">
        <v>443253656</v>
      </c>
      <c r="I668" s="44">
        <v>0</v>
      </c>
      <c r="J668" s="43">
        <v>0</v>
      </c>
      <c r="K668" s="43">
        <v>0</v>
      </c>
      <c r="L668" s="43">
        <v>0</v>
      </c>
      <c r="M668" s="43">
        <v>10059.790000000001</v>
      </c>
      <c r="N668" s="45" t="s">
        <v>268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35">
        <v>45918.400092592594</v>
      </c>
      <c r="B669" s="36">
        <v>444043663</v>
      </c>
      <c r="C669" s="37" t="s">
        <v>36</v>
      </c>
      <c r="D669" s="37" t="s">
        <v>39</v>
      </c>
      <c r="E669" s="37" t="s">
        <v>46</v>
      </c>
      <c r="F669" s="37" t="s">
        <v>38</v>
      </c>
      <c r="G669" s="38">
        <v>3637.81</v>
      </c>
      <c r="H669" s="36">
        <v>443253657</v>
      </c>
      <c r="I669" s="39">
        <v>0</v>
      </c>
      <c r="J669" s="38">
        <v>0</v>
      </c>
      <c r="K669" s="38">
        <v>0</v>
      </c>
      <c r="L669" s="38">
        <v>0</v>
      </c>
      <c r="M669" s="38">
        <v>10059.790000000001</v>
      </c>
      <c r="N669" s="46" t="s">
        <v>616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40">
        <v>45918.404953703706</v>
      </c>
      <c r="B670" s="41">
        <v>444045780</v>
      </c>
      <c r="C670" s="42" t="s">
        <v>36</v>
      </c>
      <c r="D670" s="42" t="s">
        <v>39</v>
      </c>
      <c r="E670" s="42" t="s">
        <v>46</v>
      </c>
      <c r="F670" s="42" t="s">
        <v>38</v>
      </c>
      <c r="G670" s="43">
        <v>3636.65</v>
      </c>
      <c r="H670" s="41">
        <v>443256031</v>
      </c>
      <c r="I670" s="44">
        <v>0</v>
      </c>
      <c r="J670" s="43">
        <v>0</v>
      </c>
      <c r="K670" s="43">
        <v>0</v>
      </c>
      <c r="L670" s="43">
        <v>0</v>
      </c>
      <c r="M670" s="43">
        <v>10059.790000000001</v>
      </c>
      <c r="N670" s="45" t="s">
        <v>150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35">
        <v>45918.404953703706</v>
      </c>
      <c r="B671" s="36">
        <v>444045782</v>
      </c>
      <c r="C671" s="37" t="s">
        <v>36</v>
      </c>
      <c r="D671" s="37" t="s">
        <v>39</v>
      </c>
      <c r="E671" s="37" t="s">
        <v>46</v>
      </c>
      <c r="F671" s="37" t="s">
        <v>38</v>
      </c>
      <c r="G671" s="38">
        <v>3636.65</v>
      </c>
      <c r="H671" s="36">
        <v>443256033</v>
      </c>
      <c r="I671" s="39">
        <v>0</v>
      </c>
      <c r="J671" s="38">
        <v>0</v>
      </c>
      <c r="K671" s="38">
        <v>0</v>
      </c>
      <c r="L671" s="38">
        <v>0</v>
      </c>
      <c r="M671" s="38">
        <v>10059.790000000001</v>
      </c>
      <c r="N671" s="46" t="s">
        <v>53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40">
        <v>45918.404953703706</v>
      </c>
      <c r="B672" s="41">
        <v>444045783</v>
      </c>
      <c r="C672" s="42" t="s">
        <v>36</v>
      </c>
      <c r="D672" s="42" t="s">
        <v>39</v>
      </c>
      <c r="E672" s="42" t="s">
        <v>46</v>
      </c>
      <c r="F672" s="42" t="s">
        <v>38</v>
      </c>
      <c r="G672" s="43">
        <v>3636.65</v>
      </c>
      <c r="H672" s="41">
        <v>443256034</v>
      </c>
      <c r="I672" s="44">
        <v>0</v>
      </c>
      <c r="J672" s="43">
        <v>0</v>
      </c>
      <c r="K672" s="43">
        <v>0</v>
      </c>
      <c r="L672" s="43">
        <v>0</v>
      </c>
      <c r="M672" s="43">
        <v>10059.790000000001</v>
      </c>
      <c r="N672" s="45" t="s">
        <v>48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35">
        <v>45918.404953703706</v>
      </c>
      <c r="B673" s="36">
        <v>444045785</v>
      </c>
      <c r="C673" s="37" t="s">
        <v>36</v>
      </c>
      <c r="D673" s="37" t="s">
        <v>39</v>
      </c>
      <c r="E673" s="37" t="s">
        <v>46</v>
      </c>
      <c r="F673" s="37" t="s">
        <v>38</v>
      </c>
      <c r="G673" s="38">
        <v>3636.65</v>
      </c>
      <c r="H673" s="36">
        <v>443256035</v>
      </c>
      <c r="I673" s="39">
        <v>0</v>
      </c>
      <c r="J673" s="38">
        <v>0</v>
      </c>
      <c r="K673" s="38">
        <v>0</v>
      </c>
      <c r="L673" s="38">
        <v>0</v>
      </c>
      <c r="M673" s="38">
        <v>10059.790000000001</v>
      </c>
      <c r="N673" s="46" t="s">
        <v>49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40">
        <v>45918.40766203704</v>
      </c>
      <c r="B674" s="41">
        <v>444046705</v>
      </c>
      <c r="C674" s="42" t="s">
        <v>36</v>
      </c>
      <c r="D674" s="42" t="s">
        <v>37</v>
      </c>
      <c r="E674" s="42" t="s">
        <v>47</v>
      </c>
      <c r="F674" s="42" t="s">
        <v>38</v>
      </c>
      <c r="G674" s="43">
        <v>3639.24</v>
      </c>
      <c r="H674" s="41">
        <v>443257120</v>
      </c>
      <c r="I674" s="44">
        <v>0</v>
      </c>
      <c r="J674" s="43">
        <v>0</v>
      </c>
      <c r="K674" s="43">
        <v>0</v>
      </c>
      <c r="L674" s="43">
        <v>-2.59</v>
      </c>
      <c r="M674" s="43">
        <v>10057.200000000001</v>
      </c>
      <c r="N674" s="45" t="s">
        <v>629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35">
        <v>45918.411435185182</v>
      </c>
      <c r="B675" s="36">
        <v>444048186</v>
      </c>
      <c r="C675" s="37" t="s">
        <v>36</v>
      </c>
      <c r="D675" s="37" t="s">
        <v>37</v>
      </c>
      <c r="E675" s="37" t="s">
        <v>47</v>
      </c>
      <c r="F675" s="37" t="s">
        <v>38</v>
      </c>
      <c r="G675" s="38">
        <v>3639.7</v>
      </c>
      <c r="H675" s="36">
        <v>443258878</v>
      </c>
      <c r="I675" s="39">
        <v>0</v>
      </c>
      <c r="J675" s="38">
        <v>0</v>
      </c>
      <c r="K675" s="38">
        <v>0</v>
      </c>
      <c r="L675" s="38">
        <v>-3.05</v>
      </c>
      <c r="M675" s="38">
        <v>10054.15</v>
      </c>
      <c r="N675" s="46" t="s">
        <v>630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40">
        <v>45918.411435185182</v>
      </c>
      <c r="B676" s="41">
        <v>444048187</v>
      </c>
      <c r="C676" s="42" t="s">
        <v>36</v>
      </c>
      <c r="D676" s="42" t="s">
        <v>37</v>
      </c>
      <c r="E676" s="42" t="s">
        <v>47</v>
      </c>
      <c r="F676" s="42" t="s">
        <v>38</v>
      </c>
      <c r="G676" s="43">
        <v>3639.7</v>
      </c>
      <c r="H676" s="41">
        <v>443258879</v>
      </c>
      <c r="I676" s="44">
        <v>0</v>
      </c>
      <c r="J676" s="43">
        <v>0</v>
      </c>
      <c r="K676" s="43">
        <v>0</v>
      </c>
      <c r="L676" s="43">
        <v>-3.05</v>
      </c>
      <c r="M676" s="43">
        <v>10051.1</v>
      </c>
      <c r="N676" s="45" t="s">
        <v>631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35">
        <v>45918.411435185182</v>
      </c>
      <c r="B677" s="36">
        <v>444048188</v>
      </c>
      <c r="C677" s="37" t="s">
        <v>36</v>
      </c>
      <c r="D677" s="37" t="s">
        <v>37</v>
      </c>
      <c r="E677" s="37" t="s">
        <v>47</v>
      </c>
      <c r="F677" s="37" t="s">
        <v>38</v>
      </c>
      <c r="G677" s="38">
        <v>3639.7</v>
      </c>
      <c r="H677" s="36">
        <v>443258880</v>
      </c>
      <c r="I677" s="39">
        <v>0</v>
      </c>
      <c r="J677" s="38">
        <v>0</v>
      </c>
      <c r="K677" s="38">
        <v>0</v>
      </c>
      <c r="L677" s="38">
        <v>-3.05</v>
      </c>
      <c r="M677" s="38">
        <v>10048.049999999999</v>
      </c>
      <c r="N677" s="46" t="s">
        <v>631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40">
        <v>45918.420902777776</v>
      </c>
      <c r="B678" s="41">
        <v>444053441</v>
      </c>
      <c r="C678" s="42" t="s">
        <v>36</v>
      </c>
      <c r="D678" s="42" t="s">
        <v>37</v>
      </c>
      <c r="E678" s="42" t="s">
        <v>47</v>
      </c>
      <c r="F678" s="42" t="s">
        <v>38</v>
      </c>
      <c r="G678" s="43">
        <v>3640.79</v>
      </c>
      <c r="H678" s="41">
        <v>443264631</v>
      </c>
      <c r="I678" s="44">
        <v>0</v>
      </c>
      <c r="J678" s="43">
        <v>0</v>
      </c>
      <c r="K678" s="43">
        <v>0</v>
      </c>
      <c r="L678" s="43">
        <v>-3.03</v>
      </c>
      <c r="M678" s="43">
        <v>10045.02</v>
      </c>
      <c r="N678" s="45" t="s">
        <v>632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35">
        <v>45918.420902777776</v>
      </c>
      <c r="B679" s="36">
        <v>444053445</v>
      </c>
      <c r="C679" s="37" t="s">
        <v>36</v>
      </c>
      <c r="D679" s="37" t="s">
        <v>37</v>
      </c>
      <c r="E679" s="37" t="s">
        <v>47</v>
      </c>
      <c r="F679" s="37" t="s">
        <v>38</v>
      </c>
      <c r="G679" s="38">
        <v>3640.79</v>
      </c>
      <c r="H679" s="36">
        <v>443264633</v>
      </c>
      <c r="I679" s="39">
        <v>0</v>
      </c>
      <c r="J679" s="38">
        <v>0</v>
      </c>
      <c r="K679" s="38">
        <v>0</v>
      </c>
      <c r="L679" s="38">
        <v>-2.98</v>
      </c>
      <c r="M679" s="38">
        <v>10042.040000000001</v>
      </c>
      <c r="N679" s="46" t="s">
        <v>632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40">
        <v>45918.43273148148</v>
      </c>
      <c r="B680" s="41">
        <v>444064796</v>
      </c>
      <c r="C680" s="42" t="s">
        <v>36</v>
      </c>
      <c r="D680" s="42" t="s">
        <v>37</v>
      </c>
      <c r="E680" s="42" t="s">
        <v>46</v>
      </c>
      <c r="F680" s="42" t="s">
        <v>38</v>
      </c>
      <c r="G680" s="43">
        <v>3647.42</v>
      </c>
      <c r="H680" s="41">
        <v>443276227</v>
      </c>
      <c r="I680" s="44">
        <v>0</v>
      </c>
      <c r="J680" s="43">
        <v>0</v>
      </c>
      <c r="K680" s="43">
        <v>0</v>
      </c>
      <c r="L680" s="43">
        <v>0</v>
      </c>
      <c r="M680" s="43">
        <v>10042.040000000001</v>
      </c>
      <c r="N680" s="45" t="s">
        <v>49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35">
        <v>45918.43273148148</v>
      </c>
      <c r="B681" s="36">
        <v>444064797</v>
      </c>
      <c r="C681" s="37" t="s">
        <v>36</v>
      </c>
      <c r="D681" s="37" t="s">
        <v>37</v>
      </c>
      <c r="E681" s="37" t="s">
        <v>46</v>
      </c>
      <c r="F681" s="37" t="s">
        <v>38</v>
      </c>
      <c r="G681" s="38">
        <v>3647.45</v>
      </c>
      <c r="H681" s="36">
        <v>443276228</v>
      </c>
      <c r="I681" s="39">
        <v>0</v>
      </c>
      <c r="J681" s="38">
        <v>0</v>
      </c>
      <c r="K681" s="38">
        <v>0</v>
      </c>
      <c r="L681" s="38">
        <v>0</v>
      </c>
      <c r="M681" s="38">
        <v>10042.040000000001</v>
      </c>
      <c r="N681" s="46" t="s">
        <v>53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40">
        <v>45918.43273148148</v>
      </c>
      <c r="B682" s="41">
        <v>444064799</v>
      </c>
      <c r="C682" s="42" t="s">
        <v>36</v>
      </c>
      <c r="D682" s="42" t="s">
        <v>37</v>
      </c>
      <c r="E682" s="42" t="s">
        <v>46</v>
      </c>
      <c r="F682" s="42" t="s">
        <v>38</v>
      </c>
      <c r="G682" s="43">
        <v>3647.53</v>
      </c>
      <c r="H682" s="41">
        <v>443276231</v>
      </c>
      <c r="I682" s="44">
        <v>0</v>
      </c>
      <c r="J682" s="43">
        <v>0</v>
      </c>
      <c r="K682" s="43">
        <v>0</v>
      </c>
      <c r="L682" s="43">
        <v>0</v>
      </c>
      <c r="M682" s="43">
        <v>10042.040000000001</v>
      </c>
      <c r="N682" s="45" t="s">
        <v>48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35">
        <v>45918.43273148148</v>
      </c>
      <c r="B683" s="36">
        <v>444064800</v>
      </c>
      <c r="C683" s="37" t="s">
        <v>36</v>
      </c>
      <c r="D683" s="37" t="s">
        <v>37</v>
      </c>
      <c r="E683" s="37" t="s">
        <v>46</v>
      </c>
      <c r="F683" s="37" t="s">
        <v>38</v>
      </c>
      <c r="G683" s="38">
        <v>3647.76</v>
      </c>
      <c r="H683" s="36">
        <v>443276233</v>
      </c>
      <c r="I683" s="39">
        <v>0</v>
      </c>
      <c r="J683" s="38">
        <v>0</v>
      </c>
      <c r="K683" s="38">
        <v>0</v>
      </c>
      <c r="L683" s="38">
        <v>0</v>
      </c>
      <c r="M683" s="38">
        <v>10042.040000000001</v>
      </c>
      <c r="N683" s="46" t="s">
        <v>150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40">
        <v>45918.435613425929</v>
      </c>
      <c r="B684" s="41">
        <v>444067159</v>
      </c>
      <c r="C684" s="42" t="s">
        <v>36</v>
      </c>
      <c r="D684" s="42" t="s">
        <v>39</v>
      </c>
      <c r="E684" s="42" t="s">
        <v>47</v>
      </c>
      <c r="F684" s="42" t="s">
        <v>38</v>
      </c>
      <c r="G684" s="43">
        <v>3648.95</v>
      </c>
      <c r="H684" s="41">
        <v>443278743</v>
      </c>
      <c r="I684" s="44">
        <v>0</v>
      </c>
      <c r="J684" s="43">
        <v>0</v>
      </c>
      <c r="K684" s="43">
        <v>0</v>
      </c>
      <c r="L684" s="43">
        <v>1.19</v>
      </c>
      <c r="M684" s="43">
        <v>10043.23</v>
      </c>
      <c r="N684" s="45" t="s">
        <v>633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35">
        <v>45918.438773148147</v>
      </c>
      <c r="B685" s="36">
        <v>444069249</v>
      </c>
      <c r="C685" s="37" t="s">
        <v>36</v>
      </c>
      <c r="D685" s="37" t="s">
        <v>39</v>
      </c>
      <c r="E685" s="37" t="s">
        <v>47</v>
      </c>
      <c r="F685" s="37" t="s">
        <v>38</v>
      </c>
      <c r="G685" s="38">
        <v>3650.54</v>
      </c>
      <c r="H685" s="36">
        <v>443281084</v>
      </c>
      <c r="I685" s="39">
        <v>0</v>
      </c>
      <c r="J685" s="38">
        <v>0</v>
      </c>
      <c r="K685" s="38">
        <v>0</v>
      </c>
      <c r="L685" s="38">
        <v>3.12</v>
      </c>
      <c r="M685" s="38">
        <v>10046.35</v>
      </c>
      <c r="N685" s="46" t="s">
        <v>634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40">
        <v>45918.438773148147</v>
      </c>
      <c r="B686" s="41">
        <v>444069250</v>
      </c>
      <c r="C686" s="42" t="s">
        <v>36</v>
      </c>
      <c r="D686" s="42" t="s">
        <v>39</v>
      </c>
      <c r="E686" s="42" t="s">
        <v>47</v>
      </c>
      <c r="F686" s="42" t="s">
        <v>38</v>
      </c>
      <c r="G686" s="43">
        <v>3650.54</v>
      </c>
      <c r="H686" s="41">
        <v>443281085</v>
      </c>
      <c r="I686" s="44">
        <v>0</v>
      </c>
      <c r="J686" s="43">
        <v>0</v>
      </c>
      <c r="K686" s="43">
        <v>0</v>
      </c>
      <c r="L686" s="43">
        <v>3.01</v>
      </c>
      <c r="M686" s="43">
        <v>10049.36</v>
      </c>
      <c r="N686" s="45" t="s">
        <v>635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35">
        <v>45918.439270833333</v>
      </c>
      <c r="B687" s="36">
        <v>444069595</v>
      </c>
      <c r="C687" s="37" t="s">
        <v>36</v>
      </c>
      <c r="D687" s="37" t="s">
        <v>39</v>
      </c>
      <c r="E687" s="37" t="s">
        <v>47</v>
      </c>
      <c r="F687" s="37" t="s">
        <v>38</v>
      </c>
      <c r="G687" s="38">
        <v>3651.04</v>
      </c>
      <c r="H687" s="36">
        <v>443281468</v>
      </c>
      <c r="I687" s="39">
        <v>0</v>
      </c>
      <c r="J687" s="38">
        <v>0</v>
      </c>
      <c r="K687" s="38">
        <v>0</v>
      </c>
      <c r="L687" s="38">
        <v>3.59</v>
      </c>
      <c r="M687" s="38">
        <v>10052.950000000001</v>
      </c>
      <c r="N687" s="46" t="s">
        <v>636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40">
        <v>45918.441296296296</v>
      </c>
      <c r="B688" s="41">
        <v>444070767</v>
      </c>
      <c r="C688" s="42" t="s">
        <v>36</v>
      </c>
      <c r="D688" s="42" t="s">
        <v>37</v>
      </c>
      <c r="E688" s="42" t="s">
        <v>46</v>
      </c>
      <c r="F688" s="42" t="s">
        <v>38</v>
      </c>
      <c r="G688" s="43">
        <v>3650.68</v>
      </c>
      <c r="H688" s="41">
        <v>443282831</v>
      </c>
      <c r="I688" s="44">
        <v>0</v>
      </c>
      <c r="J688" s="43">
        <v>0</v>
      </c>
      <c r="K688" s="43">
        <v>0</v>
      </c>
      <c r="L688" s="43">
        <v>0</v>
      </c>
      <c r="M688" s="43">
        <v>10052.950000000001</v>
      </c>
      <c r="N688" s="45" t="s">
        <v>150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35">
        <v>45918.441296296296</v>
      </c>
      <c r="B689" s="36">
        <v>444070769</v>
      </c>
      <c r="C689" s="37" t="s">
        <v>36</v>
      </c>
      <c r="D689" s="37" t="s">
        <v>37</v>
      </c>
      <c r="E689" s="37" t="s">
        <v>46</v>
      </c>
      <c r="F689" s="37" t="s">
        <v>38</v>
      </c>
      <c r="G689" s="38">
        <v>3650.68</v>
      </c>
      <c r="H689" s="36">
        <v>443282833</v>
      </c>
      <c r="I689" s="39">
        <v>0</v>
      </c>
      <c r="J689" s="38">
        <v>0</v>
      </c>
      <c r="K689" s="38">
        <v>0</v>
      </c>
      <c r="L689" s="38">
        <v>0</v>
      </c>
      <c r="M689" s="38">
        <v>10052.950000000001</v>
      </c>
      <c r="N689" s="46" t="s">
        <v>49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40">
        <v>45918.441296296296</v>
      </c>
      <c r="B690" s="41">
        <v>444070772</v>
      </c>
      <c r="C690" s="42" t="s">
        <v>36</v>
      </c>
      <c r="D690" s="42" t="s">
        <v>37</v>
      </c>
      <c r="E690" s="42" t="s">
        <v>46</v>
      </c>
      <c r="F690" s="42" t="s">
        <v>38</v>
      </c>
      <c r="G690" s="43">
        <v>3650.68</v>
      </c>
      <c r="H690" s="41">
        <v>443282835</v>
      </c>
      <c r="I690" s="44">
        <v>0</v>
      </c>
      <c r="J690" s="43">
        <v>0</v>
      </c>
      <c r="K690" s="43">
        <v>0</v>
      </c>
      <c r="L690" s="43">
        <v>0</v>
      </c>
      <c r="M690" s="43">
        <v>10052.950000000001</v>
      </c>
      <c r="N690" s="45" t="s">
        <v>48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35">
        <v>45918.441296296296</v>
      </c>
      <c r="B691" s="36">
        <v>444070781</v>
      </c>
      <c r="C691" s="37" t="s">
        <v>36</v>
      </c>
      <c r="D691" s="37" t="s">
        <v>37</v>
      </c>
      <c r="E691" s="37" t="s">
        <v>46</v>
      </c>
      <c r="F691" s="37" t="s">
        <v>38</v>
      </c>
      <c r="G691" s="38">
        <v>3650.68</v>
      </c>
      <c r="H691" s="36">
        <v>443282844</v>
      </c>
      <c r="I691" s="39">
        <v>0</v>
      </c>
      <c r="J691" s="38">
        <v>0</v>
      </c>
      <c r="K691" s="38">
        <v>0</v>
      </c>
      <c r="L691" s="38">
        <v>0</v>
      </c>
      <c r="M691" s="38">
        <v>10052.950000000001</v>
      </c>
      <c r="N691" s="46" t="s">
        <v>53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40">
        <v>45918.44363425926</v>
      </c>
      <c r="B692" s="41">
        <v>444071937</v>
      </c>
      <c r="C692" s="42" t="s">
        <v>36</v>
      </c>
      <c r="D692" s="42" t="s">
        <v>39</v>
      </c>
      <c r="E692" s="42" t="s">
        <v>47</v>
      </c>
      <c r="F692" s="42" t="s">
        <v>38</v>
      </c>
      <c r="G692" s="43">
        <v>3652.21</v>
      </c>
      <c r="H692" s="41">
        <v>443284193</v>
      </c>
      <c r="I692" s="44">
        <v>0</v>
      </c>
      <c r="J692" s="43">
        <v>0</v>
      </c>
      <c r="K692" s="43">
        <v>0</v>
      </c>
      <c r="L692" s="43">
        <v>1.53</v>
      </c>
      <c r="M692" s="43">
        <v>10054.48</v>
      </c>
      <c r="N692" s="45" t="s">
        <v>637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35">
        <v>45918.44494212963</v>
      </c>
      <c r="B693" s="36">
        <v>444072968</v>
      </c>
      <c r="C693" s="37" t="s">
        <v>36</v>
      </c>
      <c r="D693" s="37" t="s">
        <v>39</v>
      </c>
      <c r="E693" s="37" t="s">
        <v>47</v>
      </c>
      <c r="F693" s="37" t="s">
        <v>38</v>
      </c>
      <c r="G693" s="38">
        <v>3653.8</v>
      </c>
      <c r="H693" s="36">
        <v>443285306</v>
      </c>
      <c r="I693" s="39">
        <v>0</v>
      </c>
      <c r="J693" s="38">
        <v>0</v>
      </c>
      <c r="K693" s="38">
        <v>0</v>
      </c>
      <c r="L693" s="38">
        <v>3.12</v>
      </c>
      <c r="M693" s="38">
        <v>10057.6</v>
      </c>
      <c r="N693" s="46" t="s">
        <v>638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40">
        <v>45918.44494212963</v>
      </c>
      <c r="B694" s="41">
        <v>444072971</v>
      </c>
      <c r="C694" s="42" t="s">
        <v>36</v>
      </c>
      <c r="D694" s="42" t="s">
        <v>39</v>
      </c>
      <c r="E694" s="42" t="s">
        <v>47</v>
      </c>
      <c r="F694" s="42" t="s">
        <v>38</v>
      </c>
      <c r="G694" s="43">
        <v>3653.8</v>
      </c>
      <c r="H694" s="41">
        <v>443285307</v>
      </c>
      <c r="I694" s="44">
        <v>0</v>
      </c>
      <c r="J694" s="43">
        <v>0</v>
      </c>
      <c r="K694" s="43">
        <v>0</v>
      </c>
      <c r="L694" s="43">
        <v>3.12</v>
      </c>
      <c r="M694" s="43">
        <v>10060.719999999999</v>
      </c>
      <c r="N694" s="45" t="s">
        <v>638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35">
        <v>45918.444976851853</v>
      </c>
      <c r="B695" s="36">
        <v>444073089</v>
      </c>
      <c r="C695" s="37" t="s">
        <v>36</v>
      </c>
      <c r="D695" s="37" t="s">
        <v>39</v>
      </c>
      <c r="E695" s="37" t="s">
        <v>47</v>
      </c>
      <c r="F695" s="37" t="s">
        <v>38</v>
      </c>
      <c r="G695" s="38">
        <v>3654.21</v>
      </c>
      <c r="H695" s="36">
        <v>443285425</v>
      </c>
      <c r="I695" s="39">
        <v>0</v>
      </c>
      <c r="J695" s="38">
        <v>0</v>
      </c>
      <c r="K695" s="38">
        <v>0</v>
      </c>
      <c r="L695" s="38">
        <v>3.53</v>
      </c>
      <c r="M695" s="38">
        <v>10064.25</v>
      </c>
      <c r="N695" s="46" t="s">
        <v>639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40">
        <v>45918.450208333335</v>
      </c>
      <c r="B696" s="41">
        <v>444077235</v>
      </c>
      <c r="C696" s="42" t="s">
        <v>36</v>
      </c>
      <c r="D696" s="42" t="s">
        <v>37</v>
      </c>
      <c r="E696" s="42" t="s">
        <v>46</v>
      </c>
      <c r="F696" s="42" t="s">
        <v>38</v>
      </c>
      <c r="G696" s="43">
        <v>3657.89</v>
      </c>
      <c r="H696" s="41">
        <v>443289887</v>
      </c>
      <c r="I696" s="44">
        <v>0</v>
      </c>
      <c r="J696" s="43">
        <v>0</v>
      </c>
      <c r="K696" s="43">
        <v>0</v>
      </c>
      <c r="L696" s="43">
        <v>0</v>
      </c>
      <c r="M696" s="43">
        <v>10064.25</v>
      </c>
      <c r="N696" s="45" t="s">
        <v>150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35">
        <v>45918.450208333335</v>
      </c>
      <c r="B697" s="36">
        <v>444077238</v>
      </c>
      <c r="C697" s="37" t="s">
        <v>36</v>
      </c>
      <c r="D697" s="37" t="s">
        <v>37</v>
      </c>
      <c r="E697" s="37" t="s">
        <v>46</v>
      </c>
      <c r="F697" s="37" t="s">
        <v>38</v>
      </c>
      <c r="G697" s="38">
        <v>3657.81</v>
      </c>
      <c r="H697" s="36">
        <v>443289890</v>
      </c>
      <c r="I697" s="39">
        <v>0</v>
      </c>
      <c r="J697" s="38">
        <v>0</v>
      </c>
      <c r="K697" s="38">
        <v>0</v>
      </c>
      <c r="L697" s="38">
        <v>0</v>
      </c>
      <c r="M697" s="38">
        <v>10064.25</v>
      </c>
      <c r="N697" s="46" t="s">
        <v>53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40">
        <v>45918.450208333335</v>
      </c>
      <c r="B698" s="41">
        <v>444077240</v>
      </c>
      <c r="C698" s="42" t="s">
        <v>36</v>
      </c>
      <c r="D698" s="42" t="s">
        <v>37</v>
      </c>
      <c r="E698" s="42" t="s">
        <v>46</v>
      </c>
      <c r="F698" s="42" t="s">
        <v>38</v>
      </c>
      <c r="G698" s="43">
        <v>3657.86</v>
      </c>
      <c r="H698" s="41">
        <v>443289894</v>
      </c>
      <c r="I698" s="44">
        <v>0</v>
      </c>
      <c r="J698" s="43">
        <v>0</v>
      </c>
      <c r="K698" s="43">
        <v>0</v>
      </c>
      <c r="L698" s="43">
        <v>0</v>
      </c>
      <c r="M698" s="43">
        <v>10064.25</v>
      </c>
      <c r="N698" s="45" t="s">
        <v>49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35">
        <v>45918.450208333335</v>
      </c>
      <c r="B699" s="36">
        <v>444077243</v>
      </c>
      <c r="C699" s="37" t="s">
        <v>36</v>
      </c>
      <c r="D699" s="37" t="s">
        <v>37</v>
      </c>
      <c r="E699" s="37" t="s">
        <v>46</v>
      </c>
      <c r="F699" s="37" t="s">
        <v>38</v>
      </c>
      <c r="G699" s="38">
        <v>3657.84</v>
      </c>
      <c r="H699" s="36">
        <v>443289896</v>
      </c>
      <c r="I699" s="39">
        <v>0</v>
      </c>
      <c r="J699" s="38">
        <v>0</v>
      </c>
      <c r="K699" s="38">
        <v>0</v>
      </c>
      <c r="L699" s="38">
        <v>0</v>
      </c>
      <c r="M699" s="38">
        <v>10064.25</v>
      </c>
      <c r="N699" s="46" t="s">
        <v>48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40">
        <v>45918.451157407406</v>
      </c>
      <c r="B700" s="41">
        <v>444077679</v>
      </c>
      <c r="C700" s="42" t="s">
        <v>36</v>
      </c>
      <c r="D700" s="42" t="s">
        <v>39</v>
      </c>
      <c r="E700" s="42" t="s">
        <v>47</v>
      </c>
      <c r="F700" s="42" t="s">
        <v>38</v>
      </c>
      <c r="G700" s="43">
        <v>3659.49</v>
      </c>
      <c r="H700" s="41">
        <v>443290401</v>
      </c>
      <c r="I700" s="44">
        <v>0</v>
      </c>
      <c r="J700" s="43">
        <v>0</v>
      </c>
      <c r="K700" s="43">
        <v>0</v>
      </c>
      <c r="L700" s="43">
        <v>1.6</v>
      </c>
      <c r="M700" s="43">
        <v>10065.85</v>
      </c>
      <c r="N700" s="45" t="s">
        <v>640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35">
        <v>45918.451828703706</v>
      </c>
      <c r="B701" s="36">
        <v>444077912</v>
      </c>
      <c r="C701" s="37" t="s">
        <v>36</v>
      </c>
      <c r="D701" s="37" t="s">
        <v>37</v>
      </c>
      <c r="E701" s="37" t="s">
        <v>46</v>
      </c>
      <c r="F701" s="37" t="s">
        <v>38</v>
      </c>
      <c r="G701" s="38">
        <v>3658.58</v>
      </c>
      <c r="H701" s="36">
        <v>443290682</v>
      </c>
      <c r="I701" s="39">
        <v>0</v>
      </c>
      <c r="J701" s="38">
        <v>0</v>
      </c>
      <c r="K701" s="38">
        <v>0</v>
      </c>
      <c r="L701" s="38">
        <v>0</v>
      </c>
      <c r="M701" s="38">
        <v>10065.85</v>
      </c>
      <c r="N701" s="46" t="s">
        <v>150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40">
        <v>45918.452291666668</v>
      </c>
      <c r="B702" s="41">
        <v>444078044</v>
      </c>
      <c r="C702" s="42" t="s">
        <v>36</v>
      </c>
      <c r="D702" s="42" t="s">
        <v>39</v>
      </c>
      <c r="E702" s="42" t="s">
        <v>47</v>
      </c>
      <c r="F702" s="42" t="s">
        <v>38</v>
      </c>
      <c r="G702" s="43">
        <v>3657.66</v>
      </c>
      <c r="H702" s="41">
        <v>443290835</v>
      </c>
      <c r="I702" s="44">
        <v>0</v>
      </c>
      <c r="J702" s="43">
        <v>0</v>
      </c>
      <c r="K702" s="43">
        <v>0</v>
      </c>
      <c r="L702" s="43">
        <v>-0.15</v>
      </c>
      <c r="M702" s="43">
        <v>10065.700000000001</v>
      </c>
      <c r="N702" s="45" t="s">
        <v>641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35">
        <v>45918.452291666668</v>
      </c>
      <c r="B703" s="36">
        <v>444078045</v>
      </c>
      <c r="C703" s="37" t="s">
        <v>36</v>
      </c>
      <c r="D703" s="37" t="s">
        <v>39</v>
      </c>
      <c r="E703" s="37" t="s">
        <v>47</v>
      </c>
      <c r="F703" s="37" t="s">
        <v>38</v>
      </c>
      <c r="G703" s="38">
        <v>3657.66</v>
      </c>
      <c r="H703" s="36">
        <v>443290836</v>
      </c>
      <c r="I703" s="39">
        <v>0</v>
      </c>
      <c r="J703" s="38">
        <v>0</v>
      </c>
      <c r="K703" s="38">
        <v>0</v>
      </c>
      <c r="L703" s="38">
        <v>-0.2</v>
      </c>
      <c r="M703" s="38">
        <v>10065.5</v>
      </c>
      <c r="N703" s="46" t="s">
        <v>641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40">
        <v>45918.452291666668</v>
      </c>
      <c r="B704" s="41">
        <v>444078046</v>
      </c>
      <c r="C704" s="42" t="s">
        <v>36</v>
      </c>
      <c r="D704" s="42" t="s">
        <v>39</v>
      </c>
      <c r="E704" s="42" t="s">
        <v>47</v>
      </c>
      <c r="F704" s="42" t="s">
        <v>38</v>
      </c>
      <c r="G704" s="43">
        <v>3657.66</v>
      </c>
      <c r="H704" s="41">
        <v>443290837</v>
      </c>
      <c r="I704" s="44">
        <v>0</v>
      </c>
      <c r="J704" s="43">
        <v>0</v>
      </c>
      <c r="K704" s="43">
        <v>0</v>
      </c>
      <c r="L704" s="43">
        <v>-0.18</v>
      </c>
      <c r="M704" s="43">
        <v>10065.32</v>
      </c>
      <c r="N704" s="45" t="s">
        <v>641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35">
        <v>45918.452523148146</v>
      </c>
      <c r="B705" s="36">
        <v>444078131</v>
      </c>
      <c r="C705" s="37" t="s">
        <v>36</v>
      </c>
      <c r="D705" s="37" t="s">
        <v>37</v>
      </c>
      <c r="E705" s="37" t="s">
        <v>46</v>
      </c>
      <c r="F705" s="37" t="s">
        <v>38</v>
      </c>
      <c r="G705" s="38">
        <v>3658.41</v>
      </c>
      <c r="H705" s="36">
        <v>443290925</v>
      </c>
      <c r="I705" s="39">
        <v>0</v>
      </c>
      <c r="J705" s="38">
        <v>0</v>
      </c>
      <c r="K705" s="38">
        <v>0</v>
      </c>
      <c r="L705" s="38">
        <v>0</v>
      </c>
      <c r="M705" s="38">
        <v>10065.32</v>
      </c>
      <c r="N705" s="46" t="s">
        <v>53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40">
        <v>45918.452523148146</v>
      </c>
      <c r="B706" s="41">
        <v>444078135</v>
      </c>
      <c r="C706" s="42" t="s">
        <v>36</v>
      </c>
      <c r="D706" s="42" t="s">
        <v>37</v>
      </c>
      <c r="E706" s="42" t="s">
        <v>46</v>
      </c>
      <c r="F706" s="42" t="s">
        <v>38</v>
      </c>
      <c r="G706" s="43">
        <v>3658.41</v>
      </c>
      <c r="H706" s="41">
        <v>443290928</v>
      </c>
      <c r="I706" s="44">
        <v>0</v>
      </c>
      <c r="J706" s="43">
        <v>0</v>
      </c>
      <c r="K706" s="43">
        <v>0</v>
      </c>
      <c r="L706" s="43">
        <v>0</v>
      </c>
      <c r="M706" s="43">
        <v>10065.32</v>
      </c>
      <c r="N706" s="45" t="s">
        <v>48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35">
        <v>45918.452523148146</v>
      </c>
      <c r="B707" s="36">
        <v>444078137</v>
      </c>
      <c r="C707" s="37" t="s">
        <v>36</v>
      </c>
      <c r="D707" s="37" t="s">
        <v>37</v>
      </c>
      <c r="E707" s="37" t="s">
        <v>46</v>
      </c>
      <c r="F707" s="37" t="s">
        <v>38</v>
      </c>
      <c r="G707" s="38">
        <v>3658.15</v>
      </c>
      <c r="H707" s="36">
        <v>443290929</v>
      </c>
      <c r="I707" s="39">
        <v>0</v>
      </c>
      <c r="J707" s="38">
        <v>0</v>
      </c>
      <c r="K707" s="38">
        <v>0</v>
      </c>
      <c r="L707" s="38">
        <v>0</v>
      </c>
      <c r="M707" s="38">
        <v>10065.32</v>
      </c>
      <c r="N707" s="46" t="s">
        <v>49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40">
        <v>45918.455231481479</v>
      </c>
      <c r="B708" s="41">
        <v>444079066</v>
      </c>
      <c r="C708" s="42" t="s">
        <v>36</v>
      </c>
      <c r="D708" s="42" t="s">
        <v>39</v>
      </c>
      <c r="E708" s="42" t="s">
        <v>47</v>
      </c>
      <c r="F708" s="42" t="s">
        <v>38</v>
      </c>
      <c r="G708" s="43">
        <v>3658.14</v>
      </c>
      <c r="H708" s="41">
        <v>443291860</v>
      </c>
      <c r="I708" s="44">
        <v>0</v>
      </c>
      <c r="J708" s="43">
        <v>0</v>
      </c>
      <c r="K708" s="43">
        <v>0</v>
      </c>
      <c r="L708" s="43">
        <v>-0.01</v>
      </c>
      <c r="M708" s="43">
        <v>10065.31</v>
      </c>
      <c r="N708" s="45" t="s">
        <v>367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35">
        <v>45918.455416666664</v>
      </c>
      <c r="B709" s="36">
        <v>444079176</v>
      </c>
      <c r="C709" s="37" t="s">
        <v>36</v>
      </c>
      <c r="D709" s="37" t="s">
        <v>37</v>
      </c>
      <c r="E709" s="37" t="s">
        <v>46</v>
      </c>
      <c r="F709" s="37" t="s">
        <v>38</v>
      </c>
      <c r="G709" s="38">
        <v>3658.5</v>
      </c>
      <c r="H709" s="36">
        <v>443291971</v>
      </c>
      <c r="I709" s="39">
        <v>0</v>
      </c>
      <c r="J709" s="38">
        <v>0</v>
      </c>
      <c r="K709" s="38">
        <v>0</v>
      </c>
      <c r="L709" s="38">
        <v>0</v>
      </c>
      <c r="M709" s="38">
        <v>10065.31</v>
      </c>
      <c r="N709" s="46" t="s">
        <v>49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40">
        <v>45918.456689814811</v>
      </c>
      <c r="B710" s="41">
        <v>444079879</v>
      </c>
      <c r="C710" s="42" t="s">
        <v>36</v>
      </c>
      <c r="D710" s="42" t="s">
        <v>37</v>
      </c>
      <c r="E710" s="42" t="s">
        <v>46</v>
      </c>
      <c r="F710" s="42" t="s">
        <v>38</v>
      </c>
      <c r="G710" s="43">
        <v>3658.04</v>
      </c>
      <c r="H710" s="41">
        <v>443292671</v>
      </c>
      <c r="I710" s="44">
        <v>0</v>
      </c>
      <c r="J710" s="43">
        <v>0</v>
      </c>
      <c r="K710" s="43">
        <v>0</v>
      </c>
      <c r="L710" s="43">
        <v>0</v>
      </c>
      <c r="M710" s="43">
        <v>10065.31</v>
      </c>
      <c r="N710" s="45" t="s">
        <v>268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35">
        <v>45918.462962962964</v>
      </c>
      <c r="B711" s="36">
        <v>444083012</v>
      </c>
      <c r="C711" s="37" t="s">
        <v>36</v>
      </c>
      <c r="D711" s="37" t="s">
        <v>39</v>
      </c>
      <c r="E711" s="37" t="s">
        <v>47</v>
      </c>
      <c r="F711" s="37" t="s">
        <v>38</v>
      </c>
      <c r="G711" s="38">
        <v>3655.84</v>
      </c>
      <c r="H711" s="36">
        <v>443295779</v>
      </c>
      <c r="I711" s="39">
        <v>0</v>
      </c>
      <c r="J711" s="38">
        <v>0</v>
      </c>
      <c r="K711" s="38">
        <v>0</v>
      </c>
      <c r="L711" s="38">
        <v>-2.66</v>
      </c>
      <c r="M711" s="38">
        <v>10062.65</v>
      </c>
      <c r="N711" s="46" t="s">
        <v>642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40">
        <v>45918.463009259256</v>
      </c>
      <c r="B712" s="41">
        <v>444083072</v>
      </c>
      <c r="C712" s="42" t="s">
        <v>36</v>
      </c>
      <c r="D712" s="42" t="s">
        <v>39</v>
      </c>
      <c r="E712" s="42" t="s">
        <v>47</v>
      </c>
      <c r="F712" s="42" t="s">
        <v>38</v>
      </c>
      <c r="G712" s="43">
        <v>3655.48</v>
      </c>
      <c r="H712" s="41">
        <v>443295837</v>
      </c>
      <c r="I712" s="44">
        <v>0</v>
      </c>
      <c r="J712" s="43">
        <v>0</v>
      </c>
      <c r="K712" s="43">
        <v>0</v>
      </c>
      <c r="L712" s="43">
        <v>-3.1</v>
      </c>
      <c r="M712" s="43">
        <v>10059.549999999999</v>
      </c>
      <c r="N712" s="45" t="s">
        <v>643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35">
        <v>45918.463263888887</v>
      </c>
      <c r="B713" s="36">
        <v>444083399</v>
      </c>
      <c r="C713" s="37" t="s">
        <v>36</v>
      </c>
      <c r="D713" s="37" t="s">
        <v>39</v>
      </c>
      <c r="E713" s="37" t="s">
        <v>47</v>
      </c>
      <c r="F713" s="37" t="s">
        <v>38</v>
      </c>
      <c r="G713" s="38">
        <v>3655.4</v>
      </c>
      <c r="H713" s="36">
        <v>443296159</v>
      </c>
      <c r="I713" s="39">
        <v>0</v>
      </c>
      <c r="J713" s="38">
        <v>0</v>
      </c>
      <c r="K713" s="38">
        <v>0</v>
      </c>
      <c r="L713" s="38">
        <v>-3.01</v>
      </c>
      <c r="M713" s="38">
        <v>10056.540000000001</v>
      </c>
      <c r="N713" s="46" t="s">
        <v>644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40">
        <v>45918.463287037041</v>
      </c>
      <c r="B714" s="41">
        <v>444083408</v>
      </c>
      <c r="C714" s="42" t="s">
        <v>36</v>
      </c>
      <c r="D714" s="42" t="s">
        <v>39</v>
      </c>
      <c r="E714" s="42" t="s">
        <v>47</v>
      </c>
      <c r="F714" s="42" t="s">
        <v>38</v>
      </c>
      <c r="G714" s="43">
        <v>3655.34</v>
      </c>
      <c r="H714" s="41">
        <v>443296167</v>
      </c>
      <c r="I714" s="44">
        <v>0</v>
      </c>
      <c r="J714" s="43">
        <v>0</v>
      </c>
      <c r="K714" s="43">
        <v>0</v>
      </c>
      <c r="L714" s="43">
        <v>-3.07</v>
      </c>
      <c r="M714" s="43">
        <v>10053.469999999999</v>
      </c>
      <c r="N714" s="45" t="s">
        <v>645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35">
        <v>45918.463530092595</v>
      </c>
      <c r="B715" s="36">
        <v>444083686</v>
      </c>
      <c r="C715" s="37" t="s">
        <v>36</v>
      </c>
      <c r="D715" s="37" t="s">
        <v>39</v>
      </c>
      <c r="E715" s="37" t="s">
        <v>47</v>
      </c>
      <c r="F715" s="37" t="s">
        <v>38</v>
      </c>
      <c r="G715" s="38">
        <v>3655</v>
      </c>
      <c r="H715" s="36">
        <v>443296444</v>
      </c>
      <c r="I715" s="39">
        <v>0</v>
      </c>
      <c r="J715" s="38">
        <v>0</v>
      </c>
      <c r="K715" s="38">
        <v>0</v>
      </c>
      <c r="L715" s="38">
        <v>-3.04</v>
      </c>
      <c r="M715" s="38">
        <v>10050.43</v>
      </c>
      <c r="N715" s="46" t="s">
        <v>646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40">
        <v>45918.467453703706</v>
      </c>
      <c r="B716" s="41">
        <v>444085505</v>
      </c>
      <c r="C716" s="42" t="s">
        <v>36</v>
      </c>
      <c r="D716" s="42" t="s">
        <v>39</v>
      </c>
      <c r="E716" s="42" t="s">
        <v>46</v>
      </c>
      <c r="F716" s="42" t="s">
        <v>38</v>
      </c>
      <c r="G716" s="43">
        <v>3655.01</v>
      </c>
      <c r="H716" s="41">
        <v>443298547</v>
      </c>
      <c r="I716" s="44">
        <v>0</v>
      </c>
      <c r="J716" s="43">
        <v>0</v>
      </c>
      <c r="K716" s="43">
        <v>0</v>
      </c>
      <c r="L716" s="43">
        <v>0</v>
      </c>
      <c r="M716" s="43">
        <v>10050.43</v>
      </c>
      <c r="N716" s="45" t="s">
        <v>48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35">
        <v>45918.467453703706</v>
      </c>
      <c r="B717" s="36">
        <v>444085506</v>
      </c>
      <c r="C717" s="37" t="s">
        <v>36</v>
      </c>
      <c r="D717" s="37" t="s">
        <v>39</v>
      </c>
      <c r="E717" s="37" t="s">
        <v>46</v>
      </c>
      <c r="F717" s="37" t="s">
        <v>38</v>
      </c>
      <c r="G717" s="38">
        <v>3655.01</v>
      </c>
      <c r="H717" s="36">
        <v>443298548</v>
      </c>
      <c r="I717" s="39">
        <v>0</v>
      </c>
      <c r="J717" s="38">
        <v>0</v>
      </c>
      <c r="K717" s="38">
        <v>0</v>
      </c>
      <c r="L717" s="38">
        <v>0</v>
      </c>
      <c r="M717" s="38">
        <v>10050.43</v>
      </c>
      <c r="N717" s="46" t="s">
        <v>647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40">
        <v>45918.467453703706</v>
      </c>
      <c r="B718" s="41">
        <v>444085507</v>
      </c>
      <c r="C718" s="42" t="s">
        <v>36</v>
      </c>
      <c r="D718" s="42" t="s">
        <v>39</v>
      </c>
      <c r="E718" s="42" t="s">
        <v>46</v>
      </c>
      <c r="F718" s="42" t="s">
        <v>38</v>
      </c>
      <c r="G718" s="43">
        <v>3655.01</v>
      </c>
      <c r="H718" s="41">
        <v>443298549</v>
      </c>
      <c r="I718" s="44">
        <v>0</v>
      </c>
      <c r="J718" s="43">
        <v>0</v>
      </c>
      <c r="K718" s="43">
        <v>0</v>
      </c>
      <c r="L718" s="43">
        <v>0</v>
      </c>
      <c r="M718" s="43">
        <v>10050.43</v>
      </c>
      <c r="N718" s="45" t="s">
        <v>150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35">
        <v>45918.467453703706</v>
      </c>
      <c r="B719" s="36">
        <v>444085509</v>
      </c>
      <c r="C719" s="37" t="s">
        <v>36</v>
      </c>
      <c r="D719" s="37" t="s">
        <v>39</v>
      </c>
      <c r="E719" s="37" t="s">
        <v>46</v>
      </c>
      <c r="F719" s="37" t="s">
        <v>38</v>
      </c>
      <c r="G719" s="38">
        <v>3655.01</v>
      </c>
      <c r="H719" s="36">
        <v>443298551</v>
      </c>
      <c r="I719" s="39">
        <v>0</v>
      </c>
      <c r="J719" s="38">
        <v>0</v>
      </c>
      <c r="K719" s="38">
        <v>0</v>
      </c>
      <c r="L719" s="38">
        <v>0</v>
      </c>
      <c r="M719" s="38">
        <v>10050.43</v>
      </c>
      <c r="N719" s="46" t="s">
        <v>53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40">
        <v>45918.467465277776</v>
      </c>
      <c r="B720" s="41">
        <v>444085511</v>
      </c>
      <c r="C720" s="42" t="s">
        <v>36</v>
      </c>
      <c r="D720" s="42" t="s">
        <v>39</v>
      </c>
      <c r="E720" s="42" t="s">
        <v>46</v>
      </c>
      <c r="F720" s="42" t="s">
        <v>38</v>
      </c>
      <c r="G720" s="43">
        <v>3655</v>
      </c>
      <c r="H720" s="41">
        <v>443298553</v>
      </c>
      <c r="I720" s="44">
        <v>0</v>
      </c>
      <c r="J720" s="43">
        <v>0</v>
      </c>
      <c r="K720" s="43">
        <v>0</v>
      </c>
      <c r="L720" s="43">
        <v>0</v>
      </c>
      <c r="M720" s="43">
        <v>10050.43</v>
      </c>
      <c r="N720" s="45" t="s">
        <v>49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35">
        <v>45918.468831018516</v>
      </c>
      <c r="B721" s="36">
        <v>444085948</v>
      </c>
      <c r="C721" s="37" t="s">
        <v>36</v>
      </c>
      <c r="D721" s="37" t="s">
        <v>37</v>
      </c>
      <c r="E721" s="37" t="s">
        <v>46</v>
      </c>
      <c r="F721" s="37" t="s">
        <v>38</v>
      </c>
      <c r="G721" s="38">
        <v>3655.99</v>
      </c>
      <c r="H721" s="36">
        <v>443299057</v>
      </c>
      <c r="I721" s="39">
        <v>0</v>
      </c>
      <c r="J721" s="38">
        <v>0</v>
      </c>
      <c r="K721" s="38">
        <v>0</v>
      </c>
      <c r="L721" s="38">
        <v>0</v>
      </c>
      <c r="M721" s="38">
        <v>10050.43</v>
      </c>
      <c r="N721" s="46" t="s">
        <v>268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40">
        <v>45918.479247685187</v>
      </c>
      <c r="B722" s="41">
        <v>444089787</v>
      </c>
      <c r="C722" s="42" t="s">
        <v>36</v>
      </c>
      <c r="D722" s="42" t="s">
        <v>37</v>
      </c>
      <c r="E722" s="42" t="s">
        <v>46</v>
      </c>
      <c r="F722" s="42" t="s">
        <v>38</v>
      </c>
      <c r="G722" s="43">
        <v>3655.99</v>
      </c>
      <c r="H722" s="41">
        <v>443303443</v>
      </c>
      <c r="I722" s="44">
        <v>0</v>
      </c>
      <c r="J722" s="43">
        <v>0</v>
      </c>
      <c r="K722" s="43">
        <v>0</v>
      </c>
      <c r="L722" s="43">
        <v>0</v>
      </c>
      <c r="M722" s="43">
        <v>10050.43</v>
      </c>
      <c r="N722" s="45" t="s">
        <v>616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35">
        <v>45918.482708333337</v>
      </c>
      <c r="B723" s="36">
        <v>444090952</v>
      </c>
      <c r="C723" s="37" t="s">
        <v>36</v>
      </c>
      <c r="D723" s="37" t="s">
        <v>37</v>
      </c>
      <c r="E723" s="37" t="s">
        <v>47</v>
      </c>
      <c r="F723" s="37" t="s">
        <v>38</v>
      </c>
      <c r="G723" s="38">
        <v>3657.52</v>
      </c>
      <c r="H723" s="36">
        <v>443304761</v>
      </c>
      <c r="I723" s="39">
        <v>0</v>
      </c>
      <c r="J723" s="38">
        <v>0</v>
      </c>
      <c r="K723" s="38">
        <v>0</v>
      </c>
      <c r="L723" s="38">
        <v>-2.52</v>
      </c>
      <c r="M723" s="38">
        <v>10047.91</v>
      </c>
      <c r="N723" s="46" t="s">
        <v>648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40">
        <v>45918.482986111114</v>
      </c>
      <c r="B724" s="41">
        <v>444091545</v>
      </c>
      <c r="C724" s="42" t="s">
        <v>36</v>
      </c>
      <c r="D724" s="42" t="s">
        <v>37</v>
      </c>
      <c r="E724" s="42" t="s">
        <v>47</v>
      </c>
      <c r="F724" s="42" t="s">
        <v>38</v>
      </c>
      <c r="G724" s="43">
        <v>3658.01</v>
      </c>
      <c r="H724" s="41">
        <v>443305289</v>
      </c>
      <c r="I724" s="44">
        <v>0</v>
      </c>
      <c r="J724" s="43">
        <v>0</v>
      </c>
      <c r="K724" s="43">
        <v>0</v>
      </c>
      <c r="L724" s="43">
        <v>-3</v>
      </c>
      <c r="M724" s="43">
        <v>10044.91</v>
      </c>
      <c r="N724" s="45" t="s">
        <v>649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35">
        <v>45918.482986111114</v>
      </c>
      <c r="B725" s="36">
        <v>444091546</v>
      </c>
      <c r="C725" s="37" t="s">
        <v>36</v>
      </c>
      <c r="D725" s="37" t="s">
        <v>37</v>
      </c>
      <c r="E725" s="37" t="s">
        <v>47</v>
      </c>
      <c r="F725" s="37" t="s">
        <v>38</v>
      </c>
      <c r="G725" s="38">
        <v>3658.01</v>
      </c>
      <c r="H725" s="36">
        <v>443305290</v>
      </c>
      <c r="I725" s="39">
        <v>0</v>
      </c>
      <c r="J725" s="38">
        <v>0</v>
      </c>
      <c r="K725" s="38">
        <v>0</v>
      </c>
      <c r="L725" s="38">
        <v>-3</v>
      </c>
      <c r="M725" s="38">
        <v>10041.91</v>
      </c>
      <c r="N725" s="46" t="s">
        <v>649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40">
        <v>45918.482986111114</v>
      </c>
      <c r="B726" s="41">
        <v>444091547</v>
      </c>
      <c r="C726" s="42" t="s">
        <v>36</v>
      </c>
      <c r="D726" s="42" t="s">
        <v>37</v>
      </c>
      <c r="E726" s="42" t="s">
        <v>47</v>
      </c>
      <c r="F726" s="42" t="s">
        <v>38</v>
      </c>
      <c r="G726" s="43">
        <v>3658.01</v>
      </c>
      <c r="H726" s="41">
        <v>443305291</v>
      </c>
      <c r="I726" s="44">
        <v>0</v>
      </c>
      <c r="J726" s="43">
        <v>0</v>
      </c>
      <c r="K726" s="43">
        <v>0</v>
      </c>
      <c r="L726" s="43">
        <v>-3</v>
      </c>
      <c r="M726" s="43">
        <v>10038.91</v>
      </c>
      <c r="N726" s="45" t="s">
        <v>649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35">
        <v>45918.483043981483</v>
      </c>
      <c r="B727" s="36">
        <v>444091563</v>
      </c>
      <c r="C727" s="37" t="s">
        <v>36</v>
      </c>
      <c r="D727" s="37" t="s">
        <v>37</v>
      </c>
      <c r="E727" s="37" t="s">
        <v>47</v>
      </c>
      <c r="F727" s="37" t="s">
        <v>38</v>
      </c>
      <c r="G727" s="38">
        <v>3658.09</v>
      </c>
      <c r="H727" s="36">
        <v>443305308</v>
      </c>
      <c r="I727" s="39">
        <v>0</v>
      </c>
      <c r="J727" s="38">
        <v>0</v>
      </c>
      <c r="K727" s="38">
        <v>0</v>
      </c>
      <c r="L727" s="38">
        <v>-3.08</v>
      </c>
      <c r="M727" s="38">
        <v>10035.83</v>
      </c>
      <c r="N727" s="46" t="s">
        <v>650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40">
        <v>45918.484282407408</v>
      </c>
      <c r="B728" s="41">
        <v>444092324</v>
      </c>
      <c r="C728" s="42" t="s">
        <v>36</v>
      </c>
      <c r="D728" s="42" t="s">
        <v>39</v>
      </c>
      <c r="E728" s="42" t="s">
        <v>47</v>
      </c>
      <c r="F728" s="42" t="s">
        <v>38</v>
      </c>
      <c r="G728" s="43">
        <v>3659.6</v>
      </c>
      <c r="H728" s="41">
        <v>443306086</v>
      </c>
      <c r="I728" s="44">
        <v>0</v>
      </c>
      <c r="J728" s="43">
        <v>0</v>
      </c>
      <c r="K728" s="43">
        <v>0</v>
      </c>
      <c r="L728" s="43">
        <v>3.61</v>
      </c>
      <c r="M728" s="43">
        <v>10039.44</v>
      </c>
      <c r="N728" s="45" t="s">
        <v>651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35">
        <v>45918.484293981484</v>
      </c>
      <c r="B729" s="36">
        <v>444092343</v>
      </c>
      <c r="C729" s="37" t="s">
        <v>36</v>
      </c>
      <c r="D729" s="37" t="s">
        <v>39</v>
      </c>
      <c r="E729" s="37" t="s">
        <v>47</v>
      </c>
      <c r="F729" s="37" t="s">
        <v>38</v>
      </c>
      <c r="G729" s="38">
        <v>3659.64</v>
      </c>
      <c r="H729" s="36">
        <v>443306107</v>
      </c>
      <c r="I729" s="39">
        <v>0</v>
      </c>
      <c r="J729" s="38">
        <v>0</v>
      </c>
      <c r="K729" s="38">
        <v>0</v>
      </c>
      <c r="L729" s="38">
        <v>3.65</v>
      </c>
      <c r="M729" s="38">
        <v>10043.09</v>
      </c>
      <c r="N729" s="46" t="s">
        <v>652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40">
        <v>45918.491168981483</v>
      </c>
      <c r="B730" s="41">
        <v>444096216</v>
      </c>
      <c r="C730" s="42" t="s">
        <v>36</v>
      </c>
      <c r="D730" s="42" t="s">
        <v>37</v>
      </c>
      <c r="E730" s="42" t="s">
        <v>46</v>
      </c>
      <c r="F730" s="42" t="s">
        <v>38</v>
      </c>
      <c r="G730" s="43">
        <v>3661.71</v>
      </c>
      <c r="H730" s="41">
        <v>443309947</v>
      </c>
      <c r="I730" s="44">
        <v>0</v>
      </c>
      <c r="J730" s="43">
        <v>0</v>
      </c>
      <c r="K730" s="43">
        <v>0</v>
      </c>
      <c r="L730" s="43">
        <v>0</v>
      </c>
      <c r="M730" s="43">
        <v>10043.09</v>
      </c>
      <c r="N730" s="45" t="s">
        <v>653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35">
        <v>45918.491180555553</v>
      </c>
      <c r="B731" s="36">
        <v>444096217</v>
      </c>
      <c r="C731" s="37" t="s">
        <v>36</v>
      </c>
      <c r="D731" s="37" t="s">
        <v>37</v>
      </c>
      <c r="E731" s="37" t="s">
        <v>46</v>
      </c>
      <c r="F731" s="37" t="s">
        <v>38</v>
      </c>
      <c r="G731" s="38">
        <v>3661.67</v>
      </c>
      <c r="H731" s="36">
        <v>443309948</v>
      </c>
      <c r="I731" s="39">
        <v>0</v>
      </c>
      <c r="J731" s="38">
        <v>0</v>
      </c>
      <c r="K731" s="38">
        <v>0</v>
      </c>
      <c r="L731" s="38">
        <v>0</v>
      </c>
      <c r="M731" s="38">
        <v>10043.09</v>
      </c>
      <c r="N731" s="46" t="s">
        <v>647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40">
        <v>45918.491180555553</v>
      </c>
      <c r="B732" s="41">
        <v>444096219</v>
      </c>
      <c r="C732" s="42" t="s">
        <v>36</v>
      </c>
      <c r="D732" s="42" t="s">
        <v>37</v>
      </c>
      <c r="E732" s="42" t="s">
        <v>46</v>
      </c>
      <c r="F732" s="42" t="s">
        <v>38</v>
      </c>
      <c r="G732" s="43">
        <v>3661.67</v>
      </c>
      <c r="H732" s="41">
        <v>443309950</v>
      </c>
      <c r="I732" s="44">
        <v>0</v>
      </c>
      <c r="J732" s="43">
        <v>0</v>
      </c>
      <c r="K732" s="43">
        <v>0</v>
      </c>
      <c r="L732" s="43">
        <v>0</v>
      </c>
      <c r="M732" s="43">
        <v>10043.09</v>
      </c>
      <c r="N732" s="45" t="s">
        <v>150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35">
        <v>45918.491180555553</v>
      </c>
      <c r="B733" s="36">
        <v>444096220</v>
      </c>
      <c r="C733" s="37" t="s">
        <v>36</v>
      </c>
      <c r="D733" s="37" t="s">
        <v>37</v>
      </c>
      <c r="E733" s="37" t="s">
        <v>46</v>
      </c>
      <c r="F733" s="37" t="s">
        <v>38</v>
      </c>
      <c r="G733" s="38">
        <v>3661.67</v>
      </c>
      <c r="H733" s="36">
        <v>443309951</v>
      </c>
      <c r="I733" s="39">
        <v>0</v>
      </c>
      <c r="J733" s="38">
        <v>0</v>
      </c>
      <c r="K733" s="38">
        <v>0</v>
      </c>
      <c r="L733" s="38">
        <v>0</v>
      </c>
      <c r="M733" s="38">
        <v>10043.09</v>
      </c>
      <c r="N733" s="46" t="s">
        <v>48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40">
        <v>45918.491180555553</v>
      </c>
      <c r="B734" s="41">
        <v>444096221</v>
      </c>
      <c r="C734" s="42" t="s">
        <v>36</v>
      </c>
      <c r="D734" s="42" t="s">
        <v>37</v>
      </c>
      <c r="E734" s="42" t="s">
        <v>46</v>
      </c>
      <c r="F734" s="42" t="s">
        <v>38</v>
      </c>
      <c r="G734" s="43">
        <v>3661.67</v>
      </c>
      <c r="H734" s="41">
        <v>443309952</v>
      </c>
      <c r="I734" s="44">
        <v>0</v>
      </c>
      <c r="J734" s="43">
        <v>0</v>
      </c>
      <c r="K734" s="43">
        <v>0</v>
      </c>
      <c r="L734" s="43">
        <v>0</v>
      </c>
      <c r="M734" s="43">
        <v>10043.09</v>
      </c>
      <c r="N734" s="45" t="s">
        <v>49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35">
        <v>45918.49119212963</v>
      </c>
      <c r="B735" s="36">
        <v>444096222</v>
      </c>
      <c r="C735" s="37" t="s">
        <v>36</v>
      </c>
      <c r="D735" s="37" t="s">
        <v>37</v>
      </c>
      <c r="E735" s="37" t="s">
        <v>46</v>
      </c>
      <c r="F735" s="37" t="s">
        <v>38</v>
      </c>
      <c r="G735" s="38">
        <v>3661.82</v>
      </c>
      <c r="H735" s="36">
        <v>443309953</v>
      </c>
      <c r="I735" s="39">
        <v>0</v>
      </c>
      <c r="J735" s="38">
        <v>0</v>
      </c>
      <c r="K735" s="38">
        <v>0</v>
      </c>
      <c r="L735" s="38">
        <v>0</v>
      </c>
      <c r="M735" s="38">
        <v>10043.09</v>
      </c>
      <c r="N735" s="46" t="s">
        <v>53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40">
        <v>45918.495138888888</v>
      </c>
      <c r="B736" s="41">
        <v>444097681</v>
      </c>
      <c r="C736" s="42" t="s">
        <v>36</v>
      </c>
      <c r="D736" s="42" t="s">
        <v>39</v>
      </c>
      <c r="E736" s="42" t="s">
        <v>47</v>
      </c>
      <c r="F736" s="42" t="s">
        <v>38</v>
      </c>
      <c r="G736" s="43">
        <v>3663.36</v>
      </c>
      <c r="H736" s="41">
        <v>443311533</v>
      </c>
      <c r="I736" s="44">
        <v>0</v>
      </c>
      <c r="J736" s="43">
        <v>0</v>
      </c>
      <c r="K736" s="43">
        <v>0</v>
      </c>
      <c r="L736" s="43">
        <v>1.65</v>
      </c>
      <c r="M736" s="43">
        <v>10044.74</v>
      </c>
      <c r="N736" s="45" t="s">
        <v>654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35">
        <v>45918.495138888888</v>
      </c>
      <c r="B737" s="36">
        <v>444097682</v>
      </c>
      <c r="C737" s="37" t="s">
        <v>36</v>
      </c>
      <c r="D737" s="37" t="s">
        <v>39</v>
      </c>
      <c r="E737" s="37" t="s">
        <v>47</v>
      </c>
      <c r="F737" s="37" t="s">
        <v>38</v>
      </c>
      <c r="G737" s="38">
        <v>3663.36</v>
      </c>
      <c r="H737" s="36">
        <v>443311534</v>
      </c>
      <c r="I737" s="39">
        <v>0</v>
      </c>
      <c r="J737" s="38">
        <v>0</v>
      </c>
      <c r="K737" s="38">
        <v>0</v>
      </c>
      <c r="L737" s="38">
        <v>1.69</v>
      </c>
      <c r="M737" s="38">
        <v>10046.43</v>
      </c>
      <c r="N737" s="46" t="s">
        <v>654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40">
        <v>45918.495138888888</v>
      </c>
      <c r="B738" s="41">
        <v>444097683</v>
      </c>
      <c r="C738" s="42" t="s">
        <v>36</v>
      </c>
      <c r="D738" s="42" t="s">
        <v>39</v>
      </c>
      <c r="E738" s="42" t="s">
        <v>47</v>
      </c>
      <c r="F738" s="42" t="s">
        <v>38</v>
      </c>
      <c r="G738" s="43">
        <v>3663.36</v>
      </c>
      <c r="H738" s="41">
        <v>443311535</v>
      </c>
      <c r="I738" s="44">
        <v>0</v>
      </c>
      <c r="J738" s="43">
        <v>0</v>
      </c>
      <c r="K738" s="43">
        <v>0</v>
      </c>
      <c r="L738" s="43">
        <v>1.69</v>
      </c>
      <c r="M738" s="43">
        <v>10048.120000000001</v>
      </c>
      <c r="N738" s="45" t="s">
        <v>654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35">
        <v>45918.496493055558</v>
      </c>
      <c r="B739" s="36">
        <v>444098239</v>
      </c>
      <c r="C739" s="37" t="s">
        <v>36</v>
      </c>
      <c r="D739" s="37" t="s">
        <v>37</v>
      </c>
      <c r="E739" s="37" t="s">
        <v>46</v>
      </c>
      <c r="F739" s="37" t="s">
        <v>38</v>
      </c>
      <c r="G739" s="38">
        <v>3662.97</v>
      </c>
      <c r="H739" s="36">
        <v>443312086</v>
      </c>
      <c r="I739" s="39">
        <v>0</v>
      </c>
      <c r="J739" s="38">
        <v>0</v>
      </c>
      <c r="K739" s="38">
        <v>0</v>
      </c>
      <c r="L739" s="38">
        <v>0</v>
      </c>
      <c r="M739" s="38">
        <v>10048.120000000001</v>
      </c>
      <c r="N739" s="46" t="s">
        <v>647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40">
        <v>45918.496504629627</v>
      </c>
      <c r="B740" s="41">
        <v>444098240</v>
      </c>
      <c r="C740" s="42" t="s">
        <v>36</v>
      </c>
      <c r="D740" s="42" t="s">
        <v>37</v>
      </c>
      <c r="E740" s="42" t="s">
        <v>46</v>
      </c>
      <c r="F740" s="42" t="s">
        <v>38</v>
      </c>
      <c r="G740" s="43">
        <v>3662.97</v>
      </c>
      <c r="H740" s="41">
        <v>443312087</v>
      </c>
      <c r="I740" s="44">
        <v>0</v>
      </c>
      <c r="J740" s="43">
        <v>0</v>
      </c>
      <c r="K740" s="43">
        <v>0</v>
      </c>
      <c r="L740" s="43">
        <v>0</v>
      </c>
      <c r="M740" s="43">
        <v>10048.120000000001</v>
      </c>
      <c r="N740" s="45" t="s">
        <v>150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35">
        <v>45918.496504629627</v>
      </c>
      <c r="B741" s="36">
        <v>444098242</v>
      </c>
      <c r="C741" s="37" t="s">
        <v>36</v>
      </c>
      <c r="D741" s="37" t="s">
        <v>37</v>
      </c>
      <c r="E741" s="37" t="s">
        <v>46</v>
      </c>
      <c r="F741" s="37" t="s">
        <v>38</v>
      </c>
      <c r="G741" s="38">
        <v>3662.97</v>
      </c>
      <c r="H741" s="36">
        <v>443312089</v>
      </c>
      <c r="I741" s="39">
        <v>0</v>
      </c>
      <c r="J741" s="38">
        <v>0</v>
      </c>
      <c r="K741" s="38">
        <v>0</v>
      </c>
      <c r="L741" s="38">
        <v>0</v>
      </c>
      <c r="M741" s="38">
        <v>10048.120000000001</v>
      </c>
      <c r="N741" s="46" t="s">
        <v>653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40">
        <v>45918.496550925927</v>
      </c>
      <c r="B742" s="41">
        <v>444098269</v>
      </c>
      <c r="C742" s="42" t="s">
        <v>36</v>
      </c>
      <c r="D742" s="42" t="s">
        <v>39</v>
      </c>
      <c r="E742" s="42" t="s">
        <v>47</v>
      </c>
      <c r="F742" s="42" t="s">
        <v>38</v>
      </c>
      <c r="G742" s="43">
        <v>3662.69</v>
      </c>
      <c r="H742" s="41">
        <v>443312115</v>
      </c>
      <c r="I742" s="44">
        <v>0</v>
      </c>
      <c r="J742" s="43">
        <v>0</v>
      </c>
      <c r="K742" s="43">
        <v>0</v>
      </c>
      <c r="L742" s="43">
        <v>1.02</v>
      </c>
      <c r="M742" s="43">
        <v>10049.14</v>
      </c>
      <c r="N742" s="45" t="s">
        <v>655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35">
        <v>45918.496550925927</v>
      </c>
      <c r="B743" s="36">
        <v>444098270</v>
      </c>
      <c r="C743" s="37" t="s">
        <v>36</v>
      </c>
      <c r="D743" s="37" t="s">
        <v>39</v>
      </c>
      <c r="E743" s="37" t="s">
        <v>47</v>
      </c>
      <c r="F743" s="37" t="s">
        <v>38</v>
      </c>
      <c r="G743" s="38">
        <v>3662.67</v>
      </c>
      <c r="H743" s="36">
        <v>443312116</v>
      </c>
      <c r="I743" s="39">
        <v>0</v>
      </c>
      <c r="J743" s="38">
        <v>0</v>
      </c>
      <c r="K743" s="38">
        <v>0</v>
      </c>
      <c r="L743" s="38">
        <v>1</v>
      </c>
      <c r="M743" s="38">
        <v>10050.14</v>
      </c>
      <c r="N743" s="46" t="s">
        <v>656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40">
        <v>45918.496562499997</v>
      </c>
      <c r="B744" s="41">
        <v>444098272</v>
      </c>
      <c r="C744" s="42" t="s">
        <v>36</v>
      </c>
      <c r="D744" s="42" t="s">
        <v>39</v>
      </c>
      <c r="E744" s="42" t="s">
        <v>47</v>
      </c>
      <c r="F744" s="42" t="s">
        <v>38</v>
      </c>
      <c r="G744" s="43">
        <v>3662.6</v>
      </c>
      <c r="H744" s="41">
        <v>443312118</v>
      </c>
      <c r="I744" s="44">
        <v>0</v>
      </c>
      <c r="J744" s="43">
        <v>0</v>
      </c>
      <c r="K744" s="43">
        <v>0</v>
      </c>
      <c r="L744" s="43">
        <v>0.78</v>
      </c>
      <c r="M744" s="43">
        <v>10050.92</v>
      </c>
      <c r="N744" s="45" t="s">
        <v>657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35">
        <v>45918.496724537035</v>
      </c>
      <c r="B745" s="36">
        <v>444098346</v>
      </c>
      <c r="C745" s="37" t="s">
        <v>36</v>
      </c>
      <c r="D745" s="37" t="s">
        <v>37</v>
      </c>
      <c r="E745" s="37" t="s">
        <v>46</v>
      </c>
      <c r="F745" s="37" t="s">
        <v>38</v>
      </c>
      <c r="G745" s="38">
        <v>3663.17</v>
      </c>
      <c r="H745" s="36">
        <v>443312195</v>
      </c>
      <c r="I745" s="39">
        <v>0</v>
      </c>
      <c r="J745" s="38">
        <v>0</v>
      </c>
      <c r="K745" s="38">
        <v>0</v>
      </c>
      <c r="L745" s="38">
        <v>0</v>
      </c>
      <c r="M745" s="38">
        <v>10050.92</v>
      </c>
      <c r="N745" s="46" t="s">
        <v>49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40">
        <v>45918.496736111112</v>
      </c>
      <c r="B746" s="41">
        <v>444098351</v>
      </c>
      <c r="C746" s="42" t="s">
        <v>36</v>
      </c>
      <c r="D746" s="42" t="s">
        <v>37</v>
      </c>
      <c r="E746" s="42" t="s">
        <v>46</v>
      </c>
      <c r="F746" s="42" t="s">
        <v>38</v>
      </c>
      <c r="G746" s="43">
        <v>3663.18</v>
      </c>
      <c r="H746" s="41">
        <v>443312200</v>
      </c>
      <c r="I746" s="44">
        <v>0</v>
      </c>
      <c r="J746" s="43">
        <v>0</v>
      </c>
      <c r="K746" s="43">
        <v>0</v>
      </c>
      <c r="L746" s="43">
        <v>0</v>
      </c>
      <c r="M746" s="43">
        <v>10050.92</v>
      </c>
      <c r="N746" s="45" t="s">
        <v>48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35">
        <v>45918.496736111112</v>
      </c>
      <c r="B747" s="36">
        <v>444098354</v>
      </c>
      <c r="C747" s="37" t="s">
        <v>36</v>
      </c>
      <c r="D747" s="37" t="s">
        <v>37</v>
      </c>
      <c r="E747" s="37" t="s">
        <v>46</v>
      </c>
      <c r="F747" s="37" t="s">
        <v>38</v>
      </c>
      <c r="G747" s="38">
        <v>3663.18</v>
      </c>
      <c r="H747" s="36">
        <v>443312203</v>
      </c>
      <c r="I747" s="39">
        <v>0</v>
      </c>
      <c r="J747" s="38">
        <v>0</v>
      </c>
      <c r="K747" s="38">
        <v>0</v>
      </c>
      <c r="L747" s="38">
        <v>0</v>
      </c>
      <c r="M747" s="38">
        <v>10050.92</v>
      </c>
      <c r="N747" s="46" t="s">
        <v>53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40">
        <v>45918.497488425928</v>
      </c>
      <c r="B748" s="41">
        <v>444098558</v>
      </c>
      <c r="C748" s="42" t="s">
        <v>36</v>
      </c>
      <c r="D748" s="42" t="s">
        <v>39</v>
      </c>
      <c r="E748" s="42" t="s">
        <v>47</v>
      </c>
      <c r="F748" s="42" t="s">
        <v>38</v>
      </c>
      <c r="G748" s="43">
        <v>3664.58</v>
      </c>
      <c r="H748" s="41">
        <v>443312393</v>
      </c>
      <c r="I748" s="44">
        <v>0</v>
      </c>
      <c r="J748" s="43">
        <v>0</v>
      </c>
      <c r="K748" s="43">
        <v>0</v>
      </c>
      <c r="L748" s="43">
        <v>1.61</v>
      </c>
      <c r="M748" s="43">
        <v>10052.530000000001</v>
      </c>
      <c r="N748" s="45" t="s">
        <v>658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35">
        <v>45918.497488425928</v>
      </c>
      <c r="B749" s="36">
        <v>444098560</v>
      </c>
      <c r="C749" s="37" t="s">
        <v>36</v>
      </c>
      <c r="D749" s="37" t="s">
        <v>39</v>
      </c>
      <c r="E749" s="37" t="s">
        <v>47</v>
      </c>
      <c r="F749" s="37" t="s">
        <v>38</v>
      </c>
      <c r="G749" s="38">
        <v>3664.58</v>
      </c>
      <c r="H749" s="36">
        <v>443312394</v>
      </c>
      <c r="I749" s="39">
        <v>0</v>
      </c>
      <c r="J749" s="38">
        <v>0</v>
      </c>
      <c r="K749" s="38">
        <v>0</v>
      </c>
      <c r="L749" s="38">
        <v>1.61</v>
      </c>
      <c r="M749" s="38">
        <v>10054.14</v>
      </c>
      <c r="N749" s="46" t="s">
        <v>659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40">
        <v>45918.497488425928</v>
      </c>
      <c r="B750" s="41">
        <v>444098561</v>
      </c>
      <c r="C750" s="42" t="s">
        <v>36</v>
      </c>
      <c r="D750" s="42" t="s">
        <v>39</v>
      </c>
      <c r="E750" s="42" t="s">
        <v>47</v>
      </c>
      <c r="F750" s="42" t="s">
        <v>38</v>
      </c>
      <c r="G750" s="43">
        <v>3664.58</v>
      </c>
      <c r="H750" s="41">
        <v>443312395</v>
      </c>
      <c r="I750" s="44">
        <v>0</v>
      </c>
      <c r="J750" s="43">
        <v>0</v>
      </c>
      <c r="K750" s="43">
        <v>0</v>
      </c>
      <c r="L750" s="43">
        <v>1.61</v>
      </c>
      <c r="M750" s="43">
        <v>10055.75</v>
      </c>
      <c r="N750" s="45" t="s">
        <v>659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35">
        <v>45918.5003125</v>
      </c>
      <c r="B751" s="36">
        <v>444100252</v>
      </c>
      <c r="C751" s="37" t="s">
        <v>36</v>
      </c>
      <c r="D751" s="37" t="s">
        <v>37</v>
      </c>
      <c r="E751" s="37" t="s">
        <v>46</v>
      </c>
      <c r="F751" s="37" t="s">
        <v>38</v>
      </c>
      <c r="G751" s="38">
        <v>3665.17</v>
      </c>
      <c r="H751" s="36">
        <v>443314101</v>
      </c>
      <c r="I751" s="39">
        <v>0</v>
      </c>
      <c r="J751" s="38">
        <v>0</v>
      </c>
      <c r="K751" s="38">
        <v>0</v>
      </c>
      <c r="L751" s="38">
        <v>0</v>
      </c>
      <c r="M751" s="38">
        <v>10055.75</v>
      </c>
      <c r="N751" s="46" t="s">
        <v>150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40">
        <v>45918.500324074077</v>
      </c>
      <c r="B752" s="41">
        <v>444100254</v>
      </c>
      <c r="C752" s="42" t="s">
        <v>36</v>
      </c>
      <c r="D752" s="42" t="s">
        <v>37</v>
      </c>
      <c r="E752" s="42" t="s">
        <v>46</v>
      </c>
      <c r="F752" s="42" t="s">
        <v>38</v>
      </c>
      <c r="G752" s="43">
        <v>3665.1</v>
      </c>
      <c r="H752" s="41">
        <v>443314103</v>
      </c>
      <c r="I752" s="44">
        <v>0</v>
      </c>
      <c r="J752" s="43">
        <v>0</v>
      </c>
      <c r="K752" s="43">
        <v>0</v>
      </c>
      <c r="L752" s="43">
        <v>0</v>
      </c>
      <c r="M752" s="43">
        <v>10055.75</v>
      </c>
      <c r="N752" s="45" t="s">
        <v>647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35">
        <v>45918.500324074077</v>
      </c>
      <c r="B753" s="36">
        <v>444100258</v>
      </c>
      <c r="C753" s="37" t="s">
        <v>36</v>
      </c>
      <c r="D753" s="37" t="s">
        <v>37</v>
      </c>
      <c r="E753" s="37" t="s">
        <v>46</v>
      </c>
      <c r="F753" s="37" t="s">
        <v>38</v>
      </c>
      <c r="G753" s="38">
        <v>3665.11</v>
      </c>
      <c r="H753" s="36">
        <v>443314107</v>
      </c>
      <c r="I753" s="39">
        <v>0</v>
      </c>
      <c r="J753" s="38">
        <v>0</v>
      </c>
      <c r="K753" s="38">
        <v>0</v>
      </c>
      <c r="L753" s="38">
        <v>0</v>
      </c>
      <c r="M753" s="38">
        <v>10055.75</v>
      </c>
      <c r="N753" s="46" t="s">
        <v>653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40">
        <v>45918.502789351849</v>
      </c>
      <c r="B754" s="41">
        <v>444101101</v>
      </c>
      <c r="C754" s="42" t="s">
        <v>36</v>
      </c>
      <c r="D754" s="42" t="s">
        <v>39</v>
      </c>
      <c r="E754" s="42" t="s">
        <v>47</v>
      </c>
      <c r="F754" s="42" t="s">
        <v>38</v>
      </c>
      <c r="G754" s="43">
        <v>3666.2</v>
      </c>
      <c r="H754" s="41">
        <v>443314941</v>
      </c>
      <c r="I754" s="44">
        <v>0</v>
      </c>
      <c r="J754" s="43">
        <v>0</v>
      </c>
      <c r="K754" s="43">
        <v>0</v>
      </c>
      <c r="L754" s="43">
        <v>3.03</v>
      </c>
      <c r="M754" s="43">
        <v>10058.780000000001</v>
      </c>
      <c r="N754" s="45" t="s">
        <v>660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35">
        <v>45918.502789351849</v>
      </c>
      <c r="B755" s="36">
        <v>444101102</v>
      </c>
      <c r="C755" s="37" t="s">
        <v>36</v>
      </c>
      <c r="D755" s="37" t="s">
        <v>39</v>
      </c>
      <c r="E755" s="37" t="s">
        <v>47</v>
      </c>
      <c r="F755" s="37" t="s">
        <v>38</v>
      </c>
      <c r="G755" s="38">
        <v>3666.2</v>
      </c>
      <c r="H755" s="36">
        <v>443314942</v>
      </c>
      <c r="I755" s="39">
        <v>0</v>
      </c>
      <c r="J755" s="38">
        <v>0</v>
      </c>
      <c r="K755" s="38">
        <v>0</v>
      </c>
      <c r="L755" s="38">
        <v>3.02</v>
      </c>
      <c r="M755" s="38">
        <v>10061.799999999999</v>
      </c>
      <c r="N755" s="46" t="s">
        <v>660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40">
        <v>45918.502858796295</v>
      </c>
      <c r="B756" s="41">
        <v>444101148</v>
      </c>
      <c r="C756" s="42" t="s">
        <v>36</v>
      </c>
      <c r="D756" s="42" t="s">
        <v>39</v>
      </c>
      <c r="E756" s="42" t="s">
        <v>47</v>
      </c>
      <c r="F756" s="42" t="s">
        <v>38</v>
      </c>
      <c r="G756" s="43">
        <v>3666.57</v>
      </c>
      <c r="H756" s="41">
        <v>443314996</v>
      </c>
      <c r="I756" s="44">
        <v>0</v>
      </c>
      <c r="J756" s="43">
        <v>0</v>
      </c>
      <c r="K756" s="43">
        <v>0</v>
      </c>
      <c r="L756" s="43">
        <v>1.4</v>
      </c>
      <c r="M756" s="43">
        <v>10063.200000000001</v>
      </c>
      <c r="N756" s="45" t="s">
        <v>661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35">
        <v>45918.503668981481</v>
      </c>
      <c r="B757" s="36">
        <v>444101802</v>
      </c>
      <c r="C757" s="37" t="s">
        <v>36</v>
      </c>
      <c r="D757" s="37" t="s">
        <v>37</v>
      </c>
      <c r="E757" s="37" t="s">
        <v>46</v>
      </c>
      <c r="F757" s="37" t="s">
        <v>38</v>
      </c>
      <c r="G757" s="38">
        <v>3665.54</v>
      </c>
      <c r="H757" s="36">
        <v>443315632</v>
      </c>
      <c r="I757" s="39">
        <v>0</v>
      </c>
      <c r="J757" s="38">
        <v>0</v>
      </c>
      <c r="K757" s="38">
        <v>0</v>
      </c>
      <c r="L757" s="38">
        <v>0</v>
      </c>
      <c r="M757" s="38">
        <v>10063.200000000001</v>
      </c>
      <c r="N757" s="46" t="s">
        <v>48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40">
        <v>45918.503680555557</v>
      </c>
      <c r="B758" s="41">
        <v>444101805</v>
      </c>
      <c r="C758" s="42" t="s">
        <v>36</v>
      </c>
      <c r="D758" s="42" t="s">
        <v>37</v>
      </c>
      <c r="E758" s="42" t="s">
        <v>46</v>
      </c>
      <c r="F758" s="42" t="s">
        <v>38</v>
      </c>
      <c r="G758" s="43">
        <v>3665.54</v>
      </c>
      <c r="H758" s="41">
        <v>443315635</v>
      </c>
      <c r="I758" s="44">
        <v>0</v>
      </c>
      <c r="J758" s="43">
        <v>0</v>
      </c>
      <c r="K758" s="43">
        <v>0</v>
      </c>
      <c r="L758" s="43">
        <v>0</v>
      </c>
      <c r="M758" s="43">
        <v>10063.200000000001</v>
      </c>
      <c r="N758" s="45" t="s">
        <v>49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35">
        <v>45918.503680555557</v>
      </c>
      <c r="B759" s="36">
        <v>444101807</v>
      </c>
      <c r="C759" s="37" t="s">
        <v>36</v>
      </c>
      <c r="D759" s="37" t="s">
        <v>37</v>
      </c>
      <c r="E759" s="37" t="s">
        <v>46</v>
      </c>
      <c r="F759" s="37" t="s">
        <v>38</v>
      </c>
      <c r="G759" s="38">
        <v>3665.51</v>
      </c>
      <c r="H759" s="36">
        <v>443315637</v>
      </c>
      <c r="I759" s="39">
        <v>0</v>
      </c>
      <c r="J759" s="38">
        <v>0</v>
      </c>
      <c r="K759" s="38">
        <v>0</v>
      </c>
      <c r="L759" s="38">
        <v>0</v>
      </c>
      <c r="M759" s="38">
        <v>10063.200000000001</v>
      </c>
      <c r="N759" s="46" t="s">
        <v>150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40">
        <v>45918.50403935185</v>
      </c>
      <c r="B760" s="41">
        <v>444101960</v>
      </c>
      <c r="C760" s="42" t="s">
        <v>36</v>
      </c>
      <c r="D760" s="42" t="s">
        <v>39</v>
      </c>
      <c r="E760" s="42" t="s">
        <v>47</v>
      </c>
      <c r="F760" s="42" t="s">
        <v>38</v>
      </c>
      <c r="G760" s="43">
        <v>3666.67</v>
      </c>
      <c r="H760" s="41">
        <v>443315785</v>
      </c>
      <c r="I760" s="44">
        <v>0</v>
      </c>
      <c r="J760" s="43">
        <v>0</v>
      </c>
      <c r="K760" s="43">
        <v>0</v>
      </c>
      <c r="L760" s="43">
        <v>3.49</v>
      </c>
      <c r="M760" s="43">
        <v>10066.69</v>
      </c>
      <c r="N760" s="45" t="s">
        <v>662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35">
        <v>45918.50403935185</v>
      </c>
      <c r="B761" s="36">
        <v>444101961</v>
      </c>
      <c r="C761" s="37" t="s">
        <v>36</v>
      </c>
      <c r="D761" s="37" t="s">
        <v>39</v>
      </c>
      <c r="E761" s="37" t="s">
        <v>47</v>
      </c>
      <c r="F761" s="37" t="s">
        <v>38</v>
      </c>
      <c r="G761" s="38">
        <v>3666.67</v>
      </c>
      <c r="H761" s="36">
        <v>443315786</v>
      </c>
      <c r="I761" s="39">
        <v>0</v>
      </c>
      <c r="J761" s="38">
        <v>0</v>
      </c>
      <c r="K761" s="38">
        <v>0</v>
      </c>
      <c r="L761" s="38">
        <v>1.57</v>
      </c>
      <c r="M761" s="38">
        <v>10068.26</v>
      </c>
      <c r="N761" s="46" t="s">
        <v>662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40">
        <v>45918.50403935185</v>
      </c>
      <c r="B762" s="41">
        <v>444101962</v>
      </c>
      <c r="C762" s="42" t="s">
        <v>36</v>
      </c>
      <c r="D762" s="42" t="s">
        <v>39</v>
      </c>
      <c r="E762" s="42" t="s">
        <v>47</v>
      </c>
      <c r="F762" s="42" t="s">
        <v>38</v>
      </c>
      <c r="G762" s="43">
        <v>3666.67</v>
      </c>
      <c r="H762" s="41">
        <v>443315787</v>
      </c>
      <c r="I762" s="44">
        <v>0</v>
      </c>
      <c r="J762" s="43">
        <v>0</v>
      </c>
      <c r="K762" s="43">
        <v>0</v>
      </c>
      <c r="L762" s="43">
        <v>1.56</v>
      </c>
      <c r="M762" s="43">
        <v>10069.82</v>
      </c>
      <c r="N762" s="45" t="s">
        <v>662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35">
        <v>45918.504062499997</v>
      </c>
      <c r="B763" s="36">
        <v>444102057</v>
      </c>
      <c r="C763" s="37" t="s">
        <v>36</v>
      </c>
      <c r="D763" s="37" t="s">
        <v>39</v>
      </c>
      <c r="E763" s="37" t="s">
        <v>47</v>
      </c>
      <c r="F763" s="37" t="s">
        <v>38</v>
      </c>
      <c r="G763" s="38">
        <v>3667.07</v>
      </c>
      <c r="H763" s="36">
        <v>443315882</v>
      </c>
      <c r="I763" s="39">
        <v>0</v>
      </c>
      <c r="J763" s="38">
        <v>0</v>
      </c>
      <c r="K763" s="38">
        <v>0</v>
      </c>
      <c r="L763" s="38">
        <v>1.56</v>
      </c>
      <c r="M763" s="38">
        <v>10071.379999999999</v>
      </c>
      <c r="N763" s="46" t="s">
        <v>663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40">
        <v>45918.504942129628</v>
      </c>
      <c r="B764" s="41">
        <v>444102833</v>
      </c>
      <c r="C764" s="42" t="s">
        <v>36</v>
      </c>
      <c r="D764" s="42" t="s">
        <v>37</v>
      </c>
      <c r="E764" s="42" t="s">
        <v>46</v>
      </c>
      <c r="F764" s="42" t="s">
        <v>38</v>
      </c>
      <c r="G764" s="43">
        <v>3666.45</v>
      </c>
      <c r="H764" s="41">
        <v>443316623</v>
      </c>
      <c r="I764" s="44">
        <v>0</v>
      </c>
      <c r="J764" s="43">
        <v>0</v>
      </c>
      <c r="K764" s="43">
        <v>0</v>
      </c>
      <c r="L764" s="43">
        <v>0</v>
      </c>
      <c r="M764" s="43">
        <v>10071.379999999999</v>
      </c>
      <c r="N764" s="45" t="s">
        <v>647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35">
        <v>45918.504953703705</v>
      </c>
      <c r="B765" s="36">
        <v>444102834</v>
      </c>
      <c r="C765" s="37" t="s">
        <v>36</v>
      </c>
      <c r="D765" s="37" t="s">
        <v>37</v>
      </c>
      <c r="E765" s="37" t="s">
        <v>46</v>
      </c>
      <c r="F765" s="37" t="s">
        <v>38</v>
      </c>
      <c r="G765" s="38">
        <v>3666.44</v>
      </c>
      <c r="H765" s="36">
        <v>443316624</v>
      </c>
      <c r="I765" s="39">
        <v>0</v>
      </c>
      <c r="J765" s="38">
        <v>0</v>
      </c>
      <c r="K765" s="38">
        <v>0</v>
      </c>
      <c r="L765" s="38">
        <v>0</v>
      </c>
      <c r="M765" s="38">
        <v>10071.379999999999</v>
      </c>
      <c r="N765" s="46" t="s">
        <v>653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40">
        <v>45918.504953703705</v>
      </c>
      <c r="B766" s="41">
        <v>444102835</v>
      </c>
      <c r="C766" s="42" t="s">
        <v>36</v>
      </c>
      <c r="D766" s="42" t="s">
        <v>37</v>
      </c>
      <c r="E766" s="42" t="s">
        <v>46</v>
      </c>
      <c r="F766" s="42" t="s">
        <v>38</v>
      </c>
      <c r="G766" s="43">
        <v>3666.56</v>
      </c>
      <c r="H766" s="41">
        <v>443316625</v>
      </c>
      <c r="I766" s="44">
        <v>0</v>
      </c>
      <c r="J766" s="43">
        <v>0</v>
      </c>
      <c r="K766" s="43">
        <v>0</v>
      </c>
      <c r="L766" s="43">
        <v>0</v>
      </c>
      <c r="M766" s="43">
        <v>10071.379999999999</v>
      </c>
      <c r="N766" s="45" t="s">
        <v>150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35">
        <v>45918.504953703705</v>
      </c>
      <c r="B767" s="36">
        <v>444102836</v>
      </c>
      <c r="C767" s="37" t="s">
        <v>36</v>
      </c>
      <c r="D767" s="37" t="s">
        <v>37</v>
      </c>
      <c r="E767" s="37" t="s">
        <v>46</v>
      </c>
      <c r="F767" s="37" t="s">
        <v>38</v>
      </c>
      <c r="G767" s="38">
        <v>3666.54</v>
      </c>
      <c r="H767" s="36">
        <v>443316626</v>
      </c>
      <c r="I767" s="39">
        <v>0</v>
      </c>
      <c r="J767" s="38">
        <v>0</v>
      </c>
      <c r="K767" s="38">
        <v>0</v>
      </c>
      <c r="L767" s="38">
        <v>0</v>
      </c>
      <c r="M767" s="38">
        <v>10071.379999999999</v>
      </c>
      <c r="N767" s="46" t="s">
        <v>53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40">
        <v>45918.505023148151</v>
      </c>
      <c r="B768" s="41">
        <v>444102872</v>
      </c>
      <c r="C768" s="42" t="s">
        <v>36</v>
      </c>
      <c r="D768" s="42" t="s">
        <v>39</v>
      </c>
      <c r="E768" s="42" t="s">
        <v>47</v>
      </c>
      <c r="F768" s="42" t="s">
        <v>38</v>
      </c>
      <c r="G768" s="43">
        <v>3665.92</v>
      </c>
      <c r="H768" s="41">
        <v>443316663</v>
      </c>
      <c r="I768" s="44">
        <v>0</v>
      </c>
      <c r="J768" s="43">
        <v>0</v>
      </c>
      <c r="K768" s="43">
        <v>0</v>
      </c>
      <c r="L768" s="43">
        <v>0.38</v>
      </c>
      <c r="M768" s="43">
        <v>10071.76</v>
      </c>
      <c r="N768" s="45" t="s">
        <v>664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35">
        <v>45918.505023148151</v>
      </c>
      <c r="B769" s="36">
        <v>444102873</v>
      </c>
      <c r="C769" s="37" t="s">
        <v>36</v>
      </c>
      <c r="D769" s="37" t="s">
        <v>39</v>
      </c>
      <c r="E769" s="37" t="s">
        <v>47</v>
      </c>
      <c r="F769" s="37" t="s">
        <v>38</v>
      </c>
      <c r="G769" s="38">
        <v>3665.92</v>
      </c>
      <c r="H769" s="36">
        <v>443316664</v>
      </c>
      <c r="I769" s="39">
        <v>0</v>
      </c>
      <c r="J769" s="38">
        <v>0</v>
      </c>
      <c r="K769" s="38">
        <v>0</v>
      </c>
      <c r="L769" s="38">
        <v>0.38</v>
      </c>
      <c r="M769" s="38">
        <v>10072.14</v>
      </c>
      <c r="N769" s="46" t="s">
        <v>665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40">
        <v>45918.505173611113</v>
      </c>
      <c r="B770" s="41">
        <v>444102913</v>
      </c>
      <c r="C770" s="42" t="s">
        <v>36</v>
      </c>
      <c r="D770" s="42" t="s">
        <v>37</v>
      </c>
      <c r="E770" s="42" t="s">
        <v>46</v>
      </c>
      <c r="F770" s="42" t="s">
        <v>38</v>
      </c>
      <c r="G770" s="43">
        <v>3666.2</v>
      </c>
      <c r="H770" s="41">
        <v>443316703</v>
      </c>
      <c r="I770" s="44">
        <v>0</v>
      </c>
      <c r="J770" s="43">
        <v>0</v>
      </c>
      <c r="K770" s="43">
        <v>0</v>
      </c>
      <c r="L770" s="43">
        <v>0</v>
      </c>
      <c r="M770" s="43">
        <v>10072.14</v>
      </c>
      <c r="N770" s="45" t="s">
        <v>48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35">
        <v>45918.505185185182</v>
      </c>
      <c r="B771" s="36">
        <v>444102914</v>
      </c>
      <c r="C771" s="37" t="s">
        <v>36</v>
      </c>
      <c r="D771" s="37" t="s">
        <v>37</v>
      </c>
      <c r="E771" s="37" t="s">
        <v>46</v>
      </c>
      <c r="F771" s="37" t="s">
        <v>38</v>
      </c>
      <c r="G771" s="38">
        <v>3666.21</v>
      </c>
      <c r="H771" s="36">
        <v>443316704</v>
      </c>
      <c r="I771" s="39">
        <v>0</v>
      </c>
      <c r="J771" s="38">
        <v>0</v>
      </c>
      <c r="K771" s="38">
        <v>0</v>
      </c>
      <c r="L771" s="38">
        <v>0</v>
      </c>
      <c r="M771" s="38">
        <v>10072.14</v>
      </c>
      <c r="N771" s="46" t="s">
        <v>49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40">
        <v>45918.506574074076</v>
      </c>
      <c r="B772" s="41">
        <v>444103531</v>
      </c>
      <c r="C772" s="42" t="s">
        <v>36</v>
      </c>
      <c r="D772" s="42" t="s">
        <v>39</v>
      </c>
      <c r="E772" s="42" t="s">
        <v>47</v>
      </c>
      <c r="F772" s="42" t="s">
        <v>38</v>
      </c>
      <c r="G772" s="43">
        <v>3667.99</v>
      </c>
      <c r="H772" s="41">
        <v>443317322</v>
      </c>
      <c r="I772" s="44">
        <v>0</v>
      </c>
      <c r="J772" s="43">
        <v>0</v>
      </c>
      <c r="K772" s="43">
        <v>0</v>
      </c>
      <c r="L772" s="43">
        <v>1.55</v>
      </c>
      <c r="M772" s="43">
        <v>10073.69</v>
      </c>
      <c r="N772" s="45" t="s">
        <v>666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35">
        <v>45918.506574074076</v>
      </c>
      <c r="B773" s="36">
        <v>444103532</v>
      </c>
      <c r="C773" s="37" t="s">
        <v>36</v>
      </c>
      <c r="D773" s="37" t="s">
        <v>39</v>
      </c>
      <c r="E773" s="37" t="s">
        <v>47</v>
      </c>
      <c r="F773" s="37" t="s">
        <v>38</v>
      </c>
      <c r="G773" s="38">
        <v>3667.99</v>
      </c>
      <c r="H773" s="36">
        <v>443317323</v>
      </c>
      <c r="I773" s="39">
        <v>0</v>
      </c>
      <c r="J773" s="38">
        <v>0</v>
      </c>
      <c r="K773" s="38">
        <v>0</v>
      </c>
      <c r="L773" s="38">
        <v>1.43</v>
      </c>
      <c r="M773" s="38">
        <v>10075.120000000001</v>
      </c>
      <c r="N773" s="46" t="s">
        <v>666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40">
        <v>45918.506585648145</v>
      </c>
      <c r="B774" s="41">
        <v>444103536</v>
      </c>
      <c r="C774" s="42" t="s">
        <v>36</v>
      </c>
      <c r="D774" s="42" t="s">
        <v>39</v>
      </c>
      <c r="E774" s="42" t="s">
        <v>47</v>
      </c>
      <c r="F774" s="42" t="s">
        <v>38</v>
      </c>
      <c r="G774" s="43">
        <v>3668.04</v>
      </c>
      <c r="H774" s="41">
        <v>443317327</v>
      </c>
      <c r="I774" s="44">
        <v>0</v>
      </c>
      <c r="J774" s="43">
        <v>0</v>
      </c>
      <c r="K774" s="43">
        <v>0</v>
      </c>
      <c r="L774" s="43">
        <v>1.59</v>
      </c>
      <c r="M774" s="43">
        <v>10076.709999999999</v>
      </c>
      <c r="N774" s="45" t="s">
        <v>667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35">
        <v>45918.508414351854</v>
      </c>
      <c r="B775" s="36">
        <v>444104576</v>
      </c>
      <c r="C775" s="37" t="s">
        <v>36</v>
      </c>
      <c r="D775" s="37" t="s">
        <v>39</v>
      </c>
      <c r="E775" s="37" t="s">
        <v>47</v>
      </c>
      <c r="F775" s="37" t="s">
        <v>38</v>
      </c>
      <c r="G775" s="38">
        <v>3669.14</v>
      </c>
      <c r="H775" s="36">
        <v>443318345</v>
      </c>
      <c r="I775" s="39">
        <v>0</v>
      </c>
      <c r="J775" s="38">
        <v>0</v>
      </c>
      <c r="K775" s="38">
        <v>0</v>
      </c>
      <c r="L775" s="38">
        <v>2.94</v>
      </c>
      <c r="M775" s="38">
        <v>10079.65</v>
      </c>
      <c r="N775" s="46" t="s">
        <v>668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40">
        <v>45918.508425925924</v>
      </c>
      <c r="B776" s="41">
        <v>444104592</v>
      </c>
      <c r="C776" s="42" t="s">
        <v>36</v>
      </c>
      <c r="D776" s="42" t="s">
        <v>39</v>
      </c>
      <c r="E776" s="42" t="s">
        <v>47</v>
      </c>
      <c r="F776" s="42" t="s">
        <v>38</v>
      </c>
      <c r="G776" s="43">
        <v>3669.21</v>
      </c>
      <c r="H776" s="41">
        <v>443318361</v>
      </c>
      <c r="I776" s="44">
        <v>0</v>
      </c>
      <c r="J776" s="43">
        <v>0</v>
      </c>
      <c r="K776" s="43">
        <v>0</v>
      </c>
      <c r="L776" s="43">
        <v>3</v>
      </c>
      <c r="M776" s="43">
        <v>10082.65</v>
      </c>
      <c r="N776" s="45" t="s">
        <v>669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35">
        <v>45918.509687500002</v>
      </c>
      <c r="B777" s="36">
        <v>444105081</v>
      </c>
      <c r="C777" s="37" t="s">
        <v>36</v>
      </c>
      <c r="D777" s="37" t="s">
        <v>37</v>
      </c>
      <c r="E777" s="37" t="s">
        <v>46</v>
      </c>
      <c r="F777" s="37" t="s">
        <v>38</v>
      </c>
      <c r="G777" s="38">
        <v>3668.14</v>
      </c>
      <c r="H777" s="36">
        <v>443318833</v>
      </c>
      <c r="I777" s="39">
        <v>0</v>
      </c>
      <c r="J777" s="38">
        <v>0</v>
      </c>
      <c r="K777" s="38">
        <v>0</v>
      </c>
      <c r="L777" s="38">
        <v>0</v>
      </c>
      <c r="M777" s="38">
        <v>10082.65</v>
      </c>
      <c r="N777" s="46" t="s">
        <v>647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40">
        <v>45918.509699074071</v>
      </c>
      <c r="B778" s="41">
        <v>444105082</v>
      </c>
      <c r="C778" s="42" t="s">
        <v>36</v>
      </c>
      <c r="D778" s="42" t="s">
        <v>37</v>
      </c>
      <c r="E778" s="42" t="s">
        <v>46</v>
      </c>
      <c r="F778" s="42" t="s">
        <v>38</v>
      </c>
      <c r="G778" s="43">
        <v>3668.14</v>
      </c>
      <c r="H778" s="41">
        <v>443318834</v>
      </c>
      <c r="I778" s="44">
        <v>0</v>
      </c>
      <c r="J778" s="43">
        <v>0</v>
      </c>
      <c r="K778" s="43">
        <v>0</v>
      </c>
      <c r="L778" s="43">
        <v>0</v>
      </c>
      <c r="M778" s="43">
        <v>10082.65</v>
      </c>
      <c r="N778" s="45" t="s">
        <v>48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35">
        <v>45918.509699074071</v>
      </c>
      <c r="B779" s="36">
        <v>444105083</v>
      </c>
      <c r="C779" s="37" t="s">
        <v>36</v>
      </c>
      <c r="D779" s="37" t="s">
        <v>37</v>
      </c>
      <c r="E779" s="37" t="s">
        <v>46</v>
      </c>
      <c r="F779" s="37" t="s">
        <v>38</v>
      </c>
      <c r="G779" s="38">
        <v>3668.14</v>
      </c>
      <c r="H779" s="36">
        <v>443318835</v>
      </c>
      <c r="I779" s="39">
        <v>0</v>
      </c>
      <c r="J779" s="38">
        <v>0</v>
      </c>
      <c r="K779" s="38">
        <v>0</v>
      </c>
      <c r="L779" s="38">
        <v>0</v>
      </c>
      <c r="M779" s="38">
        <v>10082.65</v>
      </c>
      <c r="N779" s="46" t="s">
        <v>653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40">
        <v>45918.509699074071</v>
      </c>
      <c r="B780" s="41">
        <v>444105085</v>
      </c>
      <c r="C780" s="42" t="s">
        <v>36</v>
      </c>
      <c r="D780" s="42" t="s">
        <v>37</v>
      </c>
      <c r="E780" s="42" t="s">
        <v>46</v>
      </c>
      <c r="F780" s="42" t="s">
        <v>38</v>
      </c>
      <c r="G780" s="43">
        <v>3668.14</v>
      </c>
      <c r="H780" s="41">
        <v>443318836</v>
      </c>
      <c r="I780" s="44">
        <v>0</v>
      </c>
      <c r="J780" s="43">
        <v>0</v>
      </c>
      <c r="K780" s="43">
        <v>0</v>
      </c>
      <c r="L780" s="43">
        <v>0</v>
      </c>
      <c r="M780" s="43">
        <v>10082.65</v>
      </c>
      <c r="N780" s="45" t="s">
        <v>49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35">
        <v>45918.509699074071</v>
      </c>
      <c r="B781" s="36">
        <v>444105086</v>
      </c>
      <c r="C781" s="37" t="s">
        <v>36</v>
      </c>
      <c r="D781" s="37" t="s">
        <v>37</v>
      </c>
      <c r="E781" s="37" t="s">
        <v>46</v>
      </c>
      <c r="F781" s="37" t="s">
        <v>38</v>
      </c>
      <c r="G781" s="38">
        <v>3668.14</v>
      </c>
      <c r="H781" s="36">
        <v>443318837</v>
      </c>
      <c r="I781" s="39">
        <v>0</v>
      </c>
      <c r="J781" s="38">
        <v>0</v>
      </c>
      <c r="K781" s="38">
        <v>0</v>
      </c>
      <c r="L781" s="38">
        <v>0</v>
      </c>
      <c r="M781" s="38">
        <v>10082.65</v>
      </c>
      <c r="N781" s="46" t="s">
        <v>150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40">
        <v>45918.510196759256</v>
      </c>
      <c r="B782" s="41">
        <v>444105557</v>
      </c>
      <c r="C782" s="42" t="s">
        <v>36</v>
      </c>
      <c r="D782" s="42" t="s">
        <v>39</v>
      </c>
      <c r="E782" s="42" t="s">
        <v>47</v>
      </c>
      <c r="F782" s="42" t="s">
        <v>38</v>
      </c>
      <c r="G782" s="43">
        <v>3667.29</v>
      </c>
      <c r="H782" s="41">
        <v>443319306</v>
      </c>
      <c r="I782" s="44">
        <v>0</v>
      </c>
      <c r="J782" s="43">
        <v>0</v>
      </c>
      <c r="K782" s="43">
        <v>0</v>
      </c>
      <c r="L782" s="43">
        <v>0.75</v>
      </c>
      <c r="M782" s="43">
        <v>10083.4</v>
      </c>
      <c r="N782" s="45" t="s">
        <v>670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35">
        <v>45918.510266203702</v>
      </c>
      <c r="B783" s="36">
        <v>444105610</v>
      </c>
      <c r="C783" s="37" t="s">
        <v>36</v>
      </c>
      <c r="D783" s="37" t="s">
        <v>37</v>
      </c>
      <c r="E783" s="37" t="s">
        <v>46</v>
      </c>
      <c r="F783" s="37" t="s">
        <v>38</v>
      </c>
      <c r="G783" s="38">
        <v>3667.23</v>
      </c>
      <c r="H783" s="36">
        <v>443319361</v>
      </c>
      <c r="I783" s="39">
        <v>0</v>
      </c>
      <c r="J783" s="38">
        <v>0</v>
      </c>
      <c r="K783" s="38">
        <v>0</v>
      </c>
      <c r="L783" s="38">
        <v>0</v>
      </c>
      <c r="M783" s="38">
        <v>10083.4</v>
      </c>
      <c r="N783" s="46" t="s">
        <v>395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40">
        <v>45918.510277777779</v>
      </c>
      <c r="B784" s="41">
        <v>444105613</v>
      </c>
      <c r="C784" s="42" t="s">
        <v>36</v>
      </c>
      <c r="D784" s="42" t="s">
        <v>37</v>
      </c>
      <c r="E784" s="42" t="s">
        <v>46</v>
      </c>
      <c r="F784" s="42" t="s">
        <v>38</v>
      </c>
      <c r="G784" s="43">
        <v>3667.21</v>
      </c>
      <c r="H784" s="41">
        <v>443319364</v>
      </c>
      <c r="I784" s="44">
        <v>0</v>
      </c>
      <c r="J784" s="43">
        <v>0</v>
      </c>
      <c r="K784" s="43">
        <v>0</v>
      </c>
      <c r="L784" s="43">
        <v>0</v>
      </c>
      <c r="M784" s="43">
        <v>10083.4</v>
      </c>
      <c r="N784" s="45" t="s">
        <v>616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35">
        <v>45918.510277777779</v>
      </c>
      <c r="B785" s="36">
        <v>444105616</v>
      </c>
      <c r="C785" s="37" t="s">
        <v>36</v>
      </c>
      <c r="D785" s="37" t="s">
        <v>37</v>
      </c>
      <c r="E785" s="37" t="s">
        <v>46</v>
      </c>
      <c r="F785" s="37" t="s">
        <v>38</v>
      </c>
      <c r="G785" s="38">
        <v>3667.21</v>
      </c>
      <c r="H785" s="36">
        <v>443319367</v>
      </c>
      <c r="I785" s="39">
        <v>0</v>
      </c>
      <c r="J785" s="38">
        <v>0</v>
      </c>
      <c r="K785" s="38">
        <v>0</v>
      </c>
      <c r="L785" s="38">
        <v>0</v>
      </c>
      <c r="M785" s="38">
        <v>10083.4</v>
      </c>
      <c r="N785" s="46" t="s">
        <v>268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40">
        <v>45918.510381944441</v>
      </c>
      <c r="B786" s="41">
        <v>444105737</v>
      </c>
      <c r="C786" s="42" t="s">
        <v>36</v>
      </c>
      <c r="D786" s="42" t="s">
        <v>37</v>
      </c>
      <c r="E786" s="42" t="s">
        <v>46</v>
      </c>
      <c r="F786" s="42" t="s">
        <v>38</v>
      </c>
      <c r="G786" s="43">
        <v>3667.73</v>
      </c>
      <c r="H786" s="41">
        <v>443319488</v>
      </c>
      <c r="I786" s="44">
        <v>0</v>
      </c>
      <c r="J786" s="43">
        <v>0</v>
      </c>
      <c r="K786" s="43">
        <v>0</v>
      </c>
      <c r="L786" s="43">
        <v>0</v>
      </c>
      <c r="M786" s="43">
        <v>10083.4</v>
      </c>
      <c r="N786" s="45" t="s">
        <v>53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35">
        <v>45918.511238425926</v>
      </c>
      <c r="B787" s="36">
        <v>444105986</v>
      </c>
      <c r="C787" s="37" t="s">
        <v>36</v>
      </c>
      <c r="D787" s="37" t="s">
        <v>39</v>
      </c>
      <c r="E787" s="37" t="s">
        <v>47</v>
      </c>
      <c r="F787" s="37" t="s">
        <v>38</v>
      </c>
      <c r="G787" s="38">
        <v>3666.61</v>
      </c>
      <c r="H787" s="36">
        <v>443319728</v>
      </c>
      <c r="I787" s="39">
        <v>0</v>
      </c>
      <c r="J787" s="38">
        <v>0</v>
      </c>
      <c r="K787" s="38">
        <v>0</v>
      </c>
      <c r="L787" s="38">
        <v>-1.53</v>
      </c>
      <c r="M787" s="38">
        <v>10081.870000000001</v>
      </c>
      <c r="N787" s="46" t="s">
        <v>671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40">
        <v>45918.515370370369</v>
      </c>
      <c r="B788" s="41">
        <v>444107846</v>
      </c>
      <c r="C788" s="42" t="s">
        <v>36</v>
      </c>
      <c r="D788" s="42" t="s">
        <v>39</v>
      </c>
      <c r="E788" s="42" t="s">
        <v>47</v>
      </c>
      <c r="F788" s="42" t="s">
        <v>38</v>
      </c>
      <c r="G788" s="43">
        <v>3669.65</v>
      </c>
      <c r="H788" s="41">
        <v>443321544</v>
      </c>
      <c r="I788" s="44">
        <v>0</v>
      </c>
      <c r="J788" s="43">
        <v>0</v>
      </c>
      <c r="K788" s="43">
        <v>0</v>
      </c>
      <c r="L788" s="43">
        <v>1.51</v>
      </c>
      <c r="M788" s="43">
        <v>10083.379999999999</v>
      </c>
      <c r="N788" s="45" t="s">
        <v>672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35">
        <v>45918.515370370369</v>
      </c>
      <c r="B789" s="36">
        <v>444107847</v>
      </c>
      <c r="C789" s="37" t="s">
        <v>36</v>
      </c>
      <c r="D789" s="37" t="s">
        <v>39</v>
      </c>
      <c r="E789" s="37" t="s">
        <v>47</v>
      </c>
      <c r="F789" s="37" t="s">
        <v>38</v>
      </c>
      <c r="G789" s="38">
        <v>3669.65</v>
      </c>
      <c r="H789" s="36">
        <v>443321545</v>
      </c>
      <c r="I789" s="39">
        <v>0</v>
      </c>
      <c r="J789" s="38">
        <v>0</v>
      </c>
      <c r="K789" s="38">
        <v>0</v>
      </c>
      <c r="L789" s="38">
        <v>1.51</v>
      </c>
      <c r="M789" s="38">
        <v>10084.89</v>
      </c>
      <c r="N789" s="46" t="s">
        <v>672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40">
        <v>45918.515590277777</v>
      </c>
      <c r="B790" s="41">
        <v>444108311</v>
      </c>
      <c r="C790" s="42" t="s">
        <v>36</v>
      </c>
      <c r="D790" s="42" t="s">
        <v>39</v>
      </c>
      <c r="E790" s="42" t="s">
        <v>47</v>
      </c>
      <c r="F790" s="42" t="s">
        <v>38</v>
      </c>
      <c r="G790" s="43">
        <v>3670.67</v>
      </c>
      <c r="H790" s="41">
        <v>443322000</v>
      </c>
      <c r="I790" s="44">
        <v>0</v>
      </c>
      <c r="J790" s="43">
        <v>0</v>
      </c>
      <c r="K790" s="43">
        <v>0</v>
      </c>
      <c r="L790" s="43">
        <v>3.44</v>
      </c>
      <c r="M790" s="43">
        <v>10088.33</v>
      </c>
      <c r="N790" s="45" t="s">
        <v>673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35">
        <v>45918.515590277777</v>
      </c>
      <c r="B791" s="36">
        <v>444108365</v>
      </c>
      <c r="C791" s="37" t="s">
        <v>36</v>
      </c>
      <c r="D791" s="37" t="s">
        <v>39</v>
      </c>
      <c r="E791" s="37" t="s">
        <v>47</v>
      </c>
      <c r="F791" s="37" t="s">
        <v>38</v>
      </c>
      <c r="G791" s="38">
        <v>3670.76</v>
      </c>
      <c r="H791" s="36">
        <v>443322050</v>
      </c>
      <c r="I791" s="39">
        <v>0</v>
      </c>
      <c r="J791" s="38">
        <v>0</v>
      </c>
      <c r="K791" s="38">
        <v>0</v>
      </c>
      <c r="L791" s="38">
        <v>3.55</v>
      </c>
      <c r="M791" s="38">
        <v>10091.879999999999</v>
      </c>
      <c r="N791" s="46" t="s">
        <v>674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40">
        <v>45918.515590277777</v>
      </c>
      <c r="B792" s="41">
        <v>444108366</v>
      </c>
      <c r="C792" s="42" t="s">
        <v>36</v>
      </c>
      <c r="D792" s="42" t="s">
        <v>39</v>
      </c>
      <c r="E792" s="42" t="s">
        <v>47</v>
      </c>
      <c r="F792" s="42" t="s">
        <v>38</v>
      </c>
      <c r="G792" s="43">
        <v>3670.76</v>
      </c>
      <c r="H792" s="41">
        <v>443322051</v>
      </c>
      <c r="I792" s="44">
        <v>0</v>
      </c>
      <c r="J792" s="43">
        <v>0</v>
      </c>
      <c r="K792" s="43">
        <v>0</v>
      </c>
      <c r="L792" s="43">
        <v>3.55</v>
      </c>
      <c r="M792" s="43">
        <v>10095.43</v>
      </c>
      <c r="N792" s="45" t="s">
        <v>674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35">
        <v>45918.516018518516</v>
      </c>
      <c r="B793" s="36">
        <v>444108700</v>
      </c>
      <c r="C793" s="37" t="s">
        <v>36</v>
      </c>
      <c r="D793" s="37" t="s">
        <v>39</v>
      </c>
      <c r="E793" s="37" t="s">
        <v>47</v>
      </c>
      <c r="F793" s="37" t="s">
        <v>38</v>
      </c>
      <c r="G793" s="38">
        <v>3671.14</v>
      </c>
      <c r="H793" s="36">
        <v>443322379</v>
      </c>
      <c r="I793" s="39">
        <v>0</v>
      </c>
      <c r="J793" s="38">
        <v>0</v>
      </c>
      <c r="K793" s="38">
        <v>0</v>
      </c>
      <c r="L793" s="38">
        <v>3</v>
      </c>
      <c r="M793" s="38">
        <v>10098.43</v>
      </c>
      <c r="N793" s="46" t="s">
        <v>675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40">
        <v>45918.516018518516</v>
      </c>
      <c r="B794" s="41">
        <v>444108701</v>
      </c>
      <c r="C794" s="42" t="s">
        <v>36</v>
      </c>
      <c r="D794" s="42" t="s">
        <v>39</v>
      </c>
      <c r="E794" s="42" t="s">
        <v>47</v>
      </c>
      <c r="F794" s="42" t="s">
        <v>38</v>
      </c>
      <c r="G794" s="43">
        <v>3671.14</v>
      </c>
      <c r="H794" s="41">
        <v>443322380</v>
      </c>
      <c r="I794" s="44">
        <v>0</v>
      </c>
      <c r="J794" s="43">
        <v>0</v>
      </c>
      <c r="K794" s="43">
        <v>0</v>
      </c>
      <c r="L794" s="43">
        <v>3</v>
      </c>
      <c r="M794" s="43">
        <v>10101.43</v>
      </c>
      <c r="N794" s="45" t="s">
        <v>675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35">
        <v>45918.516053240739</v>
      </c>
      <c r="B795" s="36">
        <v>444108732</v>
      </c>
      <c r="C795" s="37" t="s">
        <v>36</v>
      </c>
      <c r="D795" s="37" t="s">
        <v>39</v>
      </c>
      <c r="E795" s="37" t="s">
        <v>47</v>
      </c>
      <c r="F795" s="37" t="s">
        <v>38</v>
      </c>
      <c r="G795" s="38">
        <v>3671.26</v>
      </c>
      <c r="H795" s="36">
        <v>443322411</v>
      </c>
      <c r="I795" s="39">
        <v>0</v>
      </c>
      <c r="J795" s="38">
        <v>0</v>
      </c>
      <c r="K795" s="38">
        <v>0</v>
      </c>
      <c r="L795" s="38">
        <v>3.53</v>
      </c>
      <c r="M795" s="38">
        <v>10104.959999999999</v>
      </c>
      <c r="N795" s="46" t="s">
        <v>676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40">
        <v>45918.520451388889</v>
      </c>
      <c r="B796" s="41">
        <v>444110613</v>
      </c>
      <c r="C796" s="42" t="s">
        <v>36</v>
      </c>
      <c r="D796" s="42" t="s">
        <v>37</v>
      </c>
      <c r="E796" s="42" t="s">
        <v>46</v>
      </c>
      <c r="F796" s="42" t="s">
        <v>38</v>
      </c>
      <c r="G796" s="43">
        <v>3671.48</v>
      </c>
      <c r="H796" s="41">
        <v>443324265</v>
      </c>
      <c r="I796" s="44">
        <v>0</v>
      </c>
      <c r="J796" s="43">
        <v>0</v>
      </c>
      <c r="K796" s="43">
        <v>0</v>
      </c>
      <c r="L796" s="43">
        <v>0</v>
      </c>
      <c r="M796" s="43">
        <v>10104.959999999999</v>
      </c>
      <c r="N796" s="45" t="s">
        <v>48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35">
        <v>45918.520462962966</v>
      </c>
      <c r="B797" s="36">
        <v>444110614</v>
      </c>
      <c r="C797" s="37" t="s">
        <v>36</v>
      </c>
      <c r="D797" s="37" t="s">
        <v>37</v>
      </c>
      <c r="E797" s="37" t="s">
        <v>46</v>
      </c>
      <c r="F797" s="37" t="s">
        <v>38</v>
      </c>
      <c r="G797" s="38">
        <v>3671.48</v>
      </c>
      <c r="H797" s="36">
        <v>443324267</v>
      </c>
      <c r="I797" s="39">
        <v>0</v>
      </c>
      <c r="J797" s="38">
        <v>0</v>
      </c>
      <c r="K797" s="38">
        <v>0</v>
      </c>
      <c r="L797" s="38">
        <v>0</v>
      </c>
      <c r="M797" s="38">
        <v>10104.959999999999</v>
      </c>
      <c r="N797" s="46" t="s">
        <v>150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40">
        <v>45918.520462962966</v>
      </c>
      <c r="B798" s="41">
        <v>444110616</v>
      </c>
      <c r="C798" s="42" t="s">
        <v>36</v>
      </c>
      <c r="D798" s="42" t="s">
        <v>37</v>
      </c>
      <c r="E798" s="42" t="s">
        <v>46</v>
      </c>
      <c r="F798" s="42" t="s">
        <v>38</v>
      </c>
      <c r="G798" s="43">
        <v>3671.48</v>
      </c>
      <c r="H798" s="41">
        <v>443324268</v>
      </c>
      <c r="I798" s="44">
        <v>0</v>
      </c>
      <c r="J798" s="43">
        <v>0</v>
      </c>
      <c r="K798" s="43">
        <v>0</v>
      </c>
      <c r="L798" s="43">
        <v>0</v>
      </c>
      <c r="M798" s="43">
        <v>10104.959999999999</v>
      </c>
      <c r="N798" s="45" t="s">
        <v>647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35">
        <v>45918.520462962966</v>
      </c>
      <c r="B799" s="36">
        <v>444110617</v>
      </c>
      <c r="C799" s="37" t="s">
        <v>36</v>
      </c>
      <c r="D799" s="37" t="s">
        <v>37</v>
      </c>
      <c r="E799" s="37" t="s">
        <v>46</v>
      </c>
      <c r="F799" s="37" t="s">
        <v>38</v>
      </c>
      <c r="G799" s="38">
        <v>3671.48</v>
      </c>
      <c r="H799" s="36">
        <v>443324269</v>
      </c>
      <c r="I799" s="39">
        <v>0</v>
      </c>
      <c r="J799" s="38">
        <v>0</v>
      </c>
      <c r="K799" s="38">
        <v>0</v>
      </c>
      <c r="L799" s="38">
        <v>0</v>
      </c>
      <c r="M799" s="38">
        <v>10104.959999999999</v>
      </c>
      <c r="N799" s="46" t="s">
        <v>653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40">
        <v>45918.520462962966</v>
      </c>
      <c r="B800" s="41">
        <v>444110618</v>
      </c>
      <c r="C800" s="42" t="s">
        <v>36</v>
      </c>
      <c r="D800" s="42" t="s">
        <v>37</v>
      </c>
      <c r="E800" s="42" t="s">
        <v>46</v>
      </c>
      <c r="F800" s="42" t="s">
        <v>38</v>
      </c>
      <c r="G800" s="43">
        <v>3671.48</v>
      </c>
      <c r="H800" s="41">
        <v>443324270</v>
      </c>
      <c r="I800" s="44">
        <v>0</v>
      </c>
      <c r="J800" s="43">
        <v>0</v>
      </c>
      <c r="K800" s="43">
        <v>0</v>
      </c>
      <c r="L800" s="43">
        <v>0</v>
      </c>
      <c r="M800" s="43">
        <v>10104.959999999999</v>
      </c>
      <c r="N800" s="45" t="s">
        <v>53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35">
        <v>45918.520474537036</v>
      </c>
      <c r="B801" s="36">
        <v>444110620</v>
      </c>
      <c r="C801" s="37" t="s">
        <v>36</v>
      </c>
      <c r="D801" s="37" t="s">
        <v>37</v>
      </c>
      <c r="E801" s="37" t="s">
        <v>46</v>
      </c>
      <c r="F801" s="37" t="s">
        <v>38</v>
      </c>
      <c r="G801" s="38">
        <v>3671.48</v>
      </c>
      <c r="H801" s="36">
        <v>443324272</v>
      </c>
      <c r="I801" s="39">
        <v>0</v>
      </c>
      <c r="J801" s="38">
        <v>0</v>
      </c>
      <c r="K801" s="38">
        <v>0</v>
      </c>
      <c r="L801" s="38">
        <v>0</v>
      </c>
      <c r="M801" s="38">
        <v>10104.959999999999</v>
      </c>
      <c r="N801" s="46" t="s">
        <v>49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40">
        <v>45918.522858796299</v>
      </c>
      <c r="B802" s="41">
        <v>444111620</v>
      </c>
      <c r="C802" s="42" t="s">
        <v>36</v>
      </c>
      <c r="D802" s="42" t="s">
        <v>39</v>
      </c>
      <c r="E802" s="42" t="s">
        <v>47</v>
      </c>
      <c r="F802" s="42" t="s">
        <v>38</v>
      </c>
      <c r="G802" s="43">
        <v>3671.25</v>
      </c>
      <c r="H802" s="41">
        <v>443325255</v>
      </c>
      <c r="I802" s="44">
        <v>0</v>
      </c>
      <c r="J802" s="43">
        <v>0</v>
      </c>
      <c r="K802" s="43">
        <v>0</v>
      </c>
      <c r="L802" s="43">
        <v>-0.23</v>
      </c>
      <c r="M802" s="43">
        <v>10104.73</v>
      </c>
      <c r="N802" s="45" t="s">
        <v>677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35">
        <v>45918.522858796299</v>
      </c>
      <c r="B803" s="36">
        <v>444111621</v>
      </c>
      <c r="C803" s="37" t="s">
        <v>36</v>
      </c>
      <c r="D803" s="37" t="s">
        <v>39</v>
      </c>
      <c r="E803" s="37" t="s">
        <v>47</v>
      </c>
      <c r="F803" s="37" t="s">
        <v>38</v>
      </c>
      <c r="G803" s="38">
        <v>3671.25</v>
      </c>
      <c r="H803" s="36">
        <v>443325256</v>
      </c>
      <c r="I803" s="39">
        <v>0</v>
      </c>
      <c r="J803" s="38">
        <v>0</v>
      </c>
      <c r="K803" s="38">
        <v>0</v>
      </c>
      <c r="L803" s="38">
        <v>-0.23</v>
      </c>
      <c r="M803" s="38">
        <v>10104.5</v>
      </c>
      <c r="N803" s="46" t="s">
        <v>677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40">
        <v>45918.523113425923</v>
      </c>
      <c r="B804" s="41">
        <v>444111740</v>
      </c>
      <c r="C804" s="42" t="s">
        <v>36</v>
      </c>
      <c r="D804" s="42" t="s">
        <v>37</v>
      </c>
      <c r="E804" s="42" t="s">
        <v>46</v>
      </c>
      <c r="F804" s="42" t="s">
        <v>38</v>
      </c>
      <c r="G804" s="43">
        <v>3671.11</v>
      </c>
      <c r="H804" s="41">
        <v>443325377</v>
      </c>
      <c r="I804" s="44">
        <v>0</v>
      </c>
      <c r="J804" s="43">
        <v>0</v>
      </c>
      <c r="K804" s="43">
        <v>0</v>
      </c>
      <c r="L804" s="43">
        <v>0</v>
      </c>
      <c r="M804" s="43">
        <v>10104.5</v>
      </c>
      <c r="N804" s="45" t="s">
        <v>268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35">
        <v>45918.523125</v>
      </c>
      <c r="B805" s="36">
        <v>444111741</v>
      </c>
      <c r="C805" s="37" t="s">
        <v>36</v>
      </c>
      <c r="D805" s="37" t="s">
        <v>37</v>
      </c>
      <c r="E805" s="37" t="s">
        <v>46</v>
      </c>
      <c r="F805" s="37" t="s">
        <v>38</v>
      </c>
      <c r="G805" s="38">
        <v>3671.11</v>
      </c>
      <c r="H805" s="36">
        <v>443325378</v>
      </c>
      <c r="I805" s="39">
        <v>0</v>
      </c>
      <c r="J805" s="38">
        <v>0</v>
      </c>
      <c r="K805" s="38">
        <v>0</v>
      </c>
      <c r="L805" s="38">
        <v>0</v>
      </c>
      <c r="M805" s="38">
        <v>10104.5</v>
      </c>
      <c r="N805" s="46" t="s">
        <v>395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40">
        <v>45918.523125</v>
      </c>
      <c r="B806" s="41">
        <v>444111743</v>
      </c>
      <c r="C806" s="42" t="s">
        <v>36</v>
      </c>
      <c r="D806" s="42" t="s">
        <v>37</v>
      </c>
      <c r="E806" s="42" t="s">
        <v>46</v>
      </c>
      <c r="F806" s="42" t="s">
        <v>38</v>
      </c>
      <c r="G806" s="43">
        <v>3671.11</v>
      </c>
      <c r="H806" s="41">
        <v>443325380</v>
      </c>
      <c r="I806" s="44">
        <v>0</v>
      </c>
      <c r="J806" s="43">
        <v>0</v>
      </c>
      <c r="K806" s="43">
        <v>0</v>
      </c>
      <c r="L806" s="43">
        <v>0</v>
      </c>
      <c r="M806" s="43">
        <v>10104.5</v>
      </c>
      <c r="N806" s="45" t="s">
        <v>616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35">
        <v>45918.523692129631</v>
      </c>
      <c r="B807" s="36">
        <v>444111947</v>
      </c>
      <c r="C807" s="37" t="s">
        <v>36</v>
      </c>
      <c r="D807" s="37" t="s">
        <v>37</v>
      </c>
      <c r="E807" s="37" t="s">
        <v>46</v>
      </c>
      <c r="F807" s="37" t="s">
        <v>38</v>
      </c>
      <c r="G807" s="38">
        <v>3671.52</v>
      </c>
      <c r="H807" s="36">
        <v>443325590</v>
      </c>
      <c r="I807" s="39">
        <v>0</v>
      </c>
      <c r="J807" s="38">
        <v>0</v>
      </c>
      <c r="K807" s="38">
        <v>0</v>
      </c>
      <c r="L807" s="38">
        <v>0</v>
      </c>
      <c r="M807" s="38">
        <v>10104.5</v>
      </c>
      <c r="N807" s="46" t="s">
        <v>48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40">
        <v>45918.5237037037</v>
      </c>
      <c r="B808" s="41">
        <v>444111949</v>
      </c>
      <c r="C808" s="42" t="s">
        <v>36</v>
      </c>
      <c r="D808" s="42" t="s">
        <v>37</v>
      </c>
      <c r="E808" s="42" t="s">
        <v>46</v>
      </c>
      <c r="F808" s="42" t="s">
        <v>38</v>
      </c>
      <c r="G808" s="43">
        <v>3671.52</v>
      </c>
      <c r="H808" s="41">
        <v>443325592</v>
      </c>
      <c r="I808" s="44">
        <v>0</v>
      </c>
      <c r="J808" s="43">
        <v>0</v>
      </c>
      <c r="K808" s="43">
        <v>0</v>
      </c>
      <c r="L808" s="43">
        <v>0</v>
      </c>
      <c r="M808" s="43">
        <v>10104.5</v>
      </c>
      <c r="N808" s="45" t="s">
        <v>53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35">
        <v>45918.52888888889</v>
      </c>
      <c r="B809" s="36">
        <v>444113661</v>
      </c>
      <c r="C809" s="37" t="s">
        <v>36</v>
      </c>
      <c r="D809" s="37" t="s">
        <v>39</v>
      </c>
      <c r="E809" s="37" t="s">
        <v>47</v>
      </c>
      <c r="F809" s="37" t="s">
        <v>38</v>
      </c>
      <c r="G809" s="38">
        <v>3669.95</v>
      </c>
      <c r="H809" s="36">
        <v>443327237</v>
      </c>
      <c r="I809" s="39">
        <v>0</v>
      </c>
      <c r="J809" s="38">
        <v>0</v>
      </c>
      <c r="K809" s="38">
        <v>0</v>
      </c>
      <c r="L809" s="38">
        <v>-1.53</v>
      </c>
      <c r="M809" s="38">
        <v>10102.969999999999</v>
      </c>
      <c r="N809" s="46" t="s">
        <v>678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40">
        <v>45918.544641203705</v>
      </c>
      <c r="B810" s="41">
        <v>444119546</v>
      </c>
      <c r="C810" s="42" t="s">
        <v>36</v>
      </c>
      <c r="D810" s="42" t="s">
        <v>37</v>
      </c>
      <c r="E810" s="42" t="s">
        <v>46</v>
      </c>
      <c r="F810" s="42" t="s">
        <v>38</v>
      </c>
      <c r="G810" s="43">
        <v>3672.19</v>
      </c>
      <c r="H810" s="41">
        <v>443333033</v>
      </c>
      <c r="I810" s="44">
        <v>0</v>
      </c>
      <c r="J810" s="43">
        <v>0</v>
      </c>
      <c r="K810" s="43">
        <v>0</v>
      </c>
      <c r="L810" s="43">
        <v>0</v>
      </c>
      <c r="M810" s="43">
        <v>10102.969999999999</v>
      </c>
      <c r="N810" s="45" t="s">
        <v>653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35">
        <v>45918.546631944446</v>
      </c>
      <c r="B811" s="36">
        <v>444119899</v>
      </c>
      <c r="C811" s="37" t="s">
        <v>36</v>
      </c>
      <c r="D811" s="37" t="s">
        <v>39</v>
      </c>
      <c r="E811" s="37" t="s">
        <v>47</v>
      </c>
      <c r="F811" s="37" t="s">
        <v>38</v>
      </c>
      <c r="G811" s="38">
        <v>3670.63</v>
      </c>
      <c r="H811" s="36">
        <v>443333389</v>
      </c>
      <c r="I811" s="39">
        <v>0</v>
      </c>
      <c r="J811" s="38">
        <v>0</v>
      </c>
      <c r="K811" s="38">
        <v>0</v>
      </c>
      <c r="L811" s="38">
        <v>-1.56</v>
      </c>
      <c r="M811" s="38">
        <v>10101.41</v>
      </c>
      <c r="N811" s="46" t="s">
        <v>679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40">
        <v>45918.547893518517</v>
      </c>
      <c r="B812" s="41">
        <v>444120602</v>
      </c>
      <c r="C812" s="42" t="s">
        <v>36</v>
      </c>
      <c r="D812" s="42" t="s">
        <v>39</v>
      </c>
      <c r="E812" s="42" t="s">
        <v>47</v>
      </c>
      <c r="F812" s="42" t="s">
        <v>38</v>
      </c>
      <c r="G812" s="43">
        <v>3668.84</v>
      </c>
      <c r="H812" s="41">
        <v>443334065</v>
      </c>
      <c r="I812" s="44">
        <v>0</v>
      </c>
      <c r="J812" s="43">
        <v>0</v>
      </c>
      <c r="K812" s="43">
        <v>0</v>
      </c>
      <c r="L812" s="43">
        <v>-2.64</v>
      </c>
      <c r="M812" s="43">
        <v>10098.77</v>
      </c>
      <c r="N812" s="45" t="s">
        <v>680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35">
        <v>45918.547974537039</v>
      </c>
      <c r="B813" s="36">
        <v>444120718</v>
      </c>
      <c r="C813" s="37" t="s">
        <v>36</v>
      </c>
      <c r="D813" s="37" t="s">
        <v>39</v>
      </c>
      <c r="E813" s="37" t="s">
        <v>47</v>
      </c>
      <c r="F813" s="37" t="s">
        <v>38</v>
      </c>
      <c r="G813" s="38">
        <v>3668.52</v>
      </c>
      <c r="H813" s="36">
        <v>443334179</v>
      </c>
      <c r="I813" s="39">
        <v>0</v>
      </c>
      <c r="J813" s="38">
        <v>0</v>
      </c>
      <c r="K813" s="38">
        <v>0</v>
      </c>
      <c r="L813" s="38">
        <v>-3</v>
      </c>
      <c r="M813" s="38">
        <v>10095.77</v>
      </c>
      <c r="N813" s="46" t="s">
        <v>681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40">
        <v>45918.547974537039</v>
      </c>
      <c r="B814" s="41">
        <v>444120719</v>
      </c>
      <c r="C814" s="42" t="s">
        <v>36</v>
      </c>
      <c r="D814" s="42" t="s">
        <v>39</v>
      </c>
      <c r="E814" s="42" t="s">
        <v>47</v>
      </c>
      <c r="F814" s="42" t="s">
        <v>38</v>
      </c>
      <c r="G814" s="43">
        <v>3668.52</v>
      </c>
      <c r="H814" s="41">
        <v>443334180</v>
      </c>
      <c r="I814" s="44">
        <v>0</v>
      </c>
      <c r="J814" s="43">
        <v>0</v>
      </c>
      <c r="K814" s="43">
        <v>0</v>
      </c>
      <c r="L814" s="43">
        <v>-3</v>
      </c>
      <c r="M814" s="43">
        <v>10092.77</v>
      </c>
      <c r="N814" s="45" t="s">
        <v>681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35">
        <v>45918.547997685186</v>
      </c>
      <c r="B815" s="36">
        <v>444120748</v>
      </c>
      <c r="C815" s="37" t="s">
        <v>36</v>
      </c>
      <c r="D815" s="37" t="s">
        <v>39</v>
      </c>
      <c r="E815" s="37" t="s">
        <v>47</v>
      </c>
      <c r="F815" s="37" t="s">
        <v>38</v>
      </c>
      <c r="G815" s="38">
        <v>3668.46</v>
      </c>
      <c r="H815" s="36">
        <v>443334209</v>
      </c>
      <c r="I815" s="39">
        <v>0</v>
      </c>
      <c r="J815" s="38">
        <v>0</v>
      </c>
      <c r="K815" s="38">
        <v>0</v>
      </c>
      <c r="L815" s="38">
        <v>-3.02</v>
      </c>
      <c r="M815" s="38">
        <v>10089.75</v>
      </c>
      <c r="N815" s="46" t="s">
        <v>682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40">
        <v>45918.547997685186</v>
      </c>
      <c r="B816" s="41">
        <v>444120749</v>
      </c>
      <c r="C816" s="42" t="s">
        <v>36</v>
      </c>
      <c r="D816" s="42" t="s">
        <v>39</v>
      </c>
      <c r="E816" s="42" t="s">
        <v>47</v>
      </c>
      <c r="F816" s="42" t="s">
        <v>38</v>
      </c>
      <c r="G816" s="43">
        <v>3668.46</v>
      </c>
      <c r="H816" s="41">
        <v>443334210</v>
      </c>
      <c r="I816" s="44">
        <v>0</v>
      </c>
      <c r="J816" s="43">
        <v>0</v>
      </c>
      <c r="K816" s="43">
        <v>0</v>
      </c>
      <c r="L816" s="43">
        <v>-3.02</v>
      </c>
      <c r="M816" s="43">
        <v>10086.73</v>
      </c>
      <c r="N816" s="45" t="s">
        <v>682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35">
        <v>45918.548032407409</v>
      </c>
      <c r="B817" s="36">
        <v>444120791</v>
      </c>
      <c r="C817" s="37" t="s">
        <v>36</v>
      </c>
      <c r="D817" s="37" t="s">
        <v>39</v>
      </c>
      <c r="E817" s="37" t="s">
        <v>47</v>
      </c>
      <c r="F817" s="37" t="s">
        <v>38</v>
      </c>
      <c r="G817" s="38">
        <v>3668.05</v>
      </c>
      <c r="H817" s="36">
        <v>443334250</v>
      </c>
      <c r="I817" s="39">
        <v>0</v>
      </c>
      <c r="J817" s="38">
        <v>0</v>
      </c>
      <c r="K817" s="38">
        <v>0</v>
      </c>
      <c r="L817" s="38">
        <v>-3.06</v>
      </c>
      <c r="M817" s="38">
        <v>10083.67</v>
      </c>
      <c r="N817" s="46" t="s">
        <v>683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40">
        <v>45918.548032407409</v>
      </c>
      <c r="B818" s="41">
        <v>444120792</v>
      </c>
      <c r="C818" s="42" t="s">
        <v>36</v>
      </c>
      <c r="D818" s="42" t="s">
        <v>39</v>
      </c>
      <c r="E818" s="42" t="s">
        <v>47</v>
      </c>
      <c r="F818" s="42" t="s">
        <v>38</v>
      </c>
      <c r="G818" s="43">
        <v>3668.05</v>
      </c>
      <c r="H818" s="41">
        <v>443334253</v>
      </c>
      <c r="I818" s="44">
        <v>0</v>
      </c>
      <c r="J818" s="43">
        <v>0</v>
      </c>
      <c r="K818" s="43">
        <v>0</v>
      </c>
      <c r="L818" s="43">
        <v>-3.06</v>
      </c>
      <c r="M818" s="43">
        <v>10080.61</v>
      </c>
      <c r="N818" s="45" t="s">
        <v>684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35">
        <v>45918.548032407409</v>
      </c>
      <c r="B819" s="36">
        <v>444120793</v>
      </c>
      <c r="C819" s="37" t="s">
        <v>36</v>
      </c>
      <c r="D819" s="37" t="s">
        <v>39</v>
      </c>
      <c r="E819" s="37" t="s">
        <v>47</v>
      </c>
      <c r="F819" s="37" t="s">
        <v>38</v>
      </c>
      <c r="G819" s="38">
        <v>3668.05</v>
      </c>
      <c r="H819" s="36">
        <v>443334254</v>
      </c>
      <c r="I819" s="39">
        <v>0</v>
      </c>
      <c r="J819" s="38">
        <v>0</v>
      </c>
      <c r="K819" s="38">
        <v>0</v>
      </c>
      <c r="L819" s="38">
        <v>-3.06</v>
      </c>
      <c r="M819" s="38">
        <v>10077.549999999999</v>
      </c>
      <c r="N819" s="46" t="s">
        <v>684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40">
        <v>45918.550081018519</v>
      </c>
      <c r="B820" s="41">
        <v>444121786</v>
      </c>
      <c r="C820" s="42" t="s">
        <v>36</v>
      </c>
      <c r="D820" s="42" t="s">
        <v>39</v>
      </c>
      <c r="E820" s="42" t="s">
        <v>46</v>
      </c>
      <c r="F820" s="42" t="s">
        <v>38</v>
      </c>
      <c r="G820" s="43">
        <v>3669.89</v>
      </c>
      <c r="H820" s="41">
        <v>443335228</v>
      </c>
      <c r="I820" s="44">
        <v>0</v>
      </c>
      <c r="J820" s="43">
        <v>0</v>
      </c>
      <c r="K820" s="43">
        <v>0</v>
      </c>
      <c r="L820" s="43">
        <v>0</v>
      </c>
      <c r="M820" s="43">
        <v>10077.549999999999</v>
      </c>
      <c r="N820" s="45" t="s">
        <v>647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35">
        <v>45918.550081018519</v>
      </c>
      <c r="B821" s="36">
        <v>444121788</v>
      </c>
      <c r="C821" s="37" t="s">
        <v>36</v>
      </c>
      <c r="D821" s="37" t="s">
        <v>39</v>
      </c>
      <c r="E821" s="37" t="s">
        <v>46</v>
      </c>
      <c r="F821" s="37" t="s">
        <v>38</v>
      </c>
      <c r="G821" s="38">
        <v>3669.89</v>
      </c>
      <c r="H821" s="36">
        <v>443335230</v>
      </c>
      <c r="I821" s="39">
        <v>0</v>
      </c>
      <c r="J821" s="38">
        <v>0</v>
      </c>
      <c r="K821" s="38">
        <v>0</v>
      </c>
      <c r="L821" s="38">
        <v>0</v>
      </c>
      <c r="M821" s="38">
        <v>10077.549999999999</v>
      </c>
      <c r="N821" s="46" t="s">
        <v>53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40">
        <v>45918.550092592595</v>
      </c>
      <c r="B822" s="41">
        <v>444121790</v>
      </c>
      <c r="C822" s="42" t="s">
        <v>36</v>
      </c>
      <c r="D822" s="42" t="s">
        <v>39</v>
      </c>
      <c r="E822" s="42" t="s">
        <v>46</v>
      </c>
      <c r="F822" s="42" t="s">
        <v>38</v>
      </c>
      <c r="G822" s="43">
        <v>3669.88</v>
      </c>
      <c r="H822" s="41">
        <v>443335232</v>
      </c>
      <c r="I822" s="44">
        <v>0</v>
      </c>
      <c r="J822" s="43">
        <v>0</v>
      </c>
      <c r="K822" s="43">
        <v>0</v>
      </c>
      <c r="L822" s="43">
        <v>0</v>
      </c>
      <c r="M822" s="43">
        <v>10077.549999999999</v>
      </c>
      <c r="N822" s="45" t="s">
        <v>150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35">
        <v>45918.550092592595</v>
      </c>
      <c r="B823" s="36">
        <v>444121792</v>
      </c>
      <c r="C823" s="37" t="s">
        <v>36</v>
      </c>
      <c r="D823" s="37" t="s">
        <v>39</v>
      </c>
      <c r="E823" s="37" t="s">
        <v>46</v>
      </c>
      <c r="F823" s="37" t="s">
        <v>38</v>
      </c>
      <c r="G823" s="38">
        <v>3669.85</v>
      </c>
      <c r="H823" s="36">
        <v>443335234</v>
      </c>
      <c r="I823" s="39">
        <v>0</v>
      </c>
      <c r="J823" s="38">
        <v>0</v>
      </c>
      <c r="K823" s="38">
        <v>0</v>
      </c>
      <c r="L823" s="38">
        <v>0</v>
      </c>
      <c r="M823" s="38">
        <v>10077.549999999999</v>
      </c>
      <c r="N823" s="46" t="s">
        <v>49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40">
        <v>45918.550092592595</v>
      </c>
      <c r="B824" s="41">
        <v>444121793</v>
      </c>
      <c r="C824" s="42" t="s">
        <v>36</v>
      </c>
      <c r="D824" s="42" t="s">
        <v>39</v>
      </c>
      <c r="E824" s="42" t="s">
        <v>46</v>
      </c>
      <c r="F824" s="42" t="s">
        <v>38</v>
      </c>
      <c r="G824" s="43">
        <v>3669.85</v>
      </c>
      <c r="H824" s="41">
        <v>443335235</v>
      </c>
      <c r="I824" s="44">
        <v>0</v>
      </c>
      <c r="J824" s="43">
        <v>0</v>
      </c>
      <c r="K824" s="43">
        <v>0</v>
      </c>
      <c r="L824" s="43">
        <v>0</v>
      </c>
      <c r="M824" s="43">
        <v>10077.549999999999</v>
      </c>
      <c r="N824" s="45" t="s">
        <v>48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35">
        <v>45918.550092592595</v>
      </c>
      <c r="B825" s="36">
        <v>444121796</v>
      </c>
      <c r="C825" s="37" t="s">
        <v>36</v>
      </c>
      <c r="D825" s="37" t="s">
        <v>39</v>
      </c>
      <c r="E825" s="37" t="s">
        <v>46</v>
      </c>
      <c r="F825" s="37" t="s">
        <v>38</v>
      </c>
      <c r="G825" s="38">
        <v>3669.85</v>
      </c>
      <c r="H825" s="36">
        <v>443335238</v>
      </c>
      <c r="I825" s="39">
        <v>0</v>
      </c>
      <c r="J825" s="38">
        <v>0</v>
      </c>
      <c r="K825" s="38">
        <v>0</v>
      </c>
      <c r="L825" s="38">
        <v>0</v>
      </c>
      <c r="M825" s="38">
        <v>10077.549999999999</v>
      </c>
      <c r="N825" s="46" t="s">
        <v>653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40">
        <v>45918.551168981481</v>
      </c>
      <c r="B826" s="41">
        <v>444122173</v>
      </c>
      <c r="C826" s="42" t="s">
        <v>36</v>
      </c>
      <c r="D826" s="42" t="s">
        <v>37</v>
      </c>
      <c r="E826" s="42" t="s">
        <v>47</v>
      </c>
      <c r="F826" s="42" t="s">
        <v>38</v>
      </c>
      <c r="G826" s="43">
        <v>3668.37</v>
      </c>
      <c r="H826" s="41">
        <v>443335613</v>
      </c>
      <c r="I826" s="44">
        <v>0</v>
      </c>
      <c r="J826" s="43">
        <v>0</v>
      </c>
      <c r="K826" s="43">
        <v>0</v>
      </c>
      <c r="L826" s="43">
        <v>1.51</v>
      </c>
      <c r="M826" s="43">
        <v>10079.06</v>
      </c>
      <c r="N826" s="45" t="s">
        <v>685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35">
        <v>45918.551168981481</v>
      </c>
      <c r="B827" s="36">
        <v>444122174</v>
      </c>
      <c r="C827" s="37" t="s">
        <v>36</v>
      </c>
      <c r="D827" s="37" t="s">
        <v>37</v>
      </c>
      <c r="E827" s="37" t="s">
        <v>47</v>
      </c>
      <c r="F827" s="37" t="s">
        <v>38</v>
      </c>
      <c r="G827" s="38">
        <v>3668.37</v>
      </c>
      <c r="H827" s="36">
        <v>443335614</v>
      </c>
      <c r="I827" s="39">
        <v>0</v>
      </c>
      <c r="J827" s="38">
        <v>0</v>
      </c>
      <c r="K827" s="38">
        <v>0</v>
      </c>
      <c r="L827" s="38">
        <v>1.48</v>
      </c>
      <c r="M827" s="38">
        <v>10080.540000000001</v>
      </c>
      <c r="N827" s="46" t="s">
        <v>685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40">
        <v>45918.551168981481</v>
      </c>
      <c r="B828" s="41">
        <v>444122175</v>
      </c>
      <c r="C828" s="42" t="s">
        <v>36</v>
      </c>
      <c r="D828" s="42" t="s">
        <v>37</v>
      </c>
      <c r="E828" s="42" t="s">
        <v>47</v>
      </c>
      <c r="F828" s="42" t="s">
        <v>38</v>
      </c>
      <c r="G828" s="43">
        <v>3668.37</v>
      </c>
      <c r="H828" s="41">
        <v>443335615</v>
      </c>
      <c r="I828" s="44">
        <v>0</v>
      </c>
      <c r="J828" s="43">
        <v>0</v>
      </c>
      <c r="K828" s="43">
        <v>0</v>
      </c>
      <c r="L828" s="43">
        <v>1.52</v>
      </c>
      <c r="M828" s="43">
        <v>10082.06</v>
      </c>
      <c r="N828" s="45" t="s">
        <v>685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35">
        <v>45918.552881944444</v>
      </c>
      <c r="B829" s="36">
        <v>444123068</v>
      </c>
      <c r="C829" s="37" t="s">
        <v>36</v>
      </c>
      <c r="D829" s="37" t="s">
        <v>37</v>
      </c>
      <c r="E829" s="37" t="s">
        <v>47</v>
      </c>
      <c r="F829" s="37" t="s">
        <v>38</v>
      </c>
      <c r="G829" s="38">
        <v>3666.78</v>
      </c>
      <c r="H829" s="36">
        <v>443336488</v>
      </c>
      <c r="I829" s="39">
        <v>0</v>
      </c>
      <c r="J829" s="38">
        <v>0</v>
      </c>
      <c r="K829" s="38">
        <v>0</v>
      </c>
      <c r="L829" s="38">
        <v>3.07</v>
      </c>
      <c r="M829" s="38">
        <v>10085.129999999999</v>
      </c>
      <c r="N829" s="46" t="s">
        <v>686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40">
        <v>45918.552881944444</v>
      </c>
      <c r="B830" s="41">
        <v>444123069</v>
      </c>
      <c r="C830" s="42" t="s">
        <v>36</v>
      </c>
      <c r="D830" s="42" t="s">
        <v>37</v>
      </c>
      <c r="E830" s="42" t="s">
        <v>47</v>
      </c>
      <c r="F830" s="42" t="s">
        <v>38</v>
      </c>
      <c r="G830" s="43">
        <v>3666.78</v>
      </c>
      <c r="H830" s="41">
        <v>443336489</v>
      </c>
      <c r="I830" s="44">
        <v>0</v>
      </c>
      <c r="J830" s="43">
        <v>0</v>
      </c>
      <c r="K830" s="43">
        <v>0</v>
      </c>
      <c r="L830" s="43">
        <v>3.07</v>
      </c>
      <c r="M830" s="43">
        <v>10088.200000000001</v>
      </c>
      <c r="N830" s="45" t="s">
        <v>686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35">
        <v>45918.553680555553</v>
      </c>
      <c r="B831" s="36">
        <v>444123494</v>
      </c>
      <c r="C831" s="37" t="s">
        <v>36</v>
      </c>
      <c r="D831" s="37" t="s">
        <v>37</v>
      </c>
      <c r="E831" s="37" t="s">
        <v>47</v>
      </c>
      <c r="F831" s="37" t="s">
        <v>38</v>
      </c>
      <c r="G831" s="38">
        <v>3666.34</v>
      </c>
      <c r="H831" s="36">
        <v>443336928</v>
      </c>
      <c r="I831" s="39">
        <v>0</v>
      </c>
      <c r="J831" s="38">
        <v>0</v>
      </c>
      <c r="K831" s="38">
        <v>0</v>
      </c>
      <c r="L831" s="38">
        <v>3.55</v>
      </c>
      <c r="M831" s="38">
        <v>10091.75</v>
      </c>
      <c r="N831" s="46" t="s">
        <v>687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40">
        <v>45918.555752314816</v>
      </c>
      <c r="B832" s="41">
        <v>444124435</v>
      </c>
      <c r="C832" s="42" t="s">
        <v>36</v>
      </c>
      <c r="D832" s="42" t="s">
        <v>39</v>
      </c>
      <c r="E832" s="42" t="s">
        <v>46</v>
      </c>
      <c r="F832" s="42" t="s">
        <v>38</v>
      </c>
      <c r="G832" s="43">
        <v>3666.51</v>
      </c>
      <c r="H832" s="41">
        <v>443337877</v>
      </c>
      <c r="I832" s="44">
        <v>0</v>
      </c>
      <c r="J832" s="43">
        <v>0</v>
      </c>
      <c r="K832" s="43">
        <v>0</v>
      </c>
      <c r="L832" s="43">
        <v>0</v>
      </c>
      <c r="M832" s="43">
        <v>10091.75</v>
      </c>
      <c r="N832" s="45" t="s">
        <v>150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35">
        <v>45918.555752314816</v>
      </c>
      <c r="B833" s="36">
        <v>444124437</v>
      </c>
      <c r="C833" s="37" t="s">
        <v>36</v>
      </c>
      <c r="D833" s="37" t="s">
        <v>39</v>
      </c>
      <c r="E833" s="37" t="s">
        <v>46</v>
      </c>
      <c r="F833" s="37" t="s">
        <v>38</v>
      </c>
      <c r="G833" s="38">
        <v>3666.51</v>
      </c>
      <c r="H833" s="36">
        <v>443337880</v>
      </c>
      <c r="I833" s="39">
        <v>0</v>
      </c>
      <c r="J833" s="38">
        <v>0</v>
      </c>
      <c r="K833" s="38">
        <v>0</v>
      </c>
      <c r="L833" s="38">
        <v>0</v>
      </c>
      <c r="M833" s="38">
        <v>10091.75</v>
      </c>
      <c r="N833" s="46" t="s">
        <v>653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40">
        <v>45918.555763888886</v>
      </c>
      <c r="B834" s="41">
        <v>444124440</v>
      </c>
      <c r="C834" s="42" t="s">
        <v>36</v>
      </c>
      <c r="D834" s="42" t="s">
        <v>39</v>
      </c>
      <c r="E834" s="42" t="s">
        <v>46</v>
      </c>
      <c r="F834" s="42" t="s">
        <v>38</v>
      </c>
      <c r="G834" s="43">
        <v>3666.51</v>
      </c>
      <c r="H834" s="41">
        <v>443337884</v>
      </c>
      <c r="I834" s="44">
        <v>0</v>
      </c>
      <c r="J834" s="43">
        <v>0</v>
      </c>
      <c r="K834" s="43">
        <v>0</v>
      </c>
      <c r="L834" s="43">
        <v>0</v>
      </c>
      <c r="M834" s="43">
        <v>10091.75</v>
      </c>
      <c r="N834" s="45" t="s">
        <v>647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35">
        <v>45918.555763888886</v>
      </c>
      <c r="B835" s="36">
        <v>444124441</v>
      </c>
      <c r="C835" s="37" t="s">
        <v>36</v>
      </c>
      <c r="D835" s="37" t="s">
        <v>39</v>
      </c>
      <c r="E835" s="37" t="s">
        <v>46</v>
      </c>
      <c r="F835" s="37" t="s">
        <v>38</v>
      </c>
      <c r="G835" s="38">
        <v>3666.52</v>
      </c>
      <c r="H835" s="36">
        <v>443337886</v>
      </c>
      <c r="I835" s="39">
        <v>0</v>
      </c>
      <c r="J835" s="38">
        <v>0</v>
      </c>
      <c r="K835" s="38">
        <v>0</v>
      </c>
      <c r="L835" s="38">
        <v>0</v>
      </c>
      <c r="M835" s="38">
        <v>10091.75</v>
      </c>
      <c r="N835" s="46" t="s">
        <v>48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40">
        <v>45918.555763888886</v>
      </c>
      <c r="B836" s="41">
        <v>444124466</v>
      </c>
      <c r="C836" s="42" t="s">
        <v>36</v>
      </c>
      <c r="D836" s="42" t="s">
        <v>39</v>
      </c>
      <c r="E836" s="42" t="s">
        <v>46</v>
      </c>
      <c r="F836" s="42" t="s">
        <v>38</v>
      </c>
      <c r="G836" s="43">
        <v>3666.52</v>
      </c>
      <c r="H836" s="41">
        <v>443337912</v>
      </c>
      <c r="I836" s="44">
        <v>0</v>
      </c>
      <c r="J836" s="43">
        <v>0</v>
      </c>
      <c r="K836" s="43">
        <v>0</v>
      </c>
      <c r="L836" s="43">
        <v>0</v>
      </c>
      <c r="M836" s="43">
        <v>10091.75</v>
      </c>
      <c r="N836" s="45" t="s">
        <v>53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35">
        <v>45918.555763888886</v>
      </c>
      <c r="B837" s="36">
        <v>444124480</v>
      </c>
      <c r="C837" s="37" t="s">
        <v>36</v>
      </c>
      <c r="D837" s="37" t="s">
        <v>39</v>
      </c>
      <c r="E837" s="37" t="s">
        <v>46</v>
      </c>
      <c r="F837" s="37" t="s">
        <v>38</v>
      </c>
      <c r="G837" s="38">
        <v>3666.52</v>
      </c>
      <c r="H837" s="36">
        <v>443337926</v>
      </c>
      <c r="I837" s="39">
        <v>0</v>
      </c>
      <c r="J837" s="38">
        <v>0</v>
      </c>
      <c r="K837" s="38">
        <v>0</v>
      </c>
      <c r="L837" s="38">
        <v>0</v>
      </c>
      <c r="M837" s="38">
        <v>10091.75</v>
      </c>
      <c r="N837" s="46" t="s">
        <v>49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40">
        <v>45918.557013888887</v>
      </c>
      <c r="B838" s="41">
        <v>444125326</v>
      </c>
      <c r="C838" s="42" t="s">
        <v>36</v>
      </c>
      <c r="D838" s="42" t="s">
        <v>37</v>
      </c>
      <c r="E838" s="42" t="s">
        <v>47</v>
      </c>
      <c r="F838" s="42" t="s">
        <v>38</v>
      </c>
      <c r="G838" s="43">
        <v>3668.02</v>
      </c>
      <c r="H838" s="41">
        <v>443338794</v>
      </c>
      <c r="I838" s="44">
        <v>0</v>
      </c>
      <c r="J838" s="43">
        <v>0</v>
      </c>
      <c r="K838" s="43">
        <v>0</v>
      </c>
      <c r="L838" s="43">
        <v>-1.51</v>
      </c>
      <c r="M838" s="43">
        <v>10090.24</v>
      </c>
      <c r="N838" s="45" t="s">
        <v>688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35">
        <v>45918.55878472222</v>
      </c>
      <c r="B839" s="36">
        <v>444126742</v>
      </c>
      <c r="C839" s="37" t="s">
        <v>36</v>
      </c>
      <c r="D839" s="37" t="s">
        <v>37</v>
      </c>
      <c r="E839" s="37" t="s">
        <v>47</v>
      </c>
      <c r="F839" s="37" t="s">
        <v>38</v>
      </c>
      <c r="G839" s="38">
        <v>3669.01</v>
      </c>
      <c r="H839" s="36">
        <v>443340225</v>
      </c>
      <c r="I839" s="39">
        <v>0</v>
      </c>
      <c r="J839" s="38">
        <v>0</v>
      </c>
      <c r="K839" s="38">
        <v>0</v>
      </c>
      <c r="L839" s="38">
        <v>-2.4900000000000002</v>
      </c>
      <c r="M839" s="38">
        <v>10087.75</v>
      </c>
      <c r="N839" s="46" t="s">
        <v>689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40">
        <v>45918.558854166666</v>
      </c>
      <c r="B840" s="41">
        <v>444126814</v>
      </c>
      <c r="C840" s="42" t="s">
        <v>36</v>
      </c>
      <c r="D840" s="42" t="s">
        <v>37</v>
      </c>
      <c r="E840" s="42" t="s">
        <v>47</v>
      </c>
      <c r="F840" s="42" t="s">
        <v>38</v>
      </c>
      <c r="G840" s="43">
        <v>3669.53</v>
      </c>
      <c r="H840" s="41">
        <v>443340298</v>
      </c>
      <c r="I840" s="44">
        <v>0</v>
      </c>
      <c r="J840" s="43">
        <v>0</v>
      </c>
      <c r="K840" s="43">
        <v>0</v>
      </c>
      <c r="L840" s="43">
        <v>-3.02</v>
      </c>
      <c r="M840" s="43">
        <v>10084.73</v>
      </c>
      <c r="N840" s="45" t="s">
        <v>690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35">
        <v>45918.558854166666</v>
      </c>
      <c r="B841" s="36">
        <v>444126815</v>
      </c>
      <c r="C841" s="37" t="s">
        <v>36</v>
      </c>
      <c r="D841" s="37" t="s">
        <v>37</v>
      </c>
      <c r="E841" s="37" t="s">
        <v>47</v>
      </c>
      <c r="F841" s="37" t="s">
        <v>38</v>
      </c>
      <c r="G841" s="38">
        <v>3669.53</v>
      </c>
      <c r="H841" s="36">
        <v>443340299</v>
      </c>
      <c r="I841" s="39">
        <v>0</v>
      </c>
      <c r="J841" s="38">
        <v>0</v>
      </c>
      <c r="K841" s="38">
        <v>0</v>
      </c>
      <c r="L841" s="38">
        <v>-3.02</v>
      </c>
      <c r="M841" s="38">
        <v>10081.709999999999</v>
      </c>
      <c r="N841" s="46" t="s">
        <v>691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40">
        <v>45918.558854166666</v>
      </c>
      <c r="B842" s="41">
        <v>444126816</v>
      </c>
      <c r="C842" s="42" t="s">
        <v>36</v>
      </c>
      <c r="D842" s="42" t="s">
        <v>37</v>
      </c>
      <c r="E842" s="42" t="s">
        <v>47</v>
      </c>
      <c r="F842" s="42" t="s">
        <v>38</v>
      </c>
      <c r="G842" s="43">
        <v>3669.53</v>
      </c>
      <c r="H842" s="41">
        <v>443340300</v>
      </c>
      <c r="I842" s="44">
        <v>0</v>
      </c>
      <c r="J842" s="43">
        <v>0</v>
      </c>
      <c r="K842" s="43">
        <v>0</v>
      </c>
      <c r="L842" s="43">
        <v>-3.01</v>
      </c>
      <c r="M842" s="43">
        <v>10078.700000000001</v>
      </c>
      <c r="N842" s="45" t="s">
        <v>691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35">
        <v>45918.558854166666</v>
      </c>
      <c r="B843" s="36">
        <v>444126817</v>
      </c>
      <c r="C843" s="37" t="s">
        <v>36</v>
      </c>
      <c r="D843" s="37" t="s">
        <v>37</v>
      </c>
      <c r="E843" s="37" t="s">
        <v>47</v>
      </c>
      <c r="F843" s="37" t="s">
        <v>38</v>
      </c>
      <c r="G843" s="38">
        <v>3669.53</v>
      </c>
      <c r="H843" s="36">
        <v>443340301</v>
      </c>
      <c r="I843" s="39">
        <v>0</v>
      </c>
      <c r="J843" s="38">
        <v>0</v>
      </c>
      <c r="K843" s="38">
        <v>0</v>
      </c>
      <c r="L843" s="38">
        <v>-3.01</v>
      </c>
      <c r="M843" s="38">
        <v>10075.69</v>
      </c>
      <c r="N843" s="46" t="s">
        <v>691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40">
        <v>45918.569756944446</v>
      </c>
      <c r="B844" s="41">
        <v>444132306</v>
      </c>
      <c r="C844" s="42" t="s">
        <v>36</v>
      </c>
      <c r="D844" s="42" t="s">
        <v>39</v>
      </c>
      <c r="E844" s="42" t="s">
        <v>46</v>
      </c>
      <c r="F844" s="42" t="s">
        <v>38</v>
      </c>
      <c r="G844" s="43">
        <v>3667.2</v>
      </c>
      <c r="H844" s="41">
        <v>443345743</v>
      </c>
      <c r="I844" s="44">
        <v>0</v>
      </c>
      <c r="J844" s="43">
        <v>0</v>
      </c>
      <c r="K844" s="43">
        <v>0</v>
      </c>
      <c r="L844" s="43">
        <v>0</v>
      </c>
      <c r="M844" s="43">
        <v>10075.69</v>
      </c>
      <c r="N844" s="45" t="s">
        <v>150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35">
        <v>45918.569756944446</v>
      </c>
      <c r="B845" s="36">
        <v>444132307</v>
      </c>
      <c r="C845" s="37" t="s">
        <v>36</v>
      </c>
      <c r="D845" s="37" t="s">
        <v>39</v>
      </c>
      <c r="E845" s="37" t="s">
        <v>46</v>
      </c>
      <c r="F845" s="37" t="s">
        <v>38</v>
      </c>
      <c r="G845" s="38">
        <v>3667.2</v>
      </c>
      <c r="H845" s="36">
        <v>443345744</v>
      </c>
      <c r="I845" s="39">
        <v>0</v>
      </c>
      <c r="J845" s="38">
        <v>0</v>
      </c>
      <c r="K845" s="38">
        <v>0</v>
      </c>
      <c r="L845" s="38">
        <v>0</v>
      </c>
      <c r="M845" s="38">
        <v>10075.69</v>
      </c>
      <c r="N845" s="46" t="s">
        <v>48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40">
        <v>45918.569768518515</v>
      </c>
      <c r="B846" s="41">
        <v>444132308</v>
      </c>
      <c r="C846" s="42" t="s">
        <v>36</v>
      </c>
      <c r="D846" s="42" t="s">
        <v>39</v>
      </c>
      <c r="E846" s="42" t="s">
        <v>46</v>
      </c>
      <c r="F846" s="42" t="s">
        <v>38</v>
      </c>
      <c r="G846" s="43">
        <v>3667.15</v>
      </c>
      <c r="H846" s="41">
        <v>443345746</v>
      </c>
      <c r="I846" s="44">
        <v>0</v>
      </c>
      <c r="J846" s="43">
        <v>0</v>
      </c>
      <c r="K846" s="43">
        <v>0</v>
      </c>
      <c r="L846" s="43">
        <v>0</v>
      </c>
      <c r="M846" s="43">
        <v>10075.69</v>
      </c>
      <c r="N846" s="45" t="s">
        <v>49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35">
        <v>45918.569768518515</v>
      </c>
      <c r="B847" s="36">
        <v>444132311</v>
      </c>
      <c r="C847" s="37" t="s">
        <v>36</v>
      </c>
      <c r="D847" s="37" t="s">
        <v>39</v>
      </c>
      <c r="E847" s="37" t="s">
        <v>46</v>
      </c>
      <c r="F847" s="37" t="s">
        <v>38</v>
      </c>
      <c r="G847" s="38">
        <v>3667.12</v>
      </c>
      <c r="H847" s="36">
        <v>443345749</v>
      </c>
      <c r="I847" s="39">
        <v>0</v>
      </c>
      <c r="J847" s="38">
        <v>0</v>
      </c>
      <c r="K847" s="38">
        <v>0</v>
      </c>
      <c r="L847" s="38">
        <v>0</v>
      </c>
      <c r="M847" s="38">
        <v>10075.69</v>
      </c>
      <c r="N847" s="46" t="s">
        <v>53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40">
        <v>45918.574502314812</v>
      </c>
      <c r="B848" s="41">
        <v>444133999</v>
      </c>
      <c r="C848" s="42" t="s">
        <v>36</v>
      </c>
      <c r="D848" s="42" t="s">
        <v>39</v>
      </c>
      <c r="E848" s="42" t="s">
        <v>46</v>
      </c>
      <c r="F848" s="42" t="s">
        <v>38</v>
      </c>
      <c r="G848" s="43">
        <v>3666.23</v>
      </c>
      <c r="H848" s="41">
        <v>443347406</v>
      </c>
      <c r="I848" s="44">
        <v>0</v>
      </c>
      <c r="J848" s="43">
        <v>0</v>
      </c>
      <c r="K848" s="43">
        <v>0</v>
      </c>
      <c r="L848" s="43">
        <v>0</v>
      </c>
      <c r="M848" s="43">
        <v>10075.69</v>
      </c>
      <c r="N848" s="45" t="s">
        <v>653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35">
        <v>45918.574502314812</v>
      </c>
      <c r="B849" s="36">
        <v>444134001</v>
      </c>
      <c r="C849" s="37" t="s">
        <v>36</v>
      </c>
      <c r="D849" s="37" t="s">
        <v>39</v>
      </c>
      <c r="E849" s="37" t="s">
        <v>46</v>
      </c>
      <c r="F849" s="37" t="s">
        <v>38</v>
      </c>
      <c r="G849" s="38">
        <v>3666.23</v>
      </c>
      <c r="H849" s="36">
        <v>443347408</v>
      </c>
      <c r="I849" s="39">
        <v>0</v>
      </c>
      <c r="J849" s="38">
        <v>0</v>
      </c>
      <c r="K849" s="38">
        <v>0</v>
      </c>
      <c r="L849" s="38">
        <v>0</v>
      </c>
      <c r="M849" s="38">
        <v>10075.69</v>
      </c>
      <c r="N849" s="46" t="s">
        <v>647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40">
        <v>45918.576481481483</v>
      </c>
      <c r="B850" s="41">
        <v>444134576</v>
      </c>
      <c r="C850" s="42" t="s">
        <v>36</v>
      </c>
      <c r="D850" s="42" t="s">
        <v>37</v>
      </c>
      <c r="E850" s="42" t="s">
        <v>47</v>
      </c>
      <c r="F850" s="42" t="s">
        <v>38</v>
      </c>
      <c r="G850" s="43">
        <v>3667.75</v>
      </c>
      <c r="H850" s="41">
        <v>443347968</v>
      </c>
      <c r="I850" s="44">
        <v>0</v>
      </c>
      <c r="J850" s="43">
        <v>0</v>
      </c>
      <c r="K850" s="43">
        <v>0</v>
      </c>
      <c r="L850" s="43">
        <v>-1.52</v>
      </c>
      <c r="M850" s="43">
        <v>10074.17</v>
      </c>
      <c r="N850" s="45" t="s">
        <v>692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35">
        <v>45918.578668981485</v>
      </c>
      <c r="B851" s="36">
        <v>444135358</v>
      </c>
      <c r="C851" s="37" t="s">
        <v>36</v>
      </c>
      <c r="D851" s="37" t="s">
        <v>37</v>
      </c>
      <c r="E851" s="37" t="s">
        <v>47</v>
      </c>
      <c r="F851" s="37" t="s">
        <v>38</v>
      </c>
      <c r="G851" s="38">
        <v>3669.25</v>
      </c>
      <c r="H851" s="36">
        <v>443348714</v>
      </c>
      <c r="I851" s="39">
        <v>0</v>
      </c>
      <c r="J851" s="38">
        <v>0</v>
      </c>
      <c r="K851" s="38">
        <v>0</v>
      </c>
      <c r="L851" s="38">
        <v>-3.02</v>
      </c>
      <c r="M851" s="38">
        <v>10071.15</v>
      </c>
      <c r="N851" s="46" t="s">
        <v>693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40">
        <v>45918.595925925925</v>
      </c>
      <c r="B852" s="41">
        <v>444142009</v>
      </c>
      <c r="C852" s="42" t="s">
        <v>36</v>
      </c>
      <c r="D852" s="42" t="s">
        <v>37</v>
      </c>
      <c r="E852" s="42" t="s">
        <v>47</v>
      </c>
      <c r="F852" s="42" t="s">
        <v>38</v>
      </c>
      <c r="G852" s="43">
        <v>3669.72</v>
      </c>
      <c r="H852" s="41">
        <v>443355240</v>
      </c>
      <c r="I852" s="44">
        <v>0</v>
      </c>
      <c r="J852" s="43">
        <v>0</v>
      </c>
      <c r="K852" s="43">
        <v>0</v>
      </c>
      <c r="L852" s="43">
        <v>-2.57</v>
      </c>
      <c r="M852" s="43">
        <v>10068.58</v>
      </c>
      <c r="N852" s="45" t="s">
        <v>694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35">
        <v>45918.596145833333</v>
      </c>
      <c r="B853" s="36">
        <v>444142153</v>
      </c>
      <c r="C853" s="37" t="s">
        <v>36</v>
      </c>
      <c r="D853" s="37" t="s">
        <v>37</v>
      </c>
      <c r="E853" s="37" t="s">
        <v>47</v>
      </c>
      <c r="F853" s="37" t="s">
        <v>38</v>
      </c>
      <c r="G853" s="38">
        <v>3670.23</v>
      </c>
      <c r="H853" s="36">
        <v>443355377</v>
      </c>
      <c r="I853" s="39">
        <v>0</v>
      </c>
      <c r="J853" s="38">
        <v>0</v>
      </c>
      <c r="K853" s="38">
        <v>0</v>
      </c>
      <c r="L853" s="38">
        <v>-3.03</v>
      </c>
      <c r="M853" s="38">
        <v>10065.549999999999</v>
      </c>
      <c r="N853" s="46" t="s">
        <v>695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40">
        <v>45918.596145833333</v>
      </c>
      <c r="B854" s="41">
        <v>444142154</v>
      </c>
      <c r="C854" s="42" t="s">
        <v>36</v>
      </c>
      <c r="D854" s="42" t="s">
        <v>37</v>
      </c>
      <c r="E854" s="42" t="s">
        <v>47</v>
      </c>
      <c r="F854" s="42" t="s">
        <v>38</v>
      </c>
      <c r="G854" s="43">
        <v>3670.23</v>
      </c>
      <c r="H854" s="41">
        <v>443355378</v>
      </c>
      <c r="I854" s="44">
        <v>0</v>
      </c>
      <c r="J854" s="43">
        <v>0</v>
      </c>
      <c r="K854" s="43">
        <v>0</v>
      </c>
      <c r="L854" s="43">
        <v>-3.03</v>
      </c>
      <c r="M854" s="43">
        <v>10062.52</v>
      </c>
      <c r="N854" s="45" t="s">
        <v>695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35">
        <v>45918.596145833333</v>
      </c>
      <c r="B855" s="36">
        <v>444142155</v>
      </c>
      <c r="C855" s="37" t="s">
        <v>36</v>
      </c>
      <c r="D855" s="37" t="s">
        <v>37</v>
      </c>
      <c r="E855" s="37" t="s">
        <v>47</v>
      </c>
      <c r="F855" s="37" t="s">
        <v>38</v>
      </c>
      <c r="G855" s="38">
        <v>3670.23</v>
      </c>
      <c r="H855" s="36">
        <v>443355379</v>
      </c>
      <c r="I855" s="39">
        <v>0</v>
      </c>
      <c r="J855" s="38">
        <v>0</v>
      </c>
      <c r="K855" s="38">
        <v>0</v>
      </c>
      <c r="L855" s="38">
        <v>-3.11</v>
      </c>
      <c r="M855" s="38">
        <v>10059.41</v>
      </c>
      <c r="N855" s="46" t="s">
        <v>695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40">
        <v>45918.598807870374</v>
      </c>
      <c r="B856" s="41">
        <v>444143603</v>
      </c>
      <c r="C856" s="42" t="s">
        <v>36</v>
      </c>
      <c r="D856" s="42" t="s">
        <v>37</v>
      </c>
      <c r="E856" s="42" t="s">
        <v>46</v>
      </c>
      <c r="F856" s="42" t="s">
        <v>38</v>
      </c>
      <c r="G856" s="43">
        <v>3669.85</v>
      </c>
      <c r="H856" s="41">
        <v>443356771</v>
      </c>
      <c r="I856" s="44">
        <v>0</v>
      </c>
      <c r="J856" s="43">
        <v>0</v>
      </c>
      <c r="K856" s="43">
        <v>0</v>
      </c>
      <c r="L856" s="43">
        <v>0</v>
      </c>
      <c r="M856" s="43">
        <v>10059.41</v>
      </c>
      <c r="N856" s="45" t="s">
        <v>150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35">
        <v>45918.598807870374</v>
      </c>
      <c r="B857" s="36">
        <v>444143604</v>
      </c>
      <c r="C857" s="37" t="s">
        <v>36</v>
      </c>
      <c r="D857" s="37" t="s">
        <v>37</v>
      </c>
      <c r="E857" s="37" t="s">
        <v>46</v>
      </c>
      <c r="F857" s="37" t="s">
        <v>38</v>
      </c>
      <c r="G857" s="38">
        <v>3669.84</v>
      </c>
      <c r="H857" s="36">
        <v>443356772</v>
      </c>
      <c r="I857" s="39">
        <v>0</v>
      </c>
      <c r="J857" s="38">
        <v>0</v>
      </c>
      <c r="K857" s="38">
        <v>0</v>
      </c>
      <c r="L857" s="38">
        <v>0</v>
      </c>
      <c r="M857" s="38">
        <v>10059.41</v>
      </c>
      <c r="N857" s="46" t="s">
        <v>653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40">
        <v>45918.598807870374</v>
      </c>
      <c r="B858" s="41">
        <v>444143605</v>
      </c>
      <c r="C858" s="42" t="s">
        <v>36</v>
      </c>
      <c r="D858" s="42" t="s">
        <v>37</v>
      </c>
      <c r="E858" s="42" t="s">
        <v>46</v>
      </c>
      <c r="F858" s="42" t="s">
        <v>38</v>
      </c>
      <c r="G858" s="43">
        <v>3669.84</v>
      </c>
      <c r="H858" s="41">
        <v>443356773</v>
      </c>
      <c r="I858" s="44">
        <v>0</v>
      </c>
      <c r="J858" s="43">
        <v>0</v>
      </c>
      <c r="K858" s="43">
        <v>0</v>
      </c>
      <c r="L858" s="43">
        <v>0</v>
      </c>
      <c r="M858" s="43">
        <v>10059.41</v>
      </c>
      <c r="N858" s="45" t="s">
        <v>647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35">
        <v>45918.598819444444</v>
      </c>
      <c r="B859" s="36">
        <v>444143606</v>
      </c>
      <c r="C859" s="37" t="s">
        <v>36</v>
      </c>
      <c r="D859" s="37" t="s">
        <v>37</v>
      </c>
      <c r="E859" s="37" t="s">
        <v>46</v>
      </c>
      <c r="F859" s="37" t="s">
        <v>38</v>
      </c>
      <c r="G859" s="38">
        <v>3669.87</v>
      </c>
      <c r="H859" s="36">
        <v>443356774</v>
      </c>
      <c r="I859" s="39">
        <v>0</v>
      </c>
      <c r="J859" s="38">
        <v>0</v>
      </c>
      <c r="K859" s="38">
        <v>0</v>
      </c>
      <c r="L859" s="38">
        <v>0</v>
      </c>
      <c r="M859" s="38">
        <v>10059.41</v>
      </c>
      <c r="N859" s="46" t="s">
        <v>49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40">
        <v>45918.598819444444</v>
      </c>
      <c r="B860" s="41">
        <v>444143607</v>
      </c>
      <c r="C860" s="42" t="s">
        <v>36</v>
      </c>
      <c r="D860" s="42" t="s">
        <v>37</v>
      </c>
      <c r="E860" s="42" t="s">
        <v>46</v>
      </c>
      <c r="F860" s="42" t="s">
        <v>38</v>
      </c>
      <c r="G860" s="43">
        <v>3669.87</v>
      </c>
      <c r="H860" s="41">
        <v>443356775</v>
      </c>
      <c r="I860" s="44">
        <v>0</v>
      </c>
      <c r="J860" s="43">
        <v>0</v>
      </c>
      <c r="K860" s="43">
        <v>0</v>
      </c>
      <c r="L860" s="43">
        <v>0</v>
      </c>
      <c r="M860" s="43">
        <v>10059.41</v>
      </c>
      <c r="N860" s="45" t="s">
        <v>53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35">
        <v>45918.598819444444</v>
      </c>
      <c r="B861" s="36">
        <v>444143609</v>
      </c>
      <c r="C861" s="37" t="s">
        <v>36</v>
      </c>
      <c r="D861" s="37" t="s">
        <v>37</v>
      </c>
      <c r="E861" s="37" t="s">
        <v>46</v>
      </c>
      <c r="F861" s="37" t="s">
        <v>38</v>
      </c>
      <c r="G861" s="38">
        <v>3669.87</v>
      </c>
      <c r="H861" s="36">
        <v>443356777</v>
      </c>
      <c r="I861" s="39">
        <v>0</v>
      </c>
      <c r="J861" s="38">
        <v>0</v>
      </c>
      <c r="K861" s="38">
        <v>0</v>
      </c>
      <c r="L861" s="38">
        <v>0</v>
      </c>
      <c r="M861" s="38">
        <v>10059.41</v>
      </c>
      <c r="N861" s="46" t="s">
        <v>48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40">
        <v>45918.600578703707</v>
      </c>
      <c r="B862" s="41">
        <v>444144224</v>
      </c>
      <c r="C862" s="42" t="s">
        <v>36</v>
      </c>
      <c r="D862" s="42" t="s">
        <v>39</v>
      </c>
      <c r="E862" s="42" t="s">
        <v>47</v>
      </c>
      <c r="F862" s="42" t="s">
        <v>38</v>
      </c>
      <c r="G862" s="43">
        <v>3668.27</v>
      </c>
      <c r="H862" s="41">
        <v>443357387</v>
      </c>
      <c r="I862" s="44">
        <v>0</v>
      </c>
      <c r="J862" s="43">
        <v>0</v>
      </c>
      <c r="K862" s="43">
        <v>0</v>
      </c>
      <c r="L862" s="43">
        <v>-1.57</v>
      </c>
      <c r="M862" s="43">
        <v>10057.84</v>
      </c>
      <c r="N862" s="45" t="s">
        <v>696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35">
        <v>45918.600949074076</v>
      </c>
      <c r="B863" s="36">
        <v>444144436</v>
      </c>
      <c r="C863" s="37" t="s">
        <v>36</v>
      </c>
      <c r="D863" s="37" t="s">
        <v>39</v>
      </c>
      <c r="E863" s="37" t="s">
        <v>47</v>
      </c>
      <c r="F863" s="37" t="s">
        <v>38</v>
      </c>
      <c r="G863" s="38">
        <v>3667.34</v>
      </c>
      <c r="H863" s="36">
        <v>443357597</v>
      </c>
      <c r="I863" s="39">
        <v>0</v>
      </c>
      <c r="J863" s="38">
        <v>0</v>
      </c>
      <c r="K863" s="38">
        <v>0</v>
      </c>
      <c r="L863" s="38">
        <v>-2.5299999999999998</v>
      </c>
      <c r="M863" s="38">
        <v>10055.31</v>
      </c>
      <c r="N863" s="46" t="s">
        <v>697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40">
        <v>45918.601203703707</v>
      </c>
      <c r="B864" s="41">
        <v>444144623</v>
      </c>
      <c r="C864" s="42" t="s">
        <v>36</v>
      </c>
      <c r="D864" s="42" t="s">
        <v>39</v>
      </c>
      <c r="E864" s="42" t="s">
        <v>47</v>
      </c>
      <c r="F864" s="42" t="s">
        <v>38</v>
      </c>
      <c r="G864" s="43">
        <v>3666.89</v>
      </c>
      <c r="H864" s="41">
        <v>443357781</v>
      </c>
      <c r="I864" s="44">
        <v>0</v>
      </c>
      <c r="J864" s="43">
        <v>0</v>
      </c>
      <c r="K864" s="43">
        <v>0</v>
      </c>
      <c r="L864" s="43">
        <v>-2.96</v>
      </c>
      <c r="M864" s="43">
        <v>10052.35</v>
      </c>
      <c r="N864" s="45" t="s">
        <v>698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35">
        <v>45918.601412037038</v>
      </c>
      <c r="B865" s="36">
        <v>444144690</v>
      </c>
      <c r="C865" s="37" t="s">
        <v>36</v>
      </c>
      <c r="D865" s="37" t="s">
        <v>39</v>
      </c>
      <c r="E865" s="37" t="s">
        <v>47</v>
      </c>
      <c r="F865" s="37" t="s">
        <v>38</v>
      </c>
      <c r="G865" s="38">
        <v>3666.85</v>
      </c>
      <c r="H865" s="36">
        <v>443357846</v>
      </c>
      <c r="I865" s="39">
        <v>0</v>
      </c>
      <c r="J865" s="38">
        <v>0</v>
      </c>
      <c r="K865" s="38">
        <v>0</v>
      </c>
      <c r="L865" s="38">
        <v>-2.99</v>
      </c>
      <c r="M865" s="38">
        <v>10049.36</v>
      </c>
      <c r="N865" s="46" t="s">
        <v>699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40">
        <v>45918.601412037038</v>
      </c>
      <c r="B866" s="41">
        <v>444144691</v>
      </c>
      <c r="C866" s="42" t="s">
        <v>36</v>
      </c>
      <c r="D866" s="42" t="s">
        <v>39</v>
      </c>
      <c r="E866" s="42" t="s">
        <v>47</v>
      </c>
      <c r="F866" s="42" t="s">
        <v>38</v>
      </c>
      <c r="G866" s="43">
        <v>3666.85</v>
      </c>
      <c r="H866" s="41">
        <v>443357847</v>
      </c>
      <c r="I866" s="44">
        <v>0</v>
      </c>
      <c r="J866" s="43">
        <v>0</v>
      </c>
      <c r="K866" s="43">
        <v>0</v>
      </c>
      <c r="L866" s="43">
        <v>-3.02</v>
      </c>
      <c r="M866" s="43">
        <v>10046.34</v>
      </c>
      <c r="N866" s="45" t="s">
        <v>699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35">
        <v>45918.601412037038</v>
      </c>
      <c r="B867" s="36">
        <v>444144692</v>
      </c>
      <c r="C867" s="37" t="s">
        <v>36</v>
      </c>
      <c r="D867" s="37" t="s">
        <v>39</v>
      </c>
      <c r="E867" s="37" t="s">
        <v>47</v>
      </c>
      <c r="F867" s="37" t="s">
        <v>38</v>
      </c>
      <c r="G867" s="38">
        <v>3666.85</v>
      </c>
      <c r="H867" s="36">
        <v>443357848</v>
      </c>
      <c r="I867" s="39">
        <v>0</v>
      </c>
      <c r="J867" s="38">
        <v>0</v>
      </c>
      <c r="K867" s="38">
        <v>0</v>
      </c>
      <c r="L867" s="38">
        <v>-3.02</v>
      </c>
      <c r="M867" s="38">
        <v>10043.32</v>
      </c>
      <c r="N867" s="46" t="s">
        <v>699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40">
        <v>45918.607719907406</v>
      </c>
      <c r="B868" s="41">
        <v>444148870</v>
      </c>
      <c r="C868" s="42" t="s">
        <v>36</v>
      </c>
      <c r="D868" s="42" t="s">
        <v>39</v>
      </c>
      <c r="E868" s="42" t="s">
        <v>46</v>
      </c>
      <c r="F868" s="42" t="s">
        <v>38</v>
      </c>
      <c r="G868" s="43">
        <v>3665.73</v>
      </c>
      <c r="H868" s="41">
        <v>443361991</v>
      </c>
      <c r="I868" s="44">
        <v>0</v>
      </c>
      <c r="J868" s="43">
        <v>0</v>
      </c>
      <c r="K868" s="43">
        <v>0</v>
      </c>
      <c r="L868" s="43">
        <v>0</v>
      </c>
      <c r="M868" s="43">
        <v>10043.32</v>
      </c>
      <c r="N868" s="45" t="s">
        <v>150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35">
        <v>45918.607719907406</v>
      </c>
      <c r="B869" s="36">
        <v>444148874</v>
      </c>
      <c r="C869" s="37" t="s">
        <v>36</v>
      </c>
      <c r="D869" s="37" t="s">
        <v>39</v>
      </c>
      <c r="E869" s="37" t="s">
        <v>46</v>
      </c>
      <c r="F869" s="37" t="s">
        <v>38</v>
      </c>
      <c r="G869" s="38">
        <v>3665.71</v>
      </c>
      <c r="H869" s="36">
        <v>443361994</v>
      </c>
      <c r="I869" s="39">
        <v>0</v>
      </c>
      <c r="J869" s="38">
        <v>0</v>
      </c>
      <c r="K869" s="38">
        <v>0</v>
      </c>
      <c r="L869" s="38">
        <v>0</v>
      </c>
      <c r="M869" s="38">
        <v>10043.32</v>
      </c>
      <c r="N869" s="46" t="s">
        <v>653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40">
        <v>45918.607719907406</v>
      </c>
      <c r="B870" s="41">
        <v>444148877</v>
      </c>
      <c r="C870" s="42" t="s">
        <v>36</v>
      </c>
      <c r="D870" s="42" t="s">
        <v>39</v>
      </c>
      <c r="E870" s="42" t="s">
        <v>46</v>
      </c>
      <c r="F870" s="42" t="s">
        <v>38</v>
      </c>
      <c r="G870" s="43">
        <v>3665.79</v>
      </c>
      <c r="H870" s="41">
        <v>443361997</v>
      </c>
      <c r="I870" s="44">
        <v>0</v>
      </c>
      <c r="J870" s="43">
        <v>0</v>
      </c>
      <c r="K870" s="43">
        <v>0</v>
      </c>
      <c r="L870" s="43">
        <v>0</v>
      </c>
      <c r="M870" s="43">
        <v>10043.32</v>
      </c>
      <c r="N870" s="45" t="s">
        <v>647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35">
        <v>45918.607731481483</v>
      </c>
      <c r="B871" s="36">
        <v>444148879</v>
      </c>
      <c r="C871" s="37" t="s">
        <v>36</v>
      </c>
      <c r="D871" s="37" t="s">
        <v>39</v>
      </c>
      <c r="E871" s="37" t="s">
        <v>46</v>
      </c>
      <c r="F871" s="37" t="s">
        <v>38</v>
      </c>
      <c r="G871" s="38">
        <v>3665.84</v>
      </c>
      <c r="H871" s="36">
        <v>443361999</v>
      </c>
      <c r="I871" s="39">
        <v>0</v>
      </c>
      <c r="J871" s="38">
        <v>0</v>
      </c>
      <c r="K871" s="38">
        <v>0</v>
      </c>
      <c r="L871" s="38">
        <v>0</v>
      </c>
      <c r="M871" s="38">
        <v>10043.32</v>
      </c>
      <c r="N871" s="46" t="s">
        <v>48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40">
        <v>45918.607731481483</v>
      </c>
      <c r="B872" s="41">
        <v>444148882</v>
      </c>
      <c r="C872" s="42" t="s">
        <v>36</v>
      </c>
      <c r="D872" s="42" t="s">
        <v>39</v>
      </c>
      <c r="E872" s="42" t="s">
        <v>46</v>
      </c>
      <c r="F872" s="42" t="s">
        <v>38</v>
      </c>
      <c r="G872" s="43">
        <v>3665.83</v>
      </c>
      <c r="H872" s="41">
        <v>443362001</v>
      </c>
      <c r="I872" s="44">
        <v>0</v>
      </c>
      <c r="J872" s="43">
        <v>0</v>
      </c>
      <c r="K872" s="43">
        <v>0</v>
      </c>
      <c r="L872" s="43">
        <v>0</v>
      </c>
      <c r="M872" s="43">
        <v>10043.32</v>
      </c>
      <c r="N872" s="45" t="s">
        <v>49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35">
        <v>45918.607731481483</v>
      </c>
      <c r="B873" s="36">
        <v>444148886</v>
      </c>
      <c r="C873" s="37" t="s">
        <v>36</v>
      </c>
      <c r="D873" s="37" t="s">
        <v>39</v>
      </c>
      <c r="E873" s="37" t="s">
        <v>46</v>
      </c>
      <c r="F873" s="37" t="s">
        <v>38</v>
      </c>
      <c r="G873" s="38">
        <v>3665.84</v>
      </c>
      <c r="H873" s="36">
        <v>443362005</v>
      </c>
      <c r="I873" s="39">
        <v>0</v>
      </c>
      <c r="J873" s="38">
        <v>0</v>
      </c>
      <c r="K873" s="38">
        <v>0</v>
      </c>
      <c r="L873" s="38">
        <v>0</v>
      </c>
      <c r="M873" s="38">
        <v>10043.32</v>
      </c>
      <c r="N873" s="46" t="s">
        <v>53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40">
        <v>45918.608171296299</v>
      </c>
      <c r="B874" s="41">
        <v>444149282</v>
      </c>
      <c r="C874" s="42" t="s">
        <v>36</v>
      </c>
      <c r="D874" s="42" t="s">
        <v>37</v>
      </c>
      <c r="E874" s="42" t="s">
        <v>47</v>
      </c>
      <c r="F874" s="42" t="s">
        <v>38</v>
      </c>
      <c r="G874" s="43">
        <v>3667.25</v>
      </c>
      <c r="H874" s="41">
        <v>443362399</v>
      </c>
      <c r="I874" s="44">
        <v>0</v>
      </c>
      <c r="J874" s="43">
        <v>0</v>
      </c>
      <c r="K874" s="43">
        <v>0</v>
      </c>
      <c r="L874" s="43">
        <v>-1.54</v>
      </c>
      <c r="M874" s="43">
        <v>10041.780000000001</v>
      </c>
      <c r="N874" s="45" t="s">
        <v>700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35">
        <v>45918.608449074076</v>
      </c>
      <c r="B875" s="36">
        <v>444149713</v>
      </c>
      <c r="C875" s="37" t="s">
        <v>36</v>
      </c>
      <c r="D875" s="37" t="s">
        <v>37</v>
      </c>
      <c r="E875" s="37" t="s">
        <v>47</v>
      </c>
      <c r="F875" s="37" t="s">
        <v>38</v>
      </c>
      <c r="G875" s="38">
        <v>3668.28</v>
      </c>
      <c r="H875" s="36">
        <v>443362831</v>
      </c>
      <c r="I875" s="39">
        <v>0</v>
      </c>
      <c r="J875" s="38">
        <v>0</v>
      </c>
      <c r="K875" s="38">
        <v>0</v>
      </c>
      <c r="L875" s="38">
        <v>-2.4500000000000002</v>
      </c>
      <c r="M875" s="38">
        <v>10039.33</v>
      </c>
      <c r="N875" s="46" t="s">
        <v>701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40">
        <v>45918.608472222222</v>
      </c>
      <c r="B876" s="41">
        <v>444149749</v>
      </c>
      <c r="C876" s="42" t="s">
        <v>36</v>
      </c>
      <c r="D876" s="42" t="s">
        <v>37</v>
      </c>
      <c r="E876" s="42" t="s">
        <v>47</v>
      </c>
      <c r="F876" s="42" t="s">
        <v>38</v>
      </c>
      <c r="G876" s="43">
        <v>3668.56</v>
      </c>
      <c r="H876" s="41">
        <v>443362865</v>
      </c>
      <c r="I876" s="44">
        <v>0</v>
      </c>
      <c r="J876" s="43">
        <v>0</v>
      </c>
      <c r="K876" s="43">
        <v>0</v>
      </c>
      <c r="L876" s="43">
        <v>-2.83</v>
      </c>
      <c r="M876" s="43">
        <v>10036.5</v>
      </c>
      <c r="N876" s="45" t="s">
        <v>702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35">
        <v>45918.608946759261</v>
      </c>
      <c r="B877" s="36">
        <v>444149969</v>
      </c>
      <c r="C877" s="37" t="s">
        <v>36</v>
      </c>
      <c r="D877" s="37" t="s">
        <v>37</v>
      </c>
      <c r="E877" s="37" t="s">
        <v>47</v>
      </c>
      <c r="F877" s="37" t="s">
        <v>38</v>
      </c>
      <c r="G877" s="38">
        <v>3668.78</v>
      </c>
      <c r="H877" s="36">
        <v>443363086</v>
      </c>
      <c r="I877" s="39">
        <v>0</v>
      </c>
      <c r="J877" s="38">
        <v>0</v>
      </c>
      <c r="K877" s="38">
        <v>0</v>
      </c>
      <c r="L877" s="38">
        <v>-2.99</v>
      </c>
      <c r="M877" s="38">
        <v>10033.51</v>
      </c>
      <c r="N877" s="46" t="s">
        <v>703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40">
        <v>45918.608946759261</v>
      </c>
      <c r="B878" s="41">
        <v>444149971</v>
      </c>
      <c r="C878" s="42" t="s">
        <v>36</v>
      </c>
      <c r="D878" s="42" t="s">
        <v>37</v>
      </c>
      <c r="E878" s="42" t="s">
        <v>47</v>
      </c>
      <c r="F878" s="42" t="s">
        <v>38</v>
      </c>
      <c r="G878" s="43">
        <v>3668.78</v>
      </c>
      <c r="H878" s="41">
        <v>443363087</v>
      </c>
      <c r="I878" s="44">
        <v>0</v>
      </c>
      <c r="J878" s="43">
        <v>0</v>
      </c>
      <c r="K878" s="43">
        <v>0</v>
      </c>
      <c r="L878" s="43">
        <v>-2.94</v>
      </c>
      <c r="M878" s="43">
        <v>10030.57</v>
      </c>
      <c r="N878" s="45" t="s">
        <v>703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35">
        <v>45918.608946759261</v>
      </c>
      <c r="B879" s="36">
        <v>444149973</v>
      </c>
      <c r="C879" s="37" t="s">
        <v>36</v>
      </c>
      <c r="D879" s="37" t="s">
        <v>37</v>
      </c>
      <c r="E879" s="37" t="s">
        <v>47</v>
      </c>
      <c r="F879" s="37" t="s">
        <v>38</v>
      </c>
      <c r="G879" s="38">
        <v>3668.78</v>
      </c>
      <c r="H879" s="36">
        <v>443363088</v>
      </c>
      <c r="I879" s="39">
        <v>0</v>
      </c>
      <c r="J879" s="38">
        <v>0</v>
      </c>
      <c r="K879" s="38">
        <v>0</v>
      </c>
      <c r="L879" s="38">
        <v>-2.94</v>
      </c>
      <c r="M879" s="38">
        <v>10027.629999999999</v>
      </c>
      <c r="N879" s="46" t="s">
        <v>703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40">
        <v>45918.617094907408</v>
      </c>
      <c r="B880" s="41">
        <v>444154017</v>
      </c>
      <c r="C880" s="42" t="s">
        <v>36</v>
      </c>
      <c r="D880" s="42" t="s">
        <v>39</v>
      </c>
      <c r="E880" s="42" t="s">
        <v>46</v>
      </c>
      <c r="F880" s="42" t="s">
        <v>38</v>
      </c>
      <c r="G880" s="43">
        <v>3666.24</v>
      </c>
      <c r="H880" s="41">
        <v>443366994</v>
      </c>
      <c r="I880" s="44">
        <v>0</v>
      </c>
      <c r="J880" s="43">
        <v>0</v>
      </c>
      <c r="K880" s="43">
        <v>0</v>
      </c>
      <c r="L880" s="43">
        <v>0</v>
      </c>
      <c r="M880" s="43">
        <v>10027.629999999999</v>
      </c>
      <c r="N880" s="45" t="s">
        <v>150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35">
        <v>45918.617094907408</v>
      </c>
      <c r="B881" s="36">
        <v>444154019</v>
      </c>
      <c r="C881" s="37" t="s">
        <v>36</v>
      </c>
      <c r="D881" s="37" t="s">
        <v>39</v>
      </c>
      <c r="E881" s="37" t="s">
        <v>46</v>
      </c>
      <c r="F881" s="37" t="s">
        <v>38</v>
      </c>
      <c r="G881" s="38">
        <v>3666.24</v>
      </c>
      <c r="H881" s="36">
        <v>443366996</v>
      </c>
      <c r="I881" s="39">
        <v>0</v>
      </c>
      <c r="J881" s="38">
        <v>0</v>
      </c>
      <c r="K881" s="38">
        <v>0</v>
      </c>
      <c r="L881" s="38">
        <v>0</v>
      </c>
      <c r="M881" s="38">
        <v>10027.629999999999</v>
      </c>
      <c r="N881" s="46" t="s">
        <v>53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40">
        <v>45918.617094907408</v>
      </c>
      <c r="B882" s="41">
        <v>444154020</v>
      </c>
      <c r="C882" s="42" t="s">
        <v>36</v>
      </c>
      <c r="D882" s="42" t="s">
        <v>39</v>
      </c>
      <c r="E882" s="42" t="s">
        <v>46</v>
      </c>
      <c r="F882" s="42" t="s">
        <v>38</v>
      </c>
      <c r="G882" s="43">
        <v>3666.24</v>
      </c>
      <c r="H882" s="41">
        <v>443366997</v>
      </c>
      <c r="I882" s="44">
        <v>0</v>
      </c>
      <c r="J882" s="43">
        <v>0</v>
      </c>
      <c r="K882" s="43">
        <v>0</v>
      </c>
      <c r="L882" s="43">
        <v>0</v>
      </c>
      <c r="M882" s="43">
        <v>10027.629999999999</v>
      </c>
      <c r="N882" s="45" t="s">
        <v>49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35">
        <v>45918.617106481484</v>
      </c>
      <c r="B883" s="36">
        <v>444154021</v>
      </c>
      <c r="C883" s="37" t="s">
        <v>36</v>
      </c>
      <c r="D883" s="37" t="s">
        <v>39</v>
      </c>
      <c r="E883" s="37" t="s">
        <v>46</v>
      </c>
      <c r="F883" s="37" t="s">
        <v>38</v>
      </c>
      <c r="G883" s="38">
        <v>3666.24</v>
      </c>
      <c r="H883" s="36">
        <v>443366998</v>
      </c>
      <c r="I883" s="39">
        <v>0</v>
      </c>
      <c r="J883" s="38">
        <v>0</v>
      </c>
      <c r="K883" s="38">
        <v>0</v>
      </c>
      <c r="L883" s="38">
        <v>0</v>
      </c>
      <c r="M883" s="38">
        <v>10027.629999999999</v>
      </c>
      <c r="N883" s="46" t="s">
        <v>48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40">
        <v>45918.625069444446</v>
      </c>
      <c r="B884" s="41">
        <v>444157390</v>
      </c>
      <c r="C884" s="42" t="s">
        <v>36</v>
      </c>
      <c r="D884" s="42" t="s">
        <v>37</v>
      </c>
      <c r="E884" s="42" t="s">
        <v>46</v>
      </c>
      <c r="F884" s="42" t="s">
        <v>38</v>
      </c>
      <c r="G884" s="43">
        <v>3668.36</v>
      </c>
      <c r="H884" s="41">
        <v>443370365</v>
      </c>
      <c r="I884" s="44">
        <v>0</v>
      </c>
      <c r="J884" s="43">
        <v>0</v>
      </c>
      <c r="K884" s="43">
        <v>0</v>
      </c>
      <c r="L884" s="43">
        <v>0</v>
      </c>
      <c r="M884" s="43">
        <v>10027.629999999999</v>
      </c>
      <c r="N884" s="45" t="s">
        <v>123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35">
        <v>45918.626354166663</v>
      </c>
      <c r="B885" s="36">
        <v>444157851</v>
      </c>
      <c r="C885" s="37" t="s">
        <v>36</v>
      </c>
      <c r="D885" s="37" t="s">
        <v>37</v>
      </c>
      <c r="E885" s="37" t="s">
        <v>46</v>
      </c>
      <c r="F885" s="37" t="s">
        <v>38</v>
      </c>
      <c r="G885" s="38">
        <v>3667.67</v>
      </c>
      <c r="H885" s="36">
        <v>443370836</v>
      </c>
      <c r="I885" s="39">
        <v>0</v>
      </c>
      <c r="J885" s="38">
        <v>0</v>
      </c>
      <c r="K885" s="38">
        <v>0</v>
      </c>
      <c r="L885" s="38">
        <v>0</v>
      </c>
      <c r="M885" s="38">
        <v>10027.629999999999</v>
      </c>
      <c r="N885" s="46" t="s">
        <v>125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40">
        <v>45918.626354166663</v>
      </c>
      <c r="B886" s="41">
        <v>444157853</v>
      </c>
      <c r="C886" s="42" t="s">
        <v>36</v>
      </c>
      <c r="D886" s="42" t="s">
        <v>37</v>
      </c>
      <c r="E886" s="42" t="s">
        <v>46</v>
      </c>
      <c r="F886" s="42" t="s">
        <v>38</v>
      </c>
      <c r="G886" s="43">
        <v>3667.62</v>
      </c>
      <c r="H886" s="41">
        <v>443370838</v>
      </c>
      <c r="I886" s="44">
        <v>0</v>
      </c>
      <c r="J886" s="43">
        <v>0</v>
      </c>
      <c r="K886" s="43">
        <v>0</v>
      </c>
      <c r="L886" s="43">
        <v>0</v>
      </c>
      <c r="M886" s="43">
        <v>10027.629999999999</v>
      </c>
      <c r="N886" s="45" t="s">
        <v>124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35">
        <v>45918.637291666666</v>
      </c>
      <c r="B887" s="36">
        <v>444162638</v>
      </c>
      <c r="C887" s="37" t="s">
        <v>36</v>
      </c>
      <c r="D887" s="37" t="s">
        <v>37</v>
      </c>
      <c r="E887" s="37" t="s">
        <v>47</v>
      </c>
      <c r="F887" s="37" t="s">
        <v>38</v>
      </c>
      <c r="G887" s="38">
        <v>3668.79</v>
      </c>
      <c r="H887" s="36">
        <v>443375634</v>
      </c>
      <c r="I887" s="39">
        <v>0</v>
      </c>
      <c r="J887" s="38">
        <v>0</v>
      </c>
      <c r="K887" s="38">
        <v>0</v>
      </c>
      <c r="L887" s="38">
        <v>-2.5499999999999998</v>
      </c>
      <c r="M887" s="38">
        <v>10025.08</v>
      </c>
      <c r="N887" s="46" t="s">
        <v>761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40">
        <v>45918.637442129628</v>
      </c>
      <c r="B888" s="41">
        <v>444162732</v>
      </c>
      <c r="C888" s="42" t="s">
        <v>36</v>
      </c>
      <c r="D888" s="42" t="s">
        <v>37</v>
      </c>
      <c r="E888" s="42" t="s">
        <v>47</v>
      </c>
      <c r="F888" s="42" t="s">
        <v>38</v>
      </c>
      <c r="G888" s="43">
        <v>3669.24</v>
      </c>
      <c r="H888" s="41">
        <v>443375724</v>
      </c>
      <c r="I888" s="44">
        <v>0</v>
      </c>
      <c r="J888" s="43">
        <v>0</v>
      </c>
      <c r="K888" s="43">
        <v>0</v>
      </c>
      <c r="L888" s="43">
        <v>-3</v>
      </c>
      <c r="M888" s="43">
        <v>10022.08</v>
      </c>
      <c r="N888" s="45" t="s">
        <v>762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35">
        <v>45918.637442129628</v>
      </c>
      <c r="B889" s="36">
        <v>444162733</v>
      </c>
      <c r="C889" s="37" t="s">
        <v>36</v>
      </c>
      <c r="D889" s="37" t="s">
        <v>37</v>
      </c>
      <c r="E889" s="37" t="s">
        <v>47</v>
      </c>
      <c r="F889" s="37" t="s">
        <v>38</v>
      </c>
      <c r="G889" s="38">
        <v>3669.24</v>
      </c>
      <c r="H889" s="36">
        <v>443375725</v>
      </c>
      <c r="I889" s="39">
        <v>0</v>
      </c>
      <c r="J889" s="38">
        <v>0</v>
      </c>
      <c r="K889" s="38">
        <v>0</v>
      </c>
      <c r="L889" s="38">
        <v>-3</v>
      </c>
      <c r="M889" s="38">
        <v>10019.08</v>
      </c>
      <c r="N889" s="46" t="s">
        <v>762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40">
        <v>45918.637442129628</v>
      </c>
      <c r="B890" s="41">
        <v>444162734</v>
      </c>
      <c r="C890" s="42" t="s">
        <v>36</v>
      </c>
      <c r="D890" s="42" t="s">
        <v>37</v>
      </c>
      <c r="E890" s="42" t="s">
        <v>47</v>
      </c>
      <c r="F890" s="42" t="s">
        <v>38</v>
      </c>
      <c r="G890" s="43">
        <v>3669.24</v>
      </c>
      <c r="H890" s="41">
        <v>443375726</v>
      </c>
      <c r="I890" s="44">
        <v>0</v>
      </c>
      <c r="J890" s="43">
        <v>0</v>
      </c>
      <c r="K890" s="43">
        <v>0</v>
      </c>
      <c r="L890" s="43">
        <v>-3</v>
      </c>
      <c r="M890" s="43">
        <v>10016.08</v>
      </c>
      <c r="N890" s="45" t="s">
        <v>762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35">
        <v>45918.643368055556</v>
      </c>
      <c r="B891" s="36">
        <v>444166690</v>
      </c>
      <c r="C891" s="37" t="s">
        <v>36</v>
      </c>
      <c r="D891" s="37" t="s">
        <v>37</v>
      </c>
      <c r="E891" s="37" t="s">
        <v>46</v>
      </c>
      <c r="F891" s="37" t="s">
        <v>38</v>
      </c>
      <c r="G891" s="38">
        <v>3670.86</v>
      </c>
      <c r="H891" s="36">
        <v>443379656</v>
      </c>
      <c r="I891" s="39">
        <v>0</v>
      </c>
      <c r="J891" s="38">
        <v>0</v>
      </c>
      <c r="K891" s="38">
        <v>0</v>
      </c>
      <c r="L891" s="38">
        <v>0</v>
      </c>
      <c r="M891" s="38">
        <v>10016.08</v>
      </c>
      <c r="N891" s="46" t="s">
        <v>653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40">
        <v>45918.643368055556</v>
      </c>
      <c r="B892" s="41">
        <v>444166691</v>
      </c>
      <c r="C892" s="42" t="s">
        <v>36</v>
      </c>
      <c r="D892" s="42" t="s">
        <v>37</v>
      </c>
      <c r="E892" s="42" t="s">
        <v>46</v>
      </c>
      <c r="F892" s="42" t="s">
        <v>38</v>
      </c>
      <c r="G892" s="43">
        <v>3670.86</v>
      </c>
      <c r="H892" s="41">
        <v>443379657</v>
      </c>
      <c r="I892" s="44">
        <v>0</v>
      </c>
      <c r="J892" s="43">
        <v>0</v>
      </c>
      <c r="K892" s="43">
        <v>0</v>
      </c>
      <c r="L892" s="43">
        <v>0</v>
      </c>
      <c r="M892" s="43">
        <v>10016.08</v>
      </c>
      <c r="N892" s="45" t="s">
        <v>150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35">
        <v>45918.643368055556</v>
      </c>
      <c r="B893" s="36">
        <v>444166693</v>
      </c>
      <c r="C893" s="37" t="s">
        <v>36</v>
      </c>
      <c r="D893" s="37" t="s">
        <v>37</v>
      </c>
      <c r="E893" s="37" t="s">
        <v>46</v>
      </c>
      <c r="F893" s="37" t="s">
        <v>38</v>
      </c>
      <c r="G893" s="38">
        <v>3670.86</v>
      </c>
      <c r="H893" s="36">
        <v>443379659</v>
      </c>
      <c r="I893" s="39">
        <v>0</v>
      </c>
      <c r="J893" s="38">
        <v>0</v>
      </c>
      <c r="K893" s="38">
        <v>0</v>
      </c>
      <c r="L893" s="38">
        <v>0</v>
      </c>
      <c r="M893" s="38">
        <v>10016.08</v>
      </c>
      <c r="N893" s="46" t="s">
        <v>647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40">
        <v>45918.643379629626</v>
      </c>
      <c r="B894" s="41">
        <v>444166695</v>
      </c>
      <c r="C894" s="42" t="s">
        <v>36</v>
      </c>
      <c r="D894" s="42" t="s">
        <v>37</v>
      </c>
      <c r="E894" s="42" t="s">
        <v>46</v>
      </c>
      <c r="F894" s="42" t="s">
        <v>38</v>
      </c>
      <c r="G894" s="43">
        <v>3670.86</v>
      </c>
      <c r="H894" s="41">
        <v>443379661</v>
      </c>
      <c r="I894" s="44">
        <v>0</v>
      </c>
      <c r="J894" s="43">
        <v>0</v>
      </c>
      <c r="K894" s="43">
        <v>0</v>
      </c>
      <c r="L894" s="43">
        <v>0</v>
      </c>
      <c r="M894" s="43">
        <v>10016.08</v>
      </c>
      <c r="N894" s="45" t="s">
        <v>48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35">
        <v>45918.643379629626</v>
      </c>
      <c r="B895" s="36">
        <v>444166696</v>
      </c>
      <c r="C895" s="37" t="s">
        <v>36</v>
      </c>
      <c r="D895" s="37" t="s">
        <v>37</v>
      </c>
      <c r="E895" s="37" t="s">
        <v>46</v>
      </c>
      <c r="F895" s="37" t="s">
        <v>38</v>
      </c>
      <c r="G895" s="38">
        <v>3670.81</v>
      </c>
      <c r="H895" s="36">
        <v>443379662</v>
      </c>
      <c r="I895" s="39">
        <v>0</v>
      </c>
      <c r="J895" s="38">
        <v>0</v>
      </c>
      <c r="K895" s="38">
        <v>0</v>
      </c>
      <c r="L895" s="38">
        <v>0</v>
      </c>
      <c r="M895" s="38">
        <v>10016.08</v>
      </c>
      <c r="N895" s="46" t="s">
        <v>49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40">
        <v>45918.643379629626</v>
      </c>
      <c r="B896" s="41">
        <v>444166700</v>
      </c>
      <c r="C896" s="42" t="s">
        <v>36</v>
      </c>
      <c r="D896" s="42" t="s">
        <v>37</v>
      </c>
      <c r="E896" s="42" t="s">
        <v>46</v>
      </c>
      <c r="F896" s="42" t="s">
        <v>38</v>
      </c>
      <c r="G896" s="43">
        <v>3670.81</v>
      </c>
      <c r="H896" s="41">
        <v>443379666</v>
      </c>
      <c r="I896" s="44">
        <v>0</v>
      </c>
      <c r="J896" s="43">
        <v>0</v>
      </c>
      <c r="K896" s="43">
        <v>0</v>
      </c>
      <c r="L896" s="43">
        <v>0</v>
      </c>
      <c r="M896" s="43">
        <v>10016.08</v>
      </c>
      <c r="N896" s="45" t="s">
        <v>53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35">
        <v>45918.645833333336</v>
      </c>
      <c r="B897" s="36">
        <v>444167939</v>
      </c>
      <c r="C897" s="37" t="s">
        <v>36</v>
      </c>
      <c r="D897" s="37" t="s">
        <v>39</v>
      </c>
      <c r="E897" s="37" t="s">
        <v>47</v>
      </c>
      <c r="F897" s="37" t="s">
        <v>38</v>
      </c>
      <c r="G897" s="38">
        <v>3669.11</v>
      </c>
      <c r="H897" s="36">
        <v>443380918</v>
      </c>
      <c r="I897" s="39">
        <v>0</v>
      </c>
      <c r="J897" s="38">
        <v>0</v>
      </c>
      <c r="K897" s="38">
        <v>0</v>
      </c>
      <c r="L897" s="38">
        <v>0.75</v>
      </c>
      <c r="M897" s="38">
        <v>10016.83</v>
      </c>
      <c r="N897" s="46" t="s">
        <v>763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40">
        <v>45918.645833333336</v>
      </c>
      <c r="B898" s="41">
        <v>444167942</v>
      </c>
      <c r="C898" s="42" t="s">
        <v>36</v>
      </c>
      <c r="D898" s="42" t="s">
        <v>39</v>
      </c>
      <c r="E898" s="42" t="s">
        <v>47</v>
      </c>
      <c r="F898" s="42" t="s">
        <v>38</v>
      </c>
      <c r="G898" s="43">
        <v>3669.11</v>
      </c>
      <c r="H898" s="41">
        <v>443380919</v>
      </c>
      <c r="I898" s="44">
        <v>0</v>
      </c>
      <c r="J898" s="43">
        <v>0</v>
      </c>
      <c r="K898" s="43">
        <v>0</v>
      </c>
      <c r="L898" s="43">
        <v>1.44</v>
      </c>
      <c r="M898" s="43">
        <v>10018.27</v>
      </c>
      <c r="N898" s="45" t="s">
        <v>764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35">
        <v>45918.645833333336</v>
      </c>
      <c r="B899" s="36">
        <v>444167943</v>
      </c>
      <c r="C899" s="37" t="s">
        <v>36</v>
      </c>
      <c r="D899" s="37" t="s">
        <v>39</v>
      </c>
      <c r="E899" s="37" t="s">
        <v>47</v>
      </c>
      <c r="F899" s="37" t="s">
        <v>38</v>
      </c>
      <c r="G899" s="38">
        <v>3669.11</v>
      </c>
      <c r="H899" s="36">
        <v>443380920</v>
      </c>
      <c r="I899" s="39">
        <v>0</v>
      </c>
      <c r="J899" s="38">
        <v>0</v>
      </c>
      <c r="K899" s="38">
        <v>0</v>
      </c>
      <c r="L899" s="38">
        <v>1.49</v>
      </c>
      <c r="M899" s="38">
        <v>10019.76</v>
      </c>
      <c r="N899" s="46" t="s">
        <v>764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40">
        <v>45918.645833333336</v>
      </c>
      <c r="B900" s="41">
        <v>444167944</v>
      </c>
      <c r="C900" s="42" t="s">
        <v>36</v>
      </c>
      <c r="D900" s="42" t="s">
        <v>39</v>
      </c>
      <c r="E900" s="42" t="s">
        <v>47</v>
      </c>
      <c r="F900" s="42" t="s">
        <v>38</v>
      </c>
      <c r="G900" s="43">
        <v>3669.11</v>
      </c>
      <c r="H900" s="41">
        <v>443380921</v>
      </c>
      <c r="I900" s="44">
        <v>0</v>
      </c>
      <c r="J900" s="43">
        <v>0</v>
      </c>
      <c r="K900" s="43">
        <v>0</v>
      </c>
      <c r="L900" s="43">
        <v>-1.75</v>
      </c>
      <c r="M900" s="43">
        <v>10018.01</v>
      </c>
      <c r="N900" s="45" t="s">
        <v>765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35">
        <v>45918.645937499998</v>
      </c>
      <c r="B901" s="36">
        <v>444168340</v>
      </c>
      <c r="C901" s="37" t="s">
        <v>36</v>
      </c>
      <c r="D901" s="37" t="s">
        <v>39</v>
      </c>
      <c r="E901" s="37" t="s">
        <v>47</v>
      </c>
      <c r="F901" s="37" t="s">
        <v>38</v>
      </c>
      <c r="G901" s="38">
        <v>3668.15</v>
      </c>
      <c r="H901" s="36">
        <v>443381290</v>
      </c>
      <c r="I901" s="39">
        <v>0</v>
      </c>
      <c r="J901" s="38">
        <v>0</v>
      </c>
      <c r="K901" s="38">
        <v>0</v>
      </c>
      <c r="L901" s="38">
        <v>-2.66</v>
      </c>
      <c r="M901" s="38">
        <v>10015.35</v>
      </c>
      <c r="N901" s="46" t="s">
        <v>766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40">
        <v>45918.645949074074</v>
      </c>
      <c r="B902" s="41">
        <v>444168485</v>
      </c>
      <c r="C902" s="42" t="s">
        <v>36</v>
      </c>
      <c r="D902" s="42" t="s">
        <v>39</v>
      </c>
      <c r="E902" s="42" t="s">
        <v>47</v>
      </c>
      <c r="F902" s="42" t="s">
        <v>38</v>
      </c>
      <c r="G902" s="43">
        <v>3667.69</v>
      </c>
      <c r="H902" s="41">
        <v>443381422</v>
      </c>
      <c r="I902" s="44">
        <v>0</v>
      </c>
      <c r="J902" s="43">
        <v>0</v>
      </c>
      <c r="K902" s="43">
        <v>0</v>
      </c>
      <c r="L902" s="43">
        <v>-3.17</v>
      </c>
      <c r="M902" s="43">
        <v>10012.18</v>
      </c>
      <c r="N902" s="45" t="s">
        <v>767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35">
        <v>45918.645949074074</v>
      </c>
      <c r="B903" s="36">
        <v>444168487</v>
      </c>
      <c r="C903" s="37" t="s">
        <v>36</v>
      </c>
      <c r="D903" s="37" t="s">
        <v>39</v>
      </c>
      <c r="E903" s="37" t="s">
        <v>47</v>
      </c>
      <c r="F903" s="37" t="s">
        <v>38</v>
      </c>
      <c r="G903" s="38">
        <v>3667.69</v>
      </c>
      <c r="H903" s="36">
        <v>443381425</v>
      </c>
      <c r="I903" s="39">
        <v>0</v>
      </c>
      <c r="J903" s="38">
        <v>0</v>
      </c>
      <c r="K903" s="38">
        <v>0</v>
      </c>
      <c r="L903" s="38">
        <v>-3.17</v>
      </c>
      <c r="M903" s="38">
        <v>10009.01</v>
      </c>
      <c r="N903" s="46" t="s">
        <v>767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40">
        <v>45918.645949074074</v>
      </c>
      <c r="B904" s="41">
        <v>444168488</v>
      </c>
      <c r="C904" s="42" t="s">
        <v>36</v>
      </c>
      <c r="D904" s="42" t="s">
        <v>39</v>
      </c>
      <c r="E904" s="42" t="s">
        <v>47</v>
      </c>
      <c r="F904" s="42" t="s">
        <v>38</v>
      </c>
      <c r="G904" s="43">
        <v>3667.69</v>
      </c>
      <c r="H904" s="41">
        <v>443381426</v>
      </c>
      <c r="I904" s="44">
        <v>0</v>
      </c>
      <c r="J904" s="43">
        <v>0</v>
      </c>
      <c r="K904" s="43">
        <v>0</v>
      </c>
      <c r="L904" s="43">
        <v>-3.17</v>
      </c>
      <c r="M904" s="43">
        <v>10005.84</v>
      </c>
      <c r="N904" s="45" t="s">
        <v>767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35">
        <v>45918.645949074074</v>
      </c>
      <c r="B905" s="36">
        <v>444168490</v>
      </c>
      <c r="C905" s="37" t="s">
        <v>36</v>
      </c>
      <c r="D905" s="37" t="s">
        <v>39</v>
      </c>
      <c r="E905" s="37" t="s">
        <v>47</v>
      </c>
      <c r="F905" s="37" t="s">
        <v>38</v>
      </c>
      <c r="G905" s="38">
        <v>3667.69</v>
      </c>
      <c r="H905" s="36">
        <v>443381427</v>
      </c>
      <c r="I905" s="39">
        <v>0</v>
      </c>
      <c r="J905" s="38">
        <v>0</v>
      </c>
      <c r="K905" s="38">
        <v>0</v>
      </c>
      <c r="L905" s="38">
        <v>-3.12</v>
      </c>
      <c r="M905" s="38">
        <v>10002.719999999999</v>
      </c>
      <c r="N905" s="46" t="s">
        <v>767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40">
        <v>45918.648576388892</v>
      </c>
      <c r="B906" s="41">
        <v>444172328</v>
      </c>
      <c r="C906" s="42" t="s">
        <v>36</v>
      </c>
      <c r="D906" s="42" t="s">
        <v>37</v>
      </c>
      <c r="E906" s="42" t="s">
        <v>46</v>
      </c>
      <c r="F906" s="42" t="s">
        <v>38</v>
      </c>
      <c r="G906" s="43">
        <v>3668.94</v>
      </c>
      <c r="H906" s="41">
        <v>443385332</v>
      </c>
      <c r="I906" s="44">
        <v>0</v>
      </c>
      <c r="J906" s="43">
        <v>0</v>
      </c>
      <c r="K906" s="43">
        <v>0</v>
      </c>
      <c r="L906" s="43">
        <v>0</v>
      </c>
      <c r="M906" s="43">
        <v>10002.719999999999</v>
      </c>
      <c r="N906" s="45" t="s">
        <v>123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35">
        <v>45918.649201388886</v>
      </c>
      <c r="B907" s="36">
        <v>444173115</v>
      </c>
      <c r="C907" s="37" t="s">
        <v>36</v>
      </c>
      <c r="D907" s="37" t="s">
        <v>39</v>
      </c>
      <c r="E907" s="37" t="s">
        <v>47</v>
      </c>
      <c r="F907" s="37" t="s">
        <v>38</v>
      </c>
      <c r="G907" s="38">
        <v>3665.68</v>
      </c>
      <c r="H907" s="36">
        <v>443386160</v>
      </c>
      <c r="I907" s="39">
        <v>0</v>
      </c>
      <c r="J907" s="38">
        <v>0</v>
      </c>
      <c r="K907" s="38">
        <v>0</v>
      </c>
      <c r="L907" s="38">
        <v>-3.26</v>
      </c>
      <c r="M907" s="38">
        <v>9999.4599999999991</v>
      </c>
      <c r="N907" s="46" t="s">
        <v>768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40">
        <v>45918.652743055558</v>
      </c>
      <c r="B908" s="41">
        <v>444177531</v>
      </c>
      <c r="C908" s="42" t="s">
        <v>36</v>
      </c>
      <c r="D908" s="42" t="s">
        <v>37</v>
      </c>
      <c r="E908" s="42" t="s">
        <v>46</v>
      </c>
      <c r="F908" s="42" t="s">
        <v>38</v>
      </c>
      <c r="G908" s="43">
        <v>3669.23</v>
      </c>
      <c r="H908" s="41">
        <v>443390657</v>
      </c>
      <c r="I908" s="44">
        <v>0</v>
      </c>
      <c r="J908" s="43">
        <v>0</v>
      </c>
      <c r="K908" s="43">
        <v>0</v>
      </c>
      <c r="L908" s="43">
        <v>0</v>
      </c>
      <c r="M908" s="43">
        <v>9999.4599999999991</v>
      </c>
      <c r="N908" s="45" t="s">
        <v>123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35">
        <v>45918.652743055558</v>
      </c>
      <c r="B909" s="36">
        <v>444177533</v>
      </c>
      <c r="C909" s="37" t="s">
        <v>36</v>
      </c>
      <c r="D909" s="37" t="s">
        <v>37</v>
      </c>
      <c r="E909" s="37" t="s">
        <v>46</v>
      </c>
      <c r="F909" s="37" t="s">
        <v>38</v>
      </c>
      <c r="G909" s="38">
        <v>3669.22</v>
      </c>
      <c r="H909" s="36">
        <v>443390659</v>
      </c>
      <c r="I909" s="39">
        <v>0</v>
      </c>
      <c r="J909" s="38">
        <v>0</v>
      </c>
      <c r="K909" s="38">
        <v>0</v>
      </c>
      <c r="L909" s="38">
        <v>0</v>
      </c>
      <c r="M909" s="38">
        <v>9999.4599999999991</v>
      </c>
      <c r="N909" s="46" t="s">
        <v>124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40">
        <v>45918.652743055558</v>
      </c>
      <c r="B910" s="41">
        <v>444177550</v>
      </c>
      <c r="C910" s="42" t="s">
        <v>36</v>
      </c>
      <c r="D910" s="42" t="s">
        <v>37</v>
      </c>
      <c r="E910" s="42" t="s">
        <v>46</v>
      </c>
      <c r="F910" s="42" t="s">
        <v>38</v>
      </c>
      <c r="G910" s="43">
        <v>3669.22</v>
      </c>
      <c r="H910" s="41">
        <v>443390678</v>
      </c>
      <c r="I910" s="44">
        <v>0</v>
      </c>
      <c r="J910" s="43">
        <v>0</v>
      </c>
      <c r="K910" s="43">
        <v>0</v>
      </c>
      <c r="L910" s="43">
        <v>0</v>
      </c>
      <c r="M910" s="43">
        <v>9999.4599999999991</v>
      </c>
      <c r="N910" s="45" t="s">
        <v>125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35">
        <v>45918.660671296297</v>
      </c>
      <c r="B911" s="36">
        <v>444182807</v>
      </c>
      <c r="C911" s="37" t="s">
        <v>36</v>
      </c>
      <c r="D911" s="37" t="s">
        <v>39</v>
      </c>
      <c r="E911" s="37" t="s">
        <v>47</v>
      </c>
      <c r="F911" s="37" t="s">
        <v>38</v>
      </c>
      <c r="G911" s="38">
        <v>3665.86</v>
      </c>
      <c r="H911" s="36">
        <v>443396062</v>
      </c>
      <c r="I911" s="39">
        <v>0</v>
      </c>
      <c r="J911" s="38">
        <v>0</v>
      </c>
      <c r="K911" s="38">
        <v>0</v>
      </c>
      <c r="L911" s="38">
        <v>-3.37</v>
      </c>
      <c r="M911" s="38">
        <v>9996.09</v>
      </c>
      <c r="N911" s="46" t="s">
        <v>769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40">
        <v>45918.660671296297</v>
      </c>
      <c r="B912" s="41">
        <v>444182809</v>
      </c>
      <c r="C912" s="42" t="s">
        <v>36</v>
      </c>
      <c r="D912" s="42" t="s">
        <v>39</v>
      </c>
      <c r="E912" s="42" t="s">
        <v>47</v>
      </c>
      <c r="F912" s="42" t="s">
        <v>38</v>
      </c>
      <c r="G912" s="43">
        <v>3665.86</v>
      </c>
      <c r="H912" s="41">
        <v>443396063</v>
      </c>
      <c r="I912" s="44">
        <v>0</v>
      </c>
      <c r="J912" s="43">
        <v>0</v>
      </c>
      <c r="K912" s="43">
        <v>0</v>
      </c>
      <c r="L912" s="43">
        <v>-3.36</v>
      </c>
      <c r="M912" s="43">
        <v>9992.73</v>
      </c>
      <c r="N912" s="45" t="s">
        <v>770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35">
        <v>45918.660671296297</v>
      </c>
      <c r="B913" s="36">
        <v>444182811</v>
      </c>
      <c r="C913" s="37" t="s">
        <v>36</v>
      </c>
      <c r="D913" s="37" t="s">
        <v>39</v>
      </c>
      <c r="E913" s="37" t="s">
        <v>47</v>
      </c>
      <c r="F913" s="37" t="s">
        <v>38</v>
      </c>
      <c r="G913" s="38">
        <v>3665.86</v>
      </c>
      <c r="H913" s="36">
        <v>443396064</v>
      </c>
      <c r="I913" s="39">
        <v>0</v>
      </c>
      <c r="J913" s="38">
        <v>0</v>
      </c>
      <c r="K913" s="38">
        <v>0</v>
      </c>
      <c r="L913" s="38">
        <v>-3.36</v>
      </c>
      <c r="M913" s="38">
        <v>9989.3700000000008</v>
      </c>
      <c r="N913" s="46" t="s">
        <v>769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40">
        <v>45918.669525462959</v>
      </c>
      <c r="B914" s="41">
        <v>444194572</v>
      </c>
      <c r="C914" s="42" t="s">
        <v>36</v>
      </c>
      <c r="D914" s="42" t="s">
        <v>39</v>
      </c>
      <c r="E914" s="42" t="s">
        <v>46</v>
      </c>
      <c r="F914" s="42" t="s">
        <v>38</v>
      </c>
      <c r="G914" s="43">
        <v>3662.75</v>
      </c>
      <c r="H914" s="41">
        <v>443408014</v>
      </c>
      <c r="I914" s="44">
        <v>0</v>
      </c>
      <c r="J914" s="43">
        <v>0</v>
      </c>
      <c r="K914" s="43">
        <v>0</v>
      </c>
      <c r="L914" s="43">
        <v>0</v>
      </c>
      <c r="M914" s="43">
        <v>9989.3700000000008</v>
      </c>
      <c r="N914" s="45" t="s">
        <v>49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35">
        <v>45918.669525462959</v>
      </c>
      <c r="B915" s="36">
        <v>444194576</v>
      </c>
      <c r="C915" s="37" t="s">
        <v>36</v>
      </c>
      <c r="D915" s="37" t="s">
        <v>39</v>
      </c>
      <c r="E915" s="37" t="s">
        <v>46</v>
      </c>
      <c r="F915" s="37" t="s">
        <v>38</v>
      </c>
      <c r="G915" s="38">
        <v>3662.76</v>
      </c>
      <c r="H915" s="36">
        <v>443408019</v>
      </c>
      <c r="I915" s="39">
        <v>0</v>
      </c>
      <c r="J915" s="38">
        <v>0</v>
      </c>
      <c r="K915" s="38">
        <v>0</v>
      </c>
      <c r="L915" s="38">
        <v>0</v>
      </c>
      <c r="M915" s="38">
        <v>9989.3700000000008</v>
      </c>
      <c r="N915" s="46" t="s">
        <v>647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40">
        <v>45918.669525462959</v>
      </c>
      <c r="B916" s="41">
        <v>444194579</v>
      </c>
      <c r="C916" s="42" t="s">
        <v>36</v>
      </c>
      <c r="D916" s="42" t="s">
        <v>39</v>
      </c>
      <c r="E916" s="42" t="s">
        <v>46</v>
      </c>
      <c r="F916" s="42" t="s">
        <v>38</v>
      </c>
      <c r="G916" s="43">
        <v>3662.86</v>
      </c>
      <c r="H916" s="41">
        <v>443408022</v>
      </c>
      <c r="I916" s="44">
        <v>0</v>
      </c>
      <c r="J916" s="43">
        <v>0</v>
      </c>
      <c r="K916" s="43">
        <v>0</v>
      </c>
      <c r="L916" s="43">
        <v>0</v>
      </c>
      <c r="M916" s="43">
        <v>9989.3700000000008</v>
      </c>
      <c r="N916" s="45" t="s">
        <v>150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35">
        <v>45918.669525462959</v>
      </c>
      <c r="B917" s="36">
        <v>444194584</v>
      </c>
      <c r="C917" s="37" t="s">
        <v>36</v>
      </c>
      <c r="D917" s="37" t="s">
        <v>39</v>
      </c>
      <c r="E917" s="37" t="s">
        <v>46</v>
      </c>
      <c r="F917" s="37" t="s">
        <v>38</v>
      </c>
      <c r="G917" s="38">
        <v>3662.76</v>
      </c>
      <c r="H917" s="36">
        <v>443408028</v>
      </c>
      <c r="I917" s="39">
        <v>0</v>
      </c>
      <c r="J917" s="38">
        <v>0</v>
      </c>
      <c r="K917" s="38">
        <v>0</v>
      </c>
      <c r="L917" s="38">
        <v>0</v>
      </c>
      <c r="M917" s="38">
        <v>9989.3700000000008</v>
      </c>
      <c r="N917" s="46" t="s">
        <v>53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40">
        <v>45918.669537037036</v>
      </c>
      <c r="B918" s="41">
        <v>444194590</v>
      </c>
      <c r="C918" s="42" t="s">
        <v>36</v>
      </c>
      <c r="D918" s="42" t="s">
        <v>39</v>
      </c>
      <c r="E918" s="42" t="s">
        <v>46</v>
      </c>
      <c r="F918" s="42" t="s">
        <v>38</v>
      </c>
      <c r="G918" s="43">
        <v>3662.76</v>
      </c>
      <c r="H918" s="41">
        <v>443408034</v>
      </c>
      <c r="I918" s="44">
        <v>0</v>
      </c>
      <c r="J918" s="43">
        <v>0</v>
      </c>
      <c r="K918" s="43">
        <v>0</v>
      </c>
      <c r="L918" s="43">
        <v>0</v>
      </c>
      <c r="M918" s="43">
        <v>9989.3700000000008</v>
      </c>
      <c r="N918" s="45" t="s">
        <v>653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35">
        <v>45918.669537037036</v>
      </c>
      <c r="B919" s="36">
        <v>444194593</v>
      </c>
      <c r="C919" s="37" t="s">
        <v>36</v>
      </c>
      <c r="D919" s="37" t="s">
        <v>39</v>
      </c>
      <c r="E919" s="37" t="s">
        <v>46</v>
      </c>
      <c r="F919" s="37" t="s">
        <v>38</v>
      </c>
      <c r="G919" s="38">
        <v>3662.76</v>
      </c>
      <c r="H919" s="36">
        <v>443408037</v>
      </c>
      <c r="I919" s="39">
        <v>0</v>
      </c>
      <c r="J919" s="38">
        <v>0</v>
      </c>
      <c r="K919" s="38">
        <v>0</v>
      </c>
      <c r="L919" s="38">
        <v>0</v>
      </c>
      <c r="M919" s="38">
        <v>9989.3700000000008</v>
      </c>
      <c r="N919" s="46" t="s">
        <v>48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40">
        <v>45918.669537037036</v>
      </c>
      <c r="B920" s="41">
        <v>444194598</v>
      </c>
      <c r="C920" s="42" t="s">
        <v>36</v>
      </c>
      <c r="D920" s="42" t="s">
        <v>39</v>
      </c>
      <c r="E920" s="42" t="s">
        <v>46</v>
      </c>
      <c r="F920" s="42" t="s">
        <v>38</v>
      </c>
      <c r="G920" s="43">
        <v>3662.75</v>
      </c>
      <c r="H920" s="41">
        <v>443408042</v>
      </c>
      <c r="I920" s="44">
        <v>0</v>
      </c>
      <c r="J920" s="43">
        <v>0</v>
      </c>
      <c r="K920" s="43">
        <v>0</v>
      </c>
      <c r="L920" s="43">
        <v>0</v>
      </c>
      <c r="M920" s="43">
        <v>9989.3700000000008</v>
      </c>
      <c r="N920" s="45" t="s">
        <v>771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35">
        <v>45918.669745370367</v>
      </c>
      <c r="B921" s="36">
        <v>444194911</v>
      </c>
      <c r="C921" s="37" t="s">
        <v>36</v>
      </c>
      <c r="D921" s="37" t="s">
        <v>37</v>
      </c>
      <c r="E921" s="37" t="s">
        <v>47</v>
      </c>
      <c r="F921" s="37" t="s">
        <v>38</v>
      </c>
      <c r="G921" s="38">
        <v>3664.33</v>
      </c>
      <c r="H921" s="36">
        <v>443408373</v>
      </c>
      <c r="I921" s="39">
        <v>0</v>
      </c>
      <c r="J921" s="38">
        <v>0</v>
      </c>
      <c r="K921" s="38">
        <v>0</v>
      </c>
      <c r="L921" s="38">
        <v>-1.57</v>
      </c>
      <c r="M921" s="38">
        <v>9987.7999999999993</v>
      </c>
      <c r="N921" s="46" t="s">
        <v>772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40">
        <v>45918.669988425929</v>
      </c>
      <c r="B922" s="41">
        <v>444195245</v>
      </c>
      <c r="C922" s="42" t="s">
        <v>36</v>
      </c>
      <c r="D922" s="42" t="s">
        <v>39</v>
      </c>
      <c r="E922" s="42" t="s">
        <v>46</v>
      </c>
      <c r="F922" s="42" t="s">
        <v>38</v>
      </c>
      <c r="G922" s="43">
        <v>3662.63</v>
      </c>
      <c r="H922" s="41">
        <v>443408730</v>
      </c>
      <c r="I922" s="44">
        <v>0</v>
      </c>
      <c r="J922" s="43">
        <v>0</v>
      </c>
      <c r="K922" s="43">
        <v>0</v>
      </c>
      <c r="L922" s="43">
        <v>0</v>
      </c>
      <c r="M922" s="43">
        <v>9987.7999999999993</v>
      </c>
      <c r="N922" s="45" t="s">
        <v>653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35">
        <v>45918.67019675926</v>
      </c>
      <c r="B923" s="36">
        <v>444195422</v>
      </c>
      <c r="C923" s="37" t="s">
        <v>36</v>
      </c>
      <c r="D923" s="37" t="s">
        <v>37</v>
      </c>
      <c r="E923" s="37" t="s">
        <v>47</v>
      </c>
      <c r="F923" s="37" t="s">
        <v>38</v>
      </c>
      <c r="G923" s="38">
        <v>3661.02</v>
      </c>
      <c r="H923" s="36">
        <v>443408926</v>
      </c>
      <c r="I923" s="39">
        <v>0</v>
      </c>
      <c r="J923" s="38">
        <v>0</v>
      </c>
      <c r="K923" s="38">
        <v>0</v>
      </c>
      <c r="L923" s="38">
        <v>1.74</v>
      </c>
      <c r="M923" s="38">
        <v>9989.5400000000009</v>
      </c>
      <c r="N923" s="46" t="s">
        <v>773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40">
        <v>45918.67019675926</v>
      </c>
      <c r="B924" s="41">
        <v>444195423</v>
      </c>
      <c r="C924" s="42" t="s">
        <v>36</v>
      </c>
      <c r="D924" s="42" t="s">
        <v>37</v>
      </c>
      <c r="E924" s="42" t="s">
        <v>47</v>
      </c>
      <c r="F924" s="42" t="s">
        <v>38</v>
      </c>
      <c r="G924" s="43">
        <v>3661.02</v>
      </c>
      <c r="H924" s="41">
        <v>443408927</v>
      </c>
      <c r="I924" s="44">
        <v>0</v>
      </c>
      <c r="J924" s="43">
        <v>0</v>
      </c>
      <c r="K924" s="43">
        <v>0</v>
      </c>
      <c r="L924" s="43">
        <v>1.84</v>
      </c>
      <c r="M924" s="43">
        <v>9991.3799999999992</v>
      </c>
      <c r="N924" s="45" t="s">
        <v>773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35">
        <v>45918.67019675926</v>
      </c>
      <c r="B925" s="36">
        <v>444195424</v>
      </c>
      <c r="C925" s="37" t="s">
        <v>36</v>
      </c>
      <c r="D925" s="37" t="s">
        <v>37</v>
      </c>
      <c r="E925" s="37" t="s">
        <v>47</v>
      </c>
      <c r="F925" s="37" t="s">
        <v>38</v>
      </c>
      <c r="G925" s="38">
        <v>3661.02</v>
      </c>
      <c r="H925" s="36">
        <v>443408928</v>
      </c>
      <c r="I925" s="39">
        <v>0</v>
      </c>
      <c r="J925" s="38">
        <v>0</v>
      </c>
      <c r="K925" s="38">
        <v>0</v>
      </c>
      <c r="L925" s="38">
        <v>1.61</v>
      </c>
      <c r="M925" s="38">
        <v>9992.99</v>
      </c>
      <c r="N925" s="46" t="s">
        <v>774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40">
        <v>45918.670451388891</v>
      </c>
      <c r="B926" s="41">
        <v>444195807</v>
      </c>
      <c r="C926" s="42" t="s">
        <v>36</v>
      </c>
      <c r="D926" s="42" t="s">
        <v>37</v>
      </c>
      <c r="E926" s="42" t="s">
        <v>47</v>
      </c>
      <c r="F926" s="42" t="s">
        <v>38</v>
      </c>
      <c r="G926" s="43">
        <v>3659.72</v>
      </c>
      <c r="H926" s="41">
        <v>443409319</v>
      </c>
      <c r="I926" s="44">
        <v>0</v>
      </c>
      <c r="J926" s="43">
        <v>0</v>
      </c>
      <c r="K926" s="43">
        <v>0</v>
      </c>
      <c r="L926" s="43">
        <v>3.04</v>
      </c>
      <c r="M926" s="43">
        <v>9996.0300000000007</v>
      </c>
      <c r="N926" s="45" t="s">
        <v>775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35">
        <v>45918.670486111114</v>
      </c>
      <c r="B927" s="36">
        <v>444196029</v>
      </c>
      <c r="C927" s="37" t="s">
        <v>36</v>
      </c>
      <c r="D927" s="37" t="s">
        <v>37</v>
      </c>
      <c r="E927" s="37" t="s">
        <v>47</v>
      </c>
      <c r="F927" s="37" t="s">
        <v>38</v>
      </c>
      <c r="G927" s="38">
        <v>3659.51</v>
      </c>
      <c r="H927" s="36">
        <v>443409543</v>
      </c>
      <c r="I927" s="39">
        <v>0</v>
      </c>
      <c r="J927" s="38">
        <v>0</v>
      </c>
      <c r="K927" s="38">
        <v>0</v>
      </c>
      <c r="L927" s="38">
        <v>3.24</v>
      </c>
      <c r="M927" s="38">
        <v>9999.27</v>
      </c>
      <c r="N927" s="46" t="s">
        <v>776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40">
        <v>45918.670578703706</v>
      </c>
      <c r="B928" s="41">
        <v>444196515</v>
      </c>
      <c r="C928" s="42" t="s">
        <v>36</v>
      </c>
      <c r="D928" s="42" t="s">
        <v>37</v>
      </c>
      <c r="E928" s="42" t="s">
        <v>47</v>
      </c>
      <c r="F928" s="42" t="s">
        <v>38</v>
      </c>
      <c r="G928" s="43">
        <v>3659.25</v>
      </c>
      <c r="H928" s="41">
        <v>443410025</v>
      </c>
      <c r="I928" s="44">
        <v>0</v>
      </c>
      <c r="J928" s="43">
        <v>0</v>
      </c>
      <c r="K928" s="43">
        <v>0</v>
      </c>
      <c r="L928" s="43">
        <v>3.51</v>
      </c>
      <c r="M928" s="43">
        <v>10002.780000000001</v>
      </c>
      <c r="N928" s="45" t="s">
        <v>777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35">
        <v>45918.670578703706</v>
      </c>
      <c r="B929" s="36">
        <v>444196516</v>
      </c>
      <c r="C929" s="37" t="s">
        <v>36</v>
      </c>
      <c r="D929" s="37" t="s">
        <v>37</v>
      </c>
      <c r="E929" s="37" t="s">
        <v>47</v>
      </c>
      <c r="F929" s="37" t="s">
        <v>38</v>
      </c>
      <c r="G929" s="38">
        <v>3659.25</v>
      </c>
      <c r="H929" s="36">
        <v>443410026</v>
      </c>
      <c r="I929" s="39">
        <v>0</v>
      </c>
      <c r="J929" s="38">
        <v>0</v>
      </c>
      <c r="K929" s="38">
        <v>0</v>
      </c>
      <c r="L929" s="38">
        <v>3.5</v>
      </c>
      <c r="M929" s="38">
        <v>10006.280000000001</v>
      </c>
      <c r="N929" s="46" t="s">
        <v>777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40">
        <v>45918.674502314818</v>
      </c>
      <c r="B930" s="41">
        <v>444202161</v>
      </c>
      <c r="C930" s="42" t="s">
        <v>36</v>
      </c>
      <c r="D930" s="42" t="s">
        <v>39</v>
      </c>
      <c r="E930" s="42" t="s">
        <v>46</v>
      </c>
      <c r="F930" s="42" t="s">
        <v>38</v>
      </c>
      <c r="G930" s="43">
        <v>3658.52</v>
      </c>
      <c r="H930" s="41">
        <v>443416002</v>
      </c>
      <c r="I930" s="44">
        <v>0</v>
      </c>
      <c r="J930" s="43">
        <v>0</v>
      </c>
      <c r="K930" s="43">
        <v>0</v>
      </c>
      <c r="L930" s="43">
        <v>0</v>
      </c>
      <c r="M930" s="43">
        <v>10006.280000000001</v>
      </c>
      <c r="N930" s="45" t="s">
        <v>49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35">
        <v>45918.674502314818</v>
      </c>
      <c r="B931" s="36">
        <v>444202163</v>
      </c>
      <c r="C931" s="37" t="s">
        <v>36</v>
      </c>
      <c r="D931" s="37" t="s">
        <v>39</v>
      </c>
      <c r="E931" s="37" t="s">
        <v>46</v>
      </c>
      <c r="F931" s="37" t="s">
        <v>38</v>
      </c>
      <c r="G931" s="38">
        <v>3658.52</v>
      </c>
      <c r="H931" s="36">
        <v>443416004</v>
      </c>
      <c r="I931" s="39">
        <v>0</v>
      </c>
      <c r="J931" s="38">
        <v>0</v>
      </c>
      <c r="K931" s="38">
        <v>0</v>
      </c>
      <c r="L931" s="38">
        <v>0</v>
      </c>
      <c r="M931" s="38">
        <v>10006.280000000001</v>
      </c>
      <c r="N931" s="46" t="s">
        <v>53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40">
        <v>45918.674502314818</v>
      </c>
      <c r="B932" s="41">
        <v>444202164</v>
      </c>
      <c r="C932" s="42" t="s">
        <v>36</v>
      </c>
      <c r="D932" s="42" t="s">
        <v>39</v>
      </c>
      <c r="E932" s="42" t="s">
        <v>46</v>
      </c>
      <c r="F932" s="42" t="s">
        <v>38</v>
      </c>
      <c r="G932" s="43">
        <v>3658.6</v>
      </c>
      <c r="H932" s="41">
        <v>443416005</v>
      </c>
      <c r="I932" s="44">
        <v>0</v>
      </c>
      <c r="J932" s="43">
        <v>0</v>
      </c>
      <c r="K932" s="43">
        <v>0</v>
      </c>
      <c r="L932" s="43">
        <v>0</v>
      </c>
      <c r="M932" s="43">
        <v>10006.280000000001</v>
      </c>
      <c r="N932" s="45" t="s">
        <v>653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35">
        <v>45918.674502314818</v>
      </c>
      <c r="B933" s="36">
        <v>444202166</v>
      </c>
      <c r="C933" s="37" t="s">
        <v>36</v>
      </c>
      <c r="D933" s="37" t="s">
        <v>39</v>
      </c>
      <c r="E933" s="37" t="s">
        <v>46</v>
      </c>
      <c r="F933" s="37" t="s">
        <v>38</v>
      </c>
      <c r="G933" s="38">
        <v>3658.59</v>
      </c>
      <c r="H933" s="36">
        <v>443416007</v>
      </c>
      <c r="I933" s="39">
        <v>0</v>
      </c>
      <c r="J933" s="38">
        <v>0</v>
      </c>
      <c r="K933" s="38">
        <v>0</v>
      </c>
      <c r="L933" s="38">
        <v>0</v>
      </c>
      <c r="M933" s="38">
        <v>10006.280000000001</v>
      </c>
      <c r="N933" s="46" t="s">
        <v>48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40">
        <v>45918.674513888887</v>
      </c>
      <c r="B934" s="41">
        <v>444202168</v>
      </c>
      <c r="C934" s="42" t="s">
        <v>36</v>
      </c>
      <c r="D934" s="42" t="s">
        <v>39</v>
      </c>
      <c r="E934" s="42" t="s">
        <v>46</v>
      </c>
      <c r="F934" s="42" t="s">
        <v>38</v>
      </c>
      <c r="G934" s="43">
        <v>3658.59</v>
      </c>
      <c r="H934" s="41">
        <v>443416009</v>
      </c>
      <c r="I934" s="44">
        <v>0</v>
      </c>
      <c r="J934" s="43">
        <v>0</v>
      </c>
      <c r="K934" s="43">
        <v>0</v>
      </c>
      <c r="L934" s="43">
        <v>0</v>
      </c>
      <c r="M934" s="43">
        <v>10006.280000000001</v>
      </c>
      <c r="N934" s="45" t="s">
        <v>647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35">
        <v>45918.674513888887</v>
      </c>
      <c r="B935" s="36">
        <v>444202170</v>
      </c>
      <c r="C935" s="37" t="s">
        <v>36</v>
      </c>
      <c r="D935" s="37" t="s">
        <v>39</v>
      </c>
      <c r="E935" s="37" t="s">
        <v>46</v>
      </c>
      <c r="F935" s="37" t="s">
        <v>38</v>
      </c>
      <c r="G935" s="38">
        <v>3658.58</v>
      </c>
      <c r="H935" s="36">
        <v>443416011</v>
      </c>
      <c r="I935" s="39">
        <v>0</v>
      </c>
      <c r="J935" s="38">
        <v>0</v>
      </c>
      <c r="K935" s="38">
        <v>0</v>
      </c>
      <c r="L935" s="38">
        <v>0</v>
      </c>
      <c r="M935" s="38">
        <v>10006.280000000001</v>
      </c>
      <c r="N935" s="46" t="s">
        <v>771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40">
        <v>45918.674513888887</v>
      </c>
      <c r="B936" s="41">
        <v>444202173</v>
      </c>
      <c r="C936" s="42" t="s">
        <v>36</v>
      </c>
      <c r="D936" s="42" t="s">
        <v>39</v>
      </c>
      <c r="E936" s="42" t="s">
        <v>46</v>
      </c>
      <c r="F936" s="42" t="s">
        <v>38</v>
      </c>
      <c r="G936" s="43">
        <v>3658.63</v>
      </c>
      <c r="H936" s="41">
        <v>443416014</v>
      </c>
      <c r="I936" s="44">
        <v>0</v>
      </c>
      <c r="J936" s="43">
        <v>0</v>
      </c>
      <c r="K936" s="43">
        <v>0</v>
      </c>
      <c r="L936" s="43">
        <v>0</v>
      </c>
      <c r="M936" s="43">
        <v>10006.280000000001</v>
      </c>
      <c r="N936" s="45" t="s">
        <v>150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35">
        <v>45918.67560185185</v>
      </c>
      <c r="B937" s="36">
        <v>444202854</v>
      </c>
      <c r="C937" s="37" t="s">
        <v>36</v>
      </c>
      <c r="D937" s="37" t="s">
        <v>37</v>
      </c>
      <c r="E937" s="37" t="s">
        <v>47</v>
      </c>
      <c r="F937" s="37" t="s">
        <v>38</v>
      </c>
      <c r="G937" s="38">
        <v>3657.01</v>
      </c>
      <c r="H937" s="36">
        <v>443416780</v>
      </c>
      <c r="I937" s="39">
        <v>0</v>
      </c>
      <c r="J937" s="38">
        <v>0</v>
      </c>
      <c r="K937" s="38">
        <v>0</v>
      </c>
      <c r="L937" s="38">
        <v>1.59</v>
      </c>
      <c r="M937" s="38">
        <v>10007.870000000001</v>
      </c>
      <c r="N937" s="46" t="s">
        <v>778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40">
        <v>45918.67560185185</v>
      </c>
      <c r="B938" s="41">
        <v>444202855</v>
      </c>
      <c r="C938" s="42" t="s">
        <v>36</v>
      </c>
      <c r="D938" s="42" t="s">
        <v>37</v>
      </c>
      <c r="E938" s="42" t="s">
        <v>47</v>
      </c>
      <c r="F938" s="42" t="s">
        <v>38</v>
      </c>
      <c r="G938" s="43">
        <v>3657.01</v>
      </c>
      <c r="H938" s="41">
        <v>443416781</v>
      </c>
      <c r="I938" s="44">
        <v>0</v>
      </c>
      <c r="J938" s="43">
        <v>0</v>
      </c>
      <c r="K938" s="43">
        <v>0</v>
      </c>
      <c r="L938" s="43">
        <v>1.58</v>
      </c>
      <c r="M938" s="43">
        <v>10009.450000000001</v>
      </c>
      <c r="N938" s="45" t="s">
        <v>778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35">
        <v>45918.67560185185</v>
      </c>
      <c r="B939" s="36">
        <v>444202856</v>
      </c>
      <c r="C939" s="37" t="s">
        <v>36</v>
      </c>
      <c r="D939" s="37" t="s">
        <v>37</v>
      </c>
      <c r="E939" s="37" t="s">
        <v>47</v>
      </c>
      <c r="F939" s="37" t="s">
        <v>38</v>
      </c>
      <c r="G939" s="38">
        <v>3657.01</v>
      </c>
      <c r="H939" s="36">
        <v>443416782</v>
      </c>
      <c r="I939" s="39">
        <v>0</v>
      </c>
      <c r="J939" s="38">
        <v>0</v>
      </c>
      <c r="K939" s="38">
        <v>0</v>
      </c>
      <c r="L939" s="38">
        <v>1.62</v>
      </c>
      <c r="M939" s="38">
        <v>10011.07</v>
      </c>
      <c r="N939" s="46" t="s">
        <v>778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40">
        <v>45918.676157407404</v>
      </c>
      <c r="B940" s="41">
        <v>444203220</v>
      </c>
      <c r="C940" s="42" t="s">
        <v>36</v>
      </c>
      <c r="D940" s="42" t="s">
        <v>37</v>
      </c>
      <c r="E940" s="42" t="s">
        <v>47</v>
      </c>
      <c r="F940" s="42" t="s">
        <v>38</v>
      </c>
      <c r="G940" s="43">
        <v>3658.08</v>
      </c>
      <c r="H940" s="41">
        <v>443417190</v>
      </c>
      <c r="I940" s="44">
        <v>0</v>
      </c>
      <c r="J940" s="43">
        <v>0</v>
      </c>
      <c r="K940" s="43">
        <v>0</v>
      </c>
      <c r="L940" s="43">
        <v>0.44</v>
      </c>
      <c r="M940" s="43">
        <v>10011.51</v>
      </c>
      <c r="N940" s="45" t="s">
        <v>779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35">
        <v>45918.676157407404</v>
      </c>
      <c r="B941" s="36">
        <v>444203221</v>
      </c>
      <c r="C941" s="37" t="s">
        <v>36</v>
      </c>
      <c r="D941" s="37" t="s">
        <v>37</v>
      </c>
      <c r="E941" s="37" t="s">
        <v>47</v>
      </c>
      <c r="F941" s="37" t="s">
        <v>38</v>
      </c>
      <c r="G941" s="38">
        <v>3658.08</v>
      </c>
      <c r="H941" s="36">
        <v>443417191</v>
      </c>
      <c r="I941" s="39">
        <v>0</v>
      </c>
      <c r="J941" s="38">
        <v>0</v>
      </c>
      <c r="K941" s="38">
        <v>0</v>
      </c>
      <c r="L941" s="38">
        <v>0.44</v>
      </c>
      <c r="M941" s="38">
        <v>10011.950000000001</v>
      </c>
      <c r="N941" s="46" t="s">
        <v>779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40">
        <v>45918.676296296297</v>
      </c>
      <c r="B942" s="41">
        <v>444203329</v>
      </c>
      <c r="C942" s="42" t="s">
        <v>36</v>
      </c>
      <c r="D942" s="42" t="s">
        <v>37</v>
      </c>
      <c r="E942" s="42" t="s">
        <v>47</v>
      </c>
      <c r="F942" s="42" t="s">
        <v>38</v>
      </c>
      <c r="G942" s="43">
        <v>3658.11</v>
      </c>
      <c r="H942" s="41">
        <v>443417314</v>
      </c>
      <c r="I942" s="44">
        <v>0</v>
      </c>
      <c r="J942" s="43">
        <v>0</v>
      </c>
      <c r="K942" s="43">
        <v>0</v>
      </c>
      <c r="L942" s="43">
        <v>0.48</v>
      </c>
      <c r="M942" s="43">
        <v>10012.43</v>
      </c>
      <c r="N942" s="45" t="s">
        <v>780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35">
        <v>45918.676296296297</v>
      </c>
      <c r="B943" s="36">
        <v>444203330</v>
      </c>
      <c r="C943" s="37" t="s">
        <v>36</v>
      </c>
      <c r="D943" s="37" t="s">
        <v>37</v>
      </c>
      <c r="E943" s="37" t="s">
        <v>47</v>
      </c>
      <c r="F943" s="37" t="s">
        <v>38</v>
      </c>
      <c r="G943" s="38">
        <v>3658.11</v>
      </c>
      <c r="H943" s="36">
        <v>443417315</v>
      </c>
      <c r="I943" s="39">
        <v>0</v>
      </c>
      <c r="J943" s="38">
        <v>0</v>
      </c>
      <c r="K943" s="38">
        <v>0</v>
      </c>
      <c r="L943" s="38">
        <v>0.47</v>
      </c>
      <c r="M943" s="38">
        <v>10012.9</v>
      </c>
      <c r="N943" s="46" t="s">
        <v>780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40">
        <v>45918.676354166666</v>
      </c>
      <c r="B944" s="41">
        <v>444203628</v>
      </c>
      <c r="C944" s="42" t="s">
        <v>36</v>
      </c>
      <c r="D944" s="42" t="s">
        <v>39</v>
      </c>
      <c r="E944" s="42" t="s">
        <v>46</v>
      </c>
      <c r="F944" s="42" t="s">
        <v>38</v>
      </c>
      <c r="G944" s="43">
        <v>3658.28</v>
      </c>
      <c r="H944" s="41">
        <v>443417617</v>
      </c>
      <c r="I944" s="44">
        <v>0</v>
      </c>
      <c r="J944" s="43">
        <v>0</v>
      </c>
      <c r="K944" s="43">
        <v>0</v>
      </c>
      <c r="L944" s="43">
        <v>0</v>
      </c>
      <c r="M944" s="43">
        <v>10012.9</v>
      </c>
      <c r="N944" s="45" t="s">
        <v>653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35">
        <v>45918.676354166666</v>
      </c>
      <c r="B945" s="36">
        <v>444203630</v>
      </c>
      <c r="C945" s="37" t="s">
        <v>36</v>
      </c>
      <c r="D945" s="37" t="s">
        <v>39</v>
      </c>
      <c r="E945" s="37" t="s">
        <v>46</v>
      </c>
      <c r="F945" s="37" t="s">
        <v>38</v>
      </c>
      <c r="G945" s="38">
        <v>3658.2</v>
      </c>
      <c r="H945" s="36">
        <v>443417619</v>
      </c>
      <c r="I945" s="39">
        <v>0</v>
      </c>
      <c r="J945" s="38">
        <v>0</v>
      </c>
      <c r="K945" s="38">
        <v>0</v>
      </c>
      <c r="L945" s="38">
        <v>0</v>
      </c>
      <c r="M945" s="38">
        <v>10012.9</v>
      </c>
      <c r="N945" s="46" t="s">
        <v>150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40">
        <v>45918.676354166666</v>
      </c>
      <c r="B946" s="41">
        <v>444203631</v>
      </c>
      <c r="C946" s="42" t="s">
        <v>36</v>
      </c>
      <c r="D946" s="42" t="s">
        <v>39</v>
      </c>
      <c r="E946" s="42" t="s">
        <v>46</v>
      </c>
      <c r="F946" s="42" t="s">
        <v>38</v>
      </c>
      <c r="G946" s="43">
        <v>3658.22</v>
      </c>
      <c r="H946" s="41">
        <v>443417620</v>
      </c>
      <c r="I946" s="44">
        <v>0</v>
      </c>
      <c r="J946" s="43">
        <v>0</v>
      </c>
      <c r="K946" s="43">
        <v>0</v>
      </c>
      <c r="L946" s="43">
        <v>0</v>
      </c>
      <c r="M946" s="43">
        <v>10012.9</v>
      </c>
      <c r="N946" s="45" t="s">
        <v>771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35">
        <v>45918.676354166666</v>
      </c>
      <c r="B947" s="36">
        <v>444203634</v>
      </c>
      <c r="C947" s="37" t="s">
        <v>36</v>
      </c>
      <c r="D947" s="37" t="s">
        <v>39</v>
      </c>
      <c r="E947" s="37" t="s">
        <v>46</v>
      </c>
      <c r="F947" s="37" t="s">
        <v>38</v>
      </c>
      <c r="G947" s="38">
        <v>3658.25</v>
      </c>
      <c r="H947" s="36">
        <v>443417624</v>
      </c>
      <c r="I947" s="39">
        <v>0</v>
      </c>
      <c r="J947" s="38">
        <v>0</v>
      </c>
      <c r="K947" s="38">
        <v>0</v>
      </c>
      <c r="L947" s="38">
        <v>0</v>
      </c>
      <c r="M947" s="38">
        <v>10012.9</v>
      </c>
      <c r="N947" s="46" t="s">
        <v>647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40">
        <v>45918.676365740743</v>
      </c>
      <c r="B948" s="41">
        <v>444203636</v>
      </c>
      <c r="C948" s="42" t="s">
        <v>36</v>
      </c>
      <c r="D948" s="42" t="s">
        <v>39</v>
      </c>
      <c r="E948" s="42" t="s">
        <v>46</v>
      </c>
      <c r="F948" s="42" t="s">
        <v>38</v>
      </c>
      <c r="G948" s="43">
        <v>3658.24</v>
      </c>
      <c r="H948" s="41">
        <v>443417626</v>
      </c>
      <c r="I948" s="44">
        <v>0</v>
      </c>
      <c r="J948" s="43">
        <v>0</v>
      </c>
      <c r="K948" s="43">
        <v>0</v>
      </c>
      <c r="L948" s="43">
        <v>0</v>
      </c>
      <c r="M948" s="43">
        <v>10012.9</v>
      </c>
      <c r="N948" s="45" t="s">
        <v>49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35">
        <v>45918.676365740743</v>
      </c>
      <c r="B949" s="36">
        <v>444203637</v>
      </c>
      <c r="C949" s="37" t="s">
        <v>36</v>
      </c>
      <c r="D949" s="37" t="s">
        <v>39</v>
      </c>
      <c r="E949" s="37" t="s">
        <v>46</v>
      </c>
      <c r="F949" s="37" t="s">
        <v>38</v>
      </c>
      <c r="G949" s="38">
        <v>3658.24</v>
      </c>
      <c r="H949" s="36">
        <v>443417628</v>
      </c>
      <c r="I949" s="39">
        <v>0</v>
      </c>
      <c r="J949" s="38">
        <v>0</v>
      </c>
      <c r="K949" s="38">
        <v>0</v>
      </c>
      <c r="L949" s="38">
        <v>0</v>
      </c>
      <c r="M949" s="38">
        <v>10012.9</v>
      </c>
      <c r="N949" s="46" t="s">
        <v>48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40">
        <v>45918.676365740743</v>
      </c>
      <c r="B950" s="41">
        <v>444203639</v>
      </c>
      <c r="C950" s="42" t="s">
        <v>36</v>
      </c>
      <c r="D950" s="42" t="s">
        <v>39</v>
      </c>
      <c r="E950" s="42" t="s">
        <v>46</v>
      </c>
      <c r="F950" s="42" t="s">
        <v>38</v>
      </c>
      <c r="G950" s="43">
        <v>3658.24</v>
      </c>
      <c r="H950" s="41">
        <v>443417630</v>
      </c>
      <c r="I950" s="44">
        <v>0</v>
      </c>
      <c r="J950" s="43">
        <v>0</v>
      </c>
      <c r="K950" s="43">
        <v>0</v>
      </c>
      <c r="L950" s="43">
        <v>0</v>
      </c>
      <c r="M950" s="43">
        <v>10012.9</v>
      </c>
      <c r="N950" s="45" t="s">
        <v>53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35">
        <v>45918.677210648151</v>
      </c>
      <c r="B951" s="36">
        <v>444205170</v>
      </c>
      <c r="C951" s="37" t="s">
        <v>36</v>
      </c>
      <c r="D951" s="37" t="s">
        <v>37</v>
      </c>
      <c r="E951" s="37" t="s">
        <v>47</v>
      </c>
      <c r="F951" s="37" t="s">
        <v>38</v>
      </c>
      <c r="G951" s="38">
        <v>3659.78</v>
      </c>
      <c r="H951" s="36">
        <v>443419219</v>
      </c>
      <c r="I951" s="39">
        <v>0</v>
      </c>
      <c r="J951" s="38">
        <v>0</v>
      </c>
      <c r="K951" s="38">
        <v>0</v>
      </c>
      <c r="L951" s="38">
        <v>-1.5</v>
      </c>
      <c r="M951" s="38">
        <v>10011.4</v>
      </c>
      <c r="N951" s="46" t="s">
        <v>781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40">
        <v>45918.67728009259</v>
      </c>
      <c r="B952" s="41">
        <v>444205345</v>
      </c>
      <c r="C952" s="42" t="s">
        <v>36</v>
      </c>
      <c r="D952" s="42" t="s">
        <v>39</v>
      </c>
      <c r="E952" s="42" t="s">
        <v>46</v>
      </c>
      <c r="F952" s="42" t="s">
        <v>38</v>
      </c>
      <c r="G952" s="43">
        <v>3659.96</v>
      </c>
      <c r="H952" s="41">
        <v>443419399</v>
      </c>
      <c r="I952" s="44">
        <v>0</v>
      </c>
      <c r="J952" s="43">
        <v>0</v>
      </c>
      <c r="K952" s="43">
        <v>0</v>
      </c>
      <c r="L952" s="43">
        <v>0</v>
      </c>
      <c r="M952" s="43">
        <v>10011.4</v>
      </c>
      <c r="N952" s="45" t="s">
        <v>268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35">
        <v>45918.67728009259</v>
      </c>
      <c r="B953" s="36">
        <v>444205348</v>
      </c>
      <c r="C953" s="37" t="s">
        <v>36</v>
      </c>
      <c r="D953" s="37" t="s">
        <v>39</v>
      </c>
      <c r="E953" s="37" t="s">
        <v>46</v>
      </c>
      <c r="F953" s="37" t="s">
        <v>38</v>
      </c>
      <c r="G953" s="38">
        <v>3659.92</v>
      </c>
      <c r="H953" s="36">
        <v>443419402</v>
      </c>
      <c r="I953" s="39">
        <v>0</v>
      </c>
      <c r="J953" s="38">
        <v>0</v>
      </c>
      <c r="K953" s="38">
        <v>0</v>
      </c>
      <c r="L953" s="38">
        <v>0</v>
      </c>
      <c r="M953" s="38">
        <v>10011.4</v>
      </c>
      <c r="N953" s="46" t="s">
        <v>395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40">
        <v>45918.678020833337</v>
      </c>
      <c r="B954" s="41">
        <v>444206193</v>
      </c>
      <c r="C954" s="42" t="s">
        <v>36</v>
      </c>
      <c r="D954" s="42" t="s">
        <v>37</v>
      </c>
      <c r="E954" s="42" t="s">
        <v>47</v>
      </c>
      <c r="F954" s="42" t="s">
        <v>38</v>
      </c>
      <c r="G954" s="43">
        <v>3660.87</v>
      </c>
      <c r="H954" s="41">
        <v>443420312</v>
      </c>
      <c r="I954" s="44">
        <v>0</v>
      </c>
      <c r="J954" s="43">
        <v>0</v>
      </c>
      <c r="K954" s="43">
        <v>0</v>
      </c>
      <c r="L954" s="43">
        <v>-2.63</v>
      </c>
      <c r="M954" s="43">
        <v>10008.77</v>
      </c>
      <c r="N954" s="45" t="s">
        <v>782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35">
        <v>45918.67900462963</v>
      </c>
      <c r="B955" s="36">
        <v>444207283</v>
      </c>
      <c r="C955" s="37" t="s">
        <v>36</v>
      </c>
      <c r="D955" s="37" t="s">
        <v>37</v>
      </c>
      <c r="E955" s="37" t="s">
        <v>47</v>
      </c>
      <c r="F955" s="37" t="s">
        <v>38</v>
      </c>
      <c r="G955" s="38">
        <v>3661.29</v>
      </c>
      <c r="H955" s="36">
        <v>443421468</v>
      </c>
      <c r="I955" s="39">
        <v>0</v>
      </c>
      <c r="J955" s="38">
        <v>0</v>
      </c>
      <c r="K955" s="38">
        <v>0</v>
      </c>
      <c r="L955" s="38">
        <v>-3.09</v>
      </c>
      <c r="M955" s="38">
        <v>10005.68</v>
      </c>
      <c r="N955" s="46" t="s">
        <v>783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40">
        <v>45918.67900462963</v>
      </c>
      <c r="B956" s="41">
        <v>444207284</v>
      </c>
      <c r="C956" s="42" t="s">
        <v>36</v>
      </c>
      <c r="D956" s="42" t="s">
        <v>37</v>
      </c>
      <c r="E956" s="42" t="s">
        <v>47</v>
      </c>
      <c r="F956" s="42" t="s">
        <v>38</v>
      </c>
      <c r="G956" s="43">
        <v>3661.29</v>
      </c>
      <c r="H956" s="41">
        <v>443421469</v>
      </c>
      <c r="I956" s="44">
        <v>0</v>
      </c>
      <c r="J956" s="43">
        <v>0</v>
      </c>
      <c r="K956" s="43">
        <v>0</v>
      </c>
      <c r="L956" s="43">
        <v>-3.07</v>
      </c>
      <c r="M956" s="43">
        <v>10002.61</v>
      </c>
      <c r="N956" s="45" t="s">
        <v>783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35">
        <v>45918.67900462963</v>
      </c>
      <c r="B957" s="36">
        <v>444207285</v>
      </c>
      <c r="C957" s="37" t="s">
        <v>36</v>
      </c>
      <c r="D957" s="37" t="s">
        <v>37</v>
      </c>
      <c r="E957" s="37" t="s">
        <v>47</v>
      </c>
      <c r="F957" s="37" t="s">
        <v>38</v>
      </c>
      <c r="G957" s="38">
        <v>3661.29</v>
      </c>
      <c r="H957" s="36">
        <v>443421470</v>
      </c>
      <c r="I957" s="39">
        <v>0</v>
      </c>
      <c r="J957" s="38">
        <v>0</v>
      </c>
      <c r="K957" s="38">
        <v>0</v>
      </c>
      <c r="L957" s="38">
        <v>-3.04</v>
      </c>
      <c r="M957" s="38">
        <v>9999.57</v>
      </c>
      <c r="N957" s="46" t="s">
        <v>783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40">
        <v>45918.67900462963</v>
      </c>
      <c r="B958" s="41">
        <v>444207287</v>
      </c>
      <c r="C958" s="42" t="s">
        <v>36</v>
      </c>
      <c r="D958" s="42" t="s">
        <v>37</v>
      </c>
      <c r="E958" s="42" t="s">
        <v>47</v>
      </c>
      <c r="F958" s="42" t="s">
        <v>38</v>
      </c>
      <c r="G958" s="43">
        <v>3661.29</v>
      </c>
      <c r="H958" s="41">
        <v>443421471</v>
      </c>
      <c r="I958" s="44">
        <v>0</v>
      </c>
      <c r="J958" s="43">
        <v>0</v>
      </c>
      <c r="K958" s="43">
        <v>0</v>
      </c>
      <c r="L958" s="43">
        <v>-3.05</v>
      </c>
      <c r="M958" s="43">
        <v>9996.52</v>
      </c>
      <c r="N958" s="45" t="s">
        <v>783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35">
        <v>45918.67900462963</v>
      </c>
      <c r="B959" s="36">
        <v>444207288</v>
      </c>
      <c r="C959" s="37" t="s">
        <v>36</v>
      </c>
      <c r="D959" s="37" t="s">
        <v>37</v>
      </c>
      <c r="E959" s="37" t="s">
        <v>47</v>
      </c>
      <c r="F959" s="37" t="s">
        <v>38</v>
      </c>
      <c r="G959" s="38">
        <v>3661.29</v>
      </c>
      <c r="H959" s="36">
        <v>443421472</v>
      </c>
      <c r="I959" s="39">
        <v>0</v>
      </c>
      <c r="J959" s="38">
        <v>0</v>
      </c>
      <c r="K959" s="38">
        <v>0</v>
      </c>
      <c r="L959" s="38">
        <v>-3.05</v>
      </c>
      <c r="M959" s="38">
        <v>9993.4699999999993</v>
      </c>
      <c r="N959" s="46" t="s">
        <v>783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40">
        <v>45918.680289351854</v>
      </c>
      <c r="B960" s="41">
        <v>444208142</v>
      </c>
      <c r="C960" s="42" t="s">
        <v>36</v>
      </c>
      <c r="D960" s="42" t="s">
        <v>39</v>
      </c>
      <c r="E960" s="42" t="s">
        <v>46</v>
      </c>
      <c r="F960" s="42" t="s">
        <v>38</v>
      </c>
      <c r="G960" s="43">
        <v>3659.49</v>
      </c>
      <c r="H960" s="41">
        <v>443422430</v>
      </c>
      <c r="I960" s="44">
        <v>0</v>
      </c>
      <c r="J960" s="43">
        <v>0</v>
      </c>
      <c r="K960" s="43">
        <v>0</v>
      </c>
      <c r="L960" s="43">
        <v>0</v>
      </c>
      <c r="M960" s="43">
        <v>9993.4699999999993</v>
      </c>
      <c r="N960" s="45" t="s">
        <v>150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35">
        <v>45918.680289351854</v>
      </c>
      <c r="B961" s="36">
        <v>444208146</v>
      </c>
      <c r="C961" s="37" t="s">
        <v>36</v>
      </c>
      <c r="D961" s="37" t="s">
        <v>39</v>
      </c>
      <c r="E961" s="37" t="s">
        <v>46</v>
      </c>
      <c r="F961" s="37" t="s">
        <v>38</v>
      </c>
      <c r="G961" s="38">
        <v>3659.49</v>
      </c>
      <c r="H961" s="36">
        <v>443422434</v>
      </c>
      <c r="I961" s="39">
        <v>0</v>
      </c>
      <c r="J961" s="38">
        <v>0</v>
      </c>
      <c r="K961" s="38">
        <v>0</v>
      </c>
      <c r="L961" s="38">
        <v>0</v>
      </c>
      <c r="M961" s="38">
        <v>9993.4699999999993</v>
      </c>
      <c r="N961" s="46" t="s">
        <v>49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40">
        <v>45918.680289351854</v>
      </c>
      <c r="B962" s="41">
        <v>444208148</v>
      </c>
      <c r="C962" s="42" t="s">
        <v>36</v>
      </c>
      <c r="D962" s="42" t="s">
        <v>39</v>
      </c>
      <c r="E962" s="42" t="s">
        <v>46</v>
      </c>
      <c r="F962" s="42" t="s">
        <v>38</v>
      </c>
      <c r="G962" s="43">
        <v>3659.51</v>
      </c>
      <c r="H962" s="41">
        <v>443422437</v>
      </c>
      <c r="I962" s="44">
        <v>0</v>
      </c>
      <c r="J962" s="43">
        <v>0</v>
      </c>
      <c r="K962" s="43">
        <v>0</v>
      </c>
      <c r="L962" s="43">
        <v>0</v>
      </c>
      <c r="M962" s="43">
        <v>9993.4699999999993</v>
      </c>
      <c r="N962" s="45" t="s">
        <v>53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35">
        <v>45918.680289351854</v>
      </c>
      <c r="B963" s="36">
        <v>444208149</v>
      </c>
      <c r="C963" s="37" t="s">
        <v>36</v>
      </c>
      <c r="D963" s="37" t="s">
        <v>39</v>
      </c>
      <c r="E963" s="37" t="s">
        <v>46</v>
      </c>
      <c r="F963" s="37" t="s">
        <v>38</v>
      </c>
      <c r="G963" s="38">
        <v>3659.51</v>
      </c>
      <c r="H963" s="36">
        <v>443422439</v>
      </c>
      <c r="I963" s="39">
        <v>0</v>
      </c>
      <c r="J963" s="38">
        <v>0</v>
      </c>
      <c r="K963" s="38">
        <v>0</v>
      </c>
      <c r="L963" s="38">
        <v>0</v>
      </c>
      <c r="M963" s="38">
        <v>9993.4699999999993</v>
      </c>
      <c r="N963" s="46" t="s">
        <v>48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40">
        <v>45918.680914351855</v>
      </c>
      <c r="B964" s="41">
        <v>444208711</v>
      </c>
      <c r="C964" s="42" t="s">
        <v>36</v>
      </c>
      <c r="D964" s="42" t="s">
        <v>37</v>
      </c>
      <c r="E964" s="42" t="s">
        <v>47</v>
      </c>
      <c r="F964" s="42" t="s">
        <v>38</v>
      </c>
      <c r="G964" s="43">
        <v>3657.91</v>
      </c>
      <c r="H964" s="41">
        <v>443423065</v>
      </c>
      <c r="I964" s="44">
        <v>0</v>
      </c>
      <c r="J964" s="43">
        <v>0</v>
      </c>
      <c r="K964" s="43">
        <v>0</v>
      </c>
      <c r="L964" s="43">
        <v>1.58</v>
      </c>
      <c r="M964" s="43">
        <v>9995.0499999999993</v>
      </c>
      <c r="N964" s="45" t="s">
        <v>784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35">
        <v>45918.682662037034</v>
      </c>
      <c r="B965" s="36">
        <v>444209941</v>
      </c>
      <c r="C965" s="37" t="s">
        <v>36</v>
      </c>
      <c r="D965" s="37" t="s">
        <v>37</v>
      </c>
      <c r="E965" s="37" t="s">
        <v>47</v>
      </c>
      <c r="F965" s="37" t="s">
        <v>38</v>
      </c>
      <c r="G965" s="38">
        <v>3656.48</v>
      </c>
      <c r="H965" s="36">
        <v>443424485</v>
      </c>
      <c r="I965" s="39">
        <v>0</v>
      </c>
      <c r="J965" s="38">
        <v>0</v>
      </c>
      <c r="K965" s="38">
        <v>0</v>
      </c>
      <c r="L965" s="38">
        <v>3.01</v>
      </c>
      <c r="M965" s="38">
        <v>9998.06</v>
      </c>
      <c r="N965" s="46" t="s">
        <v>785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40">
        <v>45918.682662037034</v>
      </c>
      <c r="B966" s="41">
        <v>444209943</v>
      </c>
      <c r="C966" s="42" t="s">
        <v>36</v>
      </c>
      <c r="D966" s="42" t="s">
        <v>37</v>
      </c>
      <c r="E966" s="42" t="s">
        <v>47</v>
      </c>
      <c r="F966" s="42" t="s">
        <v>38</v>
      </c>
      <c r="G966" s="43">
        <v>3656.48</v>
      </c>
      <c r="H966" s="41">
        <v>443424486</v>
      </c>
      <c r="I966" s="44">
        <v>0</v>
      </c>
      <c r="J966" s="43">
        <v>0</v>
      </c>
      <c r="K966" s="43">
        <v>0</v>
      </c>
      <c r="L966" s="43">
        <v>3.03</v>
      </c>
      <c r="M966" s="43">
        <v>10001.09</v>
      </c>
      <c r="N966" s="45" t="s">
        <v>785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35">
        <v>45918.682673611111</v>
      </c>
      <c r="B967" s="36">
        <v>444209947</v>
      </c>
      <c r="C967" s="37" t="s">
        <v>36</v>
      </c>
      <c r="D967" s="37" t="s">
        <v>37</v>
      </c>
      <c r="E967" s="37" t="s">
        <v>47</v>
      </c>
      <c r="F967" s="37" t="s">
        <v>38</v>
      </c>
      <c r="G967" s="38">
        <v>3656.4</v>
      </c>
      <c r="H967" s="36">
        <v>443424489</v>
      </c>
      <c r="I967" s="39">
        <v>0</v>
      </c>
      <c r="J967" s="38">
        <v>0</v>
      </c>
      <c r="K967" s="38">
        <v>0</v>
      </c>
      <c r="L967" s="38">
        <v>3.56</v>
      </c>
      <c r="M967" s="38">
        <v>10004.65</v>
      </c>
      <c r="N967" s="46" t="s">
        <v>786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40">
        <v>45918.682673611111</v>
      </c>
      <c r="B968" s="41">
        <v>444209948</v>
      </c>
      <c r="C968" s="42" t="s">
        <v>36</v>
      </c>
      <c r="D968" s="42" t="s">
        <v>37</v>
      </c>
      <c r="E968" s="42" t="s">
        <v>47</v>
      </c>
      <c r="F968" s="42" t="s">
        <v>38</v>
      </c>
      <c r="G968" s="43">
        <v>3656.4</v>
      </c>
      <c r="H968" s="41">
        <v>443424491</v>
      </c>
      <c r="I968" s="44">
        <v>0</v>
      </c>
      <c r="J968" s="43">
        <v>0</v>
      </c>
      <c r="K968" s="43">
        <v>0</v>
      </c>
      <c r="L968" s="43">
        <v>3.52</v>
      </c>
      <c r="M968" s="43">
        <v>10008.17</v>
      </c>
      <c r="N968" s="45" t="s">
        <v>787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35">
        <v>45918.682685185187</v>
      </c>
      <c r="B969" s="36">
        <v>444209993</v>
      </c>
      <c r="C969" s="37" t="s">
        <v>36</v>
      </c>
      <c r="D969" s="37" t="s">
        <v>37</v>
      </c>
      <c r="E969" s="37" t="s">
        <v>47</v>
      </c>
      <c r="F969" s="37" t="s">
        <v>38</v>
      </c>
      <c r="G969" s="38">
        <v>3655.99</v>
      </c>
      <c r="H969" s="36">
        <v>443424538</v>
      </c>
      <c r="I969" s="39">
        <v>0</v>
      </c>
      <c r="J969" s="38">
        <v>0</v>
      </c>
      <c r="K969" s="38">
        <v>0</v>
      </c>
      <c r="L969" s="38">
        <v>3.52</v>
      </c>
      <c r="M969" s="38">
        <v>10011.69</v>
      </c>
      <c r="N969" s="46" t="s">
        <v>788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40">
        <v>45918.699733796297</v>
      </c>
      <c r="B970" s="41">
        <v>444245630</v>
      </c>
      <c r="C970" s="42" t="s">
        <v>36</v>
      </c>
      <c r="D970" s="42" t="s">
        <v>39</v>
      </c>
      <c r="E970" s="42" t="s">
        <v>46</v>
      </c>
      <c r="F970" s="42" t="s">
        <v>38</v>
      </c>
      <c r="G970" s="43">
        <v>3635.2</v>
      </c>
      <c r="H970" s="41">
        <v>443461444</v>
      </c>
      <c r="I970" s="44">
        <v>0</v>
      </c>
      <c r="J970" s="43">
        <v>0</v>
      </c>
      <c r="K970" s="43">
        <v>0</v>
      </c>
      <c r="L970" s="43">
        <v>0</v>
      </c>
      <c r="M970" s="43">
        <v>10011.69</v>
      </c>
      <c r="N970" s="45" t="s">
        <v>647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35">
        <v>45918.699733796297</v>
      </c>
      <c r="B971" s="36">
        <v>444245636</v>
      </c>
      <c r="C971" s="37" t="s">
        <v>36</v>
      </c>
      <c r="D971" s="37" t="s">
        <v>39</v>
      </c>
      <c r="E971" s="37" t="s">
        <v>46</v>
      </c>
      <c r="F971" s="37" t="s">
        <v>38</v>
      </c>
      <c r="G971" s="38">
        <v>3634.93</v>
      </c>
      <c r="H971" s="36">
        <v>443461450</v>
      </c>
      <c r="I971" s="39">
        <v>0</v>
      </c>
      <c r="J971" s="38">
        <v>0</v>
      </c>
      <c r="K971" s="38">
        <v>0</v>
      </c>
      <c r="L971" s="38">
        <v>0</v>
      </c>
      <c r="M971" s="38">
        <v>10011.69</v>
      </c>
      <c r="N971" s="46" t="s">
        <v>150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40">
        <v>45918.699733796297</v>
      </c>
      <c r="B972" s="41">
        <v>444245643</v>
      </c>
      <c r="C972" s="42" t="s">
        <v>36</v>
      </c>
      <c r="D972" s="42" t="s">
        <v>39</v>
      </c>
      <c r="E972" s="42" t="s">
        <v>46</v>
      </c>
      <c r="F972" s="42" t="s">
        <v>38</v>
      </c>
      <c r="G972" s="43">
        <v>3634.92</v>
      </c>
      <c r="H972" s="41">
        <v>443461457</v>
      </c>
      <c r="I972" s="44">
        <v>0</v>
      </c>
      <c r="J972" s="43">
        <v>0</v>
      </c>
      <c r="K972" s="43">
        <v>0</v>
      </c>
      <c r="L972" s="43">
        <v>0</v>
      </c>
      <c r="M972" s="43">
        <v>10011.69</v>
      </c>
      <c r="N972" s="45" t="s">
        <v>653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35">
        <v>45918.699733796297</v>
      </c>
      <c r="B973" s="36">
        <v>444245652</v>
      </c>
      <c r="C973" s="37" t="s">
        <v>36</v>
      </c>
      <c r="D973" s="37" t="s">
        <v>39</v>
      </c>
      <c r="E973" s="37" t="s">
        <v>46</v>
      </c>
      <c r="F973" s="37" t="s">
        <v>38</v>
      </c>
      <c r="G973" s="38">
        <v>3634.89</v>
      </c>
      <c r="H973" s="36">
        <v>443461467</v>
      </c>
      <c r="I973" s="39">
        <v>0</v>
      </c>
      <c r="J973" s="38">
        <v>0</v>
      </c>
      <c r="K973" s="38">
        <v>0</v>
      </c>
      <c r="L973" s="38">
        <v>0</v>
      </c>
      <c r="M973" s="38">
        <v>10011.69</v>
      </c>
      <c r="N973" s="46" t="s">
        <v>771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40">
        <v>45918.699745370373</v>
      </c>
      <c r="B974" s="41">
        <v>444245659</v>
      </c>
      <c r="C974" s="42" t="s">
        <v>36</v>
      </c>
      <c r="D974" s="42" t="s">
        <v>39</v>
      </c>
      <c r="E974" s="42" t="s">
        <v>46</v>
      </c>
      <c r="F974" s="42" t="s">
        <v>38</v>
      </c>
      <c r="G974" s="43">
        <v>3634.82</v>
      </c>
      <c r="H974" s="41">
        <v>443461475</v>
      </c>
      <c r="I974" s="44">
        <v>0</v>
      </c>
      <c r="J974" s="43">
        <v>0</v>
      </c>
      <c r="K974" s="43">
        <v>0</v>
      </c>
      <c r="L974" s="43">
        <v>0</v>
      </c>
      <c r="M974" s="43">
        <v>10011.69</v>
      </c>
      <c r="N974" s="45" t="s">
        <v>48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35">
        <v>45918.699745370373</v>
      </c>
      <c r="B975" s="36">
        <v>444245662</v>
      </c>
      <c r="C975" s="37" t="s">
        <v>36</v>
      </c>
      <c r="D975" s="37" t="s">
        <v>39</v>
      </c>
      <c r="E975" s="37" t="s">
        <v>46</v>
      </c>
      <c r="F975" s="37" t="s">
        <v>38</v>
      </c>
      <c r="G975" s="38">
        <v>3634.76</v>
      </c>
      <c r="H975" s="36">
        <v>443461478</v>
      </c>
      <c r="I975" s="39">
        <v>0</v>
      </c>
      <c r="J975" s="38">
        <v>0</v>
      </c>
      <c r="K975" s="38">
        <v>0</v>
      </c>
      <c r="L975" s="38">
        <v>0</v>
      </c>
      <c r="M975" s="38">
        <v>10011.69</v>
      </c>
      <c r="N975" s="46" t="s">
        <v>49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40">
        <v>45918.699745370373</v>
      </c>
      <c r="B976" s="41">
        <v>444245668</v>
      </c>
      <c r="C976" s="42" t="s">
        <v>36</v>
      </c>
      <c r="D976" s="42" t="s">
        <v>39</v>
      </c>
      <c r="E976" s="42" t="s">
        <v>46</v>
      </c>
      <c r="F976" s="42" t="s">
        <v>38</v>
      </c>
      <c r="G976" s="43">
        <v>3634.72</v>
      </c>
      <c r="H976" s="41">
        <v>443461483</v>
      </c>
      <c r="I976" s="44">
        <v>0</v>
      </c>
      <c r="J976" s="43">
        <v>0</v>
      </c>
      <c r="K976" s="43">
        <v>0</v>
      </c>
      <c r="L976" s="43">
        <v>0</v>
      </c>
      <c r="M976" s="43">
        <v>10011.69</v>
      </c>
      <c r="N976" s="45" t="s">
        <v>53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35">
        <v>45918.699780092589</v>
      </c>
      <c r="B977" s="36">
        <v>444245725</v>
      </c>
      <c r="C977" s="37" t="s">
        <v>36</v>
      </c>
      <c r="D977" s="37" t="s">
        <v>37</v>
      </c>
      <c r="E977" s="37" t="s">
        <v>47</v>
      </c>
      <c r="F977" s="37" t="s">
        <v>38</v>
      </c>
      <c r="G977" s="38">
        <v>3633.63</v>
      </c>
      <c r="H977" s="36">
        <v>443461545</v>
      </c>
      <c r="I977" s="39">
        <v>0</v>
      </c>
      <c r="J977" s="38">
        <v>0</v>
      </c>
      <c r="K977" s="38">
        <v>0</v>
      </c>
      <c r="L977" s="38">
        <v>1.57</v>
      </c>
      <c r="M977" s="38">
        <v>10013.26</v>
      </c>
      <c r="N977" s="46" t="s">
        <v>789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40">
        <v>45918.699780092589</v>
      </c>
      <c r="B978" s="41">
        <v>444245726</v>
      </c>
      <c r="C978" s="42" t="s">
        <v>36</v>
      </c>
      <c r="D978" s="42" t="s">
        <v>37</v>
      </c>
      <c r="E978" s="42" t="s">
        <v>47</v>
      </c>
      <c r="F978" s="42" t="s">
        <v>38</v>
      </c>
      <c r="G978" s="43">
        <v>3633.63</v>
      </c>
      <c r="H978" s="41">
        <v>443461546</v>
      </c>
      <c r="I978" s="44">
        <v>0</v>
      </c>
      <c r="J978" s="43">
        <v>0</v>
      </c>
      <c r="K978" s="43">
        <v>0</v>
      </c>
      <c r="L978" s="43">
        <v>1.3</v>
      </c>
      <c r="M978" s="43">
        <v>10014.56</v>
      </c>
      <c r="N978" s="45" t="s">
        <v>790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35">
        <v>45918.699780092589</v>
      </c>
      <c r="B979" s="36">
        <v>444245727</v>
      </c>
      <c r="C979" s="37" t="s">
        <v>36</v>
      </c>
      <c r="D979" s="37" t="s">
        <v>37</v>
      </c>
      <c r="E979" s="37" t="s">
        <v>47</v>
      </c>
      <c r="F979" s="37" t="s">
        <v>38</v>
      </c>
      <c r="G979" s="38">
        <v>3633.63</v>
      </c>
      <c r="H979" s="36">
        <v>443461547</v>
      </c>
      <c r="I979" s="39">
        <v>0</v>
      </c>
      <c r="J979" s="38">
        <v>0</v>
      </c>
      <c r="K979" s="38">
        <v>0</v>
      </c>
      <c r="L979" s="38">
        <v>1.29</v>
      </c>
      <c r="M979" s="38">
        <v>10015.85</v>
      </c>
      <c r="N979" s="46" t="s">
        <v>790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40">
        <v>45918.700023148151</v>
      </c>
      <c r="B980" s="41">
        <v>444246300</v>
      </c>
      <c r="C980" s="42" t="s">
        <v>36</v>
      </c>
      <c r="D980" s="42" t="s">
        <v>37</v>
      </c>
      <c r="E980" s="42" t="s">
        <v>47</v>
      </c>
      <c r="F980" s="42" t="s">
        <v>38</v>
      </c>
      <c r="G980" s="43">
        <v>3635.26</v>
      </c>
      <c r="H980" s="41">
        <v>443462147</v>
      </c>
      <c r="I980" s="44">
        <v>0</v>
      </c>
      <c r="J980" s="43">
        <v>0</v>
      </c>
      <c r="K980" s="43">
        <v>0</v>
      </c>
      <c r="L980" s="43">
        <v>-0.37</v>
      </c>
      <c r="M980" s="43">
        <v>10015.48</v>
      </c>
      <c r="N980" s="45" t="s">
        <v>791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35">
        <v>45918.700023148151</v>
      </c>
      <c r="B981" s="36">
        <v>444246301</v>
      </c>
      <c r="C981" s="37" t="s">
        <v>36</v>
      </c>
      <c r="D981" s="37" t="s">
        <v>37</v>
      </c>
      <c r="E981" s="37" t="s">
        <v>47</v>
      </c>
      <c r="F981" s="37" t="s">
        <v>38</v>
      </c>
      <c r="G981" s="38">
        <v>3635.26</v>
      </c>
      <c r="H981" s="36">
        <v>443462148</v>
      </c>
      <c r="I981" s="39">
        <v>0</v>
      </c>
      <c r="J981" s="38">
        <v>0</v>
      </c>
      <c r="K981" s="38">
        <v>0</v>
      </c>
      <c r="L981" s="38">
        <v>-0.44</v>
      </c>
      <c r="M981" s="38">
        <v>10015.040000000001</v>
      </c>
      <c r="N981" s="46" t="s">
        <v>791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40">
        <v>45918.700196759259</v>
      </c>
      <c r="B982" s="41">
        <v>444246578</v>
      </c>
      <c r="C982" s="42" t="s">
        <v>36</v>
      </c>
      <c r="D982" s="42" t="s">
        <v>39</v>
      </c>
      <c r="E982" s="42" t="s">
        <v>46</v>
      </c>
      <c r="F982" s="42" t="s">
        <v>38</v>
      </c>
      <c r="G982" s="43">
        <v>3635.28</v>
      </c>
      <c r="H982" s="41">
        <v>443462449</v>
      </c>
      <c r="I982" s="44">
        <v>0</v>
      </c>
      <c r="J982" s="43">
        <v>0</v>
      </c>
      <c r="K982" s="43">
        <v>0</v>
      </c>
      <c r="L982" s="43">
        <v>0</v>
      </c>
      <c r="M982" s="43">
        <v>10015.040000000001</v>
      </c>
      <c r="N982" s="45" t="s">
        <v>653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35">
        <v>45918.700196759259</v>
      </c>
      <c r="B983" s="36">
        <v>444246589</v>
      </c>
      <c r="C983" s="37" t="s">
        <v>36</v>
      </c>
      <c r="D983" s="37" t="s">
        <v>39</v>
      </c>
      <c r="E983" s="37" t="s">
        <v>46</v>
      </c>
      <c r="F983" s="37" t="s">
        <v>38</v>
      </c>
      <c r="G983" s="38">
        <v>3635.37</v>
      </c>
      <c r="H983" s="36">
        <v>443462459</v>
      </c>
      <c r="I983" s="39">
        <v>0</v>
      </c>
      <c r="J983" s="38">
        <v>0</v>
      </c>
      <c r="K983" s="38">
        <v>0</v>
      </c>
      <c r="L983" s="38">
        <v>0</v>
      </c>
      <c r="M983" s="38">
        <v>10015.040000000001</v>
      </c>
      <c r="N983" s="46" t="s">
        <v>771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40">
        <v>45918.700196759259</v>
      </c>
      <c r="B984" s="41">
        <v>444246593</v>
      </c>
      <c r="C984" s="42" t="s">
        <v>36</v>
      </c>
      <c r="D984" s="42" t="s">
        <v>39</v>
      </c>
      <c r="E984" s="42" t="s">
        <v>46</v>
      </c>
      <c r="F984" s="42" t="s">
        <v>38</v>
      </c>
      <c r="G984" s="43">
        <v>3635.36</v>
      </c>
      <c r="H984" s="41">
        <v>443462463</v>
      </c>
      <c r="I984" s="44">
        <v>0</v>
      </c>
      <c r="J984" s="43">
        <v>0</v>
      </c>
      <c r="K984" s="43">
        <v>0</v>
      </c>
      <c r="L984" s="43">
        <v>0</v>
      </c>
      <c r="M984" s="43">
        <v>10015.040000000001</v>
      </c>
      <c r="N984" s="45" t="s">
        <v>647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35">
        <v>45918.700196759259</v>
      </c>
      <c r="B985" s="36">
        <v>444246600</v>
      </c>
      <c r="C985" s="37" t="s">
        <v>36</v>
      </c>
      <c r="D985" s="37" t="s">
        <v>39</v>
      </c>
      <c r="E985" s="37" t="s">
        <v>46</v>
      </c>
      <c r="F985" s="37" t="s">
        <v>38</v>
      </c>
      <c r="G985" s="38">
        <v>3635.47</v>
      </c>
      <c r="H985" s="36">
        <v>443462470</v>
      </c>
      <c r="I985" s="39">
        <v>0</v>
      </c>
      <c r="J985" s="38">
        <v>0</v>
      </c>
      <c r="K985" s="38">
        <v>0</v>
      </c>
      <c r="L985" s="38">
        <v>0</v>
      </c>
      <c r="M985" s="38">
        <v>10015.040000000001</v>
      </c>
      <c r="N985" s="46" t="s">
        <v>150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40">
        <v>45918.700208333335</v>
      </c>
      <c r="B986" s="41">
        <v>444246607</v>
      </c>
      <c r="C986" s="42" t="s">
        <v>36</v>
      </c>
      <c r="D986" s="42" t="s">
        <v>39</v>
      </c>
      <c r="E986" s="42" t="s">
        <v>46</v>
      </c>
      <c r="F986" s="42" t="s">
        <v>38</v>
      </c>
      <c r="G986" s="43">
        <v>3635.49</v>
      </c>
      <c r="H986" s="41">
        <v>443462479</v>
      </c>
      <c r="I986" s="44">
        <v>0</v>
      </c>
      <c r="J986" s="43">
        <v>0</v>
      </c>
      <c r="K986" s="43">
        <v>0</v>
      </c>
      <c r="L986" s="43">
        <v>0</v>
      </c>
      <c r="M986" s="43">
        <v>10015.040000000001</v>
      </c>
      <c r="N986" s="45" t="s">
        <v>48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35">
        <v>45918.700601851851</v>
      </c>
      <c r="B987" s="36">
        <v>444247320</v>
      </c>
      <c r="C987" s="37" t="s">
        <v>36</v>
      </c>
      <c r="D987" s="37" t="s">
        <v>37</v>
      </c>
      <c r="E987" s="37" t="s">
        <v>47</v>
      </c>
      <c r="F987" s="37" t="s">
        <v>38</v>
      </c>
      <c r="G987" s="38">
        <v>3636.8</v>
      </c>
      <c r="H987" s="36">
        <v>443463236</v>
      </c>
      <c r="I987" s="39">
        <v>0</v>
      </c>
      <c r="J987" s="38">
        <v>0</v>
      </c>
      <c r="K987" s="38">
        <v>0</v>
      </c>
      <c r="L987" s="38">
        <v>-1.52</v>
      </c>
      <c r="M987" s="38">
        <v>10013.52</v>
      </c>
      <c r="N987" s="46" t="s">
        <v>792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40">
        <v>45918.701469907406</v>
      </c>
      <c r="B988" s="41">
        <v>444248463</v>
      </c>
      <c r="C988" s="42" t="s">
        <v>36</v>
      </c>
      <c r="D988" s="42" t="s">
        <v>39</v>
      </c>
      <c r="E988" s="42" t="s">
        <v>46</v>
      </c>
      <c r="F988" s="42" t="s">
        <v>38</v>
      </c>
      <c r="G988" s="43">
        <v>3636.03</v>
      </c>
      <c r="H988" s="41">
        <v>443464484</v>
      </c>
      <c r="I988" s="44">
        <v>0</v>
      </c>
      <c r="J988" s="43">
        <v>0</v>
      </c>
      <c r="K988" s="43">
        <v>0</v>
      </c>
      <c r="L988" s="43">
        <v>0</v>
      </c>
      <c r="M988" s="43">
        <v>10013.52</v>
      </c>
      <c r="N988" s="45" t="s">
        <v>793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35">
        <v>45918.701608796298</v>
      </c>
      <c r="B989" s="36">
        <v>444248740</v>
      </c>
      <c r="C989" s="37" t="s">
        <v>36</v>
      </c>
      <c r="D989" s="37" t="s">
        <v>37</v>
      </c>
      <c r="E989" s="37" t="s">
        <v>47</v>
      </c>
      <c r="F989" s="37" t="s">
        <v>38</v>
      </c>
      <c r="G989" s="38">
        <v>3637.74</v>
      </c>
      <c r="H989" s="36">
        <v>443464780</v>
      </c>
      <c r="I989" s="39">
        <v>0</v>
      </c>
      <c r="J989" s="38">
        <v>0</v>
      </c>
      <c r="K989" s="38">
        <v>0</v>
      </c>
      <c r="L989" s="38">
        <v>-2.98</v>
      </c>
      <c r="M989" s="38">
        <v>10010.540000000001</v>
      </c>
      <c r="N989" s="46" t="s">
        <v>794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40">
        <v>45918.701643518521</v>
      </c>
      <c r="B990" s="41">
        <v>444248776</v>
      </c>
      <c r="C990" s="42" t="s">
        <v>36</v>
      </c>
      <c r="D990" s="42" t="s">
        <v>37</v>
      </c>
      <c r="E990" s="42" t="s">
        <v>47</v>
      </c>
      <c r="F990" s="42" t="s">
        <v>38</v>
      </c>
      <c r="G990" s="43">
        <v>3638.2</v>
      </c>
      <c r="H990" s="41">
        <v>443464817</v>
      </c>
      <c r="I990" s="44">
        <v>0</v>
      </c>
      <c r="J990" s="43">
        <v>0</v>
      </c>
      <c r="K990" s="43">
        <v>0</v>
      </c>
      <c r="L990" s="43">
        <v>-3.48</v>
      </c>
      <c r="M990" s="43">
        <v>10007.06</v>
      </c>
      <c r="N990" s="45" t="s">
        <v>795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35">
        <v>45918.701643518521</v>
      </c>
      <c r="B991" s="36">
        <v>444248782</v>
      </c>
      <c r="C991" s="37" t="s">
        <v>36</v>
      </c>
      <c r="D991" s="37" t="s">
        <v>37</v>
      </c>
      <c r="E991" s="37" t="s">
        <v>47</v>
      </c>
      <c r="F991" s="37" t="s">
        <v>38</v>
      </c>
      <c r="G991" s="38">
        <v>3638.36</v>
      </c>
      <c r="H991" s="36">
        <v>443464823</v>
      </c>
      <c r="I991" s="39">
        <v>0</v>
      </c>
      <c r="J991" s="38">
        <v>0</v>
      </c>
      <c r="K991" s="38">
        <v>0</v>
      </c>
      <c r="L991" s="38">
        <v>-2.99</v>
      </c>
      <c r="M991" s="38">
        <v>10004.07</v>
      </c>
      <c r="N991" s="46" t="s">
        <v>796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40">
        <v>45918.701643518521</v>
      </c>
      <c r="B992" s="41">
        <v>444248784</v>
      </c>
      <c r="C992" s="42" t="s">
        <v>36</v>
      </c>
      <c r="D992" s="42" t="s">
        <v>37</v>
      </c>
      <c r="E992" s="42" t="s">
        <v>47</v>
      </c>
      <c r="F992" s="42" t="s">
        <v>38</v>
      </c>
      <c r="G992" s="43">
        <v>3638.36</v>
      </c>
      <c r="H992" s="41">
        <v>443464824</v>
      </c>
      <c r="I992" s="44">
        <v>0</v>
      </c>
      <c r="J992" s="43">
        <v>0</v>
      </c>
      <c r="K992" s="43">
        <v>0</v>
      </c>
      <c r="L992" s="43">
        <v>-3</v>
      </c>
      <c r="M992" s="43">
        <v>10001.07</v>
      </c>
      <c r="N992" s="45" t="s">
        <v>796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35">
        <v>45918.701643518521</v>
      </c>
      <c r="B993" s="36">
        <v>444248785</v>
      </c>
      <c r="C993" s="37" t="s">
        <v>36</v>
      </c>
      <c r="D993" s="37" t="s">
        <v>37</v>
      </c>
      <c r="E993" s="37" t="s">
        <v>47</v>
      </c>
      <c r="F993" s="37" t="s">
        <v>38</v>
      </c>
      <c r="G993" s="38">
        <v>3638.36</v>
      </c>
      <c r="H993" s="36">
        <v>443464825</v>
      </c>
      <c r="I993" s="39">
        <v>0</v>
      </c>
      <c r="J993" s="38">
        <v>0</v>
      </c>
      <c r="K993" s="38">
        <v>0</v>
      </c>
      <c r="L993" s="38">
        <v>-2.89</v>
      </c>
      <c r="M993" s="38">
        <v>9998.18</v>
      </c>
      <c r="N993" s="46" t="s">
        <v>796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40">
        <v>45918.701643518521</v>
      </c>
      <c r="B994" s="41">
        <v>444248786</v>
      </c>
      <c r="C994" s="42" t="s">
        <v>36</v>
      </c>
      <c r="D994" s="42" t="s">
        <v>37</v>
      </c>
      <c r="E994" s="42" t="s">
        <v>47</v>
      </c>
      <c r="F994" s="42" t="s">
        <v>38</v>
      </c>
      <c r="G994" s="43">
        <v>3638.36</v>
      </c>
      <c r="H994" s="41">
        <v>443464826</v>
      </c>
      <c r="I994" s="44">
        <v>0</v>
      </c>
      <c r="J994" s="43">
        <v>0</v>
      </c>
      <c r="K994" s="43">
        <v>0</v>
      </c>
      <c r="L994" s="43">
        <v>-2.87</v>
      </c>
      <c r="M994" s="43">
        <v>9995.31</v>
      </c>
      <c r="N994" s="45" t="s">
        <v>796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35">
        <v>45918.701701388891</v>
      </c>
      <c r="B995" s="36">
        <v>444248896</v>
      </c>
      <c r="C995" s="37" t="s">
        <v>36</v>
      </c>
      <c r="D995" s="37" t="s">
        <v>37</v>
      </c>
      <c r="E995" s="37" t="s">
        <v>47</v>
      </c>
      <c r="F995" s="37" t="s">
        <v>38</v>
      </c>
      <c r="G995" s="38">
        <v>3639.05</v>
      </c>
      <c r="H995" s="36">
        <v>443464947</v>
      </c>
      <c r="I995" s="39">
        <v>0</v>
      </c>
      <c r="J995" s="38">
        <v>0</v>
      </c>
      <c r="K995" s="38">
        <v>0</v>
      </c>
      <c r="L995" s="38">
        <v>-3.02</v>
      </c>
      <c r="M995" s="38">
        <v>9992.2900000000009</v>
      </c>
      <c r="N995" s="46" t="s">
        <v>797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40">
        <v>45918.702048611114</v>
      </c>
      <c r="B996" s="41">
        <v>444249750</v>
      </c>
      <c r="C996" s="42" t="s">
        <v>36</v>
      </c>
      <c r="D996" s="42" t="s">
        <v>39</v>
      </c>
      <c r="E996" s="42" t="s">
        <v>46</v>
      </c>
      <c r="F996" s="42" t="s">
        <v>38</v>
      </c>
      <c r="G996" s="43">
        <v>3638.13</v>
      </c>
      <c r="H996" s="41">
        <v>443465832</v>
      </c>
      <c r="I996" s="44">
        <v>0</v>
      </c>
      <c r="J996" s="43">
        <v>0</v>
      </c>
      <c r="K996" s="43">
        <v>0</v>
      </c>
      <c r="L996" s="43">
        <v>0</v>
      </c>
      <c r="M996" s="43">
        <v>9992.2900000000009</v>
      </c>
      <c r="N996" s="45" t="s">
        <v>268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35">
        <v>45918.702048611114</v>
      </c>
      <c r="B997" s="36">
        <v>444249751</v>
      </c>
      <c r="C997" s="37" t="s">
        <v>36</v>
      </c>
      <c r="D997" s="37" t="s">
        <v>39</v>
      </c>
      <c r="E997" s="37" t="s">
        <v>46</v>
      </c>
      <c r="F997" s="37" t="s">
        <v>38</v>
      </c>
      <c r="G997" s="38">
        <v>3638.27</v>
      </c>
      <c r="H997" s="36">
        <v>443465833</v>
      </c>
      <c r="I997" s="39">
        <v>0</v>
      </c>
      <c r="J997" s="38">
        <v>0</v>
      </c>
      <c r="K997" s="38">
        <v>0</v>
      </c>
      <c r="L997" s="38">
        <v>0</v>
      </c>
      <c r="M997" s="38">
        <v>9992.2900000000009</v>
      </c>
      <c r="N997" s="46" t="s">
        <v>616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40">
        <v>45918.703009259261</v>
      </c>
      <c r="B998" s="41">
        <v>444251390</v>
      </c>
      <c r="C998" s="42" t="s">
        <v>36</v>
      </c>
      <c r="D998" s="42" t="s">
        <v>37</v>
      </c>
      <c r="E998" s="42" t="s">
        <v>47</v>
      </c>
      <c r="F998" s="42" t="s">
        <v>38</v>
      </c>
      <c r="G998" s="43">
        <v>3641.17</v>
      </c>
      <c r="H998" s="41">
        <v>443467607</v>
      </c>
      <c r="I998" s="44">
        <v>0</v>
      </c>
      <c r="J998" s="43">
        <v>0</v>
      </c>
      <c r="K998" s="43">
        <v>0</v>
      </c>
      <c r="L998" s="43">
        <v>-3.04</v>
      </c>
      <c r="M998" s="43">
        <v>9989.25</v>
      </c>
      <c r="N998" s="45" t="s">
        <v>798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35">
        <v>45918.703009259261</v>
      </c>
      <c r="B999" s="36">
        <v>444251392</v>
      </c>
      <c r="C999" s="37" t="s">
        <v>36</v>
      </c>
      <c r="D999" s="37" t="s">
        <v>37</v>
      </c>
      <c r="E999" s="37" t="s">
        <v>47</v>
      </c>
      <c r="F999" s="37" t="s">
        <v>38</v>
      </c>
      <c r="G999" s="38">
        <v>3641.17</v>
      </c>
      <c r="H999" s="36">
        <v>443467609</v>
      </c>
      <c r="I999" s="39">
        <v>0</v>
      </c>
      <c r="J999" s="38">
        <v>0</v>
      </c>
      <c r="K999" s="38">
        <v>0</v>
      </c>
      <c r="L999" s="38">
        <v>-2.9</v>
      </c>
      <c r="M999" s="38">
        <v>9986.35</v>
      </c>
      <c r="N999" s="46" t="s">
        <v>799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40">
        <v>45918.704016203701</v>
      </c>
      <c r="B1000" s="41">
        <v>444252695</v>
      </c>
      <c r="C1000" s="42" t="s">
        <v>36</v>
      </c>
      <c r="D1000" s="42" t="s">
        <v>37</v>
      </c>
      <c r="E1000" s="42" t="s">
        <v>46</v>
      </c>
      <c r="F1000" s="42" t="s">
        <v>38</v>
      </c>
      <c r="G1000" s="43">
        <v>3639.73</v>
      </c>
      <c r="H1000" s="41">
        <v>443469036</v>
      </c>
      <c r="I1000" s="44">
        <v>0</v>
      </c>
      <c r="J1000" s="43">
        <v>0</v>
      </c>
      <c r="K1000" s="43">
        <v>0</v>
      </c>
      <c r="L1000" s="43">
        <v>0</v>
      </c>
      <c r="M1000" s="43">
        <v>9986.35</v>
      </c>
      <c r="N1000" s="45" t="s">
        <v>793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35">
        <v>45918.704328703701</v>
      </c>
      <c r="B1001" s="36">
        <v>444253248</v>
      </c>
      <c r="C1001" s="37" t="s">
        <v>36</v>
      </c>
      <c r="D1001" s="37" t="s">
        <v>39</v>
      </c>
      <c r="E1001" s="37" t="s">
        <v>47</v>
      </c>
      <c r="F1001" s="37" t="s">
        <v>38</v>
      </c>
      <c r="G1001" s="38">
        <v>3637.05</v>
      </c>
      <c r="H1001" s="36">
        <v>443469638</v>
      </c>
      <c r="I1001" s="39">
        <v>0</v>
      </c>
      <c r="J1001" s="38">
        <v>0</v>
      </c>
      <c r="K1001" s="38">
        <v>0</v>
      </c>
      <c r="L1001" s="38">
        <v>-2.68</v>
      </c>
      <c r="M1001" s="38">
        <v>9983.67</v>
      </c>
      <c r="N1001" s="46" t="s">
        <v>800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40">
        <v>45918.705983796295</v>
      </c>
      <c r="B1002" s="41">
        <v>444255506</v>
      </c>
      <c r="C1002" s="42" t="s">
        <v>36</v>
      </c>
      <c r="D1002" s="42" t="s">
        <v>39</v>
      </c>
      <c r="E1002" s="42" t="s">
        <v>46</v>
      </c>
      <c r="F1002" s="42" t="s">
        <v>38</v>
      </c>
      <c r="G1002" s="43">
        <v>3638.22</v>
      </c>
      <c r="H1002" s="41">
        <v>443472079</v>
      </c>
      <c r="I1002" s="44">
        <v>0</v>
      </c>
      <c r="J1002" s="43">
        <v>0</v>
      </c>
      <c r="K1002" s="43">
        <v>0</v>
      </c>
      <c r="L1002" s="43">
        <v>0</v>
      </c>
      <c r="M1002" s="43">
        <v>9983.67</v>
      </c>
      <c r="N1002" s="45" t="s">
        <v>268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35">
        <v>45918.705983796295</v>
      </c>
      <c r="B1003" s="36">
        <v>444255509</v>
      </c>
      <c r="C1003" s="37" t="s">
        <v>36</v>
      </c>
      <c r="D1003" s="37" t="s">
        <v>39</v>
      </c>
      <c r="E1003" s="37" t="s">
        <v>46</v>
      </c>
      <c r="F1003" s="37" t="s">
        <v>38</v>
      </c>
      <c r="G1003" s="38">
        <v>3638.16</v>
      </c>
      <c r="H1003" s="36">
        <v>443472082</v>
      </c>
      <c r="I1003" s="39">
        <v>0</v>
      </c>
      <c r="J1003" s="38">
        <v>0</v>
      </c>
      <c r="K1003" s="38">
        <v>0</v>
      </c>
      <c r="L1003" s="38">
        <v>0</v>
      </c>
      <c r="M1003" s="38">
        <v>9983.67</v>
      </c>
      <c r="N1003" s="46" t="s">
        <v>616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40">
        <v>45918.707245370373</v>
      </c>
      <c r="B1004" s="41">
        <v>444257803</v>
      </c>
      <c r="C1004" s="42" t="s">
        <v>36</v>
      </c>
      <c r="D1004" s="42" t="s">
        <v>37</v>
      </c>
      <c r="E1004" s="42" t="s">
        <v>47</v>
      </c>
      <c r="F1004" s="42" t="s">
        <v>38</v>
      </c>
      <c r="G1004" s="43">
        <v>3641.25</v>
      </c>
      <c r="H1004" s="41">
        <v>443474514</v>
      </c>
      <c r="I1004" s="44">
        <v>0</v>
      </c>
      <c r="J1004" s="43">
        <v>0</v>
      </c>
      <c r="K1004" s="43">
        <v>0</v>
      </c>
      <c r="L1004" s="43">
        <v>-3.03</v>
      </c>
      <c r="M1004" s="43">
        <v>9980.64</v>
      </c>
      <c r="N1004" s="45" t="s">
        <v>801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35">
        <v>45918.707245370373</v>
      </c>
      <c r="B1005" s="36">
        <v>444257805</v>
      </c>
      <c r="C1005" s="37" t="s">
        <v>36</v>
      </c>
      <c r="D1005" s="37" t="s">
        <v>37</v>
      </c>
      <c r="E1005" s="37" t="s">
        <v>47</v>
      </c>
      <c r="F1005" s="37" t="s">
        <v>38</v>
      </c>
      <c r="G1005" s="38">
        <v>3641.25</v>
      </c>
      <c r="H1005" s="36">
        <v>443474516</v>
      </c>
      <c r="I1005" s="39">
        <v>0</v>
      </c>
      <c r="J1005" s="38">
        <v>0</v>
      </c>
      <c r="K1005" s="38">
        <v>0</v>
      </c>
      <c r="L1005" s="38">
        <v>-3.09</v>
      </c>
      <c r="M1005" s="38">
        <v>9977.5499999999993</v>
      </c>
      <c r="N1005" s="46" t="s">
        <v>802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40">
        <v>45918.710034722222</v>
      </c>
      <c r="B1006" s="41">
        <v>444261721</v>
      </c>
      <c r="C1006" s="42" t="s">
        <v>36</v>
      </c>
      <c r="D1006" s="42" t="s">
        <v>37</v>
      </c>
      <c r="E1006" s="42" t="s">
        <v>46</v>
      </c>
      <c r="F1006" s="42" t="s">
        <v>38</v>
      </c>
      <c r="G1006" s="43">
        <v>3644.36</v>
      </c>
      <c r="H1006" s="41">
        <v>443478769</v>
      </c>
      <c r="I1006" s="44">
        <v>0</v>
      </c>
      <c r="J1006" s="43">
        <v>0</v>
      </c>
      <c r="K1006" s="43">
        <v>0</v>
      </c>
      <c r="L1006" s="43">
        <v>0</v>
      </c>
      <c r="M1006" s="43">
        <v>9977.5499999999993</v>
      </c>
      <c r="N1006" s="45" t="s">
        <v>793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35">
        <v>45918.711898148147</v>
      </c>
      <c r="B1007" s="36">
        <v>444264591</v>
      </c>
      <c r="C1007" s="37" t="s">
        <v>36</v>
      </c>
      <c r="D1007" s="37" t="s">
        <v>39</v>
      </c>
      <c r="E1007" s="37" t="s">
        <v>47</v>
      </c>
      <c r="F1007" s="37" t="s">
        <v>38</v>
      </c>
      <c r="G1007" s="38">
        <v>3644.68</v>
      </c>
      <c r="H1007" s="36">
        <v>443481797</v>
      </c>
      <c r="I1007" s="39">
        <v>0</v>
      </c>
      <c r="J1007" s="38">
        <v>0</v>
      </c>
      <c r="K1007" s="38">
        <v>0</v>
      </c>
      <c r="L1007" s="38">
        <v>0.32</v>
      </c>
      <c r="M1007" s="38">
        <v>9977.8700000000008</v>
      </c>
      <c r="N1007" s="46" t="s">
        <v>803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40">
        <v>45918.712002314816</v>
      </c>
      <c r="B1008" s="41">
        <v>444264631</v>
      </c>
      <c r="C1008" s="42" t="s">
        <v>36</v>
      </c>
      <c r="D1008" s="42" t="s">
        <v>37</v>
      </c>
      <c r="E1008" s="42" t="s">
        <v>46</v>
      </c>
      <c r="F1008" s="42" t="s">
        <v>38</v>
      </c>
      <c r="G1008" s="43">
        <v>3645.36</v>
      </c>
      <c r="H1008" s="41">
        <v>443481851</v>
      </c>
      <c r="I1008" s="44">
        <v>0</v>
      </c>
      <c r="J1008" s="43">
        <v>0</v>
      </c>
      <c r="K1008" s="43">
        <v>0</v>
      </c>
      <c r="L1008" s="43">
        <v>0</v>
      </c>
      <c r="M1008" s="43">
        <v>9977.8700000000008</v>
      </c>
      <c r="N1008" s="45" t="s">
        <v>793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35">
        <v>45918.71234953704</v>
      </c>
      <c r="B1009" s="36">
        <v>444264923</v>
      </c>
      <c r="C1009" s="37" t="s">
        <v>36</v>
      </c>
      <c r="D1009" s="37" t="s">
        <v>37</v>
      </c>
      <c r="E1009" s="37" t="s">
        <v>46</v>
      </c>
      <c r="F1009" s="37" t="s">
        <v>38</v>
      </c>
      <c r="G1009" s="38">
        <v>3643.74</v>
      </c>
      <c r="H1009" s="36">
        <v>443482184</v>
      </c>
      <c r="I1009" s="39">
        <v>0</v>
      </c>
      <c r="J1009" s="38">
        <v>0</v>
      </c>
      <c r="K1009" s="38">
        <v>0</v>
      </c>
      <c r="L1009" s="38">
        <v>0</v>
      </c>
      <c r="M1009" s="38">
        <v>9977.8700000000008</v>
      </c>
      <c r="N1009" s="46" t="s">
        <v>647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40">
        <v>45918.71234953704</v>
      </c>
      <c r="B1010" s="41">
        <v>444264927</v>
      </c>
      <c r="C1010" s="42" t="s">
        <v>36</v>
      </c>
      <c r="D1010" s="42" t="s">
        <v>37</v>
      </c>
      <c r="E1010" s="42" t="s">
        <v>46</v>
      </c>
      <c r="F1010" s="42" t="s">
        <v>38</v>
      </c>
      <c r="G1010" s="43">
        <v>3643.74</v>
      </c>
      <c r="H1010" s="41">
        <v>443482189</v>
      </c>
      <c r="I1010" s="44">
        <v>0</v>
      </c>
      <c r="J1010" s="43">
        <v>0</v>
      </c>
      <c r="K1010" s="43">
        <v>0</v>
      </c>
      <c r="L1010" s="43">
        <v>0</v>
      </c>
      <c r="M1010" s="43">
        <v>9977.8700000000008</v>
      </c>
      <c r="N1010" s="45" t="s">
        <v>771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35">
        <v>45918.71234953704</v>
      </c>
      <c r="B1011" s="36">
        <v>444264929</v>
      </c>
      <c r="C1011" s="37" t="s">
        <v>36</v>
      </c>
      <c r="D1011" s="37" t="s">
        <v>37</v>
      </c>
      <c r="E1011" s="37" t="s">
        <v>46</v>
      </c>
      <c r="F1011" s="37" t="s">
        <v>38</v>
      </c>
      <c r="G1011" s="38">
        <v>3643.74</v>
      </c>
      <c r="H1011" s="36">
        <v>443482192</v>
      </c>
      <c r="I1011" s="39">
        <v>0</v>
      </c>
      <c r="J1011" s="38">
        <v>0</v>
      </c>
      <c r="K1011" s="38">
        <v>0</v>
      </c>
      <c r="L1011" s="38">
        <v>0</v>
      </c>
      <c r="M1011" s="38">
        <v>9977.8700000000008</v>
      </c>
      <c r="N1011" s="46" t="s">
        <v>653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40">
        <v>45918.712500000001</v>
      </c>
      <c r="B1012" s="41">
        <v>444265208</v>
      </c>
      <c r="C1012" s="42" t="s">
        <v>36</v>
      </c>
      <c r="D1012" s="42" t="s">
        <v>39</v>
      </c>
      <c r="E1012" s="42" t="s">
        <v>47</v>
      </c>
      <c r="F1012" s="42" t="s">
        <v>38</v>
      </c>
      <c r="G1012" s="43">
        <v>3642.14</v>
      </c>
      <c r="H1012" s="41">
        <v>443482478</v>
      </c>
      <c r="I1012" s="44">
        <v>0</v>
      </c>
      <c r="J1012" s="43">
        <v>0</v>
      </c>
      <c r="K1012" s="43">
        <v>0</v>
      </c>
      <c r="L1012" s="43">
        <v>-3.22</v>
      </c>
      <c r="M1012" s="43">
        <v>9974.65</v>
      </c>
      <c r="N1012" s="45" t="s">
        <v>804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35">
        <v>45918.712500000001</v>
      </c>
      <c r="B1013" s="36">
        <v>444265211</v>
      </c>
      <c r="C1013" s="37" t="s">
        <v>36</v>
      </c>
      <c r="D1013" s="37" t="s">
        <v>39</v>
      </c>
      <c r="E1013" s="37" t="s">
        <v>47</v>
      </c>
      <c r="F1013" s="37" t="s">
        <v>38</v>
      </c>
      <c r="G1013" s="38">
        <v>3642.14</v>
      </c>
      <c r="H1013" s="36">
        <v>443482480</v>
      </c>
      <c r="I1013" s="39">
        <v>0</v>
      </c>
      <c r="J1013" s="38">
        <v>0</v>
      </c>
      <c r="K1013" s="38">
        <v>0</v>
      </c>
      <c r="L1013" s="38">
        <v>-1.6</v>
      </c>
      <c r="M1013" s="38">
        <v>9973.0499999999993</v>
      </c>
      <c r="N1013" s="46" t="s">
        <v>805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40">
        <v>45918.713159722225</v>
      </c>
      <c r="B1014" s="41">
        <v>444265976</v>
      </c>
      <c r="C1014" s="42" t="s">
        <v>36</v>
      </c>
      <c r="D1014" s="42" t="s">
        <v>39</v>
      </c>
      <c r="E1014" s="42" t="s">
        <v>46</v>
      </c>
      <c r="F1014" s="42" t="s">
        <v>38</v>
      </c>
      <c r="G1014" s="43">
        <v>3642</v>
      </c>
      <c r="H1014" s="41">
        <v>443483284</v>
      </c>
      <c r="I1014" s="44">
        <v>0</v>
      </c>
      <c r="J1014" s="43">
        <v>0</v>
      </c>
      <c r="K1014" s="43">
        <v>0</v>
      </c>
      <c r="L1014" s="43">
        <v>0</v>
      </c>
      <c r="M1014" s="43">
        <v>9973.0499999999993</v>
      </c>
      <c r="N1014" s="45" t="s">
        <v>616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35">
        <v>45918.713159722225</v>
      </c>
      <c r="B1015" s="36">
        <v>444265989</v>
      </c>
      <c r="C1015" s="37" t="s">
        <v>36</v>
      </c>
      <c r="D1015" s="37" t="s">
        <v>39</v>
      </c>
      <c r="E1015" s="37" t="s">
        <v>46</v>
      </c>
      <c r="F1015" s="37" t="s">
        <v>38</v>
      </c>
      <c r="G1015" s="38">
        <v>3642</v>
      </c>
      <c r="H1015" s="36">
        <v>443483298</v>
      </c>
      <c r="I1015" s="39">
        <v>0</v>
      </c>
      <c r="J1015" s="38">
        <v>0</v>
      </c>
      <c r="K1015" s="38">
        <v>0</v>
      </c>
      <c r="L1015" s="38">
        <v>0</v>
      </c>
      <c r="M1015" s="38">
        <v>9973.0499999999993</v>
      </c>
      <c r="N1015" s="46" t="s">
        <v>268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40">
        <v>45918.714131944442</v>
      </c>
      <c r="B1016" s="41">
        <v>444266929</v>
      </c>
      <c r="C1016" s="42" t="s">
        <v>36</v>
      </c>
      <c r="D1016" s="42" t="s">
        <v>39</v>
      </c>
      <c r="E1016" s="42" t="s">
        <v>47</v>
      </c>
      <c r="F1016" s="42" t="s">
        <v>38</v>
      </c>
      <c r="G1016" s="43">
        <v>3640.71</v>
      </c>
      <c r="H1016" s="41">
        <v>443484319</v>
      </c>
      <c r="I1016" s="44">
        <v>0</v>
      </c>
      <c r="J1016" s="43">
        <v>0</v>
      </c>
      <c r="K1016" s="43">
        <v>0</v>
      </c>
      <c r="L1016" s="43">
        <v>-3.03</v>
      </c>
      <c r="M1016" s="43">
        <v>9970.02</v>
      </c>
      <c r="N1016" s="45" t="s">
        <v>806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35">
        <v>45918.714131944442</v>
      </c>
      <c r="B1017" s="36">
        <v>444266930</v>
      </c>
      <c r="C1017" s="37" t="s">
        <v>36</v>
      </c>
      <c r="D1017" s="37" t="s">
        <v>39</v>
      </c>
      <c r="E1017" s="37" t="s">
        <v>47</v>
      </c>
      <c r="F1017" s="37" t="s">
        <v>38</v>
      </c>
      <c r="G1017" s="38">
        <v>3640.71</v>
      </c>
      <c r="H1017" s="36">
        <v>443484320</v>
      </c>
      <c r="I1017" s="39">
        <v>0</v>
      </c>
      <c r="J1017" s="38">
        <v>0</v>
      </c>
      <c r="K1017" s="38">
        <v>0</v>
      </c>
      <c r="L1017" s="38">
        <v>-3.03</v>
      </c>
      <c r="M1017" s="38">
        <v>9966.99</v>
      </c>
      <c r="N1017" s="46" t="s">
        <v>806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40">
        <v>45918.715543981481</v>
      </c>
      <c r="B1018" s="41">
        <v>444268400</v>
      </c>
      <c r="C1018" s="42" t="s">
        <v>36</v>
      </c>
      <c r="D1018" s="42" t="s">
        <v>37</v>
      </c>
      <c r="E1018" s="42" t="s">
        <v>47</v>
      </c>
      <c r="F1018" s="42" t="s">
        <v>38</v>
      </c>
      <c r="G1018" s="43">
        <v>3642.55</v>
      </c>
      <c r="H1018" s="41">
        <v>443485993</v>
      </c>
      <c r="I1018" s="44">
        <v>0</v>
      </c>
      <c r="J1018" s="43">
        <v>0</v>
      </c>
      <c r="K1018" s="43">
        <v>0</v>
      </c>
      <c r="L1018" s="43">
        <v>-0.55000000000000004</v>
      </c>
      <c r="M1018" s="43">
        <v>9966.44</v>
      </c>
      <c r="N1018" s="45" t="s">
        <v>807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35">
        <v>45918.715543981481</v>
      </c>
      <c r="B1019" s="36">
        <v>444268402</v>
      </c>
      <c r="C1019" s="37" t="s">
        <v>36</v>
      </c>
      <c r="D1019" s="37" t="s">
        <v>37</v>
      </c>
      <c r="E1019" s="37" t="s">
        <v>47</v>
      </c>
      <c r="F1019" s="37" t="s">
        <v>38</v>
      </c>
      <c r="G1019" s="38">
        <v>3642.55</v>
      </c>
      <c r="H1019" s="36">
        <v>443485994</v>
      </c>
      <c r="I1019" s="39">
        <v>0</v>
      </c>
      <c r="J1019" s="38">
        <v>0</v>
      </c>
      <c r="K1019" s="38">
        <v>0</v>
      </c>
      <c r="L1019" s="38">
        <v>-0.55000000000000004</v>
      </c>
      <c r="M1019" s="38">
        <v>9965.89</v>
      </c>
      <c r="N1019" s="46" t="s">
        <v>807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40">
        <v>45918.718136574076</v>
      </c>
      <c r="B1020" s="41">
        <v>444270683</v>
      </c>
      <c r="C1020" s="42" t="s">
        <v>36</v>
      </c>
      <c r="D1020" s="42" t="s">
        <v>37</v>
      </c>
      <c r="E1020" s="42" t="s">
        <v>46</v>
      </c>
      <c r="F1020" s="42" t="s">
        <v>38</v>
      </c>
      <c r="G1020" s="43">
        <v>3643.49</v>
      </c>
      <c r="H1020" s="41">
        <v>443488543</v>
      </c>
      <c r="I1020" s="44">
        <v>0</v>
      </c>
      <c r="J1020" s="43">
        <v>0</v>
      </c>
      <c r="K1020" s="43">
        <v>0</v>
      </c>
      <c r="L1020" s="43">
        <v>0</v>
      </c>
      <c r="M1020" s="43">
        <v>9965.89</v>
      </c>
      <c r="N1020" s="45" t="s">
        <v>793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35">
        <v>45918.718587962961</v>
      </c>
      <c r="B1021" s="36">
        <v>444271156</v>
      </c>
      <c r="C1021" s="37" t="s">
        <v>36</v>
      </c>
      <c r="D1021" s="37" t="s">
        <v>39</v>
      </c>
      <c r="E1021" s="37" t="s">
        <v>47</v>
      </c>
      <c r="F1021" s="37" t="s">
        <v>38</v>
      </c>
      <c r="G1021" s="38">
        <v>3640.46</v>
      </c>
      <c r="H1021" s="36">
        <v>443489056</v>
      </c>
      <c r="I1021" s="39">
        <v>0</v>
      </c>
      <c r="J1021" s="38">
        <v>0</v>
      </c>
      <c r="K1021" s="38">
        <v>0</v>
      </c>
      <c r="L1021" s="38">
        <v>-3.03</v>
      </c>
      <c r="M1021" s="38">
        <v>9962.86</v>
      </c>
      <c r="N1021" s="46" t="s">
        <v>808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40">
        <v>45918.721493055556</v>
      </c>
      <c r="B1022" s="41">
        <v>444273595</v>
      </c>
      <c r="C1022" s="42" t="s">
        <v>36</v>
      </c>
      <c r="D1022" s="42" t="s">
        <v>39</v>
      </c>
      <c r="E1022" s="42" t="s">
        <v>46</v>
      </c>
      <c r="F1022" s="42" t="s">
        <v>38</v>
      </c>
      <c r="G1022" s="43">
        <v>3637.94</v>
      </c>
      <c r="H1022" s="41">
        <v>443491780</v>
      </c>
      <c r="I1022" s="44">
        <v>0</v>
      </c>
      <c r="J1022" s="43">
        <v>0</v>
      </c>
      <c r="K1022" s="43">
        <v>0</v>
      </c>
      <c r="L1022" s="43">
        <v>0</v>
      </c>
      <c r="M1022" s="43">
        <v>9962.86</v>
      </c>
      <c r="N1022" s="45" t="s">
        <v>793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35">
        <v>45918.721493055556</v>
      </c>
      <c r="B1023" s="36">
        <v>444273597</v>
      </c>
      <c r="C1023" s="37" t="s">
        <v>36</v>
      </c>
      <c r="D1023" s="37" t="s">
        <v>39</v>
      </c>
      <c r="E1023" s="37" t="s">
        <v>46</v>
      </c>
      <c r="F1023" s="37" t="s">
        <v>38</v>
      </c>
      <c r="G1023" s="38">
        <v>3638.05</v>
      </c>
      <c r="H1023" s="36">
        <v>443491783</v>
      </c>
      <c r="I1023" s="39">
        <v>0</v>
      </c>
      <c r="J1023" s="38">
        <v>0</v>
      </c>
      <c r="K1023" s="38">
        <v>0</v>
      </c>
      <c r="L1023" s="38">
        <v>0</v>
      </c>
      <c r="M1023" s="38">
        <v>9962.86</v>
      </c>
      <c r="N1023" s="46" t="s">
        <v>809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40">
        <v>45918.721608796295</v>
      </c>
      <c r="B1024" s="41">
        <v>444273662</v>
      </c>
      <c r="C1024" s="42" t="s">
        <v>36</v>
      </c>
      <c r="D1024" s="42" t="s">
        <v>39</v>
      </c>
      <c r="E1024" s="42" t="s">
        <v>46</v>
      </c>
      <c r="F1024" s="42" t="s">
        <v>38</v>
      </c>
      <c r="G1024" s="43">
        <v>3639.35</v>
      </c>
      <c r="H1024" s="41">
        <v>443491852</v>
      </c>
      <c r="I1024" s="44">
        <v>0</v>
      </c>
      <c r="J1024" s="43">
        <v>0</v>
      </c>
      <c r="K1024" s="43">
        <v>0</v>
      </c>
      <c r="L1024" s="43">
        <v>0</v>
      </c>
      <c r="M1024" s="43">
        <v>9962.86</v>
      </c>
      <c r="N1024" s="45" t="s">
        <v>150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35">
        <v>45918.721608796295</v>
      </c>
      <c r="B1025" s="36">
        <v>444273663</v>
      </c>
      <c r="C1025" s="37" t="s">
        <v>36</v>
      </c>
      <c r="D1025" s="37" t="s">
        <v>39</v>
      </c>
      <c r="E1025" s="37" t="s">
        <v>46</v>
      </c>
      <c r="F1025" s="37" t="s">
        <v>38</v>
      </c>
      <c r="G1025" s="38">
        <v>3639.36</v>
      </c>
      <c r="H1025" s="36">
        <v>443491853</v>
      </c>
      <c r="I1025" s="39">
        <v>0</v>
      </c>
      <c r="J1025" s="38">
        <v>0</v>
      </c>
      <c r="K1025" s="38">
        <v>0</v>
      </c>
      <c r="L1025" s="38">
        <v>0</v>
      </c>
      <c r="M1025" s="38">
        <v>9962.86</v>
      </c>
      <c r="N1025" s="46" t="s">
        <v>48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40">
        <v>45918.721608796295</v>
      </c>
      <c r="B1026" s="41">
        <v>444273667</v>
      </c>
      <c r="C1026" s="42" t="s">
        <v>36</v>
      </c>
      <c r="D1026" s="42" t="s">
        <v>39</v>
      </c>
      <c r="E1026" s="42" t="s">
        <v>46</v>
      </c>
      <c r="F1026" s="42" t="s">
        <v>38</v>
      </c>
      <c r="G1026" s="43">
        <v>3639.36</v>
      </c>
      <c r="H1026" s="41">
        <v>443491857</v>
      </c>
      <c r="I1026" s="44">
        <v>0</v>
      </c>
      <c r="J1026" s="43">
        <v>0</v>
      </c>
      <c r="K1026" s="43">
        <v>0</v>
      </c>
      <c r="L1026" s="43">
        <v>0</v>
      </c>
      <c r="M1026" s="43">
        <v>9962.86</v>
      </c>
      <c r="N1026" s="45" t="s">
        <v>49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35">
        <v>45918.721608796295</v>
      </c>
      <c r="B1027" s="36">
        <v>444273670</v>
      </c>
      <c r="C1027" s="37" t="s">
        <v>36</v>
      </c>
      <c r="D1027" s="37" t="s">
        <v>39</v>
      </c>
      <c r="E1027" s="37" t="s">
        <v>46</v>
      </c>
      <c r="F1027" s="37" t="s">
        <v>38</v>
      </c>
      <c r="G1027" s="38">
        <v>3639.35</v>
      </c>
      <c r="H1027" s="36">
        <v>443491860</v>
      </c>
      <c r="I1027" s="39">
        <v>0</v>
      </c>
      <c r="J1027" s="38">
        <v>0</v>
      </c>
      <c r="K1027" s="38">
        <v>0</v>
      </c>
      <c r="L1027" s="38">
        <v>0</v>
      </c>
      <c r="M1027" s="38">
        <v>9962.86</v>
      </c>
      <c r="N1027" s="46" t="s">
        <v>53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40">
        <v>45918.722048611111</v>
      </c>
      <c r="B1028" s="41">
        <v>444274097</v>
      </c>
      <c r="C1028" s="42" t="s">
        <v>36</v>
      </c>
      <c r="D1028" s="42" t="s">
        <v>37</v>
      </c>
      <c r="E1028" s="42" t="s">
        <v>47</v>
      </c>
      <c r="F1028" s="42" t="s">
        <v>38</v>
      </c>
      <c r="G1028" s="43">
        <v>3637.56</v>
      </c>
      <c r="H1028" s="41">
        <v>443492324</v>
      </c>
      <c r="I1028" s="44">
        <v>0</v>
      </c>
      <c r="J1028" s="43">
        <v>0</v>
      </c>
      <c r="K1028" s="43">
        <v>0</v>
      </c>
      <c r="L1028" s="43">
        <v>1.79</v>
      </c>
      <c r="M1028" s="43">
        <v>9964.65</v>
      </c>
      <c r="N1028" s="45" t="s">
        <v>810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35">
        <v>45918.722881944443</v>
      </c>
      <c r="B1029" s="36">
        <v>444274821</v>
      </c>
      <c r="C1029" s="37" t="s">
        <v>36</v>
      </c>
      <c r="D1029" s="37" t="s">
        <v>39</v>
      </c>
      <c r="E1029" s="37" t="s">
        <v>46</v>
      </c>
      <c r="F1029" s="37" t="s">
        <v>38</v>
      </c>
      <c r="G1029" s="38">
        <v>3638.8</v>
      </c>
      <c r="H1029" s="36">
        <v>443493132</v>
      </c>
      <c r="I1029" s="39">
        <v>0</v>
      </c>
      <c r="J1029" s="38">
        <v>0</v>
      </c>
      <c r="K1029" s="38">
        <v>0</v>
      </c>
      <c r="L1029" s="38">
        <v>0</v>
      </c>
      <c r="M1029" s="38">
        <v>9964.65</v>
      </c>
      <c r="N1029" s="46" t="s">
        <v>150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40">
        <v>45918.722916666666</v>
      </c>
      <c r="B1030" s="41">
        <v>444274832</v>
      </c>
      <c r="C1030" s="42" t="s">
        <v>36</v>
      </c>
      <c r="D1030" s="42" t="s">
        <v>37</v>
      </c>
      <c r="E1030" s="42" t="s">
        <v>47</v>
      </c>
      <c r="F1030" s="42" t="s">
        <v>38</v>
      </c>
      <c r="G1030" s="43">
        <v>3639.26</v>
      </c>
      <c r="H1030" s="41">
        <v>443493146</v>
      </c>
      <c r="I1030" s="44">
        <v>0</v>
      </c>
      <c r="J1030" s="43">
        <v>0</v>
      </c>
      <c r="K1030" s="43">
        <v>0</v>
      </c>
      <c r="L1030" s="43">
        <v>0.1</v>
      </c>
      <c r="M1030" s="43">
        <v>9964.75</v>
      </c>
      <c r="N1030" s="45" t="s">
        <v>811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35">
        <v>45918.722916666666</v>
      </c>
      <c r="B1031" s="36">
        <v>444274833</v>
      </c>
      <c r="C1031" s="37" t="s">
        <v>36</v>
      </c>
      <c r="D1031" s="37" t="s">
        <v>37</v>
      </c>
      <c r="E1031" s="37" t="s">
        <v>47</v>
      </c>
      <c r="F1031" s="37" t="s">
        <v>38</v>
      </c>
      <c r="G1031" s="38">
        <v>3639.26</v>
      </c>
      <c r="H1031" s="36">
        <v>443493147</v>
      </c>
      <c r="I1031" s="39">
        <v>0</v>
      </c>
      <c r="J1031" s="38">
        <v>0</v>
      </c>
      <c r="K1031" s="38">
        <v>0</v>
      </c>
      <c r="L1031" s="38">
        <v>0.1</v>
      </c>
      <c r="M1031" s="38">
        <v>9964.85</v>
      </c>
      <c r="N1031" s="46" t="s">
        <v>811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40">
        <v>45918.722916666666</v>
      </c>
      <c r="B1032" s="41">
        <v>444274834</v>
      </c>
      <c r="C1032" s="42" t="s">
        <v>36</v>
      </c>
      <c r="D1032" s="42" t="s">
        <v>37</v>
      </c>
      <c r="E1032" s="42" t="s">
        <v>47</v>
      </c>
      <c r="F1032" s="42" t="s">
        <v>38</v>
      </c>
      <c r="G1032" s="43">
        <v>3639.26</v>
      </c>
      <c r="H1032" s="41">
        <v>443493148</v>
      </c>
      <c r="I1032" s="44">
        <v>0</v>
      </c>
      <c r="J1032" s="43">
        <v>0</v>
      </c>
      <c r="K1032" s="43">
        <v>0</v>
      </c>
      <c r="L1032" s="43">
        <v>0.09</v>
      </c>
      <c r="M1032" s="43">
        <v>9964.94</v>
      </c>
      <c r="N1032" s="45" t="s">
        <v>812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35">
        <v>45918.723391203705</v>
      </c>
      <c r="B1033" s="36">
        <v>444275222</v>
      </c>
      <c r="C1033" s="37" t="s">
        <v>36</v>
      </c>
      <c r="D1033" s="37" t="s">
        <v>37</v>
      </c>
      <c r="E1033" s="37" t="s">
        <v>47</v>
      </c>
      <c r="F1033" s="37" t="s">
        <v>38</v>
      </c>
      <c r="G1033" s="38">
        <v>3637.11</v>
      </c>
      <c r="H1033" s="36">
        <v>443493587</v>
      </c>
      <c r="I1033" s="39">
        <v>0</v>
      </c>
      <c r="J1033" s="38">
        <v>0</v>
      </c>
      <c r="K1033" s="38">
        <v>0</v>
      </c>
      <c r="L1033" s="38">
        <v>1.69</v>
      </c>
      <c r="M1033" s="38">
        <v>9966.6299999999992</v>
      </c>
      <c r="N1033" s="46" t="s">
        <v>813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40">
        <v>45918.724317129629</v>
      </c>
      <c r="B1034" s="41">
        <v>444276327</v>
      </c>
      <c r="C1034" s="42" t="s">
        <v>36</v>
      </c>
      <c r="D1034" s="42" t="s">
        <v>37</v>
      </c>
      <c r="E1034" s="42" t="s">
        <v>47</v>
      </c>
      <c r="F1034" s="42" t="s">
        <v>38</v>
      </c>
      <c r="G1034" s="43">
        <v>3636.95</v>
      </c>
      <c r="H1034" s="41">
        <v>443494776</v>
      </c>
      <c r="I1034" s="44">
        <v>0</v>
      </c>
      <c r="J1034" s="43">
        <v>0</v>
      </c>
      <c r="K1034" s="43">
        <v>0</v>
      </c>
      <c r="L1034" s="43">
        <v>0.99</v>
      </c>
      <c r="M1034" s="43">
        <v>9967.6200000000008</v>
      </c>
      <c r="N1034" s="45" t="s">
        <v>814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35">
        <v>45918.724317129629</v>
      </c>
      <c r="B1035" s="36">
        <v>444276329</v>
      </c>
      <c r="C1035" s="37" t="s">
        <v>36</v>
      </c>
      <c r="D1035" s="37" t="s">
        <v>37</v>
      </c>
      <c r="E1035" s="37" t="s">
        <v>47</v>
      </c>
      <c r="F1035" s="37" t="s">
        <v>38</v>
      </c>
      <c r="G1035" s="38">
        <v>3636.95</v>
      </c>
      <c r="H1035" s="36">
        <v>443494777</v>
      </c>
      <c r="I1035" s="39">
        <v>0</v>
      </c>
      <c r="J1035" s="38">
        <v>0</v>
      </c>
      <c r="K1035" s="38">
        <v>0</v>
      </c>
      <c r="L1035" s="38">
        <v>1.1000000000000001</v>
      </c>
      <c r="M1035" s="38">
        <v>9968.7199999999993</v>
      </c>
      <c r="N1035" s="46" t="s">
        <v>815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40">
        <v>45918.724386574075</v>
      </c>
      <c r="B1036" s="41">
        <v>444276368</v>
      </c>
      <c r="C1036" s="42" t="s">
        <v>36</v>
      </c>
      <c r="D1036" s="42" t="s">
        <v>39</v>
      </c>
      <c r="E1036" s="42" t="s">
        <v>46</v>
      </c>
      <c r="F1036" s="42" t="s">
        <v>38</v>
      </c>
      <c r="G1036" s="43">
        <v>3636.64</v>
      </c>
      <c r="H1036" s="41">
        <v>443494828</v>
      </c>
      <c r="I1036" s="44">
        <v>0</v>
      </c>
      <c r="J1036" s="43">
        <v>0</v>
      </c>
      <c r="K1036" s="43">
        <v>0</v>
      </c>
      <c r="L1036" s="43">
        <v>0</v>
      </c>
      <c r="M1036" s="43">
        <v>9968.7199999999993</v>
      </c>
      <c r="N1036" s="45" t="s">
        <v>793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35">
        <v>45918.724386574075</v>
      </c>
      <c r="B1037" s="36">
        <v>444276373</v>
      </c>
      <c r="C1037" s="37" t="s">
        <v>36</v>
      </c>
      <c r="D1037" s="37" t="s">
        <v>39</v>
      </c>
      <c r="E1037" s="37" t="s">
        <v>46</v>
      </c>
      <c r="F1037" s="37" t="s">
        <v>38</v>
      </c>
      <c r="G1037" s="38">
        <v>3636.64</v>
      </c>
      <c r="H1037" s="36">
        <v>443494833</v>
      </c>
      <c r="I1037" s="39">
        <v>0</v>
      </c>
      <c r="J1037" s="38">
        <v>0</v>
      </c>
      <c r="K1037" s="38">
        <v>0</v>
      </c>
      <c r="L1037" s="38">
        <v>0</v>
      </c>
      <c r="M1037" s="38">
        <v>9968.7199999999993</v>
      </c>
      <c r="N1037" s="46" t="s">
        <v>809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40">
        <v>45918.724930555552</v>
      </c>
      <c r="B1038" s="41">
        <v>444276957</v>
      </c>
      <c r="C1038" s="42" t="s">
        <v>36</v>
      </c>
      <c r="D1038" s="42" t="s">
        <v>37</v>
      </c>
      <c r="E1038" s="42" t="s">
        <v>47</v>
      </c>
      <c r="F1038" s="42" t="s">
        <v>38</v>
      </c>
      <c r="G1038" s="43">
        <v>3636.44</v>
      </c>
      <c r="H1038" s="41">
        <v>443495473</v>
      </c>
      <c r="I1038" s="44">
        <v>0</v>
      </c>
      <c r="J1038" s="43">
        <v>0</v>
      </c>
      <c r="K1038" s="43">
        <v>0</v>
      </c>
      <c r="L1038" s="43">
        <v>0.2</v>
      </c>
      <c r="M1038" s="43">
        <v>9968.92</v>
      </c>
      <c r="N1038" s="45" t="s">
        <v>816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35">
        <v>45918.724930555552</v>
      </c>
      <c r="B1039" s="36">
        <v>444276958</v>
      </c>
      <c r="C1039" s="37" t="s">
        <v>36</v>
      </c>
      <c r="D1039" s="37" t="s">
        <v>37</v>
      </c>
      <c r="E1039" s="37" t="s">
        <v>47</v>
      </c>
      <c r="F1039" s="37" t="s">
        <v>38</v>
      </c>
      <c r="G1039" s="38">
        <v>3636.44</v>
      </c>
      <c r="H1039" s="36">
        <v>443495474</v>
      </c>
      <c r="I1039" s="39">
        <v>0</v>
      </c>
      <c r="J1039" s="38">
        <v>0</v>
      </c>
      <c r="K1039" s="38">
        <v>0</v>
      </c>
      <c r="L1039" s="38">
        <v>0.2</v>
      </c>
      <c r="M1039" s="38">
        <v>9969.1200000000008</v>
      </c>
      <c r="N1039" s="46" t="s">
        <v>817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40">
        <v>45918.72519675926</v>
      </c>
      <c r="B1040" s="41">
        <v>444277166</v>
      </c>
      <c r="C1040" s="42" t="s">
        <v>36</v>
      </c>
      <c r="D1040" s="42" t="s">
        <v>39</v>
      </c>
      <c r="E1040" s="42" t="s">
        <v>46</v>
      </c>
      <c r="F1040" s="42" t="s">
        <v>38</v>
      </c>
      <c r="G1040" s="43">
        <v>3636.46</v>
      </c>
      <c r="H1040" s="41">
        <v>443495717</v>
      </c>
      <c r="I1040" s="44">
        <v>0</v>
      </c>
      <c r="J1040" s="43">
        <v>0</v>
      </c>
      <c r="K1040" s="43">
        <v>0</v>
      </c>
      <c r="L1040" s="43">
        <v>0</v>
      </c>
      <c r="M1040" s="43">
        <v>9969.1200000000008</v>
      </c>
      <c r="N1040" s="45" t="s">
        <v>809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35">
        <v>45918.72519675926</v>
      </c>
      <c r="B1041" s="36">
        <v>444277170</v>
      </c>
      <c r="C1041" s="37" t="s">
        <v>36</v>
      </c>
      <c r="D1041" s="37" t="s">
        <v>39</v>
      </c>
      <c r="E1041" s="37" t="s">
        <v>46</v>
      </c>
      <c r="F1041" s="37" t="s">
        <v>38</v>
      </c>
      <c r="G1041" s="38">
        <v>3636.46</v>
      </c>
      <c r="H1041" s="36">
        <v>443495721</v>
      </c>
      <c r="I1041" s="39">
        <v>0</v>
      </c>
      <c r="J1041" s="38">
        <v>0</v>
      </c>
      <c r="K1041" s="38">
        <v>0</v>
      </c>
      <c r="L1041" s="38">
        <v>0</v>
      </c>
      <c r="M1041" s="38">
        <v>9969.1200000000008</v>
      </c>
      <c r="N1041" s="46" t="s">
        <v>793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40">
        <v>45918.725636574076</v>
      </c>
      <c r="B1042" s="41">
        <v>444277566</v>
      </c>
      <c r="C1042" s="42" t="s">
        <v>36</v>
      </c>
      <c r="D1042" s="42" t="s">
        <v>37</v>
      </c>
      <c r="E1042" s="42" t="s">
        <v>47</v>
      </c>
      <c r="F1042" s="42" t="s">
        <v>38</v>
      </c>
      <c r="G1042" s="43">
        <v>3635.83</v>
      </c>
      <c r="H1042" s="41">
        <v>443496159</v>
      </c>
      <c r="I1042" s="44">
        <v>0</v>
      </c>
      <c r="J1042" s="43">
        <v>0</v>
      </c>
      <c r="K1042" s="43">
        <v>0</v>
      </c>
      <c r="L1042" s="43">
        <v>0.63</v>
      </c>
      <c r="M1042" s="43">
        <v>9969.75</v>
      </c>
      <c r="N1042" s="45" t="s">
        <v>818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35">
        <v>45918.725636574076</v>
      </c>
      <c r="B1043" s="36">
        <v>444277567</v>
      </c>
      <c r="C1043" s="37" t="s">
        <v>36</v>
      </c>
      <c r="D1043" s="37" t="s">
        <v>37</v>
      </c>
      <c r="E1043" s="37" t="s">
        <v>47</v>
      </c>
      <c r="F1043" s="37" t="s">
        <v>38</v>
      </c>
      <c r="G1043" s="38">
        <v>3635.83</v>
      </c>
      <c r="H1043" s="36">
        <v>443496160</v>
      </c>
      <c r="I1043" s="39">
        <v>0</v>
      </c>
      <c r="J1043" s="38">
        <v>0</v>
      </c>
      <c r="K1043" s="38">
        <v>0</v>
      </c>
      <c r="L1043" s="38">
        <v>0.63</v>
      </c>
      <c r="M1043" s="38">
        <v>9970.3799999999992</v>
      </c>
      <c r="N1043" s="46" t="s">
        <v>818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40">
        <v>45918.725775462961</v>
      </c>
      <c r="B1044" s="41">
        <v>444277923</v>
      </c>
      <c r="C1044" s="42" t="s">
        <v>36</v>
      </c>
      <c r="D1044" s="42" t="s">
        <v>39</v>
      </c>
      <c r="E1044" s="42" t="s">
        <v>46</v>
      </c>
      <c r="F1044" s="42" t="s">
        <v>38</v>
      </c>
      <c r="G1044" s="43">
        <v>3636.28</v>
      </c>
      <c r="H1044" s="41">
        <v>443496531</v>
      </c>
      <c r="I1044" s="44">
        <v>0</v>
      </c>
      <c r="J1044" s="43">
        <v>0</v>
      </c>
      <c r="K1044" s="43">
        <v>0</v>
      </c>
      <c r="L1044" s="43">
        <v>0</v>
      </c>
      <c r="M1044" s="43">
        <v>9970.3799999999992</v>
      </c>
      <c r="N1044" s="45" t="s">
        <v>793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35">
        <v>45918.725775462961</v>
      </c>
      <c r="B1045" s="36">
        <v>444277930</v>
      </c>
      <c r="C1045" s="37" t="s">
        <v>36</v>
      </c>
      <c r="D1045" s="37" t="s">
        <v>39</v>
      </c>
      <c r="E1045" s="37" t="s">
        <v>46</v>
      </c>
      <c r="F1045" s="37" t="s">
        <v>38</v>
      </c>
      <c r="G1045" s="38">
        <v>3636.47</v>
      </c>
      <c r="H1045" s="36">
        <v>443496539</v>
      </c>
      <c r="I1045" s="39">
        <v>0</v>
      </c>
      <c r="J1045" s="38">
        <v>0</v>
      </c>
      <c r="K1045" s="38">
        <v>0</v>
      </c>
      <c r="L1045" s="38">
        <v>0</v>
      </c>
      <c r="M1045" s="38">
        <v>9970.3799999999992</v>
      </c>
      <c r="N1045" s="46" t="s">
        <v>809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40">
        <v>45918.725995370369</v>
      </c>
      <c r="B1046" s="41">
        <v>444278201</v>
      </c>
      <c r="C1046" s="42" t="s">
        <v>36</v>
      </c>
      <c r="D1046" s="42" t="s">
        <v>39</v>
      </c>
      <c r="E1046" s="42" t="s">
        <v>46</v>
      </c>
      <c r="F1046" s="42" t="s">
        <v>38</v>
      </c>
      <c r="G1046" s="43">
        <v>3636.78</v>
      </c>
      <c r="H1046" s="41">
        <v>443496838</v>
      </c>
      <c r="I1046" s="44">
        <v>0</v>
      </c>
      <c r="J1046" s="43">
        <v>0</v>
      </c>
      <c r="K1046" s="43">
        <v>0</v>
      </c>
      <c r="L1046" s="43">
        <v>0</v>
      </c>
      <c r="M1046" s="43">
        <v>9970.3799999999992</v>
      </c>
      <c r="N1046" s="45" t="s">
        <v>647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35">
        <v>45918.726006944446</v>
      </c>
      <c r="B1047" s="36">
        <v>444278204</v>
      </c>
      <c r="C1047" s="37" t="s">
        <v>36</v>
      </c>
      <c r="D1047" s="37" t="s">
        <v>39</v>
      </c>
      <c r="E1047" s="37" t="s">
        <v>46</v>
      </c>
      <c r="F1047" s="37" t="s">
        <v>38</v>
      </c>
      <c r="G1047" s="38">
        <v>3636.79</v>
      </c>
      <c r="H1047" s="36">
        <v>443496841</v>
      </c>
      <c r="I1047" s="39">
        <v>0</v>
      </c>
      <c r="J1047" s="38">
        <v>0</v>
      </c>
      <c r="K1047" s="38">
        <v>0</v>
      </c>
      <c r="L1047" s="38">
        <v>0</v>
      </c>
      <c r="M1047" s="38">
        <v>9970.3799999999992</v>
      </c>
      <c r="N1047" s="46" t="s">
        <v>653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40">
        <v>45918.726006944446</v>
      </c>
      <c r="B1048" s="41">
        <v>444278206</v>
      </c>
      <c r="C1048" s="42" t="s">
        <v>36</v>
      </c>
      <c r="D1048" s="42" t="s">
        <v>39</v>
      </c>
      <c r="E1048" s="42" t="s">
        <v>46</v>
      </c>
      <c r="F1048" s="42" t="s">
        <v>38</v>
      </c>
      <c r="G1048" s="43">
        <v>3636.75</v>
      </c>
      <c r="H1048" s="41">
        <v>443496843</v>
      </c>
      <c r="I1048" s="44">
        <v>0</v>
      </c>
      <c r="J1048" s="43">
        <v>0</v>
      </c>
      <c r="K1048" s="43">
        <v>0</v>
      </c>
      <c r="L1048" s="43">
        <v>0</v>
      </c>
      <c r="M1048" s="43">
        <v>9970.3799999999992</v>
      </c>
      <c r="N1048" s="45" t="s">
        <v>150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35">
        <v>45918.726006944446</v>
      </c>
      <c r="B1049" s="36">
        <v>444278209</v>
      </c>
      <c r="C1049" s="37" t="s">
        <v>36</v>
      </c>
      <c r="D1049" s="37" t="s">
        <v>39</v>
      </c>
      <c r="E1049" s="37" t="s">
        <v>46</v>
      </c>
      <c r="F1049" s="37" t="s">
        <v>38</v>
      </c>
      <c r="G1049" s="38">
        <v>3636.42</v>
      </c>
      <c r="H1049" s="36">
        <v>443496846</v>
      </c>
      <c r="I1049" s="39">
        <v>0</v>
      </c>
      <c r="J1049" s="38">
        <v>0</v>
      </c>
      <c r="K1049" s="38">
        <v>0</v>
      </c>
      <c r="L1049" s="38">
        <v>0</v>
      </c>
      <c r="M1049" s="38">
        <v>9970.3799999999992</v>
      </c>
      <c r="N1049" s="46" t="s">
        <v>771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40">
        <v>45918.726006944446</v>
      </c>
      <c r="B1050" s="41">
        <v>444278212</v>
      </c>
      <c r="C1050" s="42" t="s">
        <v>36</v>
      </c>
      <c r="D1050" s="42" t="s">
        <v>39</v>
      </c>
      <c r="E1050" s="42" t="s">
        <v>46</v>
      </c>
      <c r="F1050" s="42" t="s">
        <v>38</v>
      </c>
      <c r="G1050" s="43">
        <v>3636.32</v>
      </c>
      <c r="H1050" s="41">
        <v>443496850</v>
      </c>
      <c r="I1050" s="44">
        <v>0</v>
      </c>
      <c r="J1050" s="43">
        <v>0</v>
      </c>
      <c r="K1050" s="43">
        <v>0</v>
      </c>
      <c r="L1050" s="43">
        <v>0</v>
      </c>
      <c r="M1050" s="43">
        <v>9970.3799999999992</v>
      </c>
      <c r="N1050" s="45" t="s">
        <v>49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35">
        <v>45918.726018518515</v>
      </c>
      <c r="B1051" s="36">
        <v>444278216</v>
      </c>
      <c r="C1051" s="37" t="s">
        <v>36</v>
      </c>
      <c r="D1051" s="37" t="s">
        <v>39</v>
      </c>
      <c r="E1051" s="37" t="s">
        <v>46</v>
      </c>
      <c r="F1051" s="37" t="s">
        <v>38</v>
      </c>
      <c r="G1051" s="38">
        <v>3636.29</v>
      </c>
      <c r="H1051" s="36">
        <v>443496855</v>
      </c>
      <c r="I1051" s="39">
        <v>0</v>
      </c>
      <c r="J1051" s="38">
        <v>0</v>
      </c>
      <c r="K1051" s="38">
        <v>0</v>
      </c>
      <c r="L1051" s="38">
        <v>0</v>
      </c>
      <c r="M1051" s="38">
        <v>9970.3799999999992</v>
      </c>
      <c r="N1051" s="46" t="s">
        <v>53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40">
        <v>45918.726018518515</v>
      </c>
      <c r="B1052" s="41">
        <v>444278223</v>
      </c>
      <c r="C1052" s="42" t="s">
        <v>36</v>
      </c>
      <c r="D1052" s="42" t="s">
        <v>39</v>
      </c>
      <c r="E1052" s="42" t="s">
        <v>46</v>
      </c>
      <c r="F1052" s="42" t="s">
        <v>38</v>
      </c>
      <c r="G1052" s="43">
        <v>3636.35</v>
      </c>
      <c r="H1052" s="41">
        <v>443496862</v>
      </c>
      <c r="I1052" s="44">
        <v>0</v>
      </c>
      <c r="J1052" s="43">
        <v>0</v>
      </c>
      <c r="K1052" s="43">
        <v>0</v>
      </c>
      <c r="L1052" s="43">
        <v>0</v>
      </c>
      <c r="M1052" s="43">
        <v>9970.3799999999992</v>
      </c>
      <c r="N1052" s="45" t="s">
        <v>48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35">
        <v>45918.728402777779</v>
      </c>
      <c r="B1053" s="36">
        <v>444279870</v>
      </c>
      <c r="C1053" s="37" t="s">
        <v>36</v>
      </c>
      <c r="D1053" s="37" t="s">
        <v>37</v>
      </c>
      <c r="E1053" s="37" t="s">
        <v>47</v>
      </c>
      <c r="F1053" s="37" t="s">
        <v>38</v>
      </c>
      <c r="G1053" s="38">
        <v>3635.17</v>
      </c>
      <c r="H1053" s="36">
        <v>443498730</v>
      </c>
      <c r="I1053" s="39">
        <v>0</v>
      </c>
      <c r="J1053" s="38">
        <v>0</v>
      </c>
      <c r="K1053" s="38">
        <v>0</v>
      </c>
      <c r="L1053" s="38">
        <v>1.61</v>
      </c>
      <c r="M1053" s="38">
        <v>9971.99</v>
      </c>
      <c r="N1053" s="46" t="s">
        <v>819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40">
        <v>45918.728402777779</v>
      </c>
      <c r="B1054" s="41">
        <v>444279871</v>
      </c>
      <c r="C1054" s="42" t="s">
        <v>36</v>
      </c>
      <c r="D1054" s="42" t="s">
        <v>37</v>
      </c>
      <c r="E1054" s="42" t="s">
        <v>47</v>
      </c>
      <c r="F1054" s="42" t="s">
        <v>38</v>
      </c>
      <c r="G1054" s="43">
        <v>3635.17</v>
      </c>
      <c r="H1054" s="41">
        <v>443498731</v>
      </c>
      <c r="I1054" s="44">
        <v>0</v>
      </c>
      <c r="J1054" s="43">
        <v>0</v>
      </c>
      <c r="K1054" s="43">
        <v>0</v>
      </c>
      <c r="L1054" s="43">
        <v>1.62</v>
      </c>
      <c r="M1054" s="43">
        <v>9973.61</v>
      </c>
      <c r="N1054" s="45" t="s">
        <v>820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35">
        <v>45918.728402777779</v>
      </c>
      <c r="B1055" s="36">
        <v>444279872</v>
      </c>
      <c r="C1055" s="37" t="s">
        <v>36</v>
      </c>
      <c r="D1055" s="37" t="s">
        <v>37</v>
      </c>
      <c r="E1055" s="37" t="s">
        <v>47</v>
      </c>
      <c r="F1055" s="37" t="s">
        <v>38</v>
      </c>
      <c r="G1055" s="38">
        <v>3635.17</v>
      </c>
      <c r="H1055" s="36">
        <v>443498732</v>
      </c>
      <c r="I1055" s="39">
        <v>0</v>
      </c>
      <c r="J1055" s="38">
        <v>0</v>
      </c>
      <c r="K1055" s="38">
        <v>0</v>
      </c>
      <c r="L1055" s="38">
        <v>1.58</v>
      </c>
      <c r="M1055" s="38">
        <v>9975.19</v>
      </c>
      <c r="N1055" s="46" t="s">
        <v>820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40">
        <v>45918.729004629633</v>
      </c>
      <c r="B1056" s="41">
        <v>444280175</v>
      </c>
      <c r="C1056" s="42" t="s">
        <v>36</v>
      </c>
      <c r="D1056" s="42" t="s">
        <v>39</v>
      </c>
      <c r="E1056" s="42" t="s">
        <v>46</v>
      </c>
      <c r="F1056" s="42" t="s">
        <v>38</v>
      </c>
      <c r="G1056" s="43">
        <v>3636.36</v>
      </c>
      <c r="H1056" s="41">
        <v>443499117</v>
      </c>
      <c r="I1056" s="44">
        <v>0</v>
      </c>
      <c r="J1056" s="43">
        <v>0</v>
      </c>
      <c r="K1056" s="43">
        <v>0</v>
      </c>
      <c r="L1056" s="43">
        <v>0</v>
      </c>
      <c r="M1056" s="43">
        <v>9975.19</v>
      </c>
      <c r="N1056" s="45" t="s">
        <v>150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35">
        <v>45918.729351851849</v>
      </c>
      <c r="B1057" s="36">
        <v>444280563</v>
      </c>
      <c r="C1057" s="37" t="s">
        <v>36</v>
      </c>
      <c r="D1057" s="37" t="s">
        <v>39</v>
      </c>
      <c r="E1057" s="37" t="s">
        <v>46</v>
      </c>
      <c r="F1057" s="37" t="s">
        <v>38</v>
      </c>
      <c r="G1057" s="38">
        <v>3636.8</v>
      </c>
      <c r="H1057" s="36">
        <v>443499544</v>
      </c>
      <c r="I1057" s="39">
        <v>0</v>
      </c>
      <c r="J1057" s="38">
        <v>0</v>
      </c>
      <c r="K1057" s="38">
        <v>0</v>
      </c>
      <c r="L1057" s="38">
        <v>0</v>
      </c>
      <c r="M1057" s="38">
        <v>9975.19</v>
      </c>
      <c r="N1057" s="46" t="s">
        <v>268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40">
        <v>45918.729363425926</v>
      </c>
      <c r="B1058" s="41">
        <v>444280565</v>
      </c>
      <c r="C1058" s="42" t="s">
        <v>36</v>
      </c>
      <c r="D1058" s="42" t="s">
        <v>39</v>
      </c>
      <c r="E1058" s="42" t="s">
        <v>46</v>
      </c>
      <c r="F1058" s="42" t="s">
        <v>38</v>
      </c>
      <c r="G1058" s="43">
        <v>3636.8</v>
      </c>
      <c r="H1058" s="41">
        <v>443499547</v>
      </c>
      <c r="I1058" s="44">
        <v>0</v>
      </c>
      <c r="J1058" s="43">
        <v>0</v>
      </c>
      <c r="K1058" s="43">
        <v>0</v>
      </c>
      <c r="L1058" s="43">
        <v>0</v>
      </c>
      <c r="M1058" s="43">
        <v>9975.19</v>
      </c>
      <c r="N1058" s="45" t="s">
        <v>616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35">
        <v>45918.730497685188</v>
      </c>
      <c r="B1059" s="36">
        <v>444281437</v>
      </c>
      <c r="C1059" s="37" t="s">
        <v>36</v>
      </c>
      <c r="D1059" s="37" t="s">
        <v>37</v>
      </c>
      <c r="E1059" s="37" t="s">
        <v>47</v>
      </c>
      <c r="F1059" s="37" t="s">
        <v>38</v>
      </c>
      <c r="G1059" s="38">
        <v>3639.29</v>
      </c>
      <c r="H1059" s="36">
        <v>443500516</v>
      </c>
      <c r="I1059" s="39">
        <v>0</v>
      </c>
      <c r="J1059" s="38">
        <v>0</v>
      </c>
      <c r="K1059" s="38">
        <v>0</v>
      </c>
      <c r="L1059" s="38">
        <v>-3.01</v>
      </c>
      <c r="M1059" s="38">
        <v>9972.18</v>
      </c>
      <c r="N1059" s="46" t="s">
        <v>625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40">
        <v>45918.730497685188</v>
      </c>
      <c r="B1060" s="41">
        <v>444281438</v>
      </c>
      <c r="C1060" s="42" t="s">
        <v>36</v>
      </c>
      <c r="D1060" s="42" t="s">
        <v>37</v>
      </c>
      <c r="E1060" s="42" t="s">
        <v>47</v>
      </c>
      <c r="F1060" s="42" t="s">
        <v>38</v>
      </c>
      <c r="G1060" s="43">
        <v>3639.29</v>
      </c>
      <c r="H1060" s="41">
        <v>443500517</v>
      </c>
      <c r="I1060" s="44">
        <v>0</v>
      </c>
      <c r="J1060" s="43">
        <v>0</v>
      </c>
      <c r="K1060" s="43">
        <v>0</v>
      </c>
      <c r="L1060" s="43">
        <v>-2.82</v>
      </c>
      <c r="M1060" s="43">
        <v>9969.36</v>
      </c>
      <c r="N1060" s="45" t="s">
        <v>625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35">
        <v>45918.730497685188</v>
      </c>
      <c r="B1061" s="36">
        <v>444281439</v>
      </c>
      <c r="C1061" s="37" t="s">
        <v>36</v>
      </c>
      <c r="D1061" s="37" t="s">
        <v>37</v>
      </c>
      <c r="E1061" s="37" t="s">
        <v>47</v>
      </c>
      <c r="F1061" s="37" t="s">
        <v>38</v>
      </c>
      <c r="G1061" s="38">
        <v>3639.29</v>
      </c>
      <c r="H1061" s="36">
        <v>443500518</v>
      </c>
      <c r="I1061" s="39">
        <v>0</v>
      </c>
      <c r="J1061" s="38">
        <v>0</v>
      </c>
      <c r="K1061" s="38">
        <v>0</v>
      </c>
      <c r="L1061" s="38">
        <v>-2.97</v>
      </c>
      <c r="M1061" s="38">
        <v>9966.39</v>
      </c>
      <c r="N1061" s="46" t="s">
        <v>625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40">
        <v>45918.730509259258</v>
      </c>
      <c r="B1062" s="41">
        <v>444281467</v>
      </c>
      <c r="C1062" s="42" t="s">
        <v>36</v>
      </c>
      <c r="D1062" s="42" t="s">
        <v>37</v>
      </c>
      <c r="E1062" s="42" t="s">
        <v>47</v>
      </c>
      <c r="F1062" s="42" t="s">
        <v>38</v>
      </c>
      <c r="G1062" s="43">
        <v>3639.38</v>
      </c>
      <c r="H1062" s="41">
        <v>443500547</v>
      </c>
      <c r="I1062" s="44">
        <v>0</v>
      </c>
      <c r="J1062" s="43">
        <v>0</v>
      </c>
      <c r="K1062" s="43">
        <v>0</v>
      </c>
      <c r="L1062" s="43">
        <v>-3.02</v>
      </c>
      <c r="M1062" s="43">
        <v>9963.3700000000008</v>
      </c>
      <c r="N1062" s="45" t="s">
        <v>821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35">
        <v>45918.733275462961</v>
      </c>
      <c r="B1063" s="36">
        <v>444284042</v>
      </c>
      <c r="C1063" s="37" t="s">
        <v>36</v>
      </c>
      <c r="D1063" s="37" t="s">
        <v>37</v>
      </c>
      <c r="E1063" s="37" t="s">
        <v>47</v>
      </c>
      <c r="F1063" s="37" t="s">
        <v>38</v>
      </c>
      <c r="G1063" s="38">
        <v>3639.81</v>
      </c>
      <c r="H1063" s="36">
        <v>443503260</v>
      </c>
      <c r="I1063" s="39">
        <v>0</v>
      </c>
      <c r="J1063" s="38">
        <v>0</v>
      </c>
      <c r="K1063" s="38">
        <v>0</v>
      </c>
      <c r="L1063" s="38">
        <v>-3.39</v>
      </c>
      <c r="M1063" s="38">
        <v>9959.98</v>
      </c>
      <c r="N1063" s="46" t="s">
        <v>626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40">
        <v>45918.733275462961</v>
      </c>
      <c r="B1064" s="41">
        <v>444284043</v>
      </c>
      <c r="C1064" s="42" t="s">
        <v>36</v>
      </c>
      <c r="D1064" s="42" t="s">
        <v>37</v>
      </c>
      <c r="E1064" s="42" t="s">
        <v>47</v>
      </c>
      <c r="F1064" s="42" t="s">
        <v>38</v>
      </c>
      <c r="G1064" s="43">
        <v>3639.81</v>
      </c>
      <c r="H1064" s="41">
        <v>443503262</v>
      </c>
      <c r="I1064" s="44">
        <v>0</v>
      </c>
      <c r="J1064" s="43">
        <v>0</v>
      </c>
      <c r="K1064" s="43">
        <v>0</v>
      </c>
      <c r="L1064" s="43">
        <v>-3.52</v>
      </c>
      <c r="M1064" s="43">
        <v>9956.4599999999991</v>
      </c>
      <c r="N1064" s="45" t="s">
        <v>626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35">
        <v>45918.733275462961</v>
      </c>
      <c r="B1065" s="36">
        <v>444284045</v>
      </c>
      <c r="C1065" s="37" t="s">
        <v>36</v>
      </c>
      <c r="D1065" s="37" t="s">
        <v>37</v>
      </c>
      <c r="E1065" s="37" t="s">
        <v>47</v>
      </c>
      <c r="F1065" s="37" t="s">
        <v>38</v>
      </c>
      <c r="G1065" s="38">
        <v>3639.81</v>
      </c>
      <c r="H1065" s="36">
        <v>443503263</v>
      </c>
      <c r="I1065" s="39">
        <v>0</v>
      </c>
      <c r="J1065" s="38">
        <v>0</v>
      </c>
      <c r="K1065" s="38">
        <v>0</v>
      </c>
      <c r="L1065" s="38">
        <v>-3.46</v>
      </c>
      <c r="M1065" s="38">
        <v>9953</v>
      </c>
      <c r="N1065" s="46" t="s">
        <v>626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40">
        <v>45918.733275462961</v>
      </c>
      <c r="B1066" s="41">
        <v>444284047</v>
      </c>
      <c r="C1066" s="42" t="s">
        <v>36</v>
      </c>
      <c r="D1066" s="42" t="s">
        <v>37</v>
      </c>
      <c r="E1066" s="42" t="s">
        <v>47</v>
      </c>
      <c r="F1066" s="42" t="s">
        <v>38</v>
      </c>
      <c r="G1066" s="43">
        <v>3639.81</v>
      </c>
      <c r="H1066" s="41">
        <v>443503264</v>
      </c>
      <c r="I1066" s="44">
        <v>0</v>
      </c>
      <c r="J1066" s="43">
        <v>0</v>
      </c>
      <c r="K1066" s="43">
        <v>0</v>
      </c>
      <c r="L1066" s="43">
        <v>-3.01</v>
      </c>
      <c r="M1066" s="43">
        <v>9949.99</v>
      </c>
      <c r="N1066" s="45" t="s">
        <v>822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35">
        <v>45918.73333333333</v>
      </c>
      <c r="B1067" s="36">
        <v>444284153</v>
      </c>
      <c r="C1067" s="37" t="s">
        <v>36</v>
      </c>
      <c r="D1067" s="37" t="s">
        <v>37</v>
      </c>
      <c r="E1067" s="37" t="s">
        <v>47</v>
      </c>
      <c r="F1067" s="37" t="s">
        <v>38</v>
      </c>
      <c r="G1067" s="38">
        <v>3639.83</v>
      </c>
      <c r="H1067" s="36">
        <v>443503379</v>
      </c>
      <c r="I1067" s="39">
        <v>0</v>
      </c>
      <c r="J1067" s="38">
        <v>0</v>
      </c>
      <c r="K1067" s="38">
        <v>0</v>
      </c>
      <c r="L1067" s="38">
        <v>-3.03</v>
      </c>
      <c r="M1067" s="38">
        <v>9946.9599999999991</v>
      </c>
      <c r="N1067" s="46" t="s">
        <v>823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40">
        <v>45918.736527777779</v>
      </c>
      <c r="B1068" s="41">
        <v>444287054</v>
      </c>
      <c r="C1068" s="42" t="s">
        <v>36</v>
      </c>
      <c r="D1068" s="42" t="s">
        <v>37</v>
      </c>
      <c r="E1068" s="42" t="s">
        <v>46</v>
      </c>
      <c r="F1068" s="42" t="s">
        <v>38</v>
      </c>
      <c r="G1068" s="43">
        <v>3642.66</v>
      </c>
      <c r="H1068" s="41">
        <v>443506618</v>
      </c>
      <c r="I1068" s="44">
        <v>0</v>
      </c>
      <c r="J1068" s="43">
        <v>0</v>
      </c>
      <c r="K1068" s="43">
        <v>0</v>
      </c>
      <c r="L1068" s="43">
        <v>0</v>
      </c>
      <c r="M1068" s="43">
        <v>9946.9599999999991</v>
      </c>
      <c r="N1068" s="45" t="s">
        <v>793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35">
        <v>45918.736539351848</v>
      </c>
      <c r="B1069" s="36">
        <v>444287056</v>
      </c>
      <c r="C1069" s="37" t="s">
        <v>36</v>
      </c>
      <c r="D1069" s="37" t="s">
        <v>37</v>
      </c>
      <c r="E1069" s="37" t="s">
        <v>46</v>
      </c>
      <c r="F1069" s="37" t="s">
        <v>38</v>
      </c>
      <c r="G1069" s="38">
        <v>3642.69</v>
      </c>
      <c r="H1069" s="36">
        <v>443506620</v>
      </c>
      <c r="I1069" s="39">
        <v>0</v>
      </c>
      <c r="J1069" s="38">
        <v>0</v>
      </c>
      <c r="K1069" s="38">
        <v>0</v>
      </c>
      <c r="L1069" s="38">
        <v>0</v>
      </c>
      <c r="M1069" s="38">
        <v>9946.9599999999991</v>
      </c>
      <c r="N1069" s="46" t="s">
        <v>809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40">
        <v>45918.738032407404</v>
      </c>
      <c r="B1070" s="41">
        <v>444288073</v>
      </c>
      <c r="C1070" s="42" t="s">
        <v>36</v>
      </c>
      <c r="D1070" s="42" t="s">
        <v>37</v>
      </c>
      <c r="E1070" s="42" t="s">
        <v>46</v>
      </c>
      <c r="F1070" s="42" t="s">
        <v>38</v>
      </c>
      <c r="G1070" s="43">
        <v>3641.93</v>
      </c>
      <c r="H1070" s="41">
        <v>443507805</v>
      </c>
      <c r="I1070" s="44">
        <v>0</v>
      </c>
      <c r="J1070" s="43">
        <v>0</v>
      </c>
      <c r="K1070" s="43">
        <v>0</v>
      </c>
      <c r="L1070" s="43">
        <v>0</v>
      </c>
      <c r="M1070" s="43">
        <v>9946.9599999999991</v>
      </c>
      <c r="N1070" s="45" t="s">
        <v>653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35">
        <v>45918.738043981481</v>
      </c>
      <c r="B1071" s="36">
        <v>444288075</v>
      </c>
      <c r="C1071" s="37" t="s">
        <v>36</v>
      </c>
      <c r="D1071" s="37" t="s">
        <v>37</v>
      </c>
      <c r="E1071" s="37" t="s">
        <v>46</v>
      </c>
      <c r="F1071" s="37" t="s">
        <v>38</v>
      </c>
      <c r="G1071" s="38">
        <v>3641.9</v>
      </c>
      <c r="H1071" s="36">
        <v>443507807</v>
      </c>
      <c r="I1071" s="39">
        <v>0</v>
      </c>
      <c r="J1071" s="38">
        <v>0</v>
      </c>
      <c r="K1071" s="38">
        <v>0</v>
      </c>
      <c r="L1071" s="38">
        <v>0</v>
      </c>
      <c r="M1071" s="38">
        <v>9946.9599999999991</v>
      </c>
      <c r="N1071" s="46" t="s">
        <v>771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40">
        <v>45918.738043981481</v>
      </c>
      <c r="B1072" s="41">
        <v>444288076</v>
      </c>
      <c r="C1072" s="42" t="s">
        <v>36</v>
      </c>
      <c r="D1072" s="42" t="s">
        <v>37</v>
      </c>
      <c r="E1072" s="42" t="s">
        <v>46</v>
      </c>
      <c r="F1072" s="42" t="s">
        <v>38</v>
      </c>
      <c r="G1072" s="43">
        <v>3641.92</v>
      </c>
      <c r="H1072" s="41">
        <v>443507809</v>
      </c>
      <c r="I1072" s="44">
        <v>0</v>
      </c>
      <c r="J1072" s="43">
        <v>0</v>
      </c>
      <c r="K1072" s="43">
        <v>0</v>
      </c>
      <c r="L1072" s="43">
        <v>0</v>
      </c>
      <c r="M1072" s="43">
        <v>9946.9599999999991</v>
      </c>
      <c r="N1072" s="45" t="s">
        <v>150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35">
        <v>45918.738043981481</v>
      </c>
      <c r="B1073" s="36">
        <v>444288077</v>
      </c>
      <c r="C1073" s="37" t="s">
        <v>36</v>
      </c>
      <c r="D1073" s="37" t="s">
        <v>37</v>
      </c>
      <c r="E1073" s="37" t="s">
        <v>46</v>
      </c>
      <c r="F1073" s="37" t="s">
        <v>38</v>
      </c>
      <c r="G1073" s="38">
        <v>3641.89</v>
      </c>
      <c r="H1073" s="36">
        <v>443507811</v>
      </c>
      <c r="I1073" s="39">
        <v>0</v>
      </c>
      <c r="J1073" s="38">
        <v>0</v>
      </c>
      <c r="K1073" s="38">
        <v>0</v>
      </c>
      <c r="L1073" s="38">
        <v>0</v>
      </c>
      <c r="M1073" s="38">
        <v>9946.9599999999991</v>
      </c>
      <c r="N1073" s="46" t="s">
        <v>647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40">
        <v>45918.738043981481</v>
      </c>
      <c r="B1074" s="41">
        <v>444288079</v>
      </c>
      <c r="C1074" s="42" t="s">
        <v>36</v>
      </c>
      <c r="D1074" s="42" t="s">
        <v>37</v>
      </c>
      <c r="E1074" s="42" t="s">
        <v>46</v>
      </c>
      <c r="F1074" s="42" t="s">
        <v>38</v>
      </c>
      <c r="G1074" s="43">
        <v>3641.86</v>
      </c>
      <c r="H1074" s="41">
        <v>443507814</v>
      </c>
      <c r="I1074" s="44">
        <v>0</v>
      </c>
      <c r="J1074" s="43">
        <v>0</v>
      </c>
      <c r="K1074" s="43">
        <v>0</v>
      </c>
      <c r="L1074" s="43">
        <v>0</v>
      </c>
      <c r="M1074" s="43">
        <v>9946.9599999999991</v>
      </c>
      <c r="N1074" s="45" t="s">
        <v>49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35">
        <v>45918.738055555557</v>
      </c>
      <c r="B1075" s="36">
        <v>444288083</v>
      </c>
      <c r="C1075" s="37" t="s">
        <v>36</v>
      </c>
      <c r="D1075" s="37" t="s">
        <v>37</v>
      </c>
      <c r="E1075" s="37" t="s">
        <v>46</v>
      </c>
      <c r="F1075" s="37" t="s">
        <v>38</v>
      </c>
      <c r="G1075" s="38">
        <v>3641.87</v>
      </c>
      <c r="H1075" s="36">
        <v>443507819</v>
      </c>
      <c r="I1075" s="39">
        <v>0</v>
      </c>
      <c r="J1075" s="38">
        <v>0</v>
      </c>
      <c r="K1075" s="38">
        <v>0</v>
      </c>
      <c r="L1075" s="38">
        <v>0</v>
      </c>
      <c r="M1075" s="38">
        <v>9946.9599999999991</v>
      </c>
      <c r="N1075" s="46" t="s">
        <v>48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40">
        <v>45918.738055555557</v>
      </c>
      <c r="B1076" s="41">
        <v>444288084</v>
      </c>
      <c r="C1076" s="42" t="s">
        <v>36</v>
      </c>
      <c r="D1076" s="42" t="s">
        <v>37</v>
      </c>
      <c r="E1076" s="42" t="s">
        <v>46</v>
      </c>
      <c r="F1076" s="42" t="s">
        <v>38</v>
      </c>
      <c r="G1076" s="43">
        <v>3641.86</v>
      </c>
      <c r="H1076" s="41">
        <v>443507820</v>
      </c>
      <c r="I1076" s="44">
        <v>0</v>
      </c>
      <c r="J1076" s="43">
        <v>0</v>
      </c>
      <c r="K1076" s="43">
        <v>0</v>
      </c>
      <c r="L1076" s="43">
        <v>0</v>
      </c>
      <c r="M1076" s="43">
        <v>9946.9599999999991</v>
      </c>
      <c r="N1076" s="45" t="s">
        <v>53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35">
        <v>45918.74</v>
      </c>
      <c r="B1077" s="36">
        <v>444289085</v>
      </c>
      <c r="C1077" s="37" t="s">
        <v>36</v>
      </c>
      <c r="D1077" s="37" t="s">
        <v>39</v>
      </c>
      <c r="E1077" s="37" t="s">
        <v>46</v>
      </c>
      <c r="F1077" s="37" t="s">
        <v>38</v>
      </c>
      <c r="G1077" s="38">
        <v>3640.72</v>
      </c>
      <c r="H1077" s="36">
        <v>443508965</v>
      </c>
      <c r="I1077" s="39">
        <v>0</v>
      </c>
      <c r="J1077" s="38">
        <v>0</v>
      </c>
      <c r="K1077" s="38">
        <v>0</v>
      </c>
      <c r="L1077" s="38">
        <v>0</v>
      </c>
      <c r="M1077" s="38">
        <v>9946.9599999999991</v>
      </c>
      <c r="N1077" s="46" t="s">
        <v>268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40">
        <v>45918.740370370368</v>
      </c>
      <c r="B1078" s="41">
        <v>444289293</v>
      </c>
      <c r="C1078" s="42" t="s">
        <v>36</v>
      </c>
      <c r="D1078" s="42" t="s">
        <v>39</v>
      </c>
      <c r="E1078" s="42" t="s">
        <v>47</v>
      </c>
      <c r="F1078" s="42" t="s">
        <v>38</v>
      </c>
      <c r="G1078" s="43">
        <v>3643.4</v>
      </c>
      <c r="H1078" s="41">
        <v>443509196</v>
      </c>
      <c r="I1078" s="44">
        <v>0</v>
      </c>
      <c r="J1078" s="43">
        <v>0</v>
      </c>
      <c r="K1078" s="43">
        <v>0</v>
      </c>
      <c r="L1078" s="43">
        <v>1.47</v>
      </c>
      <c r="M1078" s="43">
        <v>9948.43</v>
      </c>
      <c r="N1078" s="45" t="s">
        <v>824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35">
        <v>45918.74046296296</v>
      </c>
      <c r="B1079" s="36">
        <v>444289341</v>
      </c>
      <c r="C1079" s="37" t="s">
        <v>36</v>
      </c>
      <c r="D1079" s="37" t="s">
        <v>39</v>
      </c>
      <c r="E1079" s="37" t="s">
        <v>47</v>
      </c>
      <c r="F1079" s="37" t="s">
        <v>38</v>
      </c>
      <c r="G1079" s="38">
        <v>3643.43</v>
      </c>
      <c r="H1079" s="36">
        <v>443509242</v>
      </c>
      <c r="I1079" s="39">
        <v>0</v>
      </c>
      <c r="J1079" s="38">
        <v>0</v>
      </c>
      <c r="K1079" s="38">
        <v>0</v>
      </c>
      <c r="L1079" s="38">
        <v>1.51</v>
      </c>
      <c r="M1079" s="38">
        <v>9949.94</v>
      </c>
      <c r="N1079" s="46" t="s">
        <v>825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40">
        <v>45918.74046296296</v>
      </c>
      <c r="B1080" s="41">
        <v>444289342</v>
      </c>
      <c r="C1080" s="42" t="s">
        <v>36</v>
      </c>
      <c r="D1080" s="42" t="s">
        <v>39</v>
      </c>
      <c r="E1080" s="42" t="s">
        <v>47</v>
      </c>
      <c r="F1080" s="42" t="s">
        <v>38</v>
      </c>
      <c r="G1080" s="43">
        <v>3643.43</v>
      </c>
      <c r="H1080" s="41">
        <v>443509243</v>
      </c>
      <c r="I1080" s="44">
        <v>0</v>
      </c>
      <c r="J1080" s="43">
        <v>0</v>
      </c>
      <c r="K1080" s="43">
        <v>0</v>
      </c>
      <c r="L1080" s="43">
        <v>1.54</v>
      </c>
      <c r="M1080" s="43">
        <v>9951.48</v>
      </c>
      <c r="N1080" s="45" t="s">
        <v>825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35">
        <v>45918.74050925926</v>
      </c>
      <c r="B1081" s="36">
        <v>444289398</v>
      </c>
      <c r="C1081" s="37" t="s">
        <v>36</v>
      </c>
      <c r="D1081" s="37" t="s">
        <v>37</v>
      </c>
      <c r="E1081" s="37" t="s">
        <v>47</v>
      </c>
      <c r="F1081" s="37" t="s">
        <v>38</v>
      </c>
      <c r="G1081" s="38">
        <v>3643.73</v>
      </c>
      <c r="H1081" s="36">
        <v>443509318</v>
      </c>
      <c r="I1081" s="39">
        <v>0</v>
      </c>
      <c r="J1081" s="38">
        <v>0</v>
      </c>
      <c r="K1081" s="38">
        <v>0</v>
      </c>
      <c r="L1081" s="38">
        <v>-3.01</v>
      </c>
      <c r="M1081" s="38">
        <v>9948.4699999999993</v>
      </c>
      <c r="N1081" s="46" t="s">
        <v>826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40">
        <v>45918.741273148145</v>
      </c>
      <c r="B1082" s="41">
        <v>444290035</v>
      </c>
      <c r="C1082" s="42" t="s">
        <v>36</v>
      </c>
      <c r="D1082" s="42" t="s">
        <v>39</v>
      </c>
      <c r="E1082" s="42" t="s">
        <v>47</v>
      </c>
      <c r="F1082" s="42" t="s">
        <v>38</v>
      </c>
      <c r="G1082" s="43">
        <v>3644.94</v>
      </c>
      <c r="H1082" s="41">
        <v>443510227</v>
      </c>
      <c r="I1082" s="44">
        <v>0</v>
      </c>
      <c r="J1082" s="43">
        <v>0</v>
      </c>
      <c r="K1082" s="43">
        <v>0</v>
      </c>
      <c r="L1082" s="43">
        <v>3.08</v>
      </c>
      <c r="M1082" s="43">
        <v>9951.5499999999993</v>
      </c>
      <c r="N1082" s="45" t="s">
        <v>827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35">
        <v>45918.741273148145</v>
      </c>
      <c r="B1083" s="36">
        <v>444290037</v>
      </c>
      <c r="C1083" s="37" t="s">
        <v>36</v>
      </c>
      <c r="D1083" s="37" t="s">
        <v>39</v>
      </c>
      <c r="E1083" s="37" t="s">
        <v>47</v>
      </c>
      <c r="F1083" s="37" t="s">
        <v>38</v>
      </c>
      <c r="G1083" s="38">
        <v>3644.94</v>
      </c>
      <c r="H1083" s="36">
        <v>443510228</v>
      </c>
      <c r="I1083" s="39">
        <v>0</v>
      </c>
      <c r="J1083" s="38">
        <v>0</v>
      </c>
      <c r="K1083" s="38">
        <v>0</v>
      </c>
      <c r="L1083" s="38">
        <v>3.07</v>
      </c>
      <c r="M1083" s="38">
        <v>9954.6200000000008</v>
      </c>
      <c r="N1083" s="46" t="s">
        <v>827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40">
        <v>45918.741273148145</v>
      </c>
      <c r="B1084" s="41">
        <v>444290050</v>
      </c>
      <c r="C1084" s="42" t="s">
        <v>36</v>
      </c>
      <c r="D1084" s="42" t="s">
        <v>39</v>
      </c>
      <c r="E1084" s="42" t="s">
        <v>47</v>
      </c>
      <c r="F1084" s="42" t="s">
        <v>38</v>
      </c>
      <c r="G1084" s="43">
        <v>3645.48</v>
      </c>
      <c r="H1084" s="41">
        <v>443510242</v>
      </c>
      <c r="I1084" s="44">
        <v>0</v>
      </c>
      <c r="J1084" s="43">
        <v>0</v>
      </c>
      <c r="K1084" s="43">
        <v>0</v>
      </c>
      <c r="L1084" s="43">
        <v>3.58</v>
      </c>
      <c r="M1084" s="43">
        <v>9958.2000000000007</v>
      </c>
      <c r="N1084" s="45" t="s">
        <v>828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35">
        <v>45918.741273148145</v>
      </c>
      <c r="B1085" s="36">
        <v>444290052</v>
      </c>
      <c r="C1085" s="37" t="s">
        <v>36</v>
      </c>
      <c r="D1085" s="37" t="s">
        <v>39</v>
      </c>
      <c r="E1085" s="37" t="s">
        <v>47</v>
      </c>
      <c r="F1085" s="37" t="s">
        <v>38</v>
      </c>
      <c r="G1085" s="38">
        <v>3645.48</v>
      </c>
      <c r="H1085" s="36">
        <v>443510243</v>
      </c>
      <c r="I1085" s="39">
        <v>0</v>
      </c>
      <c r="J1085" s="38">
        <v>0</v>
      </c>
      <c r="K1085" s="38">
        <v>0</v>
      </c>
      <c r="L1085" s="38">
        <v>3.62</v>
      </c>
      <c r="M1085" s="38">
        <v>9961.82</v>
      </c>
      <c r="N1085" s="46" t="s">
        <v>828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40">
        <v>45918.742129629631</v>
      </c>
      <c r="B1086" s="41">
        <v>444290794</v>
      </c>
      <c r="C1086" s="42" t="s">
        <v>36</v>
      </c>
      <c r="D1086" s="42" t="s">
        <v>39</v>
      </c>
      <c r="E1086" s="42" t="s">
        <v>47</v>
      </c>
      <c r="F1086" s="42" t="s">
        <v>38</v>
      </c>
      <c r="G1086" s="43">
        <v>3646.2</v>
      </c>
      <c r="H1086" s="41">
        <v>443511134</v>
      </c>
      <c r="I1086" s="44">
        <v>0</v>
      </c>
      <c r="J1086" s="43">
        <v>0</v>
      </c>
      <c r="K1086" s="43">
        <v>0</v>
      </c>
      <c r="L1086" s="43">
        <v>3.54</v>
      </c>
      <c r="M1086" s="43">
        <v>9965.36</v>
      </c>
      <c r="N1086" s="45" t="s">
        <v>829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35">
        <v>45918.742905092593</v>
      </c>
      <c r="B1087" s="36">
        <v>444291435</v>
      </c>
      <c r="C1087" s="37" t="s">
        <v>36</v>
      </c>
      <c r="D1087" s="37" t="s">
        <v>39</v>
      </c>
      <c r="E1087" s="37" t="s">
        <v>47</v>
      </c>
      <c r="F1087" s="37" t="s">
        <v>38</v>
      </c>
      <c r="G1087" s="38">
        <v>3645.41</v>
      </c>
      <c r="H1087" s="36">
        <v>443511902</v>
      </c>
      <c r="I1087" s="39">
        <v>0</v>
      </c>
      <c r="J1087" s="38">
        <v>0</v>
      </c>
      <c r="K1087" s="38">
        <v>0</v>
      </c>
      <c r="L1087" s="38">
        <v>2.72</v>
      </c>
      <c r="M1087" s="38">
        <v>9968.08</v>
      </c>
      <c r="N1087" s="46" t="s">
        <v>830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40">
        <v>45918.743009259262</v>
      </c>
      <c r="B1088" s="41">
        <v>444291493</v>
      </c>
      <c r="C1088" s="42" t="s">
        <v>36</v>
      </c>
      <c r="D1088" s="42" t="s">
        <v>37</v>
      </c>
      <c r="E1088" s="42" t="s">
        <v>46</v>
      </c>
      <c r="F1088" s="42" t="s">
        <v>38</v>
      </c>
      <c r="G1088" s="43">
        <v>3645.31</v>
      </c>
      <c r="H1088" s="41">
        <v>443511962</v>
      </c>
      <c r="I1088" s="44">
        <v>0</v>
      </c>
      <c r="J1088" s="43">
        <v>0</v>
      </c>
      <c r="K1088" s="43">
        <v>0</v>
      </c>
      <c r="L1088" s="43">
        <v>0</v>
      </c>
      <c r="M1088" s="43">
        <v>9968.08</v>
      </c>
      <c r="N1088" s="45" t="s">
        <v>793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35">
        <v>45918.743020833332</v>
      </c>
      <c r="B1089" s="36">
        <v>444291500</v>
      </c>
      <c r="C1089" s="37" t="s">
        <v>36</v>
      </c>
      <c r="D1089" s="37" t="s">
        <v>37</v>
      </c>
      <c r="E1089" s="37" t="s">
        <v>46</v>
      </c>
      <c r="F1089" s="37" t="s">
        <v>38</v>
      </c>
      <c r="G1089" s="38">
        <v>3645.16</v>
      </c>
      <c r="H1089" s="36">
        <v>443511969</v>
      </c>
      <c r="I1089" s="39">
        <v>0</v>
      </c>
      <c r="J1089" s="38">
        <v>0</v>
      </c>
      <c r="K1089" s="38">
        <v>0</v>
      </c>
      <c r="L1089" s="38">
        <v>0</v>
      </c>
      <c r="M1089" s="38">
        <v>9968.08</v>
      </c>
      <c r="N1089" s="46" t="s">
        <v>809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40">
        <v>45918.745312500003</v>
      </c>
      <c r="B1090" s="41">
        <v>444293083</v>
      </c>
      <c r="C1090" s="42" t="s">
        <v>36</v>
      </c>
      <c r="D1090" s="42" t="s">
        <v>39</v>
      </c>
      <c r="E1090" s="42" t="s">
        <v>47</v>
      </c>
      <c r="F1090" s="42" t="s">
        <v>38</v>
      </c>
      <c r="G1090" s="43">
        <v>3642.33</v>
      </c>
      <c r="H1090" s="41">
        <v>443513766</v>
      </c>
      <c r="I1090" s="44">
        <v>0</v>
      </c>
      <c r="J1090" s="43">
        <v>0</v>
      </c>
      <c r="K1090" s="43">
        <v>0</v>
      </c>
      <c r="L1090" s="43">
        <v>-2.98</v>
      </c>
      <c r="M1090" s="43">
        <v>9965.1</v>
      </c>
      <c r="N1090" s="45" t="s">
        <v>858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35">
        <v>45918.745312500003</v>
      </c>
      <c r="B1091" s="36">
        <v>444293085</v>
      </c>
      <c r="C1091" s="37" t="s">
        <v>36</v>
      </c>
      <c r="D1091" s="37" t="s">
        <v>39</v>
      </c>
      <c r="E1091" s="37" t="s">
        <v>47</v>
      </c>
      <c r="F1091" s="37" t="s">
        <v>38</v>
      </c>
      <c r="G1091" s="38">
        <v>3642.31</v>
      </c>
      <c r="H1091" s="36">
        <v>443513768</v>
      </c>
      <c r="I1091" s="39">
        <v>0</v>
      </c>
      <c r="J1091" s="38">
        <v>0</v>
      </c>
      <c r="K1091" s="38">
        <v>0</v>
      </c>
      <c r="L1091" s="38">
        <v>-2.85</v>
      </c>
      <c r="M1091" s="38">
        <v>9962.25</v>
      </c>
      <c r="N1091" s="46" t="s">
        <v>804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40">
        <v>45918.74659722222</v>
      </c>
      <c r="B1092" s="41">
        <v>444294353</v>
      </c>
      <c r="C1092" s="42" t="s">
        <v>36</v>
      </c>
      <c r="D1092" s="42" t="s">
        <v>39</v>
      </c>
      <c r="E1092" s="42" t="s">
        <v>46</v>
      </c>
      <c r="F1092" s="42" t="s">
        <v>38</v>
      </c>
      <c r="G1092" s="43">
        <v>3641.9</v>
      </c>
      <c r="H1092" s="41">
        <v>443515164</v>
      </c>
      <c r="I1092" s="44">
        <v>0</v>
      </c>
      <c r="J1092" s="43">
        <v>0</v>
      </c>
      <c r="K1092" s="43">
        <v>0</v>
      </c>
      <c r="L1092" s="43">
        <v>0</v>
      </c>
      <c r="M1092" s="43">
        <v>9962.25</v>
      </c>
      <c r="N1092" s="45" t="s">
        <v>809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35">
        <v>45918.746608796297</v>
      </c>
      <c r="B1093" s="36">
        <v>444294355</v>
      </c>
      <c r="C1093" s="37" t="s">
        <v>36</v>
      </c>
      <c r="D1093" s="37" t="s">
        <v>39</v>
      </c>
      <c r="E1093" s="37" t="s">
        <v>46</v>
      </c>
      <c r="F1093" s="37" t="s">
        <v>38</v>
      </c>
      <c r="G1093" s="38">
        <v>3641.87</v>
      </c>
      <c r="H1093" s="36">
        <v>443515166</v>
      </c>
      <c r="I1093" s="39">
        <v>0</v>
      </c>
      <c r="J1093" s="38">
        <v>0</v>
      </c>
      <c r="K1093" s="38">
        <v>0</v>
      </c>
      <c r="L1093" s="38">
        <v>0</v>
      </c>
      <c r="M1093" s="38">
        <v>9962.25</v>
      </c>
      <c r="N1093" s="46" t="s">
        <v>793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40">
        <v>45918.748749999999</v>
      </c>
      <c r="B1094" s="41">
        <v>444295608</v>
      </c>
      <c r="C1094" s="42" t="s">
        <v>36</v>
      </c>
      <c r="D1094" s="42" t="s">
        <v>37</v>
      </c>
      <c r="E1094" s="42" t="s">
        <v>47</v>
      </c>
      <c r="F1094" s="42" t="s">
        <v>38</v>
      </c>
      <c r="G1094" s="43">
        <v>3640.64</v>
      </c>
      <c r="H1094" s="41">
        <v>443516617</v>
      </c>
      <c r="I1094" s="44">
        <v>0</v>
      </c>
      <c r="J1094" s="43">
        <v>0</v>
      </c>
      <c r="K1094" s="43">
        <v>0</v>
      </c>
      <c r="L1094" s="43">
        <v>1.26</v>
      </c>
      <c r="M1094" s="43">
        <v>9963.51</v>
      </c>
      <c r="N1094" s="45" t="s">
        <v>859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35">
        <v>45918.748749999999</v>
      </c>
      <c r="B1095" s="36">
        <v>444295609</v>
      </c>
      <c r="C1095" s="37" t="s">
        <v>36</v>
      </c>
      <c r="D1095" s="37" t="s">
        <v>37</v>
      </c>
      <c r="E1095" s="37" t="s">
        <v>47</v>
      </c>
      <c r="F1095" s="37" t="s">
        <v>38</v>
      </c>
      <c r="G1095" s="38">
        <v>3640.64</v>
      </c>
      <c r="H1095" s="36">
        <v>443516618</v>
      </c>
      <c r="I1095" s="39">
        <v>0</v>
      </c>
      <c r="J1095" s="38">
        <v>0</v>
      </c>
      <c r="K1095" s="38">
        <v>0</v>
      </c>
      <c r="L1095" s="38">
        <v>1.23</v>
      </c>
      <c r="M1095" s="38">
        <v>9964.74</v>
      </c>
      <c r="N1095" s="46" t="s">
        <v>860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40">
        <v>45918.748912037037</v>
      </c>
      <c r="B1096" s="41">
        <v>444295673</v>
      </c>
      <c r="C1096" s="42" t="s">
        <v>36</v>
      </c>
      <c r="D1096" s="42" t="s">
        <v>39</v>
      </c>
      <c r="E1096" s="42" t="s">
        <v>46</v>
      </c>
      <c r="F1096" s="42" t="s">
        <v>38</v>
      </c>
      <c r="G1096" s="43">
        <v>3640.23</v>
      </c>
      <c r="H1096" s="41">
        <v>443516693</v>
      </c>
      <c r="I1096" s="44">
        <v>0</v>
      </c>
      <c r="J1096" s="43">
        <v>0</v>
      </c>
      <c r="K1096" s="43">
        <v>0</v>
      </c>
      <c r="L1096" s="43">
        <v>0</v>
      </c>
      <c r="M1096" s="43">
        <v>9964.74</v>
      </c>
      <c r="N1096" s="45" t="s">
        <v>809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35">
        <v>45918.748923611114</v>
      </c>
      <c r="B1097" s="36">
        <v>444295675</v>
      </c>
      <c r="C1097" s="37" t="s">
        <v>36</v>
      </c>
      <c r="D1097" s="37" t="s">
        <v>39</v>
      </c>
      <c r="E1097" s="37" t="s">
        <v>46</v>
      </c>
      <c r="F1097" s="37" t="s">
        <v>38</v>
      </c>
      <c r="G1097" s="38">
        <v>3640.23</v>
      </c>
      <c r="H1097" s="36">
        <v>443516695</v>
      </c>
      <c r="I1097" s="39">
        <v>0</v>
      </c>
      <c r="J1097" s="38">
        <v>0</v>
      </c>
      <c r="K1097" s="38">
        <v>0</v>
      </c>
      <c r="L1097" s="38">
        <v>0</v>
      </c>
      <c r="M1097" s="38">
        <v>9964.74</v>
      </c>
      <c r="N1097" s="46" t="s">
        <v>793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40">
        <v>45918.7503125</v>
      </c>
      <c r="B1098" s="41">
        <v>444297040</v>
      </c>
      <c r="C1098" s="42" t="s">
        <v>36</v>
      </c>
      <c r="D1098" s="42" t="s">
        <v>37</v>
      </c>
      <c r="E1098" s="42" t="s">
        <v>47</v>
      </c>
      <c r="F1098" s="42" t="s">
        <v>38</v>
      </c>
      <c r="G1098" s="43">
        <v>3639.19</v>
      </c>
      <c r="H1098" s="41">
        <v>443518210</v>
      </c>
      <c r="I1098" s="44">
        <v>0</v>
      </c>
      <c r="J1098" s="43">
        <v>0</v>
      </c>
      <c r="K1098" s="43">
        <v>0</v>
      </c>
      <c r="L1098" s="43">
        <v>1.04</v>
      </c>
      <c r="M1098" s="43">
        <v>9965.7800000000007</v>
      </c>
      <c r="N1098" s="45" t="s">
        <v>861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35">
        <v>45918.750324074077</v>
      </c>
      <c r="B1099" s="36">
        <v>444297044</v>
      </c>
      <c r="C1099" s="37" t="s">
        <v>36</v>
      </c>
      <c r="D1099" s="37" t="s">
        <v>37</v>
      </c>
      <c r="E1099" s="37" t="s">
        <v>47</v>
      </c>
      <c r="F1099" s="37" t="s">
        <v>38</v>
      </c>
      <c r="G1099" s="38">
        <v>3639.26</v>
      </c>
      <c r="H1099" s="36">
        <v>443518214</v>
      </c>
      <c r="I1099" s="39">
        <v>0</v>
      </c>
      <c r="J1099" s="38">
        <v>0</v>
      </c>
      <c r="K1099" s="38">
        <v>0</v>
      </c>
      <c r="L1099" s="38">
        <v>0.97</v>
      </c>
      <c r="M1099" s="38">
        <v>9966.75</v>
      </c>
      <c r="N1099" s="46" t="s">
        <v>862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40">
        <v>45918.750416666669</v>
      </c>
      <c r="B1100" s="41">
        <v>444297152</v>
      </c>
      <c r="C1100" s="42" t="s">
        <v>36</v>
      </c>
      <c r="D1100" s="42" t="s">
        <v>39</v>
      </c>
      <c r="E1100" s="42" t="s">
        <v>46</v>
      </c>
      <c r="F1100" s="42" t="s">
        <v>38</v>
      </c>
      <c r="G1100" s="43">
        <v>3639.25</v>
      </c>
      <c r="H1100" s="41">
        <v>443518337</v>
      </c>
      <c r="I1100" s="44">
        <v>0</v>
      </c>
      <c r="J1100" s="43">
        <v>0</v>
      </c>
      <c r="K1100" s="43">
        <v>0</v>
      </c>
      <c r="L1100" s="43">
        <v>0</v>
      </c>
      <c r="M1100" s="43">
        <v>9966.75</v>
      </c>
      <c r="N1100" s="45" t="s">
        <v>793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35">
        <v>45918.750428240739</v>
      </c>
      <c r="B1101" s="36">
        <v>444297156</v>
      </c>
      <c r="C1101" s="37" t="s">
        <v>36</v>
      </c>
      <c r="D1101" s="37" t="s">
        <v>39</v>
      </c>
      <c r="E1101" s="37" t="s">
        <v>46</v>
      </c>
      <c r="F1101" s="37" t="s">
        <v>38</v>
      </c>
      <c r="G1101" s="38">
        <v>3639.45</v>
      </c>
      <c r="H1101" s="36">
        <v>443518341</v>
      </c>
      <c r="I1101" s="39">
        <v>0</v>
      </c>
      <c r="J1101" s="38">
        <v>0</v>
      </c>
      <c r="K1101" s="38">
        <v>0</v>
      </c>
      <c r="L1101" s="38">
        <v>0</v>
      </c>
      <c r="M1101" s="38">
        <v>9966.75</v>
      </c>
      <c r="N1101" s="46" t="s">
        <v>809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40">
        <v>45918.750879629632</v>
      </c>
      <c r="B1102" s="41">
        <v>444297572</v>
      </c>
      <c r="C1102" s="42" t="s">
        <v>36</v>
      </c>
      <c r="D1102" s="42" t="s">
        <v>39</v>
      </c>
      <c r="E1102" s="42" t="s">
        <v>46</v>
      </c>
      <c r="F1102" s="42" t="s">
        <v>38</v>
      </c>
      <c r="G1102" s="43">
        <v>3640.33</v>
      </c>
      <c r="H1102" s="41">
        <v>443518796</v>
      </c>
      <c r="I1102" s="44">
        <v>0</v>
      </c>
      <c r="J1102" s="43">
        <v>0</v>
      </c>
      <c r="K1102" s="43">
        <v>0</v>
      </c>
      <c r="L1102" s="43">
        <v>0</v>
      </c>
      <c r="M1102" s="43">
        <v>9966.75</v>
      </c>
      <c r="N1102" s="45" t="s">
        <v>647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35">
        <v>45918.750891203701</v>
      </c>
      <c r="B1103" s="36">
        <v>444297574</v>
      </c>
      <c r="C1103" s="37" t="s">
        <v>36</v>
      </c>
      <c r="D1103" s="37" t="s">
        <v>39</v>
      </c>
      <c r="E1103" s="37" t="s">
        <v>46</v>
      </c>
      <c r="F1103" s="37" t="s">
        <v>38</v>
      </c>
      <c r="G1103" s="38">
        <v>3640.33</v>
      </c>
      <c r="H1103" s="36">
        <v>443518798</v>
      </c>
      <c r="I1103" s="39">
        <v>0</v>
      </c>
      <c r="J1103" s="38">
        <v>0</v>
      </c>
      <c r="K1103" s="38">
        <v>0</v>
      </c>
      <c r="L1103" s="38">
        <v>0</v>
      </c>
      <c r="M1103" s="38">
        <v>9966.75</v>
      </c>
      <c r="N1103" s="46" t="s">
        <v>771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40">
        <v>45918.750891203701</v>
      </c>
      <c r="B1104" s="41">
        <v>444297576</v>
      </c>
      <c r="C1104" s="42" t="s">
        <v>36</v>
      </c>
      <c r="D1104" s="42" t="s">
        <v>39</v>
      </c>
      <c r="E1104" s="42" t="s">
        <v>46</v>
      </c>
      <c r="F1104" s="42" t="s">
        <v>38</v>
      </c>
      <c r="G1104" s="43">
        <v>3640.32</v>
      </c>
      <c r="H1104" s="41">
        <v>443518800</v>
      </c>
      <c r="I1104" s="44">
        <v>0</v>
      </c>
      <c r="J1104" s="43">
        <v>0</v>
      </c>
      <c r="K1104" s="43">
        <v>0</v>
      </c>
      <c r="L1104" s="43">
        <v>0</v>
      </c>
      <c r="M1104" s="43">
        <v>9966.75</v>
      </c>
      <c r="N1104" s="45" t="s">
        <v>150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35">
        <v>45918.750891203701</v>
      </c>
      <c r="B1105" s="36">
        <v>444297577</v>
      </c>
      <c r="C1105" s="37" t="s">
        <v>36</v>
      </c>
      <c r="D1105" s="37" t="s">
        <v>39</v>
      </c>
      <c r="E1105" s="37" t="s">
        <v>46</v>
      </c>
      <c r="F1105" s="37" t="s">
        <v>38</v>
      </c>
      <c r="G1105" s="38">
        <v>3640.31</v>
      </c>
      <c r="H1105" s="36">
        <v>443518801</v>
      </c>
      <c r="I1105" s="39">
        <v>0</v>
      </c>
      <c r="J1105" s="38">
        <v>0</v>
      </c>
      <c r="K1105" s="38">
        <v>0</v>
      </c>
      <c r="L1105" s="38">
        <v>0</v>
      </c>
      <c r="M1105" s="38">
        <v>9966.75</v>
      </c>
      <c r="N1105" s="46" t="s">
        <v>653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40">
        <v>45918.750891203701</v>
      </c>
      <c r="B1106" s="41">
        <v>444297578</v>
      </c>
      <c r="C1106" s="42" t="s">
        <v>36</v>
      </c>
      <c r="D1106" s="42" t="s">
        <v>39</v>
      </c>
      <c r="E1106" s="42" t="s">
        <v>46</v>
      </c>
      <c r="F1106" s="42" t="s">
        <v>38</v>
      </c>
      <c r="G1106" s="43">
        <v>3640.37</v>
      </c>
      <c r="H1106" s="41">
        <v>443518803</v>
      </c>
      <c r="I1106" s="44">
        <v>0</v>
      </c>
      <c r="J1106" s="43">
        <v>0</v>
      </c>
      <c r="K1106" s="43">
        <v>0</v>
      </c>
      <c r="L1106" s="43">
        <v>0</v>
      </c>
      <c r="M1106" s="43">
        <v>9966.75</v>
      </c>
      <c r="N1106" s="45" t="s">
        <v>53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35">
        <v>45918.750902777778</v>
      </c>
      <c r="B1107" s="36">
        <v>444297579</v>
      </c>
      <c r="C1107" s="37" t="s">
        <v>36</v>
      </c>
      <c r="D1107" s="37" t="s">
        <v>39</v>
      </c>
      <c r="E1107" s="37" t="s">
        <v>46</v>
      </c>
      <c r="F1107" s="37" t="s">
        <v>38</v>
      </c>
      <c r="G1107" s="38">
        <v>3640.39</v>
      </c>
      <c r="H1107" s="36">
        <v>443518805</v>
      </c>
      <c r="I1107" s="39">
        <v>0</v>
      </c>
      <c r="J1107" s="38">
        <v>0</v>
      </c>
      <c r="K1107" s="38">
        <v>0</v>
      </c>
      <c r="L1107" s="38">
        <v>0</v>
      </c>
      <c r="M1107" s="38">
        <v>9966.75</v>
      </c>
      <c r="N1107" s="46" t="s">
        <v>48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40">
        <v>45918.750902777778</v>
      </c>
      <c r="B1108" s="41">
        <v>444297580</v>
      </c>
      <c r="C1108" s="42" t="s">
        <v>36</v>
      </c>
      <c r="D1108" s="42" t="s">
        <v>39</v>
      </c>
      <c r="E1108" s="42" t="s">
        <v>46</v>
      </c>
      <c r="F1108" s="42" t="s">
        <v>38</v>
      </c>
      <c r="G1108" s="43">
        <v>3640.3</v>
      </c>
      <c r="H1108" s="41">
        <v>443518806</v>
      </c>
      <c r="I1108" s="44">
        <v>0</v>
      </c>
      <c r="J1108" s="43">
        <v>0</v>
      </c>
      <c r="K1108" s="43">
        <v>0</v>
      </c>
      <c r="L1108" s="43">
        <v>0</v>
      </c>
      <c r="M1108" s="43">
        <v>9966.75</v>
      </c>
      <c r="N1108" s="45" t="s">
        <v>49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35">
        <v>45918.751388888886</v>
      </c>
      <c r="B1109" s="36">
        <v>444297806</v>
      </c>
      <c r="C1109" s="37" t="s">
        <v>36</v>
      </c>
      <c r="D1109" s="37" t="s">
        <v>37</v>
      </c>
      <c r="E1109" s="37" t="s">
        <v>47</v>
      </c>
      <c r="F1109" s="37" t="s">
        <v>38</v>
      </c>
      <c r="G1109" s="38">
        <v>3638.87</v>
      </c>
      <c r="H1109" s="36">
        <v>443519092</v>
      </c>
      <c r="I1109" s="39">
        <v>0</v>
      </c>
      <c r="J1109" s="38">
        <v>0</v>
      </c>
      <c r="K1109" s="38">
        <v>0</v>
      </c>
      <c r="L1109" s="38">
        <v>1.46</v>
      </c>
      <c r="M1109" s="38">
        <v>9968.2099999999991</v>
      </c>
      <c r="N1109" s="46" t="s">
        <v>863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40">
        <v>45918.752129629633</v>
      </c>
      <c r="B1110" s="41">
        <v>444298209</v>
      </c>
      <c r="C1110" s="42" t="s">
        <v>36</v>
      </c>
      <c r="D1110" s="42" t="s">
        <v>37</v>
      </c>
      <c r="E1110" s="42" t="s">
        <v>47</v>
      </c>
      <c r="F1110" s="42" t="s">
        <v>38</v>
      </c>
      <c r="G1110" s="43">
        <v>3641.83</v>
      </c>
      <c r="H1110" s="41">
        <v>443519550</v>
      </c>
      <c r="I1110" s="44">
        <v>0</v>
      </c>
      <c r="J1110" s="43">
        <v>0</v>
      </c>
      <c r="K1110" s="43">
        <v>0</v>
      </c>
      <c r="L1110" s="43">
        <v>-1.52</v>
      </c>
      <c r="M1110" s="43">
        <v>9966.69</v>
      </c>
      <c r="N1110" s="45" t="s">
        <v>864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35">
        <v>45918.756909722222</v>
      </c>
      <c r="B1111" s="36">
        <v>444300155</v>
      </c>
      <c r="C1111" s="37" t="s">
        <v>36</v>
      </c>
      <c r="D1111" s="37" t="s">
        <v>37</v>
      </c>
      <c r="E1111" s="37" t="s">
        <v>47</v>
      </c>
      <c r="F1111" s="37" t="s">
        <v>38</v>
      </c>
      <c r="G1111" s="38">
        <v>3638.83</v>
      </c>
      <c r="H1111" s="36">
        <v>443521917</v>
      </c>
      <c r="I1111" s="39">
        <v>0</v>
      </c>
      <c r="J1111" s="38">
        <v>0</v>
      </c>
      <c r="K1111" s="38">
        <v>0</v>
      </c>
      <c r="L1111" s="38">
        <v>1.49</v>
      </c>
      <c r="M1111" s="38">
        <v>9968.18</v>
      </c>
      <c r="N1111" s="46" t="s">
        <v>865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40">
        <v>45918.757662037038</v>
      </c>
      <c r="B1112" s="41">
        <v>444300796</v>
      </c>
      <c r="C1112" s="42" t="s">
        <v>36</v>
      </c>
      <c r="D1112" s="42" t="s">
        <v>37</v>
      </c>
      <c r="E1112" s="42" t="s">
        <v>47</v>
      </c>
      <c r="F1112" s="42" t="s">
        <v>38</v>
      </c>
      <c r="G1112" s="43">
        <v>3637.26</v>
      </c>
      <c r="H1112" s="41">
        <v>443522639</v>
      </c>
      <c r="I1112" s="44">
        <v>0</v>
      </c>
      <c r="J1112" s="43">
        <v>0</v>
      </c>
      <c r="K1112" s="43">
        <v>0</v>
      </c>
      <c r="L1112" s="43">
        <v>3.13</v>
      </c>
      <c r="M1112" s="43">
        <v>9971.31</v>
      </c>
      <c r="N1112" s="45" t="s">
        <v>866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35">
        <v>45918.757662037038</v>
      </c>
      <c r="B1113" s="36">
        <v>444300797</v>
      </c>
      <c r="C1113" s="37" t="s">
        <v>36</v>
      </c>
      <c r="D1113" s="37" t="s">
        <v>37</v>
      </c>
      <c r="E1113" s="37" t="s">
        <v>47</v>
      </c>
      <c r="F1113" s="37" t="s">
        <v>38</v>
      </c>
      <c r="G1113" s="38">
        <v>3637.26</v>
      </c>
      <c r="H1113" s="36">
        <v>443522640</v>
      </c>
      <c r="I1113" s="39">
        <v>0</v>
      </c>
      <c r="J1113" s="38">
        <v>0</v>
      </c>
      <c r="K1113" s="38">
        <v>0</v>
      </c>
      <c r="L1113" s="38">
        <v>3.04</v>
      </c>
      <c r="M1113" s="38">
        <v>9974.35</v>
      </c>
      <c r="N1113" s="46" t="s">
        <v>866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40">
        <v>45918.757997685185</v>
      </c>
      <c r="B1114" s="41">
        <v>444301029</v>
      </c>
      <c r="C1114" s="42" t="s">
        <v>36</v>
      </c>
      <c r="D1114" s="42" t="s">
        <v>37</v>
      </c>
      <c r="E1114" s="42" t="s">
        <v>47</v>
      </c>
      <c r="F1114" s="42" t="s">
        <v>38</v>
      </c>
      <c r="G1114" s="43">
        <v>3638.09</v>
      </c>
      <c r="H1114" s="41">
        <v>443522912</v>
      </c>
      <c r="I1114" s="44">
        <v>0</v>
      </c>
      <c r="J1114" s="43">
        <v>0</v>
      </c>
      <c r="K1114" s="43">
        <v>0</v>
      </c>
      <c r="L1114" s="43">
        <v>1.1599999999999999</v>
      </c>
      <c r="M1114" s="43">
        <v>9975.51</v>
      </c>
      <c r="N1114" s="45" t="s">
        <v>867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35">
        <v>45918.757997685185</v>
      </c>
      <c r="B1115" s="36">
        <v>444301030</v>
      </c>
      <c r="C1115" s="37" t="s">
        <v>36</v>
      </c>
      <c r="D1115" s="37" t="s">
        <v>37</v>
      </c>
      <c r="E1115" s="37" t="s">
        <v>47</v>
      </c>
      <c r="F1115" s="37" t="s">
        <v>38</v>
      </c>
      <c r="G1115" s="38">
        <v>3638.09</v>
      </c>
      <c r="H1115" s="36">
        <v>443522913</v>
      </c>
      <c r="I1115" s="39">
        <v>0</v>
      </c>
      <c r="J1115" s="38">
        <v>0</v>
      </c>
      <c r="K1115" s="38">
        <v>0</v>
      </c>
      <c r="L1115" s="38">
        <v>1.36</v>
      </c>
      <c r="M1115" s="38">
        <v>9976.8700000000008</v>
      </c>
      <c r="N1115" s="46" t="s">
        <v>868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40">
        <v>45918.758055555554</v>
      </c>
      <c r="B1116" s="41">
        <v>444301047</v>
      </c>
      <c r="C1116" s="42" t="s">
        <v>36</v>
      </c>
      <c r="D1116" s="42" t="s">
        <v>39</v>
      </c>
      <c r="E1116" s="42" t="s">
        <v>46</v>
      </c>
      <c r="F1116" s="42" t="s">
        <v>38</v>
      </c>
      <c r="G1116" s="43">
        <v>3638.17</v>
      </c>
      <c r="H1116" s="41">
        <v>443522942</v>
      </c>
      <c r="I1116" s="44">
        <v>0</v>
      </c>
      <c r="J1116" s="43">
        <v>0</v>
      </c>
      <c r="K1116" s="43">
        <v>0</v>
      </c>
      <c r="L1116" s="43">
        <v>0</v>
      </c>
      <c r="M1116" s="43">
        <v>9976.8700000000008</v>
      </c>
      <c r="N1116" s="45" t="s">
        <v>809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35">
        <v>45918.758067129631</v>
      </c>
      <c r="B1117" s="36">
        <v>444301048</v>
      </c>
      <c r="C1117" s="37" t="s">
        <v>36</v>
      </c>
      <c r="D1117" s="37" t="s">
        <v>39</v>
      </c>
      <c r="E1117" s="37" t="s">
        <v>46</v>
      </c>
      <c r="F1117" s="37" t="s">
        <v>38</v>
      </c>
      <c r="G1117" s="38">
        <v>3638.16</v>
      </c>
      <c r="H1117" s="36">
        <v>443522944</v>
      </c>
      <c r="I1117" s="39">
        <v>0</v>
      </c>
      <c r="J1117" s="38">
        <v>0</v>
      </c>
      <c r="K1117" s="38">
        <v>0</v>
      </c>
      <c r="L1117" s="38">
        <v>0</v>
      </c>
      <c r="M1117" s="38">
        <v>9976.8700000000008</v>
      </c>
      <c r="N1117" s="46" t="s">
        <v>793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40">
        <v>45918.758240740739</v>
      </c>
      <c r="B1118" s="41">
        <v>444301091</v>
      </c>
      <c r="C1118" s="42" t="s">
        <v>36</v>
      </c>
      <c r="D1118" s="42" t="s">
        <v>37</v>
      </c>
      <c r="E1118" s="42" t="s">
        <v>47</v>
      </c>
      <c r="F1118" s="42" t="s">
        <v>38</v>
      </c>
      <c r="G1118" s="43">
        <v>3638.89</v>
      </c>
      <c r="H1118" s="41">
        <v>443523014</v>
      </c>
      <c r="I1118" s="44">
        <v>0</v>
      </c>
      <c r="J1118" s="43">
        <v>0</v>
      </c>
      <c r="K1118" s="43">
        <v>0</v>
      </c>
      <c r="L1118" s="43">
        <v>1.44</v>
      </c>
      <c r="M1118" s="43">
        <v>9978.31</v>
      </c>
      <c r="N1118" s="45" t="s">
        <v>869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35">
        <v>45918.758240740739</v>
      </c>
      <c r="B1119" s="36">
        <v>444301092</v>
      </c>
      <c r="C1119" s="37" t="s">
        <v>36</v>
      </c>
      <c r="D1119" s="37" t="s">
        <v>37</v>
      </c>
      <c r="E1119" s="37" t="s">
        <v>47</v>
      </c>
      <c r="F1119" s="37" t="s">
        <v>38</v>
      </c>
      <c r="G1119" s="38">
        <v>3638.89</v>
      </c>
      <c r="H1119" s="36">
        <v>443523015</v>
      </c>
      <c r="I1119" s="39">
        <v>0</v>
      </c>
      <c r="J1119" s="38">
        <v>0</v>
      </c>
      <c r="K1119" s="38">
        <v>0</v>
      </c>
      <c r="L1119" s="38">
        <v>1.48</v>
      </c>
      <c r="M1119" s="38">
        <v>9979.7900000000009</v>
      </c>
      <c r="N1119" s="46" t="s">
        <v>870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40">
        <v>45918.758287037039</v>
      </c>
      <c r="B1120" s="41">
        <v>444301114</v>
      </c>
      <c r="C1120" s="42" t="s">
        <v>36</v>
      </c>
      <c r="D1120" s="42" t="s">
        <v>39</v>
      </c>
      <c r="E1120" s="42" t="s">
        <v>46</v>
      </c>
      <c r="F1120" s="42" t="s">
        <v>38</v>
      </c>
      <c r="G1120" s="43">
        <v>3638.91</v>
      </c>
      <c r="H1120" s="41">
        <v>443523045</v>
      </c>
      <c r="I1120" s="44">
        <v>0</v>
      </c>
      <c r="J1120" s="43">
        <v>0</v>
      </c>
      <c r="K1120" s="43">
        <v>0</v>
      </c>
      <c r="L1120" s="43">
        <v>0</v>
      </c>
      <c r="M1120" s="43">
        <v>9979.7900000000009</v>
      </c>
      <c r="N1120" s="45" t="s">
        <v>150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35">
        <v>45918.758298611108</v>
      </c>
      <c r="B1121" s="36">
        <v>444301115</v>
      </c>
      <c r="C1121" s="37" t="s">
        <v>36</v>
      </c>
      <c r="D1121" s="37" t="s">
        <v>39</v>
      </c>
      <c r="E1121" s="37" t="s">
        <v>46</v>
      </c>
      <c r="F1121" s="37" t="s">
        <v>38</v>
      </c>
      <c r="G1121" s="38">
        <v>3638.81</v>
      </c>
      <c r="H1121" s="36">
        <v>443523046</v>
      </c>
      <c r="I1121" s="39">
        <v>0</v>
      </c>
      <c r="J1121" s="38">
        <v>0</v>
      </c>
      <c r="K1121" s="38">
        <v>0</v>
      </c>
      <c r="L1121" s="38">
        <v>0</v>
      </c>
      <c r="M1121" s="38">
        <v>9979.7900000000009</v>
      </c>
      <c r="N1121" s="46" t="s">
        <v>48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40">
        <v>45918.758298611108</v>
      </c>
      <c r="B1122" s="41">
        <v>444301116</v>
      </c>
      <c r="C1122" s="42" t="s">
        <v>36</v>
      </c>
      <c r="D1122" s="42" t="s">
        <v>39</v>
      </c>
      <c r="E1122" s="42" t="s">
        <v>46</v>
      </c>
      <c r="F1122" s="42" t="s">
        <v>38</v>
      </c>
      <c r="G1122" s="43">
        <v>3638.82</v>
      </c>
      <c r="H1122" s="41">
        <v>443523047</v>
      </c>
      <c r="I1122" s="44">
        <v>0</v>
      </c>
      <c r="J1122" s="43">
        <v>0</v>
      </c>
      <c r="K1122" s="43">
        <v>0</v>
      </c>
      <c r="L1122" s="43">
        <v>0</v>
      </c>
      <c r="M1122" s="43">
        <v>9979.7900000000009</v>
      </c>
      <c r="N1122" s="45" t="s">
        <v>49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35">
        <v>45918.758298611108</v>
      </c>
      <c r="B1123" s="36">
        <v>444301117</v>
      </c>
      <c r="C1123" s="37" t="s">
        <v>36</v>
      </c>
      <c r="D1123" s="37" t="s">
        <v>39</v>
      </c>
      <c r="E1123" s="37" t="s">
        <v>46</v>
      </c>
      <c r="F1123" s="37" t="s">
        <v>38</v>
      </c>
      <c r="G1123" s="38">
        <v>3638.82</v>
      </c>
      <c r="H1123" s="36">
        <v>443523048</v>
      </c>
      <c r="I1123" s="39">
        <v>0</v>
      </c>
      <c r="J1123" s="38">
        <v>0</v>
      </c>
      <c r="K1123" s="38">
        <v>0</v>
      </c>
      <c r="L1123" s="38">
        <v>0</v>
      </c>
      <c r="M1123" s="38">
        <v>9979.7900000000009</v>
      </c>
      <c r="N1123" s="46" t="s">
        <v>53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40">
        <v>45918.759444444448</v>
      </c>
      <c r="B1124" s="41">
        <v>444301582</v>
      </c>
      <c r="C1124" s="42" t="s">
        <v>36</v>
      </c>
      <c r="D1124" s="42" t="s">
        <v>39</v>
      </c>
      <c r="E1124" s="42" t="s">
        <v>46</v>
      </c>
      <c r="F1124" s="42" t="s">
        <v>38</v>
      </c>
      <c r="G1124" s="43">
        <v>3639.44</v>
      </c>
      <c r="H1124" s="41">
        <v>443523629</v>
      </c>
      <c r="I1124" s="44">
        <v>0</v>
      </c>
      <c r="J1124" s="43">
        <v>0</v>
      </c>
      <c r="K1124" s="43">
        <v>0</v>
      </c>
      <c r="L1124" s="43">
        <v>0</v>
      </c>
      <c r="M1124" s="43">
        <v>9979.7900000000009</v>
      </c>
      <c r="N1124" s="45" t="s">
        <v>268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35">
        <v>45918.762499999997</v>
      </c>
      <c r="B1125" s="36">
        <v>444304138</v>
      </c>
      <c r="C1125" s="37" t="s">
        <v>36</v>
      </c>
      <c r="D1125" s="37" t="s">
        <v>37</v>
      </c>
      <c r="E1125" s="37" t="s">
        <v>47</v>
      </c>
      <c r="F1125" s="37" t="s">
        <v>38</v>
      </c>
      <c r="G1125" s="38">
        <v>3641.16</v>
      </c>
      <c r="H1125" s="36">
        <v>443526494</v>
      </c>
      <c r="I1125" s="39">
        <v>0</v>
      </c>
      <c r="J1125" s="38">
        <v>0</v>
      </c>
      <c r="K1125" s="38">
        <v>0</v>
      </c>
      <c r="L1125" s="38">
        <v>-2.99</v>
      </c>
      <c r="M1125" s="38">
        <v>9976.7999999999993</v>
      </c>
      <c r="N1125" s="46" t="s">
        <v>871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40">
        <v>45918.762499999997</v>
      </c>
      <c r="B1126" s="41">
        <v>444304139</v>
      </c>
      <c r="C1126" s="42" t="s">
        <v>36</v>
      </c>
      <c r="D1126" s="42" t="s">
        <v>37</v>
      </c>
      <c r="E1126" s="42" t="s">
        <v>47</v>
      </c>
      <c r="F1126" s="42" t="s">
        <v>38</v>
      </c>
      <c r="G1126" s="43">
        <v>3641.3</v>
      </c>
      <c r="H1126" s="41">
        <v>443526495</v>
      </c>
      <c r="I1126" s="44">
        <v>0</v>
      </c>
      <c r="J1126" s="43">
        <v>0</v>
      </c>
      <c r="K1126" s="43">
        <v>0</v>
      </c>
      <c r="L1126" s="43">
        <v>-3.14</v>
      </c>
      <c r="M1126" s="43">
        <v>9973.66</v>
      </c>
      <c r="N1126" s="45" t="s">
        <v>872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35">
        <v>45918.76253472222</v>
      </c>
      <c r="B1127" s="36">
        <v>444304157</v>
      </c>
      <c r="C1127" s="37" t="s">
        <v>36</v>
      </c>
      <c r="D1127" s="37" t="s">
        <v>37</v>
      </c>
      <c r="E1127" s="37" t="s">
        <v>47</v>
      </c>
      <c r="F1127" s="37" t="s">
        <v>38</v>
      </c>
      <c r="G1127" s="38">
        <v>3641.46</v>
      </c>
      <c r="H1127" s="36">
        <v>443526515</v>
      </c>
      <c r="I1127" s="39">
        <v>0</v>
      </c>
      <c r="J1127" s="38">
        <v>0</v>
      </c>
      <c r="K1127" s="38">
        <v>0</v>
      </c>
      <c r="L1127" s="38">
        <v>-2.64</v>
      </c>
      <c r="M1127" s="38">
        <v>9971.02</v>
      </c>
      <c r="N1127" s="46" t="s">
        <v>873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40">
        <v>45918.763287037036</v>
      </c>
      <c r="B1128" s="41">
        <v>444304453</v>
      </c>
      <c r="C1128" s="42" t="s">
        <v>36</v>
      </c>
      <c r="D1128" s="42" t="s">
        <v>37</v>
      </c>
      <c r="E1128" s="42" t="s">
        <v>47</v>
      </c>
      <c r="F1128" s="42" t="s">
        <v>38</v>
      </c>
      <c r="G1128" s="43">
        <v>3641.91</v>
      </c>
      <c r="H1128" s="41">
        <v>443526875</v>
      </c>
      <c r="I1128" s="44">
        <v>0</v>
      </c>
      <c r="J1128" s="43">
        <v>0</v>
      </c>
      <c r="K1128" s="43">
        <v>0</v>
      </c>
      <c r="L1128" s="43">
        <v>-3</v>
      </c>
      <c r="M1128" s="43">
        <v>9968.02</v>
      </c>
      <c r="N1128" s="45" t="s">
        <v>874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35">
        <v>45918.763287037036</v>
      </c>
      <c r="B1129" s="36">
        <v>444304454</v>
      </c>
      <c r="C1129" s="37" t="s">
        <v>36</v>
      </c>
      <c r="D1129" s="37" t="s">
        <v>37</v>
      </c>
      <c r="E1129" s="37" t="s">
        <v>47</v>
      </c>
      <c r="F1129" s="37" t="s">
        <v>38</v>
      </c>
      <c r="G1129" s="38">
        <v>3641.91</v>
      </c>
      <c r="H1129" s="36">
        <v>443526876</v>
      </c>
      <c r="I1129" s="39">
        <v>0</v>
      </c>
      <c r="J1129" s="38">
        <v>0</v>
      </c>
      <c r="K1129" s="38">
        <v>0</v>
      </c>
      <c r="L1129" s="38">
        <v>-3.1</v>
      </c>
      <c r="M1129" s="38">
        <v>9964.92</v>
      </c>
      <c r="N1129" s="46" t="s">
        <v>874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40">
        <v>45918.763287037036</v>
      </c>
      <c r="B1130" s="41">
        <v>444304455</v>
      </c>
      <c r="C1130" s="42" t="s">
        <v>36</v>
      </c>
      <c r="D1130" s="42" t="s">
        <v>37</v>
      </c>
      <c r="E1130" s="42" t="s">
        <v>47</v>
      </c>
      <c r="F1130" s="42" t="s">
        <v>38</v>
      </c>
      <c r="G1130" s="43">
        <v>3641.91</v>
      </c>
      <c r="H1130" s="41">
        <v>443526877</v>
      </c>
      <c r="I1130" s="44">
        <v>0</v>
      </c>
      <c r="J1130" s="43">
        <v>0</v>
      </c>
      <c r="K1130" s="43">
        <v>0</v>
      </c>
      <c r="L1130" s="43">
        <v>-3.09</v>
      </c>
      <c r="M1130" s="43">
        <v>9961.83</v>
      </c>
      <c r="N1130" s="45" t="s">
        <v>874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35">
        <v>45918.76394675926</v>
      </c>
      <c r="B1131" s="36">
        <v>444304880</v>
      </c>
      <c r="C1131" s="37" t="s">
        <v>36</v>
      </c>
      <c r="D1131" s="37" t="s">
        <v>37</v>
      </c>
      <c r="E1131" s="37" t="s">
        <v>47</v>
      </c>
      <c r="F1131" s="37" t="s">
        <v>38</v>
      </c>
      <c r="G1131" s="38">
        <v>3642.48</v>
      </c>
      <c r="H1131" s="36">
        <v>443527354</v>
      </c>
      <c r="I1131" s="39">
        <v>0</v>
      </c>
      <c r="J1131" s="38">
        <v>0</v>
      </c>
      <c r="K1131" s="38">
        <v>0</v>
      </c>
      <c r="L1131" s="38">
        <v>-3.04</v>
      </c>
      <c r="M1131" s="38">
        <v>9958.7900000000009</v>
      </c>
      <c r="N1131" s="46" t="s">
        <v>875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40">
        <v>45918.764421296299</v>
      </c>
      <c r="B1132" s="41">
        <v>444305186</v>
      </c>
      <c r="C1132" s="42" t="s">
        <v>36</v>
      </c>
      <c r="D1132" s="42" t="s">
        <v>37</v>
      </c>
      <c r="E1132" s="42" t="s">
        <v>46</v>
      </c>
      <c r="F1132" s="42" t="s">
        <v>38</v>
      </c>
      <c r="G1132" s="43">
        <v>3641.18</v>
      </c>
      <c r="H1132" s="41">
        <v>443527678</v>
      </c>
      <c r="I1132" s="44">
        <v>0</v>
      </c>
      <c r="J1132" s="43">
        <v>0</v>
      </c>
      <c r="K1132" s="43">
        <v>0</v>
      </c>
      <c r="L1132" s="43">
        <v>0</v>
      </c>
      <c r="M1132" s="43">
        <v>9958.7900000000009</v>
      </c>
      <c r="N1132" s="45" t="s">
        <v>793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35">
        <v>45918.764432870368</v>
      </c>
      <c r="B1133" s="36">
        <v>444305187</v>
      </c>
      <c r="C1133" s="37" t="s">
        <v>36</v>
      </c>
      <c r="D1133" s="37" t="s">
        <v>37</v>
      </c>
      <c r="E1133" s="37" t="s">
        <v>46</v>
      </c>
      <c r="F1133" s="37" t="s">
        <v>38</v>
      </c>
      <c r="G1133" s="38">
        <v>3641.12</v>
      </c>
      <c r="H1133" s="36">
        <v>443527679</v>
      </c>
      <c r="I1133" s="39">
        <v>0</v>
      </c>
      <c r="J1133" s="38">
        <v>0</v>
      </c>
      <c r="K1133" s="38">
        <v>0</v>
      </c>
      <c r="L1133" s="38">
        <v>0</v>
      </c>
      <c r="M1133" s="38">
        <v>9958.7900000000009</v>
      </c>
      <c r="N1133" s="46" t="s">
        <v>809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40">
        <v>45918.770902777775</v>
      </c>
      <c r="B1134" s="41">
        <v>444307586</v>
      </c>
      <c r="C1134" s="42" t="s">
        <v>36</v>
      </c>
      <c r="D1134" s="42" t="s">
        <v>39</v>
      </c>
      <c r="E1134" s="42" t="s">
        <v>46</v>
      </c>
      <c r="F1134" s="42" t="s">
        <v>38</v>
      </c>
      <c r="G1134" s="43">
        <v>3639.61</v>
      </c>
      <c r="H1134" s="41">
        <v>443530333</v>
      </c>
      <c r="I1134" s="44">
        <v>0</v>
      </c>
      <c r="J1134" s="43">
        <v>0</v>
      </c>
      <c r="K1134" s="43">
        <v>0</v>
      </c>
      <c r="L1134" s="43">
        <v>0</v>
      </c>
      <c r="M1134" s="43">
        <v>9958.7900000000009</v>
      </c>
      <c r="N1134" s="45" t="s">
        <v>268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35">
        <v>45918.792395833334</v>
      </c>
      <c r="B1135" s="36">
        <v>444312735</v>
      </c>
      <c r="C1135" s="37" t="s">
        <v>36</v>
      </c>
      <c r="D1135" s="37" t="s">
        <v>37</v>
      </c>
      <c r="E1135" s="37" t="s">
        <v>47</v>
      </c>
      <c r="F1135" s="37" t="s">
        <v>38</v>
      </c>
      <c r="G1135" s="38">
        <v>3642.75</v>
      </c>
      <c r="H1135" s="36">
        <v>443535320</v>
      </c>
      <c r="I1135" s="39">
        <v>0</v>
      </c>
      <c r="J1135" s="38">
        <v>0</v>
      </c>
      <c r="K1135" s="38">
        <v>0</v>
      </c>
      <c r="L1135" s="38">
        <v>-3.14</v>
      </c>
      <c r="M1135" s="38">
        <v>9955.65</v>
      </c>
      <c r="N1135" s="46" t="s">
        <v>876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40">
        <v>45918.794166666667</v>
      </c>
      <c r="B1136" s="41">
        <v>444313318</v>
      </c>
      <c r="C1136" s="42" t="s">
        <v>36</v>
      </c>
      <c r="D1136" s="42" t="s">
        <v>39</v>
      </c>
      <c r="E1136" s="42" t="s">
        <v>47</v>
      </c>
      <c r="F1136" s="42" t="s">
        <v>38</v>
      </c>
      <c r="G1136" s="43">
        <v>3641.66</v>
      </c>
      <c r="H1136" s="41">
        <v>443535914</v>
      </c>
      <c r="I1136" s="44">
        <v>0</v>
      </c>
      <c r="J1136" s="43">
        <v>0</v>
      </c>
      <c r="K1136" s="43">
        <v>0</v>
      </c>
      <c r="L1136" s="43">
        <v>0.48</v>
      </c>
      <c r="M1136" s="43">
        <v>9956.1299999999992</v>
      </c>
      <c r="N1136" s="45" t="s">
        <v>877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35">
        <v>45918.794166666667</v>
      </c>
      <c r="B1137" s="36">
        <v>444313319</v>
      </c>
      <c r="C1137" s="37" t="s">
        <v>36</v>
      </c>
      <c r="D1137" s="37" t="s">
        <v>39</v>
      </c>
      <c r="E1137" s="37" t="s">
        <v>47</v>
      </c>
      <c r="F1137" s="37" t="s">
        <v>38</v>
      </c>
      <c r="G1137" s="38">
        <v>3641.66</v>
      </c>
      <c r="H1137" s="36">
        <v>443535915</v>
      </c>
      <c r="I1137" s="39">
        <v>0</v>
      </c>
      <c r="J1137" s="38">
        <v>0</v>
      </c>
      <c r="K1137" s="38">
        <v>0</v>
      </c>
      <c r="L1137" s="38">
        <v>0.54</v>
      </c>
      <c r="M1137" s="38">
        <v>9956.67</v>
      </c>
      <c r="N1137" s="46" t="s">
        <v>878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40">
        <v>45918.794282407405</v>
      </c>
      <c r="B1138" s="41">
        <v>444313357</v>
      </c>
      <c r="C1138" s="42" t="s">
        <v>36</v>
      </c>
      <c r="D1138" s="42" t="s">
        <v>37</v>
      </c>
      <c r="E1138" s="42" t="s">
        <v>46</v>
      </c>
      <c r="F1138" s="42" t="s">
        <v>38</v>
      </c>
      <c r="G1138" s="43">
        <v>3641.76</v>
      </c>
      <c r="H1138" s="41">
        <v>443535946</v>
      </c>
      <c r="I1138" s="44">
        <v>0</v>
      </c>
      <c r="J1138" s="43">
        <v>0</v>
      </c>
      <c r="K1138" s="43">
        <v>0</v>
      </c>
      <c r="L1138" s="43">
        <v>0</v>
      </c>
      <c r="M1138" s="43">
        <v>9956.67</v>
      </c>
      <c r="N1138" s="45" t="s">
        <v>150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35">
        <v>45918.794282407405</v>
      </c>
      <c r="B1139" s="36">
        <v>444313358</v>
      </c>
      <c r="C1139" s="37" t="s">
        <v>36</v>
      </c>
      <c r="D1139" s="37" t="s">
        <v>37</v>
      </c>
      <c r="E1139" s="37" t="s">
        <v>46</v>
      </c>
      <c r="F1139" s="37" t="s">
        <v>38</v>
      </c>
      <c r="G1139" s="38">
        <v>3641.76</v>
      </c>
      <c r="H1139" s="36">
        <v>443535947</v>
      </c>
      <c r="I1139" s="39">
        <v>0</v>
      </c>
      <c r="J1139" s="38">
        <v>0</v>
      </c>
      <c r="K1139" s="38">
        <v>0</v>
      </c>
      <c r="L1139" s="38">
        <v>0</v>
      </c>
      <c r="M1139" s="38">
        <v>9956.67</v>
      </c>
      <c r="N1139" s="46" t="s">
        <v>647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40">
        <v>45918.794293981482</v>
      </c>
      <c r="B1140" s="41">
        <v>444313359</v>
      </c>
      <c r="C1140" s="42" t="s">
        <v>36</v>
      </c>
      <c r="D1140" s="42" t="s">
        <v>37</v>
      </c>
      <c r="E1140" s="42" t="s">
        <v>46</v>
      </c>
      <c r="F1140" s="42" t="s">
        <v>38</v>
      </c>
      <c r="G1140" s="43">
        <v>3641.76</v>
      </c>
      <c r="H1140" s="41">
        <v>443535948</v>
      </c>
      <c r="I1140" s="44">
        <v>0</v>
      </c>
      <c r="J1140" s="43">
        <v>0</v>
      </c>
      <c r="K1140" s="43">
        <v>0</v>
      </c>
      <c r="L1140" s="43">
        <v>0</v>
      </c>
      <c r="M1140" s="43">
        <v>9956.67</v>
      </c>
      <c r="N1140" s="45" t="s">
        <v>49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35">
        <v>45918.794293981482</v>
      </c>
      <c r="B1141" s="36">
        <v>444313361</v>
      </c>
      <c r="C1141" s="37" t="s">
        <v>36</v>
      </c>
      <c r="D1141" s="37" t="s">
        <v>37</v>
      </c>
      <c r="E1141" s="37" t="s">
        <v>46</v>
      </c>
      <c r="F1141" s="37" t="s">
        <v>38</v>
      </c>
      <c r="G1141" s="38">
        <v>3641.76</v>
      </c>
      <c r="H1141" s="36">
        <v>443535950</v>
      </c>
      <c r="I1141" s="39">
        <v>0</v>
      </c>
      <c r="J1141" s="38">
        <v>0</v>
      </c>
      <c r="K1141" s="38">
        <v>0</v>
      </c>
      <c r="L1141" s="38">
        <v>0</v>
      </c>
      <c r="M1141" s="38">
        <v>9956.67</v>
      </c>
      <c r="N1141" s="46" t="s">
        <v>653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40">
        <v>45918.794293981482</v>
      </c>
      <c r="B1142" s="41">
        <v>444313362</v>
      </c>
      <c r="C1142" s="42" t="s">
        <v>36</v>
      </c>
      <c r="D1142" s="42" t="s">
        <v>37</v>
      </c>
      <c r="E1142" s="42" t="s">
        <v>46</v>
      </c>
      <c r="F1142" s="42" t="s">
        <v>38</v>
      </c>
      <c r="G1142" s="43">
        <v>3641.89</v>
      </c>
      <c r="H1142" s="41">
        <v>443535951</v>
      </c>
      <c r="I1142" s="44">
        <v>0</v>
      </c>
      <c r="J1142" s="43">
        <v>0</v>
      </c>
      <c r="K1142" s="43">
        <v>0</v>
      </c>
      <c r="L1142" s="43">
        <v>0</v>
      </c>
      <c r="M1142" s="43">
        <v>9956.67</v>
      </c>
      <c r="N1142" s="45" t="s">
        <v>53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35">
        <v>45918.794293981482</v>
      </c>
      <c r="B1143" s="36">
        <v>444313364</v>
      </c>
      <c r="C1143" s="37" t="s">
        <v>36</v>
      </c>
      <c r="D1143" s="37" t="s">
        <v>37</v>
      </c>
      <c r="E1143" s="37" t="s">
        <v>46</v>
      </c>
      <c r="F1143" s="37" t="s">
        <v>38</v>
      </c>
      <c r="G1143" s="38">
        <v>3641.85</v>
      </c>
      <c r="H1143" s="36">
        <v>443535953</v>
      </c>
      <c r="I1143" s="39">
        <v>0</v>
      </c>
      <c r="J1143" s="38">
        <v>0</v>
      </c>
      <c r="K1143" s="38">
        <v>0</v>
      </c>
      <c r="L1143" s="38">
        <v>0</v>
      </c>
      <c r="M1143" s="38">
        <v>9956.67</v>
      </c>
      <c r="N1143" s="46" t="s">
        <v>771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40">
        <v>45918.794305555559</v>
      </c>
      <c r="B1144" s="41">
        <v>444313367</v>
      </c>
      <c r="C1144" s="42" t="s">
        <v>36</v>
      </c>
      <c r="D1144" s="42" t="s">
        <v>37</v>
      </c>
      <c r="E1144" s="42" t="s">
        <v>46</v>
      </c>
      <c r="F1144" s="42" t="s">
        <v>38</v>
      </c>
      <c r="G1144" s="43">
        <v>3641.89</v>
      </c>
      <c r="H1144" s="41">
        <v>443535956</v>
      </c>
      <c r="I1144" s="44">
        <v>0</v>
      </c>
      <c r="J1144" s="43">
        <v>0</v>
      </c>
      <c r="K1144" s="43">
        <v>0</v>
      </c>
      <c r="L1144" s="43">
        <v>0</v>
      </c>
      <c r="M1144" s="43">
        <v>9956.67</v>
      </c>
      <c r="N1144" s="45" t="s">
        <v>48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35">
        <v>45918.794976851852</v>
      </c>
      <c r="B1145" s="36">
        <v>444313622</v>
      </c>
      <c r="C1145" s="37" t="s">
        <v>36</v>
      </c>
      <c r="D1145" s="37" t="s">
        <v>37</v>
      </c>
      <c r="E1145" s="37" t="s">
        <v>46</v>
      </c>
      <c r="F1145" s="37" t="s">
        <v>38</v>
      </c>
      <c r="G1145" s="38">
        <v>3641.65</v>
      </c>
      <c r="H1145" s="36">
        <v>443536211</v>
      </c>
      <c r="I1145" s="39">
        <v>0</v>
      </c>
      <c r="J1145" s="38">
        <v>0</v>
      </c>
      <c r="K1145" s="38">
        <v>0</v>
      </c>
      <c r="L1145" s="38">
        <v>0</v>
      </c>
      <c r="M1145" s="38">
        <v>9956.67</v>
      </c>
      <c r="N1145" s="46" t="s">
        <v>809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40">
        <v>45918.794976851852</v>
      </c>
      <c r="B1146" s="41">
        <v>444313623</v>
      </c>
      <c r="C1146" s="42" t="s">
        <v>36</v>
      </c>
      <c r="D1146" s="42" t="s">
        <v>37</v>
      </c>
      <c r="E1146" s="42" t="s">
        <v>46</v>
      </c>
      <c r="F1146" s="42" t="s">
        <v>38</v>
      </c>
      <c r="G1146" s="43">
        <v>3641.63</v>
      </c>
      <c r="H1146" s="41">
        <v>443536212</v>
      </c>
      <c r="I1146" s="44">
        <v>0</v>
      </c>
      <c r="J1146" s="43">
        <v>0</v>
      </c>
      <c r="K1146" s="43">
        <v>0</v>
      </c>
      <c r="L1146" s="43">
        <v>0</v>
      </c>
      <c r="M1146" s="43">
        <v>9956.67</v>
      </c>
      <c r="N1146" s="45" t="s">
        <v>793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35">
        <v>45918.795902777776</v>
      </c>
      <c r="B1147" s="36">
        <v>444313916</v>
      </c>
      <c r="C1147" s="37" t="s">
        <v>36</v>
      </c>
      <c r="D1147" s="37" t="s">
        <v>39</v>
      </c>
      <c r="E1147" s="37" t="s">
        <v>47</v>
      </c>
      <c r="F1147" s="37" t="s">
        <v>38</v>
      </c>
      <c r="G1147" s="38">
        <v>3643.31</v>
      </c>
      <c r="H1147" s="36">
        <v>443536496</v>
      </c>
      <c r="I1147" s="39">
        <v>0</v>
      </c>
      <c r="J1147" s="38">
        <v>0</v>
      </c>
      <c r="K1147" s="38">
        <v>0</v>
      </c>
      <c r="L1147" s="38">
        <v>1.55</v>
      </c>
      <c r="M1147" s="38">
        <v>9958.2199999999993</v>
      </c>
      <c r="N1147" s="46" t="s">
        <v>879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40">
        <v>45918.795902777776</v>
      </c>
      <c r="B1148" s="41">
        <v>444313917</v>
      </c>
      <c r="C1148" s="42" t="s">
        <v>36</v>
      </c>
      <c r="D1148" s="42" t="s">
        <v>39</v>
      </c>
      <c r="E1148" s="42" t="s">
        <v>47</v>
      </c>
      <c r="F1148" s="42" t="s">
        <v>38</v>
      </c>
      <c r="G1148" s="43">
        <v>3643.31</v>
      </c>
      <c r="H1148" s="41">
        <v>443536497</v>
      </c>
      <c r="I1148" s="44">
        <v>0</v>
      </c>
      <c r="J1148" s="43">
        <v>0</v>
      </c>
      <c r="K1148" s="43">
        <v>0</v>
      </c>
      <c r="L1148" s="43">
        <v>1.55</v>
      </c>
      <c r="M1148" s="43">
        <v>9959.77</v>
      </c>
      <c r="N1148" s="45" t="s">
        <v>880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35">
        <v>45918.795902777776</v>
      </c>
      <c r="B1149" s="36">
        <v>444313918</v>
      </c>
      <c r="C1149" s="37" t="s">
        <v>36</v>
      </c>
      <c r="D1149" s="37" t="s">
        <v>39</v>
      </c>
      <c r="E1149" s="37" t="s">
        <v>47</v>
      </c>
      <c r="F1149" s="37" t="s">
        <v>38</v>
      </c>
      <c r="G1149" s="38">
        <v>3643.31</v>
      </c>
      <c r="H1149" s="36">
        <v>443536498</v>
      </c>
      <c r="I1149" s="39">
        <v>0</v>
      </c>
      <c r="J1149" s="38">
        <v>0</v>
      </c>
      <c r="K1149" s="38">
        <v>0</v>
      </c>
      <c r="L1149" s="38">
        <v>1.55</v>
      </c>
      <c r="M1149" s="38">
        <v>9961.32</v>
      </c>
      <c r="N1149" s="46" t="s">
        <v>880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40">
        <v>45918.796550925923</v>
      </c>
      <c r="B1150" s="41">
        <v>444314075</v>
      </c>
      <c r="C1150" s="42" t="s">
        <v>36</v>
      </c>
      <c r="D1150" s="42" t="s">
        <v>39</v>
      </c>
      <c r="E1150" s="42" t="s">
        <v>47</v>
      </c>
      <c r="F1150" s="42" t="s">
        <v>38</v>
      </c>
      <c r="G1150" s="43">
        <v>3642.33</v>
      </c>
      <c r="H1150" s="41">
        <v>443536654</v>
      </c>
      <c r="I1150" s="44">
        <v>0</v>
      </c>
      <c r="J1150" s="43">
        <v>0</v>
      </c>
      <c r="K1150" s="43">
        <v>0</v>
      </c>
      <c r="L1150" s="43">
        <v>0.68</v>
      </c>
      <c r="M1150" s="43">
        <v>9962</v>
      </c>
      <c r="N1150" s="45" t="s">
        <v>881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35">
        <v>45918.796550925923</v>
      </c>
      <c r="B1151" s="36">
        <v>444314076</v>
      </c>
      <c r="C1151" s="37" t="s">
        <v>36</v>
      </c>
      <c r="D1151" s="37" t="s">
        <v>39</v>
      </c>
      <c r="E1151" s="37" t="s">
        <v>47</v>
      </c>
      <c r="F1151" s="37" t="s">
        <v>38</v>
      </c>
      <c r="G1151" s="38">
        <v>3642.33</v>
      </c>
      <c r="H1151" s="36">
        <v>443536655</v>
      </c>
      <c r="I1151" s="39">
        <v>0</v>
      </c>
      <c r="J1151" s="38">
        <v>0</v>
      </c>
      <c r="K1151" s="38">
        <v>0</v>
      </c>
      <c r="L1151" s="38">
        <v>0.7</v>
      </c>
      <c r="M1151" s="38">
        <v>9962.7000000000007</v>
      </c>
      <c r="N1151" s="46" t="s">
        <v>882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40">
        <v>45918.796597222223</v>
      </c>
      <c r="B1152" s="41">
        <v>444314090</v>
      </c>
      <c r="C1152" s="42" t="s">
        <v>36</v>
      </c>
      <c r="D1152" s="42" t="s">
        <v>37</v>
      </c>
      <c r="E1152" s="42" t="s">
        <v>46</v>
      </c>
      <c r="F1152" s="42" t="s">
        <v>38</v>
      </c>
      <c r="G1152" s="43">
        <v>3642.38</v>
      </c>
      <c r="H1152" s="41">
        <v>443536668</v>
      </c>
      <c r="I1152" s="44">
        <v>0</v>
      </c>
      <c r="J1152" s="43">
        <v>0</v>
      </c>
      <c r="K1152" s="43">
        <v>0</v>
      </c>
      <c r="L1152" s="43">
        <v>0</v>
      </c>
      <c r="M1152" s="43">
        <v>9962.7000000000007</v>
      </c>
      <c r="N1152" s="45" t="s">
        <v>653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35">
        <v>45918.796597222223</v>
      </c>
      <c r="B1153" s="36">
        <v>444314091</v>
      </c>
      <c r="C1153" s="37" t="s">
        <v>36</v>
      </c>
      <c r="D1153" s="37" t="s">
        <v>37</v>
      </c>
      <c r="E1153" s="37" t="s">
        <v>46</v>
      </c>
      <c r="F1153" s="37" t="s">
        <v>38</v>
      </c>
      <c r="G1153" s="38">
        <v>3642.44</v>
      </c>
      <c r="H1153" s="36">
        <v>443536669</v>
      </c>
      <c r="I1153" s="39">
        <v>0</v>
      </c>
      <c r="J1153" s="38">
        <v>0</v>
      </c>
      <c r="K1153" s="38">
        <v>0</v>
      </c>
      <c r="L1153" s="38">
        <v>0</v>
      </c>
      <c r="M1153" s="38">
        <v>9962.7000000000007</v>
      </c>
      <c r="N1153" s="46" t="s">
        <v>647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40">
        <v>45918.7966087963</v>
      </c>
      <c r="B1154" s="41">
        <v>444314092</v>
      </c>
      <c r="C1154" s="42" t="s">
        <v>36</v>
      </c>
      <c r="D1154" s="42" t="s">
        <v>37</v>
      </c>
      <c r="E1154" s="42" t="s">
        <v>46</v>
      </c>
      <c r="F1154" s="42" t="s">
        <v>38</v>
      </c>
      <c r="G1154" s="43">
        <v>3642.51</v>
      </c>
      <c r="H1154" s="41">
        <v>443536670</v>
      </c>
      <c r="I1154" s="44">
        <v>0</v>
      </c>
      <c r="J1154" s="43">
        <v>0</v>
      </c>
      <c r="K1154" s="43">
        <v>0</v>
      </c>
      <c r="L1154" s="43">
        <v>0</v>
      </c>
      <c r="M1154" s="43">
        <v>9962.7000000000007</v>
      </c>
      <c r="N1154" s="45" t="s">
        <v>793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35">
        <v>45918.7966087963</v>
      </c>
      <c r="B1155" s="36">
        <v>444314093</v>
      </c>
      <c r="C1155" s="37" t="s">
        <v>36</v>
      </c>
      <c r="D1155" s="37" t="s">
        <v>37</v>
      </c>
      <c r="E1155" s="37" t="s">
        <v>46</v>
      </c>
      <c r="F1155" s="37" t="s">
        <v>38</v>
      </c>
      <c r="G1155" s="38">
        <v>3642.55</v>
      </c>
      <c r="H1155" s="36">
        <v>443536671</v>
      </c>
      <c r="I1155" s="39">
        <v>0</v>
      </c>
      <c r="J1155" s="38">
        <v>0</v>
      </c>
      <c r="K1155" s="38">
        <v>0</v>
      </c>
      <c r="L1155" s="38">
        <v>0</v>
      </c>
      <c r="M1155" s="38">
        <v>9962.7000000000007</v>
      </c>
      <c r="N1155" s="46" t="s">
        <v>150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40">
        <v>45918.7966087963</v>
      </c>
      <c r="B1156" s="41">
        <v>444314095</v>
      </c>
      <c r="C1156" s="42" t="s">
        <v>36</v>
      </c>
      <c r="D1156" s="42" t="s">
        <v>37</v>
      </c>
      <c r="E1156" s="42" t="s">
        <v>46</v>
      </c>
      <c r="F1156" s="42" t="s">
        <v>38</v>
      </c>
      <c r="G1156" s="43">
        <v>3642.77</v>
      </c>
      <c r="H1156" s="41">
        <v>443536673</v>
      </c>
      <c r="I1156" s="44">
        <v>0</v>
      </c>
      <c r="J1156" s="43">
        <v>0</v>
      </c>
      <c r="K1156" s="43">
        <v>0</v>
      </c>
      <c r="L1156" s="43">
        <v>0</v>
      </c>
      <c r="M1156" s="43">
        <v>9962.7000000000007</v>
      </c>
      <c r="N1156" s="45" t="s">
        <v>809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35">
        <v>45918.797071759262</v>
      </c>
      <c r="B1157" s="36">
        <v>444314284</v>
      </c>
      <c r="C1157" s="37" t="s">
        <v>36</v>
      </c>
      <c r="D1157" s="37" t="s">
        <v>39</v>
      </c>
      <c r="E1157" s="37" t="s">
        <v>47</v>
      </c>
      <c r="F1157" s="37" t="s">
        <v>38</v>
      </c>
      <c r="G1157" s="38">
        <v>3641.75</v>
      </c>
      <c r="H1157" s="36">
        <v>443536863</v>
      </c>
      <c r="I1157" s="39">
        <v>0</v>
      </c>
      <c r="J1157" s="38">
        <v>0</v>
      </c>
      <c r="K1157" s="38">
        <v>0</v>
      </c>
      <c r="L1157" s="38">
        <v>-0.01</v>
      </c>
      <c r="M1157" s="38">
        <v>9962.69</v>
      </c>
      <c r="N1157" s="46" t="s">
        <v>883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40">
        <v>45918.797071759262</v>
      </c>
      <c r="B1158" s="41">
        <v>444314285</v>
      </c>
      <c r="C1158" s="42" t="s">
        <v>36</v>
      </c>
      <c r="D1158" s="42" t="s">
        <v>39</v>
      </c>
      <c r="E1158" s="42" t="s">
        <v>47</v>
      </c>
      <c r="F1158" s="42" t="s">
        <v>38</v>
      </c>
      <c r="G1158" s="43">
        <v>3641.75</v>
      </c>
      <c r="H1158" s="41">
        <v>443536864</v>
      </c>
      <c r="I1158" s="44">
        <v>0</v>
      </c>
      <c r="J1158" s="43">
        <v>0</v>
      </c>
      <c r="K1158" s="43">
        <v>0</v>
      </c>
      <c r="L1158" s="43">
        <v>-0.14000000000000001</v>
      </c>
      <c r="M1158" s="43">
        <v>9962.5499999999993</v>
      </c>
      <c r="N1158" s="45" t="s">
        <v>883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35">
        <v>45918.797071759262</v>
      </c>
      <c r="B1159" s="36">
        <v>444314286</v>
      </c>
      <c r="C1159" s="37" t="s">
        <v>36</v>
      </c>
      <c r="D1159" s="37" t="s">
        <v>39</v>
      </c>
      <c r="E1159" s="37" t="s">
        <v>47</v>
      </c>
      <c r="F1159" s="37" t="s">
        <v>38</v>
      </c>
      <c r="G1159" s="38">
        <v>3641.75</v>
      </c>
      <c r="H1159" s="36">
        <v>443536865</v>
      </c>
      <c r="I1159" s="39">
        <v>0</v>
      </c>
      <c r="J1159" s="38">
        <v>0</v>
      </c>
      <c r="K1159" s="38">
        <v>0</v>
      </c>
      <c r="L1159" s="38">
        <v>-0.1</v>
      </c>
      <c r="M1159" s="38">
        <v>9962.4500000000007</v>
      </c>
      <c r="N1159" s="46" t="s">
        <v>884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40">
        <v>45918.797071759262</v>
      </c>
      <c r="B1160" s="41">
        <v>444314287</v>
      </c>
      <c r="C1160" s="42" t="s">
        <v>36</v>
      </c>
      <c r="D1160" s="42" t="s">
        <v>39</v>
      </c>
      <c r="E1160" s="42" t="s">
        <v>47</v>
      </c>
      <c r="F1160" s="42" t="s">
        <v>38</v>
      </c>
      <c r="G1160" s="43">
        <v>3641.75</v>
      </c>
      <c r="H1160" s="41">
        <v>443536866</v>
      </c>
      <c r="I1160" s="44">
        <v>0</v>
      </c>
      <c r="J1160" s="43">
        <v>0</v>
      </c>
      <c r="K1160" s="43">
        <v>0</v>
      </c>
      <c r="L1160" s="43">
        <v>-0.14000000000000001</v>
      </c>
      <c r="M1160" s="43">
        <v>9962.31</v>
      </c>
      <c r="N1160" s="45" t="s">
        <v>883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35">
        <v>45918.797291666669</v>
      </c>
      <c r="B1161" s="36">
        <v>444314397</v>
      </c>
      <c r="C1161" s="37" t="s">
        <v>36</v>
      </c>
      <c r="D1161" s="37" t="s">
        <v>37</v>
      </c>
      <c r="E1161" s="37" t="s">
        <v>46</v>
      </c>
      <c r="F1161" s="37" t="s">
        <v>38</v>
      </c>
      <c r="G1161" s="38">
        <v>3641.95</v>
      </c>
      <c r="H1161" s="36">
        <v>443536975</v>
      </c>
      <c r="I1161" s="39">
        <v>0</v>
      </c>
      <c r="J1161" s="38">
        <v>0</v>
      </c>
      <c r="K1161" s="38">
        <v>0</v>
      </c>
      <c r="L1161" s="38">
        <v>0</v>
      </c>
      <c r="M1161" s="38">
        <v>9962.31</v>
      </c>
      <c r="N1161" s="46" t="s">
        <v>48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40">
        <v>45918.797291666669</v>
      </c>
      <c r="B1162" s="41">
        <v>444314400</v>
      </c>
      <c r="C1162" s="42" t="s">
        <v>36</v>
      </c>
      <c r="D1162" s="42" t="s">
        <v>37</v>
      </c>
      <c r="E1162" s="42" t="s">
        <v>46</v>
      </c>
      <c r="F1162" s="42" t="s">
        <v>38</v>
      </c>
      <c r="G1162" s="43">
        <v>3642</v>
      </c>
      <c r="H1162" s="41">
        <v>443536978</v>
      </c>
      <c r="I1162" s="44">
        <v>0</v>
      </c>
      <c r="J1162" s="43">
        <v>0</v>
      </c>
      <c r="K1162" s="43">
        <v>0</v>
      </c>
      <c r="L1162" s="43">
        <v>0</v>
      </c>
      <c r="M1162" s="43">
        <v>9962.31</v>
      </c>
      <c r="N1162" s="45" t="s">
        <v>53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35">
        <v>45918.797303240739</v>
      </c>
      <c r="B1163" s="36">
        <v>444314401</v>
      </c>
      <c r="C1163" s="37" t="s">
        <v>36</v>
      </c>
      <c r="D1163" s="37" t="s">
        <v>37</v>
      </c>
      <c r="E1163" s="37" t="s">
        <v>46</v>
      </c>
      <c r="F1163" s="37" t="s">
        <v>38</v>
      </c>
      <c r="G1163" s="38">
        <v>3642</v>
      </c>
      <c r="H1163" s="36">
        <v>443536979</v>
      </c>
      <c r="I1163" s="39">
        <v>0</v>
      </c>
      <c r="J1163" s="38">
        <v>0</v>
      </c>
      <c r="K1163" s="38">
        <v>0</v>
      </c>
      <c r="L1163" s="38">
        <v>0</v>
      </c>
      <c r="M1163" s="38">
        <v>9962.31</v>
      </c>
      <c r="N1163" s="46" t="s">
        <v>49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40">
        <v>45918.800034722219</v>
      </c>
      <c r="B1164" s="41">
        <v>444315316</v>
      </c>
      <c r="C1164" s="42" t="s">
        <v>36</v>
      </c>
      <c r="D1164" s="42" t="s">
        <v>39</v>
      </c>
      <c r="E1164" s="42" t="s">
        <v>47</v>
      </c>
      <c r="F1164" s="42" t="s">
        <v>38</v>
      </c>
      <c r="G1164" s="43">
        <v>3644</v>
      </c>
      <c r="H1164" s="41">
        <v>443537885</v>
      </c>
      <c r="I1164" s="44">
        <v>0</v>
      </c>
      <c r="J1164" s="43">
        <v>0</v>
      </c>
      <c r="K1164" s="43">
        <v>0</v>
      </c>
      <c r="L1164" s="43">
        <v>1.62</v>
      </c>
      <c r="M1164" s="43">
        <v>9963.93</v>
      </c>
      <c r="N1164" s="45" t="s">
        <v>885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35">
        <v>45918.800034722219</v>
      </c>
      <c r="B1165" s="36">
        <v>444315317</v>
      </c>
      <c r="C1165" s="37" t="s">
        <v>36</v>
      </c>
      <c r="D1165" s="37" t="s">
        <v>39</v>
      </c>
      <c r="E1165" s="37" t="s">
        <v>47</v>
      </c>
      <c r="F1165" s="37" t="s">
        <v>38</v>
      </c>
      <c r="G1165" s="38">
        <v>3644</v>
      </c>
      <c r="H1165" s="36">
        <v>443537886</v>
      </c>
      <c r="I1165" s="39">
        <v>0</v>
      </c>
      <c r="J1165" s="38">
        <v>0</v>
      </c>
      <c r="K1165" s="38">
        <v>0</v>
      </c>
      <c r="L1165" s="38">
        <v>1.56</v>
      </c>
      <c r="M1165" s="38">
        <v>9965.49</v>
      </c>
      <c r="N1165" s="46" t="s">
        <v>886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40">
        <v>45918.800034722219</v>
      </c>
      <c r="B1166" s="41">
        <v>444315318</v>
      </c>
      <c r="C1166" s="42" t="s">
        <v>36</v>
      </c>
      <c r="D1166" s="42" t="s">
        <v>39</v>
      </c>
      <c r="E1166" s="42" t="s">
        <v>47</v>
      </c>
      <c r="F1166" s="42" t="s">
        <v>38</v>
      </c>
      <c r="G1166" s="43">
        <v>3644</v>
      </c>
      <c r="H1166" s="41">
        <v>443537887</v>
      </c>
      <c r="I1166" s="44">
        <v>0</v>
      </c>
      <c r="J1166" s="43">
        <v>0</v>
      </c>
      <c r="K1166" s="43">
        <v>0</v>
      </c>
      <c r="L1166" s="43">
        <v>1.45</v>
      </c>
      <c r="M1166" s="43">
        <v>9966.94</v>
      </c>
      <c r="N1166" s="45" t="s">
        <v>886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35">
        <v>45918.800983796296</v>
      </c>
      <c r="B1167" s="36">
        <v>444315737</v>
      </c>
      <c r="C1167" s="37" t="s">
        <v>36</v>
      </c>
      <c r="D1167" s="37" t="s">
        <v>39</v>
      </c>
      <c r="E1167" s="37" t="s">
        <v>47</v>
      </c>
      <c r="F1167" s="37" t="s">
        <v>38</v>
      </c>
      <c r="G1167" s="38">
        <v>3642.96</v>
      </c>
      <c r="H1167" s="36">
        <v>443538296</v>
      </c>
      <c r="I1167" s="39">
        <v>0</v>
      </c>
      <c r="J1167" s="38">
        <v>0</v>
      </c>
      <c r="K1167" s="38">
        <v>0</v>
      </c>
      <c r="L1167" s="38">
        <v>0.45</v>
      </c>
      <c r="M1167" s="38">
        <v>9967.39</v>
      </c>
      <c r="N1167" s="46" t="s">
        <v>887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40">
        <v>45918.800995370373</v>
      </c>
      <c r="B1168" s="41">
        <v>444315750</v>
      </c>
      <c r="C1168" s="42" t="s">
        <v>36</v>
      </c>
      <c r="D1168" s="42" t="s">
        <v>37</v>
      </c>
      <c r="E1168" s="42" t="s">
        <v>46</v>
      </c>
      <c r="F1168" s="42" t="s">
        <v>38</v>
      </c>
      <c r="G1168" s="43">
        <v>3643.35</v>
      </c>
      <c r="H1168" s="41">
        <v>443538309</v>
      </c>
      <c r="I1168" s="44">
        <v>0</v>
      </c>
      <c r="J1168" s="43">
        <v>0</v>
      </c>
      <c r="K1168" s="43">
        <v>0</v>
      </c>
      <c r="L1168" s="43">
        <v>0</v>
      </c>
      <c r="M1168" s="43">
        <v>9967.39</v>
      </c>
      <c r="N1168" s="45" t="s">
        <v>793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35">
        <v>45918.801921296297</v>
      </c>
      <c r="B1169" s="36">
        <v>444315978</v>
      </c>
      <c r="C1169" s="37" t="s">
        <v>36</v>
      </c>
      <c r="D1169" s="37" t="s">
        <v>37</v>
      </c>
      <c r="E1169" s="37" t="s">
        <v>46</v>
      </c>
      <c r="F1169" s="37" t="s">
        <v>38</v>
      </c>
      <c r="G1169" s="38">
        <v>3643.28</v>
      </c>
      <c r="H1169" s="36">
        <v>443538515</v>
      </c>
      <c r="I1169" s="39">
        <v>0</v>
      </c>
      <c r="J1169" s="38">
        <v>0</v>
      </c>
      <c r="K1169" s="38">
        <v>0</v>
      </c>
      <c r="L1169" s="38">
        <v>0</v>
      </c>
      <c r="M1169" s="38">
        <v>9967.39</v>
      </c>
      <c r="N1169" s="46" t="s">
        <v>647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40">
        <v>45918.801921296297</v>
      </c>
      <c r="B1170" s="41">
        <v>444315979</v>
      </c>
      <c r="C1170" s="42" t="s">
        <v>36</v>
      </c>
      <c r="D1170" s="42" t="s">
        <v>37</v>
      </c>
      <c r="E1170" s="42" t="s">
        <v>46</v>
      </c>
      <c r="F1170" s="42" t="s">
        <v>38</v>
      </c>
      <c r="G1170" s="43">
        <v>3643.28</v>
      </c>
      <c r="H1170" s="41">
        <v>443538516</v>
      </c>
      <c r="I1170" s="44">
        <v>0</v>
      </c>
      <c r="J1170" s="43">
        <v>0</v>
      </c>
      <c r="K1170" s="43">
        <v>0</v>
      </c>
      <c r="L1170" s="43">
        <v>0</v>
      </c>
      <c r="M1170" s="43">
        <v>9967.39</v>
      </c>
      <c r="N1170" s="45" t="s">
        <v>150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35">
        <v>45918.801932870374</v>
      </c>
      <c r="B1171" s="36">
        <v>444315980</v>
      </c>
      <c r="C1171" s="37" t="s">
        <v>36</v>
      </c>
      <c r="D1171" s="37" t="s">
        <v>37</v>
      </c>
      <c r="E1171" s="37" t="s">
        <v>46</v>
      </c>
      <c r="F1171" s="37" t="s">
        <v>38</v>
      </c>
      <c r="G1171" s="38">
        <v>3643.28</v>
      </c>
      <c r="H1171" s="36">
        <v>443538517</v>
      </c>
      <c r="I1171" s="39">
        <v>0</v>
      </c>
      <c r="J1171" s="38">
        <v>0</v>
      </c>
      <c r="K1171" s="38">
        <v>0</v>
      </c>
      <c r="L1171" s="38">
        <v>0</v>
      </c>
      <c r="M1171" s="38">
        <v>9967.39</v>
      </c>
      <c r="N1171" s="46" t="s">
        <v>771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40">
        <v>45918.801932870374</v>
      </c>
      <c r="B1172" s="41">
        <v>444315981</v>
      </c>
      <c r="C1172" s="42" t="s">
        <v>36</v>
      </c>
      <c r="D1172" s="42" t="s">
        <v>37</v>
      </c>
      <c r="E1172" s="42" t="s">
        <v>46</v>
      </c>
      <c r="F1172" s="42" t="s">
        <v>38</v>
      </c>
      <c r="G1172" s="43">
        <v>3643.28</v>
      </c>
      <c r="H1172" s="41">
        <v>443538518</v>
      </c>
      <c r="I1172" s="44">
        <v>0</v>
      </c>
      <c r="J1172" s="43">
        <v>0</v>
      </c>
      <c r="K1172" s="43">
        <v>0</v>
      </c>
      <c r="L1172" s="43">
        <v>0</v>
      </c>
      <c r="M1172" s="43">
        <v>9967.39</v>
      </c>
      <c r="N1172" s="45" t="s">
        <v>653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35">
        <v>45918.802662037036</v>
      </c>
      <c r="B1173" s="36">
        <v>444316236</v>
      </c>
      <c r="C1173" s="37" t="s">
        <v>36</v>
      </c>
      <c r="D1173" s="37" t="s">
        <v>39</v>
      </c>
      <c r="E1173" s="37" t="s">
        <v>47</v>
      </c>
      <c r="F1173" s="37" t="s">
        <v>38</v>
      </c>
      <c r="G1173" s="38">
        <v>3644.78</v>
      </c>
      <c r="H1173" s="36">
        <v>443538760</v>
      </c>
      <c r="I1173" s="39">
        <v>0</v>
      </c>
      <c r="J1173" s="38">
        <v>0</v>
      </c>
      <c r="K1173" s="38">
        <v>0</v>
      </c>
      <c r="L1173" s="38">
        <v>1.5</v>
      </c>
      <c r="M1173" s="38">
        <v>9968.89</v>
      </c>
      <c r="N1173" s="46" t="s">
        <v>888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40">
        <v>45918.802662037036</v>
      </c>
      <c r="B1174" s="41">
        <v>444316237</v>
      </c>
      <c r="C1174" s="42" t="s">
        <v>36</v>
      </c>
      <c r="D1174" s="42" t="s">
        <v>39</v>
      </c>
      <c r="E1174" s="42" t="s">
        <v>47</v>
      </c>
      <c r="F1174" s="42" t="s">
        <v>38</v>
      </c>
      <c r="G1174" s="43">
        <v>3644.78</v>
      </c>
      <c r="H1174" s="41">
        <v>443538761</v>
      </c>
      <c r="I1174" s="44">
        <v>0</v>
      </c>
      <c r="J1174" s="43">
        <v>0</v>
      </c>
      <c r="K1174" s="43">
        <v>0</v>
      </c>
      <c r="L1174" s="43">
        <v>1.5</v>
      </c>
      <c r="M1174" s="43">
        <v>9970.39</v>
      </c>
      <c r="N1174" s="45" t="s">
        <v>888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35">
        <v>45918.802662037036</v>
      </c>
      <c r="B1175" s="36">
        <v>444316238</v>
      </c>
      <c r="C1175" s="37" t="s">
        <v>36</v>
      </c>
      <c r="D1175" s="37" t="s">
        <v>39</v>
      </c>
      <c r="E1175" s="37" t="s">
        <v>47</v>
      </c>
      <c r="F1175" s="37" t="s">
        <v>38</v>
      </c>
      <c r="G1175" s="38">
        <v>3644.78</v>
      </c>
      <c r="H1175" s="36">
        <v>443538762</v>
      </c>
      <c r="I1175" s="39">
        <v>0</v>
      </c>
      <c r="J1175" s="38">
        <v>0</v>
      </c>
      <c r="K1175" s="38">
        <v>0</v>
      </c>
      <c r="L1175" s="38">
        <v>1.5</v>
      </c>
      <c r="M1175" s="38">
        <v>9971.89</v>
      </c>
      <c r="N1175" s="46" t="s">
        <v>888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40">
        <v>45918.802708333336</v>
      </c>
      <c r="B1176" s="41">
        <v>444316340</v>
      </c>
      <c r="C1176" s="42" t="s">
        <v>36</v>
      </c>
      <c r="D1176" s="42" t="s">
        <v>39</v>
      </c>
      <c r="E1176" s="42" t="s">
        <v>47</v>
      </c>
      <c r="F1176" s="42" t="s">
        <v>38</v>
      </c>
      <c r="G1176" s="43">
        <v>3644.96</v>
      </c>
      <c r="H1176" s="41">
        <v>443538864</v>
      </c>
      <c r="I1176" s="44">
        <v>0</v>
      </c>
      <c r="J1176" s="43">
        <v>0</v>
      </c>
      <c r="K1176" s="43">
        <v>0</v>
      </c>
      <c r="L1176" s="43">
        <v>2.96</v>
      </c>
      <c r="M1176" s="43">
        <v>9974.85</v>
      </c>
      <c r="N1176" s="45" t="s">
        <v>889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35">
        <v>45918.802719907406</v>
      </c>
      <c r="B1177" s="36">
        <v>444316363</v>
      </c>
      <c r="C1177" s="37" t="s">
        <v>36</v>
      </c>
      <c r="D1177" s="37" t="s">
        <v>39</v>
      </c>
      <c r="E1177" s="37" t="s">
        <v>47</v>
      </c>
      <c r="F1177" s="37" t="s">
        <v>38</v>
      </c>
      <c r="G1177" s="38">
        <v>3645.13</v>
      </c>
      <c r="H1177" s="36">
        <v>443538885</v>
      </c>
      <c r="I1177" s="39">
        <v>0</v>
      </c>
      <c r="J1177" s="38">
        <v>0</v>
      </c>
      <c r="K1177" s="38">
        <v>0</v>
      </c>
      <c r="L1177" s="38">
        <v>3.18</v>
      </c>
      <c r="M1177" s="38">
        <v>9978.0300000000007</v>
      </c>
      <c r="N1177" s="46" t="s">
        <v>890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40">
        <v>45918.804143518515</v>
      </c>
      <c r="B1178" s="41">
        <v>444317494</v>
      </c>
      <c r="C1178" s="42" t="s">
        <v>36</v>
      </c>
      <c r="D1178" s="42" t="s">
        <v>39</v>
      </c>
      <c r="E1178" s="42" t="s">
        <v>47</v>
      </c>
      <c r="F1178" s="42" t="s">
        <v>38</v>
      </c>
      <c r="G1178" s="43">
        <v>3645.45</v>
      </c>
      <c r="H1178" s="41">
        <v>443540020</v>
      </c>
      <c r="I1178" s="44">
        <v>0</v>
      </c>
      <c r="J1178" s="43">
        <v>0</v>
      </c>
      <c r="K1178" s="43">
        <v>0</v>
      </c>
      <c r="L1178" s="43">
        <v>3.45</v>
      </c>
      <c r="M1178" s="43">
        <v>9981.48</v>
      </c>
      <c r="N1178" s="45" t="s">
        <v>891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35">
        <v>45918.805023148147</v>
      </c>
      <c r="B1179" s="36">
        <v>444317961</v>
      </c>
      <c r="C1179" s="37" t="s">
        <v>36</v>
      </c>
      <c r="D1179" s="37" t="s">
        <v>39</v>
      </c>
      <c r="E1179" s="37" t="s">
        <v>47</v>
      </c>
      <c r="F1179" s="37" t="s">
        <v>38</v>
      </c>
      <c r="G1179" s="38">
        <v>3644.99</v>
      </c>
      <c r="H1179" s="36">
        <v>443540480</v>
      </c>
      <c r="I1179" s="39">
        <v>0</v>
      </c>
      <c r="J1179" s="38">
        <v>0</v>
      </c>
      <c r="K1179" s="38">
        <v>0</v>
      </c>
      <c r="L1179" s="38">
        <v>2.2200000000000002</v>
      </c>
      <c r="M1179" s="38">
        <v>9983.7000000000007</v>
      </c>
      <c r="N1179" s="46" t="s">
        <v>892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40">
        <v>45918.805023148147</v>
      </c>
      <c r="B1180" s="41">
        <v>444317962</v>
      </c>
      <c r="C1180" s="42" t="s">
        <v>36</v>
      </c>
      <c r="D1180" s="42" t="s">
        <v>39</v>
      </c>
      <c r="E1180" s="42" t="s">
        <v>47</v>
      </c>
      <c r="F1180" s="42" t="s">
        <v>38</v>
      </c>
      <c r="G1180" s="43">
        <v>3644.99</v>
      </c>
      <c r="H1180" s="41">
        <v>443540481</v>
      </c>
      <c r="I1180" s="44">
        <v>0</v>
      </c>
      <c r="J1180" s="43">
        <v>0</v>
      </c>
      <c r="K1180" s="43">
        <v>0</v>
      </c>
      <c r="L1180" s="43">
        <v>1.64</v>
      </c>
      <c r="M1180" s="43">
        <v>9985.34</v>
      </c>
      <c r="N1180" s="45" t="s">
        <v>893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35">
        <v>45918.805046296293</v>
      </c>
      <c r="B1181" s="36">
        <v>444317977</v>
      </c>
      <c r="C1181" s="37" t="s">
        <v>36</v>
      </c>
      <c r="D1181" s="37" t="s">
        <v>37</v>
      </c>
      <c r="E1181" s="37" t="s">
        <v>46</v>
      </c>
      <c r="F1181" s="37" t="s">
        <v>38</v>
      </c>
      <c r="G1181" s="38">
        <v>3645.17</v>
      </c>
      <c r="H1181" s="36">
        <v>443540497</v>
      </c>
      <c r="I1181" s="39">
        <v>0</v>
      </c>
      <c r="J1181" s="38">
        <v>0</v>
      </c>
      <c r="K1181" s="38">
        <v>0</v>
      </c>
      <c r="L1181" s="38">
        <v>0</v>
      </c>
      <c r="M1181" s="38">
        <v>9985.34</v>
      </c>
      <c r="N1181" s="46" t="s">
        <v>793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40">
        <v>45918.805046296293</v>
      </c>
      <c r="B1182" s="41">
        <v>444317983</v>
      </c>
      <c r="C1182" s="42" t="s">
        <v>36</v>
      </c>
      <c r="D1182" s="42" t="s">
        <v>37</v>
      </c>
      <c r="E1182" s="42" t="s">
        <v>46</v>
      </c>
      <c r="F1182" s="42" t="s">
        <v>38</v>
      </c>
      <c r="G1182" s="43">
        <v>3645.17</v>
      </c>
      <c r="H1182" s="41">
        <v>443540503</v>
      </c>
      <c r="I1182" s="44">
        <v>0</v>
      </c>
      <c r="J1182" s="43">
        <v>0</v>
      </c>
      <c r="K1182" s="43">
        <v>0</v>
      </c>
      <c r="L1182" s="43">
        <v>0</v>
      </c>
      <c r="M1182" s="43">
        <v>9985.34</v>
      </c>
      <c r="N1182" s="45" t="s">
        <v>809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35">
        <v>45918.805127314816</v>
      </c>
      <c r="B1183" s="36">
        <v>444318029</v>
      </c>
      <c r="C1183" s="37" t="s">
        <v>36</v>
      </c>
      <c r="D1183" s="37" t="s">
        <v>39</v>
      </c>
      <c r="E1183" s="37" t="s">
        <v>47</v>
      </c>
      <c r="F1183" s="37" t="s">
        <v>38</v>
      </c>
      <c r="G1183" s="38">
        <v>3644.34</v>
      </c>
      <c r="H1183" s="36">
        <v>443540546</v>
      </c>
      <c r="I1183" s="39">
        <v>0</v>
      </c>
      <c r="J1183" s="38">
        <v>0</v>
      </c>
      <c r="K1183" s="38">
        <v>0</v>
      </c>
      <c r="L1183" s="38">
        <v>1.06</v>
      </c>
      <c r="M1183" s="38">
        <v>9986.4</v>
      </c>
      <c r="N1183" s="46" t="s">
        <v>894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40">
        <v>45918.805162037039</v>
      </c>
      <c r="B1184" s="41">
        <v>444318043</v>
      </c>
      <c r="C1184" s="42" t="s">
        <v>36</v>
      </c>
      <c r="D1184" s="42" t="s">
        <v>37</v>
      </c>
      <c r="E1184" s="42" t="s">
        <v>46</v>
      </c>
      <c r="F1184" s="42" t="s">
        <v>38</v>
      </c>
      <c r="G1184" s="43">
        <v>3644.7</v>
      </c>
      <c r="H1184" s="41">
        <v>443540561</v>
      </c>
      <c r="I1184" s="44">
        <v>0</v>
      </c>
      <c r="J1184" s="43">
        <v>0</v>
      </c>
      <c r="K1184" s="43">
        <v>0</v>
      </c>
      <c r="L1184" s="43">
        <v>0</v>
      </c>
      <c r="M1184" s="43">
        <v>9986.4</v>
      </c>
      <c r="N1184" s="45" t="s">
        <v>647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35">
        <v>45918.805162037039</v>
      </c>
      <c r="B1185" s="36">
        <v>444318046</v>
      </c>
      <c r="C1185" s="37" t="s">
        <v>36</v>
      </c>
      <c r="D1185" s="37" t="s">
        <v>37</v>
      </c>
      <c r="E1185" s="37" t="s">
        <v>46</v>
      </c>
      <c r="F1185" s="37" t="s">
        <v>38</v>
      </c>
      <c r="G1185" s="38">
        <v>3644.7</v>
      </c>
      <c r="H1185" s="36">
        <v>443540564</v>
      </c>
      <c r="I1185" s="39">
        <v>0</v>
      </c>
      <c r="J1185" s="38">
        <v>0</v>
      </c>
      <c r="K1185" s="38">
        <v>0</v>
      </c>
      <c r="L1185" s="38">
        <v>0</v>
      </c>
      <c r="M1185" s="38">
        <v>9986.4</v>
      </c>
      <c r="N1185" s="46" t="s">
        <v>150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40">
        <v>45918.805173611108</v>
      </c>
      <c r="B1186" s="41">
        <v>444318048</v>
      </c>
      <c r="C1186" s="42" t="s">
        <v>36</v>
      </c>
      <c r="D1186" s="42" t="s">
        <v>37</v>
      </c>
      <c r="E1186" s="42" t="s">
        <v>46</v>
      </c>
      <c r="F1186" s="42" t="s">
        <v>38</v>
      </c>
      <c r="G1186" s="43">
        <v>3644.73</v>
      </c>
      <c r="H1186" s="41">
        <v>443540566</v>
      </c>
      <c r="I1186" s="44">
        <v>0</v>
      </c>
      <c r="J1186" s="43">
        <v>0</v>
      </c>
      <c r="K1186" s="43">
        <v>0</v>
      </c>
      <c r="L1186" s="43">
        <v>0</v>
      </c>
      <c r="M1186" s="43">
        <v>9986.4</v>
      </c>
      <c r="N1186" s="45" t="s">
        <v>653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35">
        <v>45918.805173611108</v>
      </c>
      <c r="B1187" s="36">
        <v>444318051</v>
      </c>
      <c r="C1187" s="37" t="s">
        <v>36</v>
      </c>
      <c r="D1187" s="37" t="s">
        <v>37</v>
      </c>
      <c r="E1187" s="37" t="s">
        <v>46</v>
      </c>
      <c r="F1187" s="37" t="s">
        <v>38</v>
      </c>
      <c r="G1187" s="38">
        <v>3644.73</v>
      </c>
      <c r="H1187" s="36">
        <v>443540569</v>
      </c>
      <c r="I1187" s="39">
        <v>0</v>
      </c>
      <c r="J1187" s="38">
        <v>0</v>
      </c>
      <c r="K1187" s="38">
        <v>0</v>
      </c>
      <c r="L1187" s="38">
        <v>0</v>
      </c>
      <c r="M1187" s="38">
        <v>9986.4</v>
      </c>
      <c r="N1187" s="46" t="s">
        <v>771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40">
        <v>45918.805173611108</v>
      </c>
      <c r="B1188" s="41">
        <v>444318053</v>
      </c>
      <c r="C1188" s="42" t="s">
        <v>36</v>
      </c>
      <c r="D1188" s="42" t="s">
        <v>37</v>
      </c>
      <c r="E1188" s="42" t="s">
        <v>46</v>
      </c>
      <c r="F1188" s="42" t="s">
        <v>38</v>
      </c>
      <c r="G1188" s="43">
        <v>3644.73</v>
      </c>
      <c r="H1188" s="41">
        <v>443540571</v>
      </c>
      <c r="I1188" s="44">
        <v>0</v>
      </c>
      <c r="J1188" s="43">
        <v>0</v>
      </c>
      <c r="K1188" s="43">
        <v>0</v>
      </c>
      <c r="L1188" s="43">
        <v>0</v>
      </c>
      <c r="M1188" s="43">
        <v>9986.4</v>
      </c>
      <c r="N1188" s="45" t="s">
        <v>48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35">
        <v>45918.805173611108</v>
      </c>
      <c r="B1189" s="36">
        <v>444318054</v>
      </c>
      <c r="C1189" s="37" t="s">
        <v>36</v>
      </c>
      <c r="D1189" s="37" t="s">
        <v>37</v>
      </c>
      <c r="E1189" s="37" t="s">
        <v>46</v>
      </c>
      <c r="F1189" s="37" t="s">
        <v>38</v>
      </c>
      <c r="G1189" s="38">
        <v>3644.75</v>
      </c>
      <c r="H1189" s="36">
        <v>443540572</v>
      </c>
      <c r="I1189" s="39">
        <v>0</v>
      </c>
      <c r="J1189" s="38">
        <v>0</v>
      </c>
      <c r="K1189" s="38">
        <v>0</v>
      </c>
      <c r="L1189" s="38">
        <v>0</v>
      </c>
      <c r="M1189" s="38">
        <v>9986.4</v>
      </c>
      <c r="N1189" s="46" t="s">
        <v>53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40">
        <v>45918.805185185185</v>
      </c>
      <c r="B1190" s="41">
        <v>444318063</v>
      </c>
      <c r="C1190" s="42" t="s">
        <v>36</v>
      </c>
      <c r="D1190" s="42" t="s">
        <v>37</v>
      </c>
      <c r="E1190" s="42" t="s">
        <v>46</v>
      </c>
      <c r="F1190" s="42" t="s">
        <v>38</v>
      </c>
      <c r="G1190" s="43">
        <v>3644.75</v>
      </c>
      <c r="H1190" s="41">
        <v>443540582</v>
      </c>
      <c r="I1190" s="44">
        <v>0</v>
      </c>
      <c r="J1190" s="43">
        <v>0</v>
      </c>
      <c r="K1190" s="43">
        <v>0</v>
      </c>
      <c r="L1190" s="43">
        <v>0</v>
      </c>
      <c r="M1190" s="43">
        <v>9986.4</v>
      </c>
      <c r="N1190" s="45" t="s">
        <v>49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Strategy_Builder</vt:lpstr>
      <vt:lpstr>Overall</vt:lpstr>
      <vt:lpstr>strategy_01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2025-09-18T16:21:40Z</dcterms:modified>
</cp:coreProperties>
</file>