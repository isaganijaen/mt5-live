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30F19E4A-E51F-4525-BE2B-9D662FECCC86}" xr6:coauthVersionLast="47" xr6:coauthVersionMax="47" xr10:uidLastSave="{00000000-0000-0000-0000-000000000000}"/>
  <bookViews>
    <workbookView xWindow="-120" yWindow="-120" windowWidth="29040" windowHeight="15720" tabRatio="803" activeTab="1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48" r:id="rId6"/>
    <pivotCache cacheId="6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8" l="1"/>
  <c r="P37" i="8"/>
  <c r="Q37" i="8"/>
  <c r="R37" i="8"/>
  <c r="R39" i="8" s="1"/>
  <c r="S37" i="8"/>
  <c r="S39" i="8" s="1"/>
  <c r="T37" i="8"/>
  <c r="T39" i="8" s="1"/>
  <c r="U37" i="8"/>
  <c r="U39" i="8" s="1"/>
  <c r="V37" i="8"/>
  <c r="W37" i="8"/>
  <c r="X37" i="8"/>
  <c r="Y37" i="8"/>
  <c r="Z37" i="8"/>
  <c r="Z39" i="8" s="1"/>
  <c r="O38" i="8"/>
  <c r="P38" i="8"/>
  <c r="Q38" i="8"/>
  <c r="R38" i="8"/>
  <c r="S38" i="8"/>
  <c r="T38" i="8"/>
  <c r="U38" i="8"/>
  <c r="V38" i="8"/>
  <c r="W38" i="8"/>
  <c r="X38" i="8"/>
  <c r="Y38" i="8"/>
  <c r="Z38" i="8"/>
  <c r="N38" i="8"/>
  <c r="N37" i="8"/>
  <c r="N39" i="8" s="1"/>
  <c r="D21" i="8"/>
  <c r="C21" i="8"/>
  <c r="C17" i="8"/>
  <c r="E17" i="8" s="1"/>
  <c r="D17" i="8"/>
  <c r="C18" i="8"/>
  <c r="E18" i="8" s="1"/>
  <c r="D18" i="8"/>
  <c r="C19" i="8"/>
  <c r="E19" i="8" s="1"/>
  <c r="D19" i="8"/>
  <c r="C20" i="8"/>
  <c r="E20" i="8" s="1"/>
  <c r="D20" i="8"/>
  <c r="O526" i="3"/>
  <c r="P526" i="3" s="1"/>
  <c r="O527" i="3"/>
  <c r="P527" i="3"/>
  <c r="O528" i="3"/>
  <c r="P528" i="3" s="1"/>
  <c r="Q528" i="3" s="1"/>
  <c r="R528" i="3"/>
  <c r="S528" i="3"/>
  <c r="O529" i="3"/>
  <c r="P529" i="3" s="1"/>
  <c r="O530" i="3"/>
  <c r="P530" i="3"/>
  <c r="Q530" i="3" s="1"/>
  <c r="O531" i="3"/>
  <c r="P531" i="3"/>
  <c r="Q531" i="3" s="1"/>
  <c r="S531" i="3"/>
  <c r="O532" i="3"/>
  <c r="P532" i="3" s="1"/>
  <c r="O533" i="3"/>
  <c r="P533" i="3" s="1"/>
  <c r="O534" i="3"/>
  <c r="P534" i="3" s="1"/>
  <c r="O535" i="3"/>
  <c r="P535" i="3"/>
  <c r="O536" i="3"/>
  <c r="P536" i="3" s="1"/>
  <c r="Q536" i="3" s="1"/>
  <c r="R536" i="3"/>
  <c r="S536" i="3"/>
  <c r="O537" i="3"/>
  <c r="P537" i="3" s="1"/>
  <c r="O538" i="3"/>
  <c r="P538" i="3"/>
  <c r="Q538" i="3"/>
  <c r="O539" i="3"/>
  <c r="P539" i="3"/>
  <c r="Q539" i="3" s="1"/>
  <c r="S539" i="3"/>
  <c r="O540" i="3"/>
  <c r="P540" i="3" s="1"/>
  <c r="O541" i="3"/>
  <c r="P541" i="3" s="1"/>
  <c r="S541" i="3" s="1"/>
  <c r="O542" i="3"/>
  <c r="P542" i="3" s="1"/>
  <c r="O543" i="3"/>
  <c r="P543" i="3"/>
  <c r="O544" i="3"/>
  <c r="P544" i="3" s="1"/>
  <c r="R544" i="3" s="1"/>
  <c r="O545" i="3"/>
  <c r="P545" i="3" s="1"/>
  <c r="O546" i="3"/>
  <c r="P546" i="3"/>
  <c r="Q546" i="3"/>
  <c r="O547" i="3"/>
  <c r="P547" i="3"/>
  <c r="Q547" i="3" s="1"/>
  <c r="S547" i="3"/>
  <c r="O548" i="3"/>
  <c r="P548" i="3" s="1"/>
  <c r="O549" i="3"/>
  <c r="P549" i="3" s="1"/>
  <c r="S549" i="3" s="1"/>
  <c r="Q549" i="3"/>
  <c r="R549" i="3"/>
  <c r="O550" i="3"/>
  <c r="P550" i="3" s="1"/>
  <c r="O551" i="3"/>
  <c r="P551" i="3"/>
  <c r="O552" i="3"/>
  <c r="P552" i="3" s="1"/>
  <c r="O553" i="3"/>
  <c r="P553" i="3"/>
  <c r="Q553" i="3" s="1"/>
  <c r="R553" i="3"/>
  <c r="O554" i="3"/>
  <c r="P554" i="3"/>
  <c r="Q554" i="3"/>
  <c r="O555" i="3"/>
  <c r="P555" i="3"/>
  <c r="S555" i="3" s="1"/>
  <c r="O556" i="3"/>
  <c r="P556" i="3" s="1"/>
  <c r="S556" i="3" s="1"/>
  <c r="O557" i="3"/>
  <c r="P557" i="3" s="1"/>
  <c r="S557" i="3" s="1"/>
  <c r="Q557" i="3"/>
  <c r="R557" i="3"/>
  <c r="O558" i="3"/>
  <c r="P558" i="3" s="1"/>
  <c r="Q558" i="3"/>
  <c r="O559" i="3"/>
  <c r="P559" i="3"/>
  <c r="O560" i="3"/>
  <c r="P560" i="3" s="1"/>
  <c r="Q560" i="3" s="1"/>
  <c r="R560" i="3"/>
  <c r="S560" i="3"/>
  <c r="O561" i="3"/>
  <c r="P561" i="3"/>
  <c r="Q561" i="3" s="1"/>
  <c r="R561" i="3"/>
  <c r="O562" i="3"/>
  <c r="P562" i="3"/>
  <c r="Q562" i="3" s="1"/>
  <c r="O563" i="3"/>
  <c r="P563" i="3"/>
  <c r="S563" i="3" s="1"/>
  <c r="O564" i="3"/>
  <c r="P564" i="3" s="1"/>
  <c r="S564" i="3"/>
  <c r="O565" i="3"/>
  <c r="P565" i="3" s="1"/>
  <c r="S565" i="3" s="1"/>
  <c r="Q565" i="3"/>
  <c r="R565" i="3"/>
  <c r="O566" i="3"/>
  <c r="P566" i="3" s="1"/>
  <c r="Q566" i="3"/>
  <c r="O567" i="3"/>
  <c r="P567" i="3" s="1"/>
  <c r="O568" i="3"/>
  <c r="P568" i="3" s="1"/>
  <c r="Q568" i="3" s="1"/>
  <c r="S568" i="3"/>
  <c r="O569" i="3"/>
  <c r="P569" i="3"/>
  <c r="Q569" i="3" s="1"/>
  <c r="R569" i="3"/>
  <c r="O570" i="3"/>
  <c r="P570" i="3"/>
  <c r="Q570" i="3"/>
  <c r="O571" i="3"/>
  <c r="P571" i="3"/>
  <c r="S571" i="3" s="1"/>
  <c r="O572" i="3"/>
  <c r="P572" i="3" s="1"/>
  <c r="S572" i="3"/>
  <c r="O573" i="3"/>
  <c r="P573" i="3"/>
  <c r="S573" i="3" s="1"/>
  <c r="Q573" i="3"/>
  <c r="R573" i="3"/>
  <c r="O574" i="3"/>
  <c r="P574" i="3" s="1"/>
  <c r="Q574" i="3" s="1"/>
  <c r="O575" i="3"/>
  <c r="P575" i="3"/>
  <c r="O576" i="3"/>
  <c r="P576" i="3" s="1"/>
  <c r="S576" i="3"/>
  <c r="O577" i="3"/>
  <c r="P577" i="3"/>
  <c r="Q577" i="3" s="1"/>
  <c r="R577" i="3"/>
  <c r="O578" i="3"/>
  <c r="P578" i="3"/>
  <c r="Q578" i="3" s="1"/>
  <c r="O579" i="3"/>
  <c r="P579" i="3"/>
  <c r="O580" i="3"/>
  <c r="P580" i="3" s="1"/>
  <c r="S580" i="3" s="1"/>
  <c r="O581" i="3"/>
  <c r="P581" i="3"/>
  <c r="S581" i="3" s="1"/>
  <c r="Q581" i="3"/>
  <c r="R581" i="3"/>
  <c r="O582" i="3"/>
  <c r="P582" i="3" s="1"/>
  <c r="O583" i="3"/>
  <c r="P583" i="3" s="1"/>
  <c r="O584" i="3"/>
  <c r="P584" i="3" s="1"/>
  <c r="Q584" i="3" s="1"/>
  <c r="R584" i="3"/>
  <c r="S584" i="3"/>
  <c r="O585" i="3"/>
  <c r="P585" i="3"/>
  <c r="Q585" i="3" s="1"/>
  <c r="R585" i="3"/>
  <c r="O586" i="3"/>
  <c r="P586" i="3"/>
  <c r="Q586" i="3"/>
  <c r="O587" i="3"/>
  <c r="P587" i="3"/>
  <c r="O588" i="3"/>
  <c r="P588" i="3" s="1"/>
  <c r="O589" i="3"/>
  <c r="P589" i="3"/>
  <c r="S589" i="3" s="1"/>
  <c r="Q589" i="3"/>
  <c r="R589" i="3"/>
  <c r="O590" i="3"/>
  <c r="P590" i="3" s="1"/>
  <c r="O591" i="3"/>
  <c r="P591" i="3" s="1"/>
  <c r="O592" i="3"/>
  <c r="P592" i="3" s="1"/>
  <c r="Q592" i="3" s="1"/>
  <c r="O593" i="3"/>
  <c r="P593" i="3"/>
  <c r="Q593" i="3" s="1"/>
  <c r="R593" i="3"/>
  <c r="O594" i="3"/>
  <c r="P594" i="3"/>
  <c r="Q594" i="3"/>
  <c r="O595" i="3"/>
  <c r="P595" i="3"/>
  <c r="S595" i="3"/>
  <c r="O596" i="3"/>
  <c r="P596" i="3" s="1"/>
  <c r="O597" i="3"/>
  <c r="P597" i="3"/>
  <c r="S597" i="3" s="1"/>
  <c r="Q597" i="3"/>
  <c r="R597" i="3"/>
  <c r="O598" i="3"/>
  <c r="P598" i="3" s="1"/>
  <c r="Q598" i="3"/>
  <c r="O599" i="3"/>
  <c r="P599" i="3" s="1"/>
  <c r="O600" i="3"/>
  <c r="P600" i="3" s="1"/>
  <c r="S600" i="3"/>
  <c r="O601" i="3"/>
  <c r="P601" i="3"/>
  <c r="Q601" i="3" s="1"/>
  <c r="R601" i="3"/>
  <c r="O602" i="3"/>
  <c r="P602" i="3"/>
  <c r="Q602" i="3"/>
  <c r="O603" i="3"/>
  <c r="P603" i="3"/>
  <c r="O604" i="3"/>
  <c r="P604" i="3" s="1"/>
  <c r="S604" i="3"/>
  <c r="O605" i="3"/>
  <c r="P605" i="3" s="1"/>
  <c r="R605" i="3" s="1"/>
  <c r="V305" i="2" s="1"/>
  <c r="O606" i="3"/>
  <c r="P606" i="3" s="1"/>
  <c r="Q606" i="3"/>
  <c r="O607" i="3"/>
  <c r="P607" i="3"/>
  <c r="O608" i="3"/>
  <c r="P608" i="3" s="1"/>
  <c r="O609" i="3"/>
  <c r="P609" i="3"/>
  <c r="Q609" i="3" s="1"/>
  <c r="R609" i="3"/>
  <c r="O610" i="3"/>
  <c r="P610" i="3"/>
  <c r="Q610" i="3"/>
  <c r="O611" i="3"/>
  <c r="P611" i="3"/>
  <c r="S611" i="3"/>
  <c r="O612" i="3"/>
  <c r="P612" i="3" s="1"/>
  <c r="S612" i="3"/>
  <c r="O613" i="3"/>
  <c r="P613" i="3" s="1"/>
  <c r="S613" i="3" s="1"/>
  <c r="Q613" i="3"/>
  <c r="R613" i="3"/>
  <c r="O614" i="3"/>
  <c r="P614" i="3" s="1"/>
  <c r="O615" i="3"/>
  <c r="P615" i="3" s="1"/>
  <c r="O616" i="3"/>
  <c r="P616" i="3" s="1"/>
  <c r="O617" i="3"/>
  <c r="P617" i="3"/>
  <c r="Q617" i="3" s="1"/>
  <c r="R617" i="3"/>
  <c r="O618" i="3"/>
  <c r="P618" i="3"/>
  <c r="Q618" i="3"/>
  <c r="O619" i="3"/>
  <c r="P619" i="3"/>
  <c r="S619" i="3"/>
  <c r="O620" i="3"/>
  <c r="P620" i="3" s="1"/>
  <c r="O621" i="3"/>
  <c r="P621" i="3" s="1"/>
  <c r="R621" i="3" s="1"/>
  <c r="O622" i="3"/>
  <c r="P622" i="3" s="1"/>
  <c r="Q622" i="3"/>
  <c r="O623" i="3"/>
  <c r="P623" i="3"/>
  <c r="O624" i="3"/>
  <c r="P624" i="3" s="1"/>
  <c r="Q624" i="3" s="1"/>
  <c r="R624" i="3"/>
  <c r="S624" i="3"/>
  <c r="O625" i="3"/>
  <c r="P625" i="3"/>
  <c r="Q625" i="3" s="1"/>
  <c r="R625" i="3"/>
  <c r="O626" i="3"/>
  <c r="P626" i="3"/>
  <c r="O627" i="3"/>
  <c r="P627" i="3"/>
  <c r="S627" i="3"/>
  <c r="O628" i="3"/>
  <c r="P628" i="3" s="1"/>
  <c r="S628" i="3"/>
  <c r="O629" i="3"/>
  <c r="P629" i="3" s="1"/>
  <c r="O630" i="3"/>
  <c r="P630" i="3" s="1"/>
  <c r="O631" i="3"/>
  <c r="P631" i="3" s="1"/>
  <c r="O632" i="3"/>
  <c r="P632" i="3" s="1"/>
  <c r="Q632" i="3" s="1"/>
  <c r="O633" i="3"/>
  <c r="P633" i="3"/>
  <c r="Q633" i="3" s="1"/>
  <c r="R633" i="3"/>
  <c r="O634" i="3"/>
  <c r="P634" i="3"/>
  <c r="Q634" i="3"/>
  <c r="O635" i="3"/>
  <c r="P635" i="3"/>
  <c r="O636" i="3"/>
  <c r="P636" i="3" s="1"/>
  <c r="O637" i="3"/>
  <c r="P637" i="3"/>
  <c r="Q637" i="3"/>
  <c r="R637" i="3"/>
  <c r="S637" i="3"/>
  <c r="O638" i="3"/>
  <c r="P638" i="3" s="1"/>
  <c r="Q638" i="3"/>
  <c r="O639" i="3"/>
  <c r="P639" i="3"/>
  <c r="O640" i="3"/>
  <c r="P640" i="3" s="1"/>
  <c r="Q640" i="3" s="1"/>
  <c r="R640" i="3"/>
  <c r="O641" i="3"/>
  <c r="P641" i="3" s="1"/>
  <c r="R641" i="3"/>
  <c r="O642" i="3"/>
  <c r="P642" i="3"/>
  <c r="R642" i="3"/>
  <c r="O643" i="3"/>
  <c r="P643" i="3"/>
  <c r="O644" i="3"/>
  <c r="P644" i="3" s="1"/>
  <c r="S644" i="3"/>
  <c r="O645" i="3"/>
  <c r="P645" i="3"/>
  <c r="Q645" i="3"/>
  <c r="R645" i="3"/>
  <c r="S645" i="3"/>
  <c r="O646" i="3"/>
  <c r="P646" i="3" s="1"/>
  <c r="O647" i="3"/>
  <c r="P647" i="3" s="1"/>
  <c r="Q647" i="3"/>
  <c r="O648" i="3"/>
  <c r="P648" i="3" s="1"/>
  <c r="R648" i="3" s="1"/>
  <c r="O649" i="3"/>
  <c r="P649" i="3" s="1"/>
  <c r="O650" i="3"/>
  <c r="P650" i="3"/>
  <c r="S650" i="3" s="1"/>
  <c r="Q650" i="3"/>
  <c r="R650" i="3"/>
  <c r="O651" i="3"/>
  <c r="P651" i="3"/>
  <c r="S651" i="3"/>
  <c r="O652" i="3"/>
  <c r="P652" i="3"/>
  <c r="O653" i="3"/>
  <c r="P653" i="3" s="1"/>
  <c r="S653" i="3" s="1"/>
  <c r="Q653" i="3"/>
  <c r="O654" i="3"/>
  <c r="P654" i="3" s="1"/>
  <c r="O655" i="3"/>
  <c r="P655" i="3" s="1"/>
  <c r="Q655" i="3" s="1"/>
  <c r="O656" i="3"/>
  <c r="P656" i="3" s="1"/>
  <c r="R656" i="3" s="1"/>
  <c r="V329" i="2" s="1"/>
  <c r="O657" i="3"/>
  <c r="P657" i="3" s="1"/>
  <c r="R657" i="3"/>
  <c r="O658" i="3"/>
  <c r="P658" i="3"/>
  <c r="S658" i="3" s="1"/>
  <c r="O659" i="3"/>
  <c r="P659" i="3"/>
  <c r="S659" i="3"/>
  <c r="O660" i="3"/>
  <c r="P660" i="3"/>
  <c r="R660" i="3" s="1"/>
  <c r="Q660" i="3"/>
  <c r="S660" i="3"/>
  <c r="O661" i="3"/>
  <c r="P661" i="3"/>
  <c r="Q661" i="3"/>
  <c r="R661" i="3"/>
  <c r="S661" i="3"/>
  <c r="O662" i="3"/>
  <c r="P662" i="3" s="1"/>
  <c r="Q662" i="3"/>
  <c r="O663" i="3"/>
  <c r="P663" i="3" s="1"/>
  <c r="Q663" i="3" s="1"/>
  <c r="O664" i="3"/>
  <c r="P664" i="3" s="1"/>
  <c r="S664" i="3" s="1"/>
  <c r="O665" i="3"/>
  <c r="P665" i="3"/>
  <c r="O666" i="3"/>
  <c r="P666" i="3"/>
  <c r="Q666" i="3"/>
  <c r="R666" i="3"/>
  <c r="S666" i="3"/>
  <c r="O667" i="3"/>
  <c r="P667" i="3"/>
  <c r="O668" i="3"/>
  <c r="P668" i="3" s="1"/>
  <c r="Q668" i="3" s="1"/>
  <c r="O669" i="3"/>
  <c r="P669" i="3" s="1"/>
  <c r="S669" i="3" s="1"/>
  <c r="O670" i="3"/>
  <c r="P670" i="3" s="1"/>
  <c r="O671" i="3"/>
  <c r="P671" i="3" s="1"/>
  <c r="O672" i="3"/>
  <c r="P672" i="3" s="1"/>
  <c r="S672" i="3" s="1"/>
  <c r="W339" i="2" s="1"/>
  <c r="O673" i="3"/>
  <c r="P673" i="3"/>
  <c r="O674" i="3"/>
  <c r="P674" i="3"/>
  <c r="R674" i="3" s="1"/>
  <c r="S674" i="3"/>
  <c r="O675" i="3"/>
  <c r="P675" i="3"/>
  <c r="S675" i="3"/>
  <c r="O676" i="3"/>
  <c r="P676" i="3" s="1"/>
  <c r="O677" i="3"/>
  <c r="P677" i="3" s="1"/>
  <c r="Q677" i="3" s="1"/>
  <c r="R677" i="3"/>
  <c r="S677" i="3"/>
  <c r="O678" i="3"/>
  <c r="P678" i="3" s="1"/>
  <c r="Q678" i="3"/>
  <c r="O679" i="3"/>
  <c r="P679" i="3" s="1"/>
  <c r="O680" i="3"/>
  <c r="P680" i="3" s="1"/>
  <c r="Q680" i="3" s="1"/>
  <c r="S680" i="3"/>
  <c r="O681" i="3"/>
  <c r="P681" i="3" s="1"/>
  <c r="O682" i="3"/>
  <c r="P682" i="3"/>
  <c r="Q682" i="3"/>
  <c r="R682" i="3"/>
  <c r="S682" i="3"/>
  <c r="O683" i="3"/>
  <c r="P683" i="3"/>
  <c r="O684" i="3"/>
  <c r="P684" i="3" s="1"/>
  <c r="R684" i="3" s="1"/>
  <c r="Q684" i="3"/>
  <c r="S684" i="3"/>
  <c r="O685" i="3"/>
  <c r="P685" i="3" s="1"/>
  <c r="S685" i="3" s="1"/>
  <c r="Q685" i="3"/>
  <c r="O686" i="3"/>
  <c r="P686" i="3" s="1"/>
  <c r="O687" i="3"/>
  <c r="P687" i="3" s="1"/>
  <c r="S687" i="3" s="1"/>
  <c r="O688" i="3"/>
  <c r="P688" i="3" s="1"/>
  <c r="S688" i="3"/>
  <c r="O689" i="3"/>
  <c r="P689" i="3"/>
  <c r="R689" i="3" s="1"/>
  <c r="O690" i="3"/>
  <c r="P690" i="3"/>
  <c r="Q690" i="3" s="1"/>
  <c r="O691" i="3"/>
  <c r="P691" i="3"/>
  <c r="S691" i="3"/>
  <c r="O692" i="3"/>
  <c r="P692" i="3" s="1"/>
  <c r="Q692" i="3"/>
  <c r="O693" i="3"/>
  <c r="P693" i="3"/>
  <c r="Q693" i="3"/>
  <c r="R693" i="3"/>
  <c r="S693" i="3"/>
  <c r="O694" i="3"/>
  <c r="P694" i="3" s="1"/>
  <c r="Q694" i="3" s="1"/>
  <c r="O695" i="3"/>
  <c r="P695" i="3"/>
  <c r="O696" i="3"/>
  <c r="P696" i="3"/>
  <c r="R696" i="3" s="1"/>
  <c r="V349" i="2" s="1"/>
  <c r="O697" i="3"/>
  <c r="P697" i="3" s="1"/>
  <c r="Q697" i="3"/>
  <c r="R697" i="3"/>
  <c r="S697" i="3"/>
  <c r="O698" i="3"/>
  <c r="P698" i="3" s="1"/>
  <c r="O699" i="3"/>
  <c r="P699" i="3" s="1"/>
  <c r="S699" i="3" s="1"/>
  <c r="Q699" i="3"/>
  <c r="R699" i="3"/>
  <c r="V352" i="2" s="1"/>
  <c r="O700" i="3"/>
  <c r="P700" i="3"/>
  <c r="Q700" i="3" s="1"/>
  <c r="R700" i="3"/>
  <c r="S700" i="3"/>
  <c r="O701" i="3"/>
  <c r="P701" i="3"/>
  <c r="Q701" i="3"/>
  <c r="O702" i="3"/>
  <c r="P702" i="3"/>
  <c r="S702" i="3" s="1"/>
  <c r="Q702" i="3"/>
  <c r="R702" i="3"/>
  <c r="O703" i="3"/>
  <c r="P703" i="3" s="1"/>
  <c r="Q703" i="3" s="1"/>
  <c r="O704" i="3"/>
  <c r="P704" i="3" s="1"/>
  <c r="O705" i="3"/>
  <c r="P705" i="3" s="1"/>
  <c r="Q705" i="3"/>
  <c r="R705" i="3"/>
  <c r="S705" i="3"/>
  <c r="O706" i="3"/>
  <c r="P706" i="3" s="1"/>
  <c r="O707" i="3"/>
  <c r="P707" i="3" s="1"/>
  <c r="S707" i="3" s="1"/>
  <c r="R707" i="3"/>
  <c r="O708" i="3"/>
  <c r="P708" i="3"/>
  <c r="Q708" i="3" s="1"/>
  <c r="R708" i="3"/>
  <c r="S708" i="3"/>
  <c r="O709" i="3"/>
  <c r="P709" i="3"/>
  <c r="Q709" i="3" s="1"/>
  <c r="O710" i="3"/>
  <c r="P710" i="3"/>
  <c r="S710" i="3" s="1"/>
  <c r="W358" i="2" s="1"/>
  <c r="Q710" i="3"/>
  <c r="R710" i="3"/>
  <c r="O711" i="3"/>
  <c r="P711" i="3" s="1"/>
  <c r="Q711" i="3"/>
  <c r="O712" i="3"/>
  <c r="P712" i="3" s="1"/>
  <c r="O713" i="3"/>
  <c r="P713" i="3" s="1"/>
  <c r="Q713" i="3"/>
  <c r="R713" i="3"/>
  <c r="S713" i="3"/>
  <c r="O714" i="3"/>
  <c r="P714" i="3" s="1"/>
  <c r="O715" i="3"/>
  <c r="P715" i="3" s="1"/>
  <c r="S715" i="3" s="1"/>
  <c r="Q715" i="3"/>
  <c r="R715" i="3"/>
  <c r="O716" i="3"/>
  <c r="P716" i="3"/>
  <c r="Q716" i="3" s="1"/>
  <c r="R716" i="3"/>
  <c r="S716" i="3"/>
  <c r="O717" i="3"/>
  <c r="P717" i="3"/>
  <c r="Q717" i="3"/>
  <c r="O718" i="3"/>
  <c r="P718" i="3"/>
  <c r="S718" i="3" s="1"/>
  <c r="Q718" i="3"/>
  <c r="R718" i="3"/>
  <c r="O719" i="3"/>
  <c r="P719" i="3" s="1"/>
  <c r="Q719" i="3" s="1"/>
  <c r="O720" i="3"/>
  <c r="P720" i="3" s="1"/>
  <c r="Q720" i="3"/>
  <c r="O721" i="3"/>
  <c r="P721" i="3" s="1"/>
  <c r="Q721" i="3"/>
  <c r="R721" i="3"/>
  <c r="S721" i="3"/>
  <c r="O722" i="3"/>
  <c r="P722" i="3" s="1"/>
  <c r="R722" i="3" s="1"/>
  <c r="V365" i="2" s="1"/>
  <c r="O723" i="3"/>
  <c r="P723" i="3" s="1"/>
  <c r="S723" i="3" s="1"/>
  <c r="Q723" i="3"/>
  <c r="R723" i="3"/>
  <c r="O724" i="3"/>
  <c r="P724" i="3"/>
  <c r="Q724" i="3" s="1"/>
  <c r="R724" i="3"/>
  <c r="S724" i="3"/>
  <c r="O725" i="3"/>
  <c r="P725" i="3"/>
  <c r="Q725" i="3"/>
  <c r="O726" i="3"/>
  <c r="P726" i="3"/>
  <c r="S726" i="3" s="1"/>
  <c r="Q726" i="3"/>
  <c r="R726" i="3"/>
  <c r="O727" i="3"/>
  <c r="P727" i="3" s="1"/>
  <c r="Q727" i="3" s="1"/>
  <c r="O728" i="3"/>
  <c r="P728" i="3" s="1"/>
  <c r="Q728" i="3"/>
  <c r="O729" i="3"/>
  <c r="P729" i="3" s="1"/>
  <c r="Q729" i="3"/>
  <c r="R729" i="3"/>
  <c r="S729" i="3"/>
  <c r="O730" i="3"/>
  <c r="P730" i="3" s="1"/>
  <c r="T366" i="2" s="1"/>
  <c r="U366" i="2" s="1"/>
  <c r="O731" i="3"/>
  <c r="P731" i="3" s="1"/>
  <c r="S731" i="3" s="1"/>
  <c r="Q731" i="3"/>
  <c r="R731" i="3"/>
  <c r="O732" i="3"/>
  <c r="P732" i="3"/>
  <c r="Q732" i="3" s="1"/>
  <c r="R732" i="3"/>
  <c r="V368" i="2" s="1"/>
  <c r="S732" i="3"/>
  <c r="O733" i="3"/>
  <c r="P733" i="3"/>
  <c r="Q733" i="3"/>
  <c r="O734" i="3"/>
  <c r="P734" i="3"/>
  <c r="S734" i="3" s="1"/>
  <c r="Q734" i="3"/>
  <c r="R734" i="3"/>
  <c r="O735" i="3"/>
  <c r="P735" i="3" s="1"/>
  <c r="Q735" i="3" s="1"/>
  <c r="O736" i="3"/>
  <c r="P736" i="3" s="1"/>
  <c r="Q736" i="3"/>
  <c r="O737" i="3"/>
  <c r="P737" i="3" s="1"/>
  <c r="Q737" i="3"/>
  <c r="R737" i="3"/>
  <c r="S737" i="3"/>
  <c r="O738" i="3"/>
  <c r="P738" i="3" s="1"/>
  <c r="R738" i="3" s="1"/>
  <c r="O739" i="3"/>
  <c r="P739" i="3" s="1"/>
  <c r="S739" i="3" s="1"/>
  <c r="Q739" i="3"/>
  <c r="R739" i="3"/>
  <c r="O740" i="3"/>
  <c r="P740" i="3"/>
  <c r="Q740" i="3" s="1"/>
  <c r="R740" i="3"/>
  <c r="S740" i="3"/>
  <c r="O741" i="3"/>
  <c r="P741" i="3"/>
  <c r="Q741" i="3"/>
  <c r="O742" i="3"/>
  <c r="P742" i="3"/>
  <c r="S742" i="3" s="1"/>
  <c r="Q742" i="3"/>
  <c r="R742" i="3"/>
  <c r="O743" i="3"/>
  <c r="P743" i="3" s="1"/>
  <c r="Q743" i="3" s="1"/>
  <c r="O744" i="3"/>
  <c r="P744" i="3" s="1"/>
  <c r="Q744" i="3"/>
  <c r="O745" i="3"/>
  <c r="P745" i="3" s="1"/>
  <c r="Q745" i="3"/>
  <c r="R745" i="3"/>
  <c r="S745" i="3"/>
  <c r="O746" i="3"/>
  <c r="P746" i="3" s="1"/>
  <c r="T376" i="2" s="1"/>
  <c r="U376" i="2" s="1"/>
  <c r="O747" i="3"/>
  <c r="P747" i="3" s="1"/>
  <c r="S747" i="3" s="1"/>
  <c r="Q747" i="3"/>
  <c r="R747" i="3"/>
  <c r="O748" i="3"/>
  <c r="P748" i="3"/>
  <c r="Q748" i="3" s="1"/>
  <c r="R748" i="3"/>
  <c r="S748" i="3"/>
  <c r="O749" i="3"/>
  <c r="P749" i="3"/>
  <c r="Q749" i="3"/>
  <c r="O750" i="3"/>
  <c r="P750" i="3"/>
  <c r="S750" i="3" s="1"/>
  <c r="Q750" i="3"/>
  <c r="R750" i="3"/>
  <c r="O751" i="3"/>
  <c r="P751" i="3" s="1"/>
  <c r="Q751" i="3" s="1"/>
  <c r="O752" i="3"/>
  <c r="P752" i="3" s="1"/>
  <c r="Q752" i="3"/>
  <c r="O753" i="3"/>
  <c r="P753" i="3" s="1"/>
  <c r="Q753" i="3"/>
  <c r="R753" i="3"/>
  <c r="S753" i="3"/>
  <c r="O754" i="3"/>
  <c r="P754" i="3" s="1"/>
  <c r="R754" i="3" s="1"/>
  <c r="O755" i="3"/>
  <c r="P755" i="3" s="1"/>
  <c r="S755" i="3" s="1"/>
  <c r="Q755" i="3"/>
  <c r="R755" i="3"/>
  <c r="O756" i="3"/>
  <c r="P756" i="3"/>
  <c r="Q756" i="3" s="1"/>
  <c r="R756" i="3"/>
  <c r="S756" i="3"/>
  <c r="O757" i="3"/>
  <c r="P757" i="3"/>
  <c r="Q757" i="3"/>
  <c r="O758" i="3"/>
  <c r="P758" i="3"/>
  <c r="S758" i="3" s="1"/>
  <c r="Q758" i="3"/>
  <c r="R758" i="3"/>
  <c r="O759" i="3"/>
  <c r="P759" i="3" s="1"/>
  <c r="T383" i="2" s="1"/>
  <c r="U383" i="2" s="1"/>
  <c r="O760" i="3"/>
  <c r="P760" i="3" s="1"/>
  <c r="Q760" i="3"/>
  <c r="O761" i="3"/>
  <c r="P761" i="3" s="1"/>
  <c r="Q761" i="3"/>
  <c r="R761" i="3"/>
  <c r="S761" i="3"/>
  <c r="O762" i="3"/>
  <c r="P762" i="3" s="1"/>
  <c r="R762" i="3" s="1"/>
  <c r="O763" i="3"/>
  <c r="P763" i="3" s="1"/>
  <c r="S763" i="3" s="1"/>
  <c r="Q763" i="3"/>
  <c r="O764" i="3"/>
  <c r="P764" i="3"/>
  <c r="Q764" i="3" s="1"/>
  <c r="R764" i="3"/>
  <c r="V384" i="2" s="1"/>
  <c r="S764" i="3"/>
  <c r="O765" i="3"/>
  <c r="P765" i="3"/>
  <c r="Q765" i="3"/>
  <c r="O766" i="3"/>
  <c r="P766" i="3"/>
  <c r="S766" i="3" s="1"/>
  <c r="Q766" i="3"/>
  <c r="R766" i="3"/>
  <c r="O767" i="3"/>
  <c r="P767" i="3" s="1"/>
  <c r="T387" i="2" s="1"/>
  <c r="U387" i="2" s="1"/>
  <c r="O768" i="3"/>
  <c r="P768" i="3" s="1"/>
  <c r="Q768" i="3"/>
  <c r="O769" i="3"/>
  <c r="P769" i="3" s="1"/>
  <c r="Q769" i="3"/>
  <c r="R769" i="3"/>
  <c r="S769" i="3"/>
  <c r="O770" i="3"/>
  <c r="P770" i="3" s="1"/>
  <c r="R770" i="3" s="1"/>
  <c r="V388" i="2" s="1"/>
  <c r="O771" i="3"/>
  <c r="P771" i="3" s="1"/>
  <c r="S771" i="3" s="1"/>
  <c r="Q771" i="3"/>
  <c r="O772" i="3"/>
  <c r="P772" i="3"/>
  <c r="Q772" i="3" s="1"/>
  <c r="R772" i="3"/>
  <c r="S772" i="3"/>
  <c r="O773" i="3"/>
  <c r="P773" i="3"/>
  <c r="Q773" i="3"/>
  <c r="O774" i="3"/>
  <c r="P774" i="3"/>
  <c r="S774" i="3" s="1"/>
  <c r="Q774" i="3"/>
  <c r="R774" i="3"/>
  <c r="O775" i="3"/>
  <c r="P775" i="3" s="1"/>
  <c r="Q775" i="3" s="1"/>
  <c r="O776" i="3"/>
  <c r="P776" i="3" s="1"/>
  <c r="Q776" i="3"/>
  <c r="O777" i="3"/>
  <c r="P777" i="3" s="1"/>
  <c r="Q777" i="3"/>
  <c r="R777" i="3"/>
  <c r="S777" i="3"/>
  <c r="O778" i="3"/>
  <c r="P778" i="3" s="1"/>
  <c r="R778" i="3" s="1"/>
  <c r="V391" i="2" s="1"/>
  <c r="O779" i="3"/>
  <c r="P779" i="3" s="1"/>
  <c r="S779" i="3" s="1"/>
  <c r="Q779" i="3"/>
  <c r="O780" i="3"/>
  <c r="P780" i="3"/>
  <c r="Q780" i="3" s="1"/>
  <c r="R780" i="3"/>
  <c r="V393" i="2" s="1"/>
  <c r="S780" i="3"/>
  <c r="O781" i="3"/>
  <c r="P781" i="3"/>
  <c r="Q781" i="3"/>
  <c r="O782" i="3"/>
  <c r="P782" i="3"/>
  <c r="S782" i="3" s="1"/>
  <c r="Q782" i="3"/>
  <c r="R782" i="3"/>
  <c r="O783" i="3"/>
  <c r="P783" i="3" s="1"/>
  <c r="Q783" i="3" s="1"/>
  <c r="O784" i="3"/>
  <c r="P784" i="3" s="1"/>
  <c r="Q784" i="3"/>
  <c r="O785" i="3"/>
  <c r="P785" i="3" s="1"/>
  <c r="Q785" i="3"/>
  <c r="R785" i="3"/>
  <c r="S785" i="3"/>
  <c r="O786" i="3"/>
  <c r="P786" i="3" s="1"/>
  <c r="R786" i="3" s="1"/>
  <c r="V398" i="2" s="1"/>
  <c r="O787" i="3"/>
  <c r="P787" i="3" s="1"/>
  <c r="S787" i="3" s="1"/>
  <c r="Q787" i="3"/>
  <c r="O788" i="3"/>
  <c r="P788" i="3"/>
  <c r="Q788" i="3" s="1"/>
  <c r="R788" i="3"/>
  <c r="S788" i="3"/>
  <c r="O789" i="3"/>
  <c r="P789" i="3"/>
  <c r="Q789" i="3"/>
  <c r="O790" i="3"/>
  <c r="P790" i="3"/>
  <c r="S790" i="3" s="1"/>
  <c r="Q790" i="3"/>
  <c r="R790" i="3"/>
  <c r="O791" i="3"/>
  <c r="P791" i="3" s="1"/>
  <c r="O792" i="3"/>
  <c r="P792" i="3"/>
  <c r="S792" i="3" s="1"/>
  <c r="O793" i="3"/>
  <c r="P793" i="3" s="1"/>
  <c r="O794" i="3"/>
  <c r="P794" i="3" s="1"/>
  <c r="Q794" i="3" s="1"/>
  <c r="R794" i="3"/>
  <c r="S794" i="3"/>
  <c r="O795" i="3"/>
  <c r="P795" i="3"/>
  <c r="Q795" i="3" s="1"/>
  <c r="R795" i="3"/>
  <c r="O796" i="3"/>
  <c r="P796" i="3"/>
  <c r="Q796" i="3"/>
  <c r="O797" i="3"/>
  <c r="P797" i="3"/>
  <c r="S797" i="3" s="1"/>
  <c r="W400" i="2" s="1"/>
  <c r="O798" i="3"/>
  <c r="P798" i="3" s="1"/>
  <c r="S798" i="3"/>
  <c r="O799" i="3"/>
  <c r="P799" i="3" s="1"/>
  <c r="S799" i="3" s="1"/>
  <c r="Q799" i="3"/>
  <c r="R799" i="3"/>
  <c r="O800" i="3"/>
  <c r="P800" i="3" s="1"/>
  <c r="Q800" i="3"/>
  <c r="O801" i="3"/>
  <c r="P801" i="3"/>
  <c r="O802" i="3"/>
  <c r="P802" i="3" s="1"/>
  <c r="Q802" i="3" s="1"/>
  <c r="O803" i="3"/>
  <c r="P803" i="3"/>
  <c r="Q803" i="3" s="1"/>
  <c r="R803" i="3"/>
  <c r="O804" i="3"/>
  <c r="P804" i="3"/>
  <c r="Q804" i="3"/>
  <c r="O805" i="3"/>
  <c r="P805" i="3"/>
  <c r="S805" i="3"/>
  <c r="O806" i="3"/>
  <c r="P806" i="3" s="1"/>
  <c r="S806" i="3"/>
  <c r="W407" i="2" s="1"/>
  <c r="O807" i="3"/>
  <c r="P807" i="3" s="1"/>
  <c r="S807" i="3" s="1"/>
  <c r="Q807" i="3"/>
  <c r="R807" i="3"/>
  <c r="O808" i="3"/>
  <c r="P808" i="3" s="1"/>
  <c r="Q808" i="3"/>
  <c r="O809" i="3"/>
  <c r="P809" i="3"/>
  <c r="O810" i="3"/>
  <c r="P810" i="3" s="1"/>
  <c r="Q810" i="3" s="1"/>
  <c r="O811" i="3"/>
  <c r="P811" i="3"/>
  <c r="Q811" i="3" s="1"/>
  <c r="R811" i="3"/>
  <c r="O812" i="3"/>
  <c r="P812" i="3"/>
  <c r="Q812" i="3"/>
  <c r="O813" i="3"/>
  <c r="P813" i="3"/>
  <c r="S813" i="3"/>
  <c r="O814" i="3"/>
  <c r="P814" i="3" s="1"/>
  <c r="S814" i="3"/>
  <c r="O815" i="3"/>
  <c r="P815" i="3" s="1"/>
  <c r="S815" i="3" s="1"/>
  <c r="Q815" i="3"/>
  <c r="R815" i="3"/>
  <c r="O816" i="3"/>
  <c r="P816" i="3" s="1"/>
  <c r="Q816" i="3"/>
  <c r="O817" i="3"/>
  <c r="P817" i="3" s="1"/>
  <c r="O818" i="3"/>
  <c r="P818" i="3" s="1"/>
  <c r="Q818" i="3" s="1"/>
  <c r="R818" i="3"/>
  <c r="S818" i="3"/>
  <c r="O819" i="3"/>
  <c r="P819" i="3"/>
  <c r="Q819" i="3" s="1"/>
  <c r="R819" i="3"/>
  <c r="O820" i="3"/>
  <c r="P820" i="3"/>
  <c r="Q820" i="3"/>
  <c r="O821" i="3"/>
  <c r="P821" i="3"/>
  <c r="T412" i="2" s="1"/>
  <c r="U412" i="2" s="1"/>
  <c r="S821" i="3"/>
  <c r="W412" i="2" s="1"/>
  <c r="O822" i="3"/>
  <c r="P822" i="3" s="1"/>
  <c r="S822" i="3"/>
  <c r="O823" i="3"/>
  <c r="P823" i="3" s="1"/>
  <c r="S823" i="3" s="1"/>
  <c r="O824" i="3"/>
  <c r="P824" i="3" s="1"/>
  <c r="Q824" i="3"/>
  <c r="O825" i="3"/>
  <c r="S416" i="2" s="1"/>
  <c r="O826" i="3"/>
  <c r="P826" i="3" s="1"/>
  <c r="Q826" i="3" s="1"/>
  <c r="R826" i="3"/>
  <c r="O827" i="3"/>
  <c r="P827" i="3"/>
  <c r="Q827" i="3" s="1"/>
  <c r="R827" i="3"/>
  <c r="O828" i="3"/>
  <c r="P828" i="3"/>
  <c r="Q828" i="3"/>
  <c r="O829" i="3"/>
  <c r="P829" i="3"/>
  <c r="S829" i="3"/>
  <c r="O830" i="3"/>
  <c r="P830" i="3" s="1"/>
  <c r="S830" i="3"/>
  <c r="O831" i="3"/>
  <c r="P831" i="3" s="1"/>
  <c r="S831" i="3" s="1"/>
  <c r="O832" i="3"/>
  <c r="P832" i="3" s="1"/>
  <c r="Q832" i="3" s="1"/>
  <c r="O833" i="3"/>
  <c r="P833" i="3"/>
  <c r="O834" i="3"/>
  <c r="P834" i="3" s="1"/>
  <c r="Q834" i="3" s="1"/>
  <c r="R834" i="3"/>
  <c r="V419" i="2" s="1"/>
  <c r="O835" i="3"/>
  <c r="P835" i="3"/>
  <c r="Q835" i="3" s="1"/>
  <c r="R835" i="3"/>
  <c r="O836" i="3"/>
  <c r="P836" i="3"/>
  <c r="Q836" i="3"/>
  <c r="O837" i="3"/>
  <c r="P837" i="3"/>
  <c r="S837" i="3"/>
  <c r="O838" i="3"/>
  <c r="P838" i="3" s="1"/>
  <c r="S838" i="3" s="1"/>
  <c r="O839" i="3"/>
  <c r="P839" i="3" s="1"/>
  <c r="S839" i="3" s="1"/>
  <c r="Q839" i="3"/>
  <c r="R839" i="3"/>
  <c r="O840" i="3"/>
  <c r="P840" i="3" s="1"/>
  <c r="Q840" i="3" s="1"/>
  <c r="O841" i="3"/>
  <c r="P841" i="3"/>
  <c r="O842" i="3"/>
  <c r="P842" i="3" s="1"/>
  <c r="Q842" i="3" s="1"/>
  <c r="R842" i="3"/>
  <c r="S842" i="3"/>
  <c r="O843" i="3"/>
  <c r="P843" i="3"/>
  <c r="Q843" i="3" s="1"/>
  <c r="R843" i="3"/>
  <c r="O844" i="3"/>
  <c r="P844" i="3"/>
  <c r="Q844" i="3" s="1"/>
  <c r="O845" i="3"/>
  <c r="P845" i="3"/>
  <c r="S845" i="3"/>
  <c r="W424" i="2" s="1"/>
  <c r="O846" i="3"/>
  <c r="P846" i="3" s="1"/>
  <c r="S846" i="3" s="1"/>
  <c r="W425" i="2" s="1"/>
  <c r="O847" i="3"/>
  <c r="P847" i="3" s="1"/>
  <c r="S847" i="3" s="1"/>
  <c r="Q847" i="3"/>
  <c r="O848" i="3"/>
  <c r="P848" i="3" s="1"/>
  <c r="Q848" i="3"/>
  <c r="O849" i="3"/>
  <c r="S428" i="2" s="1"/>
  <c r="P849" i="3"/>
  <c r="O850" i="3"/>
  <c r="P850" i="3" s="1"/>
  <c r="Q850" i="3" s="1"/>
  <c r="R850" i="3"/>
  <c r="S850" i="3"/>
  <c r="O851" i="3"/>
  <c r="P851" i="3"/>
  <c r="Q851" i="3" s="1"/>
  <c r="R851" i="3"/>
  <c r="O852" i="3"/>
  <c r="P852" i="3"/>
  <c r="Q852" i="3" s="1"/>
  <c r="O853" i="3"/>
  <c r="P853" i="3"/>
  <c r="S853" i="3" s="1"/>
  <c r="O854" i="3"/>
  <c r="P854" i="3" s="1"/>
  <c r="S854" i="3"/>
  <c r="O855" i="3"/>
  <c r="P855" i="3" s="1"/>
  <c r="S855" i="3" s="1"/>
  <c r="Q855" i="3"/>
  <c r="O856" i="3"/>
  <c r="P856" i="3" s="1"/>
  <c r="Q856" i="3"/>
  <c r="O857" i="3"/>
  <c r="P857" i="3"/>
  <c r="O858" i="3"/>
  <c r="P858" i="3" s="1"/>
  <c r="Q858" i="3" s="1"/>
  <c r="R858" i="3"/>
  <c r="V431" i="2" s="1"/>
  <c r="S858" i="3"/>
  <c r="W431" i="2" s="1"/>
  <c r="O859" i="3"/>
  <c r="P859" i="3"/>
  <c r="Q859" i="3" s="1"/>
  <c r="R859" i="3"/>
  <c r="O860" i="3"/>
  <c r="P860" i="3"/>
  <c r="Q860" i="3"/>
  <c r="O861" i="3"/>
  <c r="P861" i="3"/>
  <c r="T434" i="2" s="1"/>
  <c r="U434" i="2" s="1"/>
  <c r="O862" i="3"/>
  <c r="P862" i="3" s="1"/>
  <c r="S862" i="3"/>
  <c r="O863" i="3"/>
  <c r="P863" i="3" s="1"/>
  <c r="S863" i="3" s="1"/>
  <c r="Q863" i="3"/>
  <c r="R863" i="3"/>
  <c r="O864" i="3"/>
  <c r="P864" i="3" s="1"/>
  <c r="Q864" i="3"/>
  <c r="O865" i="3"/>
  <c r="P865" i="3"/>
  <c r="O866" i="3"/>
  <c r="P866" i="3" s="1"/>
  <c r="Q866" i="3" s="1"/>
  <c r="O867" i="3"/>
  <c r="P867" i="3"/>
  <c r="Q867" i="3" s="1"/>
  <c r="R867" i="3"/>
  <c r="O868" i="3"/>
  <c r="P868" i="3"/>
  <c r="Q868" i="3"/>
  <c r="O869" i="3"/>
  <c r="P869" i="3"/>
  <c r="S869" i="3"/>
  <c r="O870" i="3"/>
  <c r="P870" i="3" s="1"/>
  <c r="S870" i="3"/>
  <c r="W437" i="2" s="1"/>
  <c r="O871" i="3"/>
  <c r="P871" i="3" s="1"/>
  <c r="S871" i="3" s="1"/>
  <c r="Q871" i="3"/>
  <c r="R871" i="3"/>
  <c r="O872" i="3"/>
  <c r="P872" i="3" s="1"/>
  <c r="Q872" i="3"/>
  <c r="O873" i="3"/>
  <c r="P873" i="3"/>
  <c r="T440" i="2" s="1"/>
  <c r="U440" i="2" s="1"/>
  <c r="O874" i="3"/>
  <c r="P874" i="3" s="1"/>
  <c r="Q874" i="3" s="1"/>
  <c r="O875" i="3"/>
  <c r="P875" i="3"/>
  <c r="Q875" i="3" s="1"/>
  <c r="R875" i="3"/>
  <c r="O876" i="3"/>
  <c r="P876" i="3"/>
  <c r="Q876" i="3"/>
  <c r="O877" i="3"/>
  <c r="P877" i="3"/>
  <c r="S877" i="3"/>
  <c r="O878" i="3"/>
  <c r="P878" i="3" s="1"/>
  <c r="S878" i="3"/>
  <c r="O879" i="3"/>
  <c r="P879" i="3" s="1"/>
  <c r="S879" i="3" s="1"/>
  <c r="Q879" i="3"/>
  <c r="R879" i="3"/>
  <c r="N261" i="2"/>
  <c r="O261" i="2"/>
  <c r="R261" i="2" s="1"/>
  <c r="P261" i="2"/>
  <c r="Q261" i="2"/>
  <c r="X261" i="2"/>
  <c r="Y261" i="2"/>
  <c r="Z261" i="2"/>
  <c r="AA261" i="2"/>
  <c r="N262" i="2"/>
  <c r="O262" i="2"/>
  <c r="R262" i="2" s="1"/>
  <c r="P262" i="2"/>
  <c r="Q262" i="2"/>
  <c r="X262" i="2"/>
  <c r="Y262" i="2"/>
  <c r="Z262" i="2"/>
  <c r="AA262" i="2"/>
  <c r="N263" i="2"/>
  <c r="O263" i="2"/>
  <c r="R263" i="2" s="1"/>
  <c r="P263" i="2"/>
  <c r="Q263" i="2"/>
  <c r="X263" i="2"/>
  <c r="Y263" i="2"/>
  <c r="Z263" i="2"/>
  <c r="AA263" i="2"/>
  <c r="N264" i="2"/>
  <c r="O264" i="2"/>
  <c r="R264" i="2" s="1"/>
  <c r="P264" i="2"/>
  <c r="Q264" i="2"/>
  <c r="X264" i="2"/>
  <c r="Y264" i="2"/>
  <c r="Z264" i="2"/>
  <c r="AA264" i="2"/>
  <c r="N265" i="2"/>
  <c r="O265" i="2"/>
  <c r="P265" i="2"/>
  <c r="Q265" i="2"/>
  <c r="R265" i="2"/>
  <c r="X265" i="2"/>
  <c r="Y265" i="2"/>
  <c r="Z265" i="2"/>
  <c r="AA265" i="2"/>
  <c r="N266" i="2"/>
  <c r="O266" i="2"/>
  <c r="R266" i="2" s="1"/>
  <c r="P266" i="2"/>
  <c r="Q266" i="2"/>
  <c r="X266" i="2"/>
  <c r="Y266" i="2"/>
  <c r="Z266" i="2"/>
  <c r="AA266" i="2"/>
  <c r="N267" i="2"/>
  <c r="O267" i="2"/>
  <c r="R267" i="2" s="1"/>
  <c r="P267" i="2"/>
  <c r="Q267" i="2"/>
  <c r="S267" i="2"/>
  <c r="T267" i="2"/>
  <c r="U267" i="2" s="1"/>
  <c r="X267" i="2"/>
  <c r="Y267" i="2"/>
  <c r="Z267" i="2"/>
  <c r="AA267" i="2"/>
  <c r="N268" i="2"/>
  <c r="O268" i="2"/>
  <c r="R268" i="2" s="1"/>
  <c r="P268" i="2"/>
  <c r="Q268" i="2"/>
  <c r="S268" i="2"/>
  <c r="T268" i="2"/>
  <c r="U268" i="2" s="1"/>
  <c r="W268" i="2"/>
  <c r="X268" i="2"/>
  <c r="Y268" i="2"/>
  <c r="Z268" i="2"/>
  <c r="AA268" i="2"/>
  <c r="N269" i="2"/>
  <c r="O269" i="2"/>
  <c r="R269" i="2" s="1"/>
  <c r="P269" i="2"/>
  <c r="Q269" i="2"/>
  <c r="S269" i="2"/>
  <c r="T269" i="2"/>
  <c r="U269" i="2" s="1"/>
  <c r="X269" i="2"/>
  <c r="Y269" i="2"/>
  <c r="Z269" i="2"/>
  <c r="AA269" i="2"/>
  <c r="N270" i="2"/>
  <c r="O270" i="2"/>
  <c r="R270" i="2" s="1"/>
  <c r="P270" i="2"/>
  <c r="Q270" i="2"/>
  <c r="S270" i="2"/>
  <c r="X270" i="2"/>
  <c r="Y270" i="2"/>
  <c r="Z270" i="2"/>
  <c r="AA270" i="2"/>
  <c r="N271" i="2"/>
  <c r="O271" i="2"/>
  <c r="R271" i="2" s="1"/>
  <c r="P271" i="2"/>
  <c r="Q271" i="2"/>
  <c r="S271" i="2"/>
  <c r="T271" i="2"/>
  <c r="U271" i="2"/>
  <c r="X271" i="2"/>
  <c r="Y271" i="2"/>
  <c r="Z271" i="2"/>
  <c r="AA271" i="2"/>
  <c r="N272" i="2"/>
  <c r="O272" i="2"/>
  <c r="R272" i="2" s="1"/>
  <c r="P272" i="2"/>
  <c r="Q272" i="2"/>
  <c r="S272" i="2"/>
  <c r="T272" i="2"/>
  <c r="U272" i="2" s="1"/>
  <c r="X272" i="2"/>
  <c r="Y272" i="2"/>
  <c r="Z272" i="2"/>
  <c r="AA272" i="2"/>
  <c r="N273" i="2"/>
  <c r="O273" i="2"/>
  <c r="R273" i="2" s="1"/>
  <c r="P273" i="2"/>
  <c r="Q273" i="2"/>
  <c r="S273" i="2"/>
  <c r="T273" i="2"/>
  <c r="U273" i="2" s="1"/>
  <c r="X273" i="2"/>
  <c r="Y273" i="2"/>
  <c r="Z273" i="2"/>
  <c r="AA273" i="2"/>
  <c r="N274" i="2"/>
  <c r="O274" i="2"/>
  <c r="R274" i="2" s="1"/>
  <c r="P274" i="2"/>
  <c r="Q274" i="2"/>
  <c r="S274" i="2"/>
  <c r="T274" i="2"/>
  <c r="U274" i="2" s="1"/>
  <c r="V274" i="2"/>
  <c r="X274" i="2"/>
  <c r="Y274" i="2"/>
  <c r="Z274" i="2"/>
  <c r="AA274" i="2"/>
  <c r="N275" i="2"/>
  <c r="O275" i="2"/>
  <c r="R275" i="2" s="1"/>
  <c r="P275" i="2"/>
  <c r="Q275" i="2"/>
  <c r="S275" i="2"/>
  <c r="T275" i="2"/>
  <c r="U275" i="2" s="1"/>
  <c r="X275" i="2"/>
  <c r="Y275" i="2"/>
  <c r="Z275" i="2"/>
  <c r="AA275" i="2"/>
  <c r="N276" i="2"/>
  <c r="O276" i="2"/>
  <c r="R276" i="2" s="1"/>
  <c r="P276" i="2"/>
  <c r="Q276" i="2"/>
  <c r="S276" i="2"/>
  <c r="T276" i="2"/>
  <c r="U276" i="2" s="1"/>
  <c r="X276" i="2"/>
  <c r="Y276" i="2"/>
  <c r="Z276" i="2"/>
  <c r="AA276" i="2"/>
  <c r="N277" i="2"/>
  <c r="O277" i="2"/>
  <c r="R277" i="2" s="1"/>
  <c r="P277" i="2"/>
  <c r="Q277" i="2"/>
  <c r="S277" i="2"/>
  <c r="T277" i="2"/>
  <c r="U277" i="2" s="1"/>
  <c r="W277" i="2"/>
  <c r="X277" i="2"/>
  <c r="Y277" i="2"/>
  <c r="Z277" i="2"/>
  <c r="AA277" i="2"/>
  <c r="N278" i="2"/>
  <c r="O278" i="2"/>
  <c r="R278" i="2" s="1"/>
  <c r="P278" i="2"/>
  <c r="Q278" i="2"/>
  <c r="S278" i="2"/>
  <c r="T278" i="2"/>
  <c r="U278" i="2" s="1"/>
  <c r="X278" i="2"/>
  <c r="Y278" i="2"/>
  <c r="Z278" i="2"/>
  <c r="AA278" i="2"/>
  <c r="N279" i="2"/>
  <c r="O279" i="2"/>
  <c r="R279" i="2" s="1"/>
  <c r="P279" i="2"/>
  <c r="Q279" i="2"/>
  <c r="S279" i="2"/>
  <c r="T279" i="2"/>
  <c r="U279" i="2" s="1"/>
  <c r="V279" i="2"/>
  <c r="W279" i="2"/>
  <c r="X279" i="2"/>
  <c r="Y279" i="2"/>
  <c r="Z279" i="2"/>
  <c r="AA279" i="2"/>
  <c r="N280" i="2"/>
  <c r="O280" i="2"/>
  <c r="R280" i="2" s="1"/>
  <c r="P280" i="2"/>
  <c r="Q280" i="2"/>
  <c r="S280" i="2"/>
  <c r="T280" i="2"/>
  <c r="U280" i="2" s="1"/>
  <c r="X280" i="2"/>
  <c r="Y280" i="2"/>
  <c r="Z280" i="2"/>
  <c r="AA280" i="2"/>
  <c r="N281" i="2"/>
  <c r="O281" i="2"/>
  <c r="R281" i="2" s="1"/>
  <c r="P281" i="2"/>
  <c r="Q281" i="2"/>
  <c r="S281" i="2"/>
  <c r="T281" i="2"/>
  <c r="U281" i="2"/>
  <c r="X281" i="2"/>
  <c r="Y281" i="2"/>
  <c r="Z281" i="2"/>
  <c r="AA281" i="2"/>
  <c r="N282" i="2"/>
  <c r="O282" i="2"/>
  <c r="R282" i="2" s="1"/>
  <c r="P282" i="2"/>
  <c r="Q282" i="2"/>
  <c r="S282" i="2"/>
  <c r="T282" i="2"/>
  <c r="U282" i="2" s="1"/>
  <c r="W282" i="2"/>
  <c r="X282" i="2"/>
  <c r="Y282" i="2"/>
  <c r="Z282" i="2"/>
  <c r="AA282" i="2"/>
  <c r="N283" i="2"/>
  <c r="O283" i="2"/>
  <c r="R283" i="2" s="1"/>
  <c r="P283" i="2"/>
  <c r="Q283" i="2"/>
  <c r="S283" i="2"/>
  <c r="T283" i="2"/>
  <c r="U283" i="2" s="1"/>
  <c r="V283" i="2"/>
  <c r="W283" i="2"/>
  <c r="X283" i="2"/>
  <c r="Y283" i="2"/>
  <c r="Z283" i="2"/>
  <c r="AA283" i="2"/>
  <c r="N284" i="2"/>
  <c r="O284" i="2"/>
  <c r="R284" i="2" s="1"/>
  <c r="P284" i="2"/>
  <c r="Q284" i="2"/>
  <c r="S284" i="2"/>
  <c r="T284" i="2"/>
  <c r="U284" i="2" s="1"/>
  <c r="X284" i="2"/>
  <c r="Y284" i="2"/>
  <c r="Z284" i="2"/>
  <c r="AA284" i="2"/>
  <c r="N285" i="2"/>
  <c r="O285" i="2"/>
  <c r="R285" i="2" s="1"/>
  <c r="P285" i="2"/>
  <c r="Q285" i="2"/>
  <c r="S285" i="2"/>
  <c r="T285" i="2"/>
  <c r="U285" i="2" s="1"/>
  <c r="V285" i="2"/>
  <c r="X285" i="2"/>
  <c r="Y285" i="2"/>
  <c r="Z285" i="2"/>
  <c r="AA285" i="2"/>
  <c r="N286" i="2"/>
  <c r="O286" i="2"/>
  <c r="R286" i="2" s="1"/>
  <c r="P286" i="2"/>
  <c r="Q286" i="2"/>
  <c r="S286" i="2"/>
  <c r="T286" i="2"/>
  <c r="U286" i="2" s="1"/>
  <c r="X286" i="2"/>
  <c r="Y286" i="2"/>
  <c r="Z286" i="2"/>
  <c r="AA286" i="2"/>
  <c r="N287" i="2"/>
  <c r="O287" i="2"/>
  <c r="R287" i="2" s="1"/>
  <c r="P287" i="2"/>
  <c r="Q287" i="2"/>
  <c r="S287" i="2"/>
  <c r="T287" i="2"/>
  <c r="U287" i="2"/>
  <c r="W287" i="2"/>
  <c r="X287" i="2"/>
  <c r="Y287" i="2"/>
  <c r="Z287" i="2"/>
  <c r="AA287" i="2"/>
  <c r="N288" i="2"/>
  <c r="O288" i="2"/>
  <c r="R288" i="2" s="1"/>
  <c r="P288" i="2"/>
  <c r="Q288" i="2"/>
  <c r="S288" i="2"/>
  <c r="T288" i="2"/>
  <c r="U288" i="2"/>
  <c r="X288" i="2"/>
  <c r="Y288" i="2"/>
  <c r="Z288" i="2"/>
  <c r="AA288" i="2"/>
  <c r="N289" i="2"/>
  <c r="O289" i="2"/>
  <c r="R289" i="2" s="1"/>
  <c r="P289" i="2"/>
  <c r="Q289" i="2"/>
  <c r="S289" i="2"/>
  <c r="T289" i="2"/>
  <c r="U289" i="2" s="1"/>
  <c r="W289" i="2"/>
  <c r="X289" i="2"/>
  <c r="Y289" i="2"/>
  <c r="Z289" i="2"/>
  <c r="AA289" i="2"/>
  <c r="N290" i="2"/>
  <c r="O290" i="2"/>
  <c r="R290" i="2" s="1"/>
  <c r="P290" i="2"/>
  <c r="Q290" i="2"/>
  <c r="S290" i="2"/>
  <c r="T290" i="2"/>
  <c r="U290" i="2" s="1"/>
  <c r="W290" i="2"/>
  <c r="X290" i="2"/>
  <c r="Y290" i="2"/>
  <c r="Z290" i="2"/>
  <c r="AA290" i="2"/>
  <c r="N291" i="2"/>
  <c r="O291" i="2"/>
  <c r="R291" i="2" s="1"/>
  <c r="P291" i="2"/>
  <c r="Q291" i="2"/>
  <c r="S291" i="2"/>
  <c r="T291" i="2"/>
  <c r="U291" i="2" s="1"/>
  <c r="X291" i="2"/>
  <c r="Y291" i="2"/>
  <c r="Z291" i="2"/>
  <c r="AA291" i="2"/>
  <c r="N292" i="2"/>
  <c r="O292" i="2"/>
  <c r="R292" i="2" s="1"/>
  <c r="P292" i="2"/>
  <c r="Q292" i="2"/>
  <c r="S292" i="2"/>
  <c r="T292" i="2"/>
  <c r="U292" i="2" s="1"/>
  <c r="X292" i="2"/>
  <c r="Y292" i="2"/>
  <c r="Z292" i="2"/>
  <c r="AA292" i="2"/>
  <c r="N293" i="2"/>
  <c r="O293" i="2"/>
  <c r="R293" i="2" s="1"/>
  <c r="P293" i="2"/>
  <c r="Q293" i="2"/>
  <c r="S293" i="2"/>
  <c r="T293" i="2"/>
  <c r="U293" i="2"/>
  <c r="W293" i="2"/>
  <c r="X293" i="2"/>
  <c r="Y293" i="2"/>
  <c r="Z293" i="2"/>
  <c r="AA293" i="2"/>
  <c r="N294" i="2"/>
  <c r="O294" i="2"/>
  <c r="R294" i="2" s="1"/>
  <c r="P294" i="2"/>
  <c r="Q294" i="2"/>
  <c r="S294" i="2"/>
  <c r="T294" i="2"/>
  <c r="U294" i="2"/>
  <c r="V294" i="2"/>
  <c r="W294" i="2"/>
  <c r="X294" i="2"/>
  <c r="Y294" i="2"/>
  <c r="Z294" i="2"/>
  <c r="AA294" i="2"/>
  <c r="N295" i="2"/>
  <c r="O295" i="2"/>
  <c r="P295" i="2"/>
  <c r="Q295" i="2"/>
  <c r="R295" i="2"/>
  <c r="S295" i="2"/>
  <c r="T295" i="2"/>
  <c r="U295" i="2" s="1"/>
  <c r="V295" i="2"/>
  <c r="X295" i="2"/>
  <c r="Y295" i="2"/>
  <c r="Z295" i="2"/>
  <c r="AA295" i="2"/>
  <c r="N296" i="2"/>
  <c r="O296" i="2"/>
  <c r="R296" i="2" s="1"/>
  <c r="P296" i="2"/>
  <c r="Q296" i="2"/>
  <c r="S296" i="2"/>
  <c r="T296" i="2"/>
  <c r="U296" i="2" s="1"/>
  <c r="X296" i="2"/>
  <c r="Y296" i="2"/>
  <c r="Z296" i="2"/>
  <c r="AA296" i="2"/>
  <c r="N297" i="2"/>
  <c r="O297" i="2"/>
  <c r="R297" i="2" s="1"/>
  <c r="P297" i="2"/>
  <c r="Q297" i="2"/>
  <c r="S297" i="2"/>
  <c r="T297" i="2"/>
  <c r="U297" i="2" s="1"/>
  <c r="X297" i="2"/>
  <c r="Y297" i="2"/>
  <c r="Z297" i="2"/>
  <c r="AA297" i="2"/>
  <c r="N298" i="2"/>
  <c r="O298" i="2"/>
  <c r="R298" i="2" s="1"/>
  <c r="P298" i="2"/>
  <c r="Q298" i="2"/>
  <c r="S298" i="2"/>
  <c r="T298" i="2"/>
  <c r="U298" i="2" s="1"/>
  <c r="X298" i="2"/>
  <c r="Y298" i="2"/>
  <c r="Z298" i="2"/>
  <c r="AA298" i="2"/>
  <c r="N299" i="2"/>
  <c r="O299" i="2"/>
  <c r="P299" i="2"/>
  <c r="Q299" i="2"/>
  <c r="R299" i="2"/>
  <c r="S299" i="2"/>
  <c r="T299" i="2"/>
  <c r="U299" i="2" s="1"/>
  <c r="W299" i="2"/>
  <c r="X299" i="2"/>
  <c r="Y299" i="2"/>
  <c r="Z299" i="2"/>
  <c r="AA299" i="2"/>
  <c r="N300" i="2"/>
  <c r="O300" i="2"/>
  <c r="R300" i="2" s="1"/>
  <c r="P300" i="2"/>
  <c r="Q300" i="2"/>
  <c r="S300" i="2"/>
  <c r="T300" i="2"/>
  <c r="U300" i="2" s="1"/>
  <c r="X300" i="2"/>
  <c r="Y300" i="2"/>
  <c r="Z300" i="2"/>
  <c r="AA300" i="2"/>
  <c r="N301" i="2"/>
  <c r="O301" i="2"/>
  <c r="R301" i="2" s="1"/>
  <c r="P301" i="2"/>
  <c r="Q301" i="2"/>
  <c r="S301" i="2"/>
  <c r="T301" i="2"/>
  <c r="U301" i="2" s="1"/>
  <c r="V301" i="2"/>
  <c r="W301" i="2"/>
  <c r="X301" i="2"/>
  <c r="Y301" i="2"/>
  <c r="Z301" i="2"/>
  <c r="AA301" i="2"/>
  <c r="N302" i="2"/>
  <c r="O302" i="2"/>
  <c r="R302" i="2" s="1"/>
  <c r="P302" i="2"/>
  <c r="Q302" i="2"/>
  <c r="S302" i="2"/>
  <c r="T302" i="2"/>
  <c r="U302" i="2"/>
  <c r="X302" i="2"/>
  <c r="Y302" i="2"/>
  <c r="Z302" i="2"/>
  <c r="AA302" i="2"/>
  <c r="N303" i="2"/>
  <c r="O303" i="2"/>
  <c r="P303" i="2"/>
  <c r="Q303" i="2"/>
  <c r="R303" i="2"/>
  <c r="S303" i="2"/>
  <c r="T303" i="2"/>
  <c r="U303" i="2"/>
  <c r="X303" i="2"/>
  <c r="Y303" i="2"/>
  <c r="Z303" i="2"/>
  <c r="AA303" i="2"/>
  <c r="N304" i="2"/>
  <c r="O304" i="2"/>
  <c r="R304" i="2" s="1"/>
  <c r="P304" i="2"/>
  <c r="Q304" i="2"/>
  <c r="S304" i="2"/>
  <c r="T304" i="2"/>
  <c r="U304" i="2" s="1"/>
  <c r="W304" i="2"/>
  <c r="X304" i="2"/>
  <c r="Y304" i="2"/>
  <c r="Z304" i="2"/>
  <c r="AA304" i="2"/>
  <c r="N305" i="2"/>
  <c r="O305" i="2"/>
  <c r="R305" i="2" s="1"/>
  <c r="P305" i="2"/>
  <c r="Q305" i="2"/>
  <c r="S305" i="2"/>
  <c r="T305" i="2"/>
  <c r="U305" i="2" s="1"/>
  <c r="X305" i="2"/>
  <c r="Y305" i="2"/>
  <c r="Z305" i="2"/>
  <c r="AA305" i="2"/>
  <c r="N306" i="2"/>
  <c r="O306" i="2"/>
  <c r="R306" i="2" s="1"/>
  <c r="P306" i="2"/>
  <c r="Q306" i="2"/>
  <c r="S306" i="2"/>
  <c r="T306" i="2"/>
  <c r="U306" i="2" s="1"/>
  <c r="X306" i="2"/>
  <c r="Y306" i="2"/>
  <c r="Z306" i="2"/>
  <c r="AA306" i="2"/>
  <c r="N307" i="2"/>
  <c r="O307" i="2"/>
  <c r="P307" i="2"/>
  <c r="Q307" i="2"/>
  <c r="R307" i="2"/>
  <c r="S307" i="2"/>
  <c r="T307" i="2"/>
  <c r="U307" i="2" s="1"/>
  <c r="W307" i="2"/>
  <c r="X307" i="2"/>
  <c r="Y307" i="2"/>
  <c r="Z307" i="2"/>
  <c r="AA307" i="2"/>
  <c r="N308" i="2"/>
  <c r="O308" i="2"/>
  <c r="R308" i="2" s="1"/>
  <c r="P308" i="2"/>
  <c r="Q308" i="2"/>
  <c r="S308" i="2"/>
  <c r="T308" i="2"/>
  <c r="U308" i="2" s="1"/>
  <c r="W308" i="2"/>
  <c r="X308" i="2"/>
  <c r="Y308" i="2"/>
  <c r="Z308" i="2"/>
  <c r="AA308" i="2"/>
  <c r="N309" i="2"/>
  <c r="O309" i="2"/>
  <c r="R309" i="2" s="1"/>
  <c r="P309" i="2"/>
  <c r="Q309" i="2"/>
  <c r="S309" i="2"/>
  <c r="T309" i="2"/>
  <c r="U309" i="2"/>
  <c r="V309" i="2"/>
  <c r="W309" i="2"/>
  <c r="X309" i="2"/>
  <c r="Y309" i="2"/>
  <c r="Z309" i="2"/>
  <c r="AA309" i="2"/>
  <c r="N310" i="2"/>
  <c r="O310" i="2"/>
  <c r="R310" i="2" s="1"/>
  <c r="P310" i="2"/>
  <c r="Q310" i="2"/>
  <c r="S310" i="2"/>
  <c r="T310" i="2"/>
  <c r="U310" i="2" s="1"/>
  <c r="X310" i="2"/>
  <c r="Y310" i="2"/>
  <c r="Z310" i="2"/>
  <c r="AA310" i="2"/>
  <c r="N311" i="2"/>
  <c r="O311" i="2"/>
  <c r="P311" i="2"/>
  <c r="Q311" i="2"/>
  <c r="R311" i="2"/>
  <c r="S311" i="2"/>
  <c r="T311" i="2"/>
  <c r="U311" i="2" s="1"/>
  <c r="W311" i="2"/>
  <c r="X311" i="2"/>
  <c r="Y311" i="2"/>
  <c r="Z311" i="2"/>
  <c r="AA311" i="2"/>
  <c r="N312" i="2"/>
  <c r="O312" i="2"/>
  <c r="R312" i="2" s="1"/>
  <c r="P312" i="2"/>
  <c r="Q312" i="2"/>
  <c r="S312" i="2"/>
  <c r="T312" i="2"/>
  <c r="U312" i="2" s="1"/>
  <c r="X312" i="2"/>
  <c r="Y312" i="2"/>
  <c r="Z312" i="2"/>
  <c r="AA312" i="2"/>
  <c r="N313" i="2"/>
  <c r="O313" i="2"/>
  <c r="R313" i="2" s="1"/>
  <c r="P313" i="2"/>
  <c r="Q313" i="2"/>
  <c r="S313" i="2"/>
  <c r="T313" i="2"/>
  <c r="U313" i="2" s="1"/>
  <c r="V313" i="2"/>
  <c r="X313" i="2"/>
  <c r="Y313" i="2"/>
  <c r="Z313" i="2"/>
  <c r="AA313" i="2"/>
  <c r="N314" i="2"/>
  <c r="O314" i="2"/>
  <c r="R314" i="2" s="1"/>
  <c r="P314" i="2"/>
  <c r="Q314" i="2"/>
  <c r="S314" i="2"/>
  <c r="T314" i="2"/>
  <c r="U314" i="2" s="1"/>
  <c r="X314" i="2"/>
  <c r="Y314" i="2"/>
  <c r="Z314" i="2"/>
  <c r="AA314" i="2"/>
  <c r="N315" i="2"/>
  <c r="O315" i="2"/>
  <c r="P315" i="2"/>
  <c r="Q315" i="2"/>
  <c r="R315" i="2"/>
  <c r="S315" i="2"/>
  <c r="T315" i="2"/>
  <c r="U315" i="2" s="1"/>
  <c r="W315" i="2"/>
  <c r="X315" i="2"/>
  <c r="Y315" i="2"/>
  <c r="Z315" i="2"/>
  <c r="AA315" i="2"/>
  <c r="N316" i="2"/>
  <c r="O316" i="2"/>
  <c r="R316" i="2" s="1"/>
  <c r="P316" i="2"/>
  <c r="Q316" i="2"/>
  <c r="S316" i="2"/>
  <c r="T316" i="2"/>
  <c r="U316" i="2" s="1"/>
  <c r="W316" i="2"/>
  <c r="X316" i="2"/>
  <c r="Y316" i="2"/>
  <c r="Z316" i="2"/>
  <c r="AA316" i="2"/>
  <c r="N317" i="2"/>
  <c r="O317" i="2"/>
  <c r="R317" i="2" s="1"/>
  <c r="P317" i="2"/>
  <c r="Q317" i="2"/>
  <c r="S317" i="2"/>
  <c r="T317" i="2"/>
  <c r="U317" i="2" s="1"/>
  <c r="X317" i="2"/>
  <c r="Y317" i="2"/>
  <c r="Z317" i="2"/>
  <c r="AA317" i="2"/>
  <c r="N318" i="2"/>
  <c r="O318" i="2"/>
  <c r="R318" i="2" s="1"/>
  <c r="P318" i="2"/>
  <c r="Q318" i="2"/>
  <c r="S318" i="2"/>
  <c r="T318" i="2"/>
  <c r="U318" i="2" s="1"/>
  <c r="X318" i="2"/>
  <c r="Y318" i="2"/>
  <c r="Z318" i="2"/>
  <c r="AA318" i="2"/>
  <c r="N319" i="2"/>
  <c r="O319" i="2"/>
  <c r="P319" i="2"/>
  <c r="Q319" i="2"/>
  <c r="R319" i="2"/>
  <c r="S319" i="2"/>
  <c r="T319" i="2"/>
  <c r="U319" i="2"/>
  <c r="X319" i="2"/>
  <c r="Y319" i="2"/>
  <c r="Z319" i="2"/>
  <c r="AA319" i="2"/>
  <c r="N320" i="2"/>
  <c r="O320" i="2"/>
  <c r="R320" i="2" s="1"/>
  <c r="P320" i="2"/>
  <c r="Q320" i="2"/>
  <c r="X320" i="2"/>
  <c r="Y320" i="2"/>
  <c r="Z320" i="2"/>
  <c r="AA320" i="2"/>
  <c r="N321" i="2"/>
  <c r="O321" i="2"/>
  <c r="R321" i="2" s="1"/>
  <c r="P321" i="2"/>
  <c r="Q321" i="2"/>
  <c r="S321" i="2"/>
  <c r="T321" i="2"/>
  <c r="U321" i="2" s="1"/>
  <c r="V321" i="2"/>
  <c r="W321" i="2"/>
  <c r="X321" i="2"/>
  <c r="Y321" i="2"/>
  <c r="Z321" i="2"/>
  <c r="AA321" i="2"/>
  <c r="N322" i="2"/>
  <c r="O322" i="2"/>
  <c r="R322" i="2" s="1"/>
  <c r="P322" i="2"/>
  <c r="Q322" i="2"/>
  <c r="S322" i="2"/>
  <c r="X322" i="2"/>
  <c r="Y322" i="2"/>
  <c r="Z322" i="2"/>
  <c r="AA322" i="2"/>
  <c r="N323" i="2"/>
  <c r="O323" i="2"/>
  <c r="P323" i="2"/>
  <c r="Q323" i="2"/>
  <c r="R323" i="2"/>
  <c r="S323" i="2"/>
  <c r="T323" i="2"/>
  <c r="U323" i="2" s="1"/>
  <c r="V323" i="2"/>
  <c r="X323" i="2"/>
  <c r="Y323" i="2"/>
  <c r="Z323" i="2"/>
  <c r="AA323" i="2"/>
  <c r="N324" i="2"/>
  <c r="O324" i="2"/>
  <c r="R324" i="2" s="1"/>
  <c r="P324" i="2"/>
  <c r="Q324" i="2"/>
  <c r="S324" i="2"/>
  <c r="T324" i="2"/>
  <c r="U324" i="2" s="1"/>
  <c r="V324" i="2"/>
  <c r="X324" i="2"/>
  <c r="Y324" i="2"/>
  <c r="Z324" i="2"/>
  <c r="AA324" i="2"/>
  <c r="N325" i="2"/>
  <c r="O325" i="2"/>
  <c r="R325" i="2" s="1"/>
  <c r="P325" i="2"/>
  <c r="Q325" i="2"/>
  <c r="S325" i="2"/>
  <c r="T325" i="2"/>
  <c r="U325" i="2" s="1"/>
  <c r="V325" i="2"/>
  <c r="X325" i="2"/>
  <c r="Y325" i="2"/>
  <c r="Z325" i="2"/>
  <c r="AA325" i="2"/>
  <c r="N326" i="2"/>
  <c r="O326" i="2"/>
  <c r="R326" i="2" s="1"/>
  <c r="P326" i="2"/>
  <c r="Q326" i="2"/>
  <c r="S326" i="2"/>
  <c r="T326" i="2"/>
  <c r="U326" i="2"/>
  <c r="X326" i="2"/>
  <c r="Y326" i="2"/>
  <c r="Z326" i="2"/>
  <c r="AA326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N328" i="2"/>
  <c r="O328" i="2"/>
  <c r="R328" i="2" s="1"/>
  <c r="P328" i="2"/>
  <c r="Q328" i="2"/>
  <c r="S328" i="2"/>
  <c r="T328" i="2"/>
  <c r="U328" i="2" s="1"/>
  <c r="W328" i="2"/>
  <c r="X328" i="2"/>
  <c r="Y328" i="2"/>
  <c r="Z328" i="2"/>
  <c r="AA328" i="2"/>
  <c r="N329" i="2"/>
  <c r="O329" i="2"/>
  <c r="R329" i="2" s="1"/>
  <c r="P329" i="2"/>
  <c r="Q329" i="2"/>
  <c r="S329" i="2"/>
  <c r="T329" i="2"/>
  <c r="U329" i="2" s="1"/>
  <c r="X329" i="2"/>
  <c r="Y329" i="2"/>
  <c r="Z329" i="2"/>
  <c r="AA329" i="2"/>
  <c r="N330" i="2"/>
  <c r="O330" i="2"/>
  <c r="R330" i="2" s="1"/>
  <c r="P330" i="2"/>
  <c r="Q330" i="2"/>
  <c r="S330" i="2"/>
  <c r="T330" i="2"/>
  <c r="U330" i="2" s="1"/>
  <c r="V330" i="2"/>
  <c r="X330" i="2"/>
  <c r="Y330" i="2"/>
  <c r="Z330" i="2"/>
  <c r="AA330" i="2"/>
  <c r="N331" i="2"/>
  <c r="O331" i="2"/>
  <c r="P331" i="2"/>
  <c r="Q331" i="2"/>
  <c r="R331" i="2"/>
  <c r="S331" i="2"/>
  <c r="T331" i="2"/>
  <c r="U331" i="2" s="1"/>
  <c r="W331" i="2"/>
  <c r="X331" i="2"/>
  <c r="Y331" i="2"/>
  <c r="Z331" i="2"/>
  <c r="AA331" i="2"/>
  <c r="N332" i="2"/>
  <c r="O332" i="2"/>
  <c r="R332" i="2" s="1"/>
  <c r="P332" i="2"/>
  <c r="Q332" i="2"/>
  <c r="S332" i="2"/>
  <c r="T332" i="2"/>
  <c r="U332" i="2" s="1"/>
  <c r="W332" i="2"/>
  <c r="X332" i="2"/>
  <c r="Y332" i="2"/>
  <c r="Z332" i="2"/>
  <c r="AA332" i="2"/>
  <c r="N333" i="2"/>
  <c r="O333" i="2"/>
  <c r="R333" i="2" s="1"/>
  <c r="P333" i="2"/>
  <c r="Q333" i="2"/>
  <c r="S333" i="2"/>
  <c r="T333" i="2"/>
  <c r="U333" i="2"/>
  <c r="V333" i="2"/>
  <c r="W333" i="2"/>
  <c r="X333" i="2"/>
  <c r="Y333" i="2"/>
  <c r="Z333" i="2"/>
  <c r="AA333" i="2"/>
  <c r="N334" i="2"/>
  <c r="O334" i="2"/>
  <c r="R334" i="2" s="1"/>
  <c r="P334" i="2"/>
  <c r="Q334" i="2"/>
  <c r="S334" i="2"/>
  <c r="T334" i="2"/>
  <c r="U334" i="2"/>
  <c r="V334" i="2"/>
  <c r="W334" i="2"/>
  <c r="X334" i="2"/>
  <c r="Y334" i="2"/>
  <c r="Z334" i="2"/>
  <c r="AA334" i="2"/>
  <c r="N335" i="2"/>
  <c r="O335" i="2"/>
  <c r="P335" i="2"/>
  <c r="Q335" i="2"/>
  <c r="R335" i="2"/>
  <c r="S335" i="2"/>
  <c r="T335" i="2"/>
  <c r="U335" i="2" s="1"/>
  <c r="X335" i="2"/>
  <c r="Y335" i="2"/>
  <c r="Z335" i="2"/>
  <c r="AA335" i="2"/>
  <c r="N336" i="2"/>
  <c r="O336" i="2"/>
  <c r="R336" i="2" s="1"/>
  <c r="P336" i="2"/>
  <c r="Q336" i="2"/>
  <c r="S336" i="2"/>
  <c r="T336" i="2"/>
  <c r="U336" i="2" s="1"/>
  <c r="W336" i="2"/>
  <c r="X336" i="2"/>
  <c r="Y336" i="2"/>
  <c r="Z336" i="2"/>
  <c r="AA336" i="2"/>
  <c r="N337" i="2"/>
  <c r="O337" i="2"/>
  <c r="R337" i="2" s="1"/>
  <c r="P337" i="2"/>
  <c r="Q337" i="2"/>
  <c r="S337" i="2"/>
  <c r="T337" i="2"/>
  <c r="U337" i="2" s="1"/>
  <c r="X337" i="2"/>
  <c r="Y337" i="2"/>
  <c r="Z337" i="2"/>
  <c r="AA337" i="2"/>
  <c r="N338" i="2"/>
  <c r="O338" i="2"/>
  <c r="R338" i="2" s="1"/>
  <c r="P338" i="2"/>
  <c r="Q338" i="2"/>
  <c r="S338" i="2"/>
  <c r="T338" i="2"/>
  <c r="U338" i="2" s="1"/>
  <c r="X338" i="2"/>
  <c r="Y338" i="2"/>
  <c r="Z338" i="2"/>
  <c r="AA338" i="2"/>
  <c r="N339" i="2"/>
  <c r="O339" i="2"/>
  <c r="P339" i="2"/>
  <c r="Q339" i="2"/>
  <c r="R339" i="2"/>
  <c r="S339" i="2"/>
  <c r="T339" i="2"/>
  <c r="U339" i="2" s="1"/>
  <c r="X339" i="2"/>
  <c r="Y339" i="2"/>
  <c r="Z339" i="2"/>
  <c r="AA339" i="2"/>
  <c r="N340" i="2"/>
  <c r="O340" i="2"/>
  <c r="R340" i="2" s="1"/>
  <c r="P340" i="2"/>
  <c r="Q340" i="2"/>
  <c r="S340" i="2"/>
  <c r="T340" i="2"/>
  <c r="U340" i="2" s="1"/>
  <c r="X340" i="2"/>
  <c r="Y340" i="2"/>
  <c r="Z340" i="2"/>
  <c r="AA340" i="2"/>
  <c r="N341" i="2"/>
  <c r="O341" i="2"/>
  <c r="R341" i="2" s="1"/>
  <c r="P341" i="2"/>
  <c r="Q341" i="2"/>
  <c r="S341" i="2"/>
  <c r="T341" i="2"/>
  <c r="U341" i="2" s="1"/>
  <c r="W341" i="2"/>
  <c r="X341" i="2"/>
  <c r="Y341" i="2"/>
  <c r="Z341" i="2"/>
  <c r="AA341" i="2"/>
  <c r="N342" i="2"/>
  <c r="O342" i="2"/>
  <c r="R342" i="2" s="1"/>
  <c r="P342" i="2"/>
  <c r="Q342" i="2"/>
  <c r="S342" i="2"/>
  <c r="T342" i="2"/>
  <c r="U342" i="2" s="1"/>
  <c r="X342" i="2"/>
  <c r="Y342" i="2"/>
  <c r="Z342" i="2"/>
  <c r="AA342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N344" i="2"/>
  <c r="O344" i="2"/>
  <c r="R344" i="2" s="1"/>
  <c r="P344" i="2"/>
  <c r="Q344" i="2"/>
  <c r="S344" i="2"/>
  <c r="T344" i="2"/>
  <c r="U344" i="2" s="1"/>
  <c r="X344" i="2"/>
  <c r="Y344" i="2"/>
  <c r="Z344" i="2"/>
  <c r="AA344" i="2"/>
  <c r="N345" i="2"/>
  <c r="O345" i="2"/>
  <c r="R345" i="2" s="1"/>
  <c r="P345" i="2"/>
  <c r="Q345" i="2"/>
  <c r="S345" i="2"/>
  <c r="T345" i="2"/>
  <c r="U345" i="2" s="1"/>
  <c r="W345" i="2"/>
  <c r="X345" i="2"/>
  <c r="Y345" i="2"/>
  <c r="Z345" i="2"/>
  <c r="AA345" i="2"/>
  <c r="N346" i="2"/>
  <c r="O346" i="2"/>
  <c r="R346" i="2" s="1"/>
  <c r="P346" i="2"/>
  <c r="Q346" i="2"/>
  <c r="S346" i="2"/>
  <c r="T346" i="2"/>
  <c r="U346" i="2" s="1"/>
  <c r="V346" i="2"/>
  <c r="X346" i="2"/>
  <c r="Y346" i="2"/>
  <c r="Z346" i="2"/>
  <c r="AA346" i="2"/>
  <c r="N347" i="2"/>
  <c r="O347" i="2"/>
  <c r="P347" i="2"/>
  <c r="Q347" i="2"/>
  <c r="R347" i="2"/>
  <c r="S347" i="2"/>
  <c r="X347" i="2"/>
  <c r="Y347" i="2"/>
  <c r="Z347" i="2"/>
  <c r="AA347" i="2"/>
  <c r="N348" i="2"/>
  <c r="O348" i="2"/>
  <c r="R348" i="2" s="1"/>
  <c r="P348" i="2"/>
  <c r="Q348" i="2"/>
  <c r="S348" i="2"/>
  <c r="T348" i="2"/>
  <c r="U348" i="2" s="1"/>
  <c r="W348" i="2"/>
  <c r="X348" i="2"/>
  <c r="Y348" i="2"/>
  <c r="Z348" i="2"/>
  <c r="AA348" i="2"/>
  <c r="N349" i="2"/>
  <c r="O349" i="2"/>
  <c r="R349" i="2" s="1"/>
  <c r="P349" i="2"/>
  <c r="Q349" i="2"/>
  <c r="S349" i="2"/>
  <c r="T349" i="2"/>
  <c r="U349" i="2" s="1"/>
  <c r="X349" i="2"/>
  <c r="Y349" i="2"/>
  <c r="Z349" i="2"/>
  <c r="AA349" i="2"/>
  <c r="N350" i="2"/>
  <c r="O350" i="2"/>
  <c r="R350" i="2" s="1"/>
  <c r="P350" i="2"/>
  <c r="Q350" i="2"/>
  <c r="S350" i="2"/>
  <c r="T350" i="2"/>
  <c r="U350" i="2"/>
  <c r="V350" i="2"/>
  <c r="W350" i="2"/>
  <c r="X350" i="2"/>
  <c r="Y350" i="2"/>
  <c r="Z350" i="2"/>
  <c r="AA350" i="2"/>
  <c r="N351" i="2"/>
  <c r="O351" i="2"/>
  <c r="P351" i="2"/>
  <c r="Q351" i="2"/>
  <c r="R351" i="2"/>
  <c r="S351" i="2"/>
  <c r="T351" i="2"/>
  <c r="U351" i="2" s="1"/>
  <c r="X351" i="2"/>
  <c r="Y351" i="2"/>
  <c r="Z351" i="2"/>
  <c r="AA351" i="2"/>
  <c r="N352" i="2"/>
  <c r="O352" i="2"/>
  <c r="R352" i="2" s="1"/>
  <c r="P352" i="2"/>
  <c r="Q352" i="2"/>
  <c r="S352" i="2"/>
  <c r="T352" i="2"/>
  <c r="U352" i="2" s="1"/>
  <c r="W352" i="2"/>
  <c r="X352" i="2"/>
  <c r="Y352" i="2"/>
  <c r="Z352" i="2"/>
  <c r="AA352" i="2"/>
  <c r="N353" i="2"/>
  <c r="O353" i="2"/>
  <c r="R353" i="2" s="1"/>
  <c r="P353" i="2"/>
  <c r="Q353" i="2"/>
  <c r="S353" i="2"/>
  <c r="T353" i="2"/>
  <c r="U353" i="2" s="1"/>
  <c r="X353" i="2"/>
  <c r="Y353" i="2"/>
  <c r="Z353" i="2"/>
  <c r="AA353" i="2"/>
  <c r="N354" i="2"/>
  <c r="O354" i="2"/>
  <c r="R354" i="2" s="1"/>
  <c r="P354" i="2"/>
  <c r="Q354" i="2"/>
  <c r="S354" i="2"/>
  <c r="T354" i="2"/>
  <c r="U354" i="2" s="1"/>
  <c r="V354" i="2"/>
  <c r="W354" i="2"/>
  <c r="X354" i="2"/>
  <c r="Y354" i="2"/>
  <c r="Z354" i="2"/>
  <c r="AA354" i="2"/>
  <c r="N355" i="2"/>
  <c r="O355" i="2"/>
  <c r="P355" i="2"/>
  <c r="Q355" i="2"/>
  <c r="R355" i="2"/>
  <c r="S355" i="2"/>
  <c r="T355" i="2"/>
  <c r="U355" i="2" s="1"/>
  <c r="X355" i="2"/>
  <c r="Y355" i="2"/>
  <c r="Z355" i="2"/>
  <c r="AA355" i="2"/>
  <c r="N356" i="2"/>
  <c r="O356" i="2"/>
  <c r="R356" i="2" s="1"/>
  <c r="P356" i="2"/>
  <c r="Q356" i="2"/>
  <c r="S356" i="2"/>
  <c r="T356" i="2"/>
  <c r="U356" i="2" s="1"/>
  <c r="V356" i="2"/>
  <c r="W356" i="2"/>
  <c r="X356" i="2"/>
  <c r="Y356" i="2"/>
  <c r="Z356" i="2"/>
  <c r="AA356" i="2"/>
  <c r="N357" i="2"/>
  <c r="O357" i="2"/>
  <c r="R357" i="2" s="1"/>
  <c r="P357" i="2"/>
  <c r="Q357" i="2"/>
  <c r="S357" i="2"/>
  <c r="T357" i="2"/>
  <c r="U357" i="2"/>
  <c r="X357" i="2"/>
  <c r="Y357" i="2"/>
  <c r="Z357" i="2"/>
  <c r="AA357" i="2"/>
  <c r="N358" i="2"/>
  <c r="O358" i="2"/>
  <c r="R358" i="2" s="1"/>
  <c r="P358" i="2"/>
  <c r="Q358" i="2"/>
  <c r="S358" i="2"/>
  <c r="T358" i="2"/>
  <c r="U358" i="2"/>
  <c r="V358" i="2"/>
  <c r="X358" i="2"/>
  <c r="Y358" i="2"/>
  <c r="Z358" i="2"/>
  <c r="AA358" i="2"/>
  <c r="N359" i="2"/>
  <c r="O359" i="2"/>
  <c r="P359" i="2"/>
  <c r="Q359" i="2"/>
  <c r="R359" i="2"/>
  <c r="S359" i="2"/>
  <c r="T359" i="2"/>
  <c r="U359" i="2" s="1"/>
  <c r="V359" i="2"/>
  <c r="W359" i="2"/>
  <c r="X359" i="2"/>
  <c r="Y359" i="2"/>
  <c r="Z359" i="2"/>
  <c r="AA359" i="2"/>
  <c r="N360" i="2"/>
  <c r="O360" i="2"/>
  <c r="R360" i="2" s="1"/>
  <c r="P360" i="2"/>
  <c r="Q360" i="2"/>
  <c r="S360" i="2"/>
  <c r="T360" i="2"/>
  <c r="U360" i="2" s="1"/>
  <c r="X360" i="2"/>
  <c r="Y360" i="2"/>
  <c r="Z360" i="2"/>
  <c r="AA360" i="2"/>
  <c r="N361" i="2"/>
  <c r="O361" i="2"/>
  <c r="R361" i="2" s="1"/>
  <c r="P361" i="2"/>
  <c r="Q361" i="2"/>
  <c r="S361" i="2"/>
  <c r="T361" i="2"/>
  <c r="U361" i="2" s="1"/>
  <c r="V361" i="2"/>
  <c r="W361" i="2"/>
  <c r="X361" i="2"/>
  <c r="Y361" i="2"/>
  <c r="Z361" i="2"/>
  <c r="AA361" i="2"/>
  <c r="N362" i="2"/>
  <c r="O362" i="2"/>
  <c r="R362" i="2" s="1"/>
  <c r="P362" i="2"/>
  <c r="Q362" i="2"/>
  <c r="X362" i="2"/>
  <c r="Y362" i="2"/>
  <c r="Z362" i="2"/>
  <c r="AA362" i="2"/>
  <c r="N363" i="2"/>
  <c r="O363" i="2"/>
  <c r="P363" i="2"/>
  <c r="Q363" i="2"/>
  <c r="R363" i="2"/>
  <c r="S363" i="2"/>
  <c r="T363" i="2"/>
  <c r="U363" i="2" s="1"/>
  <c r="X363" i="2"/>
  <c r="Y363" i="2"/>
  <c r="Z363" i="2"/>
  <c r="AA363" i="2"/>
  <c r="N364" i="2"/>
  <c r="O364" i="2"/>
  <c r="R364" i="2" s="1"/>
  <c r="P364" i="2"/>
  <c r="Q364" i="2"/>
  <c r="S364" i="2"/>
  <c r="T364" i="2"/>
  <c r="U364" i="2" s="1"/>
  <c r="V364" i="2"/>
  <c r="W364" i="2"/>
  <c r="X364" i="2"/>
  <c r="Y364" i="2"/>
  <c r="Z364" i="2"/>
  <c r="AA364" i="2"/>
  <c r="N365" i="2"/>
  <c r="O365" i="2"/>
  <c r="R365" i="2" s="1"/>
  <c r="P365" i="2"/>
  <c r="Q365" i="2"/>
  <c r="S365" i="2"/>
  <c r="X365" i="2"/>
  <c r="Y365" i="2"/>
  <c r="Z365" i="2"/>
  <c r="AA365" i="2"/>
  <c r="N366" i="2"/>
  <c r="O366" i="2"/>
  <c r="R366" i="2" s="1"/>
  <c r="P366" i="2"/>
  <c r="Q366" i="2"/>
  <c r="S366" i="2"/>
  <c r="X366" i="2"/>
  <c r="Y366" i="2"/>
  <c r="Z366" i="2"/>
  <c r="AA366" i="2"/>
  <c r="N367" i="2"/>
  <c r="O367" i="2"/>
  <c r="P367" i="2"/>
  <c r="Q367" i="2"/>
  <c r="R367" i="2"/>
  <c r="S367" i="2"/>
  <c r="T367" i="2"/>
  <c r="U367" i="2" s="1"/>
  <c r="V367" i="2"/>
  <c r="W367" i="2"/>
  <c r="X367" i="2"/>
  <c r="Y367" i="2"/>
  <c r="Z367" i="2"/>
  <c r="AA367" i="2"/>
  <c r="N368" i="2"/>
  <c r="O368" i="2"/>
  <c r="R368" i="2" s="1"/>
  <c r="P368" i="2"/>
  <c r="Q368" i="2"/>
  <c r="S368" i="2"/>
  <c r="T368" i="2"/>
  <c r="U368" i="2" s="1"/>
  <c r="W368" i="2"/>
  <c r="X368" i="2"/>
  <c r="Y368" i="2"/>
  <c r="Z368" i="2"/>
  <c r="AA368" i="2"/>
  <c r="N369" i="2"/>
  <c r="O369" i="2"/>
  <c r="R369" i="2" s="1"/>
  <c r="P369" i="2"/>
  <c r="Q369" i="2"/>
  <c r="S369" i="2"/>
  <c r="T369" i="2"/>
  <c r="U369" i="2" s="1"/>
  <c r="X369" i="2"/>
  <c r="Y369" i="2"/>
  <c r="Z369" i="2"/>
  <c r="AA369" i="2"/>
  <c r="N370" i="2"/>
  <c r="O370" i="2"/>
  <c r="R370" i="2" s="1"/>
  <c r="P370" i="2"/>
  <c r="Q370" i="2"/>
  <c r="S370" i="2"/>
  <c r="T370" i="2"/>
  <c r="U370" i="2" s="1"/>
  <c r="V370" i="2"/>
  <c r="W370" i="2"/>
  <c r="X370" i="2"/>
  <c r="Y370" i="2"/>
  <c r="Z370" i="2"/>
  <c r="AA370" i="2"/>
  <c r="N371" i="2"/>
  <c r="O371" i="2"/>
  <c r="P371" i="2"/>
  <c r="Q371" i="2"/>
  <c r="R371" i="2"/>
  <c r="X371" i="2"/>
  <c r="Y371" i="2"/>
  <c r="Z371" i="2"/>
  <c r="AA371" i="2"/>
  <c r="N372" i="2"/>
  <c r="O372" i="2"/>
  <c r="R372" i="2" s="1"/>
  <c r="P372" i="2"/>
  <c r="Q372" i="2"/>
  <c r="S372" i="2"/>
  <c r="T372" i="2"/>
  <c r="U372" i="2" s="1"/>
  <c r="V372" i="2"/>
  <c r="W372" i="2"/>
  <c r="X372" i="2"/>
  <c r="Y372" i="2"/>
  <c r="Z372" i="2"/>
  <c r="AA372" i="2"/>
  <c r="N373" i="2"/>
  <c r="O373" i="2"/>
  <c r="R373" i="2" s="1"/>
  <c r="P373" i="2"/>
  <c r="Q373" i="2"/>
  <c r="S373" i="2"/>
  <c r="T373" i="2"/>
  <c r="U373" i="2"/>
  <c r="V373" i="2"/>
  <c r="W373" i="2"/>
  <c r="X373" i="2"/>
  <c r="Y373" i="2"/>
  <c r="Z373" i="2"/>
  <c r="AA373" i="2"/>
  <c r="N374" i="2"/>
  <c r="O374" i="2"/>
  <c r="R374" i="2" s="1"/>
  <c r="P374" i="2"/>
  <c r="Q374" i="2"/>
  <c r="S374" i="2"/>
  <c r="T374" i="2"/>
  <c r="U374" i="2"/>
  <c r="X374" i="2"/>
  <c r="Y374" i="2"/>
  <c r="Z374" i="2"/>
  <c r="AA374" i="2"/>
  <c r="N375" i="2"/>
  <c r="O375" i="2"/>
  <c r="P375" i="2"/>
  <c r="Q375" i="2"/>
  <c r="R375" i="2"/>
  <c r="S375" i="2"/>
  <c r="T375" i="2"/>
  <c r="U375" i="2" s="1"/>
  <c r="V375" i="2"/>
  <c r="W375" i="2"/>
  <c r="X375" i="2"/>
  <c r="Y375" i="2"/>
  <c r="Z375" i="2"/>
  <c r="AA375" i="2"/>
  <c r="N376" i="2"/>
  <c r="O376" i="2"/>
  <c r="R376" i="2" s="1"/>
  <c r="P376" i="2"/>
  <c r="Q376" i="2"/>
  <c r="S376" i="2"/>
  <c r="X376" i="2"/>
  <c r="Y376" i="2"/>
  <c r="Z376" i="2"/>
  <c r="AA376" i="2"/>
  <c r="N377" i="2"/>
  <c r="O377" i="2"/>
  <c r="R377" i="2" s="1"/>
  <c r="P377" i="2"/>
  <c r="Q377" i="2"/>
  <c r="S377" i="2"/>
  <c r="T377" i="2"/>
  <c r="U377" i="2" s="1"/>
  <c r="V377" i="2"/>
  <c r="W377" i="2"/>
  <c r="X377" i="2"/>
  <c r="Y377" i="2"/>
  <c r="Z377" i="2"/>
  <c r="AA377" i="2"/>
  <c r="N378" i="2"/>
  <c r="O378" i="2"/>
  <c r="R378" i="2" s="1"/>
  <c r="P378" i="2"/>
  <c r="Q378" i="2"/>
  <c r="X378" i="2"/>
  <c r="Y378" i="2"/>
  <c r="Z378" i="2"/>
  <c r="AA378" i="2"/>
  <c r="N379" i="2"/>
  <c r="O379" i="2"/>
  <c r="P379" i="2"/>
  <c r="Q379" i="2"/>
  <c r="R379" i="2"/>
  <c r="S379" i="2"/>
  <c r="T379" i="2"/>
  <c r="U379" i="2" s="1"/>
  <c r="X379" i="2"/>
  <c r="Y379" i="2"/>
  <c r="Z379" i="2"/>
  <c r="AA379" i="2"/>
  <c r="N380" i="2"/>
  <c r="O380" i="2"/>
  <c r="R380" i="2" s="1"/>
  <c r="P380" i="2"/>
  <c r="Q380" i="2"/>
  <c r="S380" i="2"/>
  <c r="T380" i="2"/>
  <c r="U380" i="2" s="1"/>
  <c r="V380" i="2"/>
  <c r="W380" i="2"/>
  <c r="X380" i="2"/>
  <c r="Y380" i="2"/>
  <c r="Z380" i="2"/>
  <c r="AA380" i="2"/>
  <c r="N381" i="2"/>
  <c r="O381" i="2"/>
  <c r="R381" i="2" s="1"/>
  <c r="P381" i="2"/>
  <c r="Q381" i="2"/>
  <c r="S381" i="2"/>
  <c r="T381" i="2"/>
  <c r="U381" i="2"/>
  <c r="X381" i="2"/>
  <c r="Y381" i="2"/>
  <c r="Z381" i="2"/>
  <c r="AA381" i="2"/>
  <c r="N382" i="2"/>
  <c r="O382" i="2"/>
  <c r="R382" i="2" s="1"/>
  <c r="P382" i="2"/>
  <c r="Q382" i="2"/>
  <c r="S382" i="2"/>
  <c r="T382" i="2"/>
  <c r="U382" i="2"/>
  <c r="V382" i="2"/>
  <c r="W382" i="2"/>
  <c r="X382" i="2"/>
  <c r="Y382" i="2"/>
  <c r="Z382" i="2"/>
  <c r="AA382" i="2"/>
  <c r="N383" i="2"/>
  <c r="O383" i="2"/>
  <c r="P383" i="2"/>
  <c r="Q383" i="2"/>
  <c r="R383" i="2"/>
  <c r="X383" i="2"/>
  <c r="Y383" i="2"/>
  <c r="Z383" i="2"/>
  <c r="AA383" i="2"/>
  <c r="N384" i="2"/>
  <c r="O384" i="2"/>
  <c r="R384" i="2" s="1"/>
  <c r="P384" i="2"/>
  <c r="Q384" i="2"/>
  <c r="S384" i="2"/>
  <c r="T384" i="2"/>
  <c r="U384" i="2" s="1"/>
  <c r="W384" i="2"/>
  <c r="X384" i="2"/>
  <c r="Y384" i="2"/>
  <c r="Z384" i="2"/>
  <c r="AA384" i="2"/>
  <c r="N385" i="2"/>
  <c r="O385" i="2"/>
  <c r="R385" i="2" s="1"/>
  <c r="P385" i="2"/>
  <c r="Q385" i="2"/>
  <c r="S385" i="2"/>
  <c r="T385" i="2"/>
  <c r="U385" i="2" s="1"/>
  <c r="X385" i="2"/>
  <c r="Y385" i="2"/>
  <c r="Z385" i="2"/>
  <c r="AA385" i="2"/>
  <c r="N386" i="2"/>
  <c r="O386" i="2"/>
  <c r="R386" i="2" s="1"/>
  <c r="P386" i="2"/>
  <c r="Q386" i="2"/>
  <c r="S386" i="2"/>
  <c r="T386" i="2"/>
  <c r="U386" i="2" s="1"/>
  <c r="V386" i="2"/>
  <c r="W386" i="2"/>
  <c r="X386" i="2"/>
  <c r="Y386" i="2"/>
  <c r="Z386" i="2"/>
  <c r="AA386" i="2"/>
  <c r="N387" i="2"/>
  <c r="O387" i="2"/>
  <c r="P387" i="2"/>
  <c r="Q387" i="2"/>
  <c r="R387" i="2"/>
  <c r="X387" i="2"/>
  <c r="Y387" i="2"/>
  <c r="Z387" i="2"/>
  <c r="AA387" i="2"/>
  <c r="N388" i="2"/>
  <c r="O388" i="2"/>
  <c r="R388" i="2" s="1"/>
  <c r="P388" i="2"/>
  <c r="Q388" i="2"/>
  <c r="S388" i="2"/>
  <c r="X388" i="2"/>
  <c r="Y388" i="2"/>
  <c r="Z388" i="2"/>
  <c r="AA388" i="2"/>
  <c r="N389" i="2"/>
  <c r="O389" i="2"/>
  <c r="R389" i="2" s="1"/>
  <c r="P389" i="2"/>
  <c r="Q389" i="2"/>
  <c r="S389" i="2"/>
  <c r="T389" i="2"/>
  <c r="U389" i="2"/>
  <c r="W389" i="2"/>
  <c r="X389" i="2"/>
  <c r="Y389" i="2"/>
  <c r="Z389" i="2"/>
  <c r="AA389" i="2"/>
  <c r="N390" i="2"/>
  <c r="O390" i="2"/>
  <c r="R390" i="2" s="1"/>
  <c r="P390" i="2"/>
  <c r="Q390" i="2"/>
  <c r="S390" i="2"/>
  <c r="T390" i="2"/>
  <c r="U390" i="2" s="1"/>
  <c r="V390" i="2"/>
  <c r="W390" i="2"/>
  <c r="X390" i="2"/>
  <c r="Y390" i="2"/>
  <c r="Z390" i="2"/>
  <c r="AA390" i="2"/>
  <c r="N391" i="2"/>
  <c r="O391" i="2"/>
  <c r="P391" i="2"/>
  <c r="Q391" i="2"/>
  <c r="R391" i="2"/>
  <c r="S391" i="2"/>
  <c r="X391" i="2"/>
  <c r="Y391" i="2"/>
  <c r="Z391" i="2"/>
  <c r="AA391" i="2"/>
  <c r="N392" i="2"/>
  <c r="O392" i="2"/>
  <c r="R392" i="2" s="1"/>
  <c r="P392" i="2"/>
  <c r="Q392" i="2"/>
  <c r="S392" i="2"/>
  <c r="T392" i="2"/>
  <c r="U392" i="2" s="1"/>
  <c r="W392" i="2"/>
  <c r="X392" i="2"/>
  <c r="Y392" i="2"/>
  <c r="Z392" i="2"/>
  <c r="AA392" i="2"/>
  <c r="N393" i="2"/>
  <c r="O393" i="2"/>
  <c r="R393" i="2" s="1"/>
  <c r="P393" i="2"/>
  <c r="Q393" i="2"/>
  <c r="S393" i="2"/>
  <c r="T393" i="2"/>
  <c r="U393" i="2" s="1"/>
  <c r="W393" i="2"/>
  <c r="X393" i="2"/>
  <c r="Y393" i="2"/>
  <c r="Z393" i="2"/>
  <c r="AA393" i="2"/>
  <c r="N394" i="2"/>
  <c r="O394" i="2"/>
  <c r="R394" i="2" s="1"/>
  <c r="P394" i="2"/>
  <c r="Q394" i="2"/>
  <c r="S394" i="2"/>
  <c r="T394" i="2"/>
  <c r="U394" i="2"/>
  <c r="X394" i="2"/>
  <c r="Y394" i="2"/>
  <c r="Z394" i="2"/>
  <c r="AA394" i="2"/>
  <c r="N395" i="2"/>
  <c r="O395" i="2"/>
  <c r="P395" i="2"/>
  <c r="Q395" i="2"/>
  <c r="R395" i="2"/>
  <c r="X395" i="2"/>
  <c r="Y395" i="2"/>
  <c r="Z395" i="2"/>
  <c r="AA395" i="2"/>
  <c r="N396" i="2"/>
  <c r="O396" i="2"/>
  <c r="R396" i="2" s="1"/>
  <c r="P396" i="2"/>
  <c r="Q396" i="2"/>
  <c r="S396" i="2"/>
  <c r="T396" i="2"/>
  <c r="U396" i="2" s="1"/>
  <c r="X396" i="2"/>
  <c r="Y396" i="2"/>
  <c r="Z396" i="2"/>
  <c r="AA396" i="2"/>
  <c r="N397" i="2"/>
  <c r="O397" i="2"/>
  <c r="R397" i="2" s="1"/>
  <c r="P397" i="2"/>
  <c r="Q397" i="2"/>
  <c r="S397" i="2"/>
  <c r="T397" i="2"/>
  <c r="U397" i="2"/>
  <c r="V397" i="2"/>
  <c r="W397" i="2"/>
  <c r="X397" i="2"/>
  <c r="Y397" i="2"/>
  <c r="Z397" i="2"/>
  <c r="AA397" i="2"/>
  <c r="N398" i="2"/>
  <c r="O398" i="2"/>
  <c r="R398" i="2" s="1"/>
  <c r="P398" i="2"/>
  <c r="Q398" i="2"/>
  <c r="S398" i="2"/>
  <c r="X398" i="2"/>
  <c r="Y398" i="2"/>
  <c r="Z398" i="2"/>
  <c r="AA398" i="2"/>
  <c r="N399" i="2"/>
  <c r="O399" i="2"/>
  <c r="P399" i="2"/>
  <c r="Q399" i="2"/>
  <c r="R399" i="2"/>
  <c r="S399" i="2"/>
  <c r="T399" i="2"/>
  <c r="U399" i="2" s="1"/>
  <c r="X399" i="2"/>
  <c r="Y399" i="2"/>
  <c r="Z399" i="2"/>
  <c r="AA399" i="2"/>
  <c r="N400" i="2"/>
  <c r="O400" i="2"/>
  <c r="R400" i="2" s="1"/>
  <c r="P400" i="2"/>
  <c r="Q400" i="2"/>
  <c r="S400" i="2"/>
  <c r="X400" i="2"/>
  <c r="Y400" i="2"/>
  <c r="Z400" i="2"/>
  <c r="AA400" i="2"/>
  <c r="N401" i="2"/>
  <c r="O401" i="2"/>
  <c r="R401" i="2" s="1"/>
  <c r="P401" i="2"/>
  <c r="Q401" i="2"/>
  <c r="S401" i="2"/>
  <c r="T401" i="2"/>
  <c r="U401" i="2" s="1"/>
  <c r="W401" i="2"/>
  <c r="X401" i="2"/>
  <c r="Y401" i="2"/>
  <c r="Z401" i="2"/>
  <c r="AA401" i="2"/>
  <c r="N402" i="2"/>
  <c r="O402" i="2"/>
  <c r="R402" i="2" s="1"/>
  <c r="P402" i="2"/>
  <c r="Q402" i="2"/>
  <c r="S402" i="2"/>
  <c r="T402" i="2"/>
  <c r="U402" i="2" s="1"/>
  <c r="V402" i="2"/>
  <c r="W402" i="2"/>
  <c r="X402" i="2"/>
  <c r="Y402" i="2"/>
  <c r="Z402" i="2"/>
  <c r="AA402" i="2"/>
  <c r="N403" i="2"/>
  <c r="O403" i="2"/>
  <c r="P403" i="2"/>
  <c r="Q403" i="2"/>
  <c r="R403" i="2"/>
  <c r="S403" i="2"/>
  <c r="T403" i="2"/>
  <c r="U403" i="2" s="1"/>
  <c r="X403" i="2"/>
  <c r="Y403" i="2"/>
  <c r="Z403" i="2"/>
  <c r="AA403" i="2"/>
  <c r="N404" i="2"/>
  <c r="O404" i="2"/>
  <c r="R404" i="2" s="1"/>
  <c r="P404" i="2"/>
  <c r="Q404" i="2"/>
  <c r="S404" i="2"/>
  <c r="T404" i="2"/>
  <c r="U404" i="2" s="1"/>
  <c r="X404" i="2"/>
  <c r="Y404" i="2"/>
  <c r="Z404" i="2"/>
  <c r="AA404" i="2"/>
  <c r="N405" i="2"/>
  <c r="O405" i="2"/>
  <c r="R405" i="2" s="1"/>
  <c r="P405" i="2"/>
  <c r="Q405" i="2"/>
  <c r="S405" i="2"/>
  <c r="T405" i="2"/>
  <c r="U405" i="2" s="1"/>
  <c r="X405" i="2"/>
  <c r="Y405" i="2"/>
  <c r="Z405" i="2"/>
  <c r="AA405" i="2"/>
  <c r="N406" i="2"/>
  <c r="O406" i="2"/>
  <c r="R406" i="2" s="1"/>
  <c r="P406" i="2"/>
  <c r="Q406" i="2"/>
  <c r="S406" i="2"/>
  <c r="T406" i="2"/>
  <c r="U406" i="2"/>
  <c r="W406" i="2"/>
  <c r="X406" i="2"/>
  <c r="Y406" i="2"/>
  <c r="Z406" i="2"/>
  <c r="AA406" i="2"/>
  <c r="N407" i="2"/>
  <c r="O407" i="2"/>
  <c r="P407" i="2"/>
  <c r="Q407" i="2"/>
  <c r="R407" i="2"/>
  <c r="X407" i="2"/>
  <c r="Y407" i="2"/>
  <c r="Z407" i="2"/>
  <c r="AA407" i="2"/>
  <c r="N408" i="2"/>
  <c r="O408" i="2"/>
  <c r="R408" i="2" s="1"/>
  <c r="P408" i="2"/>
  <c r="Q408" i="2"/>
  <c r="S408" i="2"/>
  <c r="T408" i="2"/>
  <c r="U408" i="2" s="1"/>
  <c r="V408" i="2"/>
  <c r="W408" i="2"/>
  <c r="X408" i="2"/>
  <c r="Y408" i="2"/>
  <c r="Z408" i="2"/>
  <c r="AA408" i="2"/>
  <c r="N409" i="2"/>
  <c r="O409" i="2"/>
  <c r="R409" i="2" s="1"/>
  <c r="P409" i="2"/>
  <c r="Q409" i="2"/>
  <c r="S409" i="2"/>
  <c r="T409" i="2"/>
  <c r="U409" i="2" s="1"/>
  <c r="X409" i="2"/>
  <c r="Y409" i="2"/>
  <c r="Z409" i="2"/>
  <c r="AA409" i="2"/>
  <c r="N410" i="2"/>
  <c r="O410" i="2"/>
  <c r="R410" i="2" s="1"/>
  <c r="P410" i="2"/>
  <c r="Q410" i="2"/>
  <c r="T410" i="2"/>
  <c r="U410" i="2" s="1"/>
  <c r="X410" i="2"/>
  <c r="Y410" i="2"/>
  <c r="Z410" i="2"/>
  <c r="AA410" i="2"/>
  <c r="N411" i="2"/>
  <c r="O411" i="2"/>
  <c r="P411" i="2"/>
  <c r="Q411" i="2"/>
  <c r="R411" i="2"/>
  <c r="S411" i="2"/>
  <c r="T411" i="2"/>
  <c r="U411" i="2" s="1"/>
  <c r="X411" i="2"/>
  <c r="Y411" i="2"/>
  <c r="Z411" i="2"/>
  <c r="AA411" i="2"/>
  <c r="N412" i="2"/>
  <c r="O412" i="2"/>
  <c r="R412" i="2" s="1"/>
  <c r="P412" i="2"/>
  <c r="Q412" i="2"/>
  <c r="S412" i="2"/>
  <c r="X412" i="2"/>
  <c r="Y412" i="2"/>
  <c r="Z412" i="2"/>
  <c r="AA412" i="2"/>
  <c r="N413" i="2"/>
  <c r="O413" i="2"/>
  <c r="R413" i="2" s="1"/>
  <c r="P413" i="2"/>
  <c r="Q413" i="2"/>
  <c r="S413" i="2"/>
  <c r="T413" i="2"/>
  <c r="U413" i="2"/>
  <c r="W413" i="2"/>
  <c r="X413" i="2"/>
  <c r="Y413" i="2"/>
  <c r="Z413" i="2"/>
  <c r="AA413" i="2"/>
  <c r="N414" i="2"/>
  <c r="O414" i="2"/>
  <c r="R414" i="2" s="1"/>
  <c r="P414" i="2"/>
  <c r="Q414" i="2"/>
  <c r="S414" i="2"/>
  <c r="T414" i="2"/>
  <c r="U414" i="2"/>
  <c r="W414" i="2"/>
  <c r="X414" i="2"/>
  <c r="Y414" i="2"/>
  <c r="Z414" i="2"/>
  <c r="AA414" i="2"/>
  <c r="N415" i="2"/>
  <c r="O415" i="2"/>
  <c r="P415" i="2"/>
  <c r="Q415" i="2"/>
  <c r="R415" i="2"/>
  <c r="S415" i="2"/>
  <c r="T415" i="2"/>
  <c r="U415" i="2" s="1"/>
  <c r="X415" i="2"/>
  <c r="Y415" i="2"/>
  <c r="Z415" i="2"/>
  <c r="AA415" i="2"/>
  <c r="N416" i="2"/>
  <c r="O416" i="2"/>
  <c r="R416" i="2" s="1"/>
  <c r="P416" i="2"/>
  <c r="Q416" i="2"/>
  <c r="X416" i="2"/>
  <c r="Y416" i="2"/>
  <c r="Z416" i="2"/>
  <c r="AA416" i="2"/>
  <c r="N417" i="2"/>
  <c r="O417" i="2"/>
  <c r="R417" i="2" s="1"/>
  <c r="P417" i="2"/>
  <c r="Q417" i="2"/>
  <c r="S417" i="2"/>
  <c r="T417" i="2"/>
  <c r="U417" i="2" s="1"/>
  <c r="X417" i="2"/>
  <c r="Y417" i="2"/>
  <c r="Z417" i="2"/>
  <c r="AA417" i="2"/>
  <c r="N418" i="2"/>
  <c r="O418" i="2"/>
  <c r="R418" i="2" s="1"/>
  <c r="P418" i="2"/>
  <c r="Q418" i="2"/>
  <c r="S418" i="2"/>
  <c r="T418" i="2"/>
  <c r="U418" i="2" s="1"/>
  <c r="X418" i="2"/>
  <c r="Y418" i="2"/>
  <c r="Z418" i="2"/>
  <c r="AA418" i="2"/>
  <c r="N419" i="2"/>
  <c r="O419" i="2"/>
  <c r="P419" i="2"/>
  <c r="Q419" i="2"/>
  <c r="R419" i="2"/>
  <c r="S419" i="2"/>
  <c r="X419" i="2"/>
  <c r="Y419" i="2"/>
  <c r="Z419" i="2"/>
  <c r="AA419" i="2"/>
  <c r="N420" i="2"/>
  <c r="O420" i="2"/>
  <c r="R420" i="2" s="1"/>
  <c r="P420" i="2"/>
  <c r="Q420" i="2"/>
  <c r="S420" i="2"/>
  <c r="T420" i="2"/>
  <c r="U420" i="2" s="1"/>
  <c r="V420" i="2"/>
  <c r="X420" i="2"/>
  <c r="Y420" i="2"/>
  <c r="Z420" i="2"/>
  <c r="AA420" i="2"/>
  <c r="N421" i="2"/>
  <c r="O421" i="2"/>
  <c r="R421" i="2" s="1"/>
  <c r="P421" i="2"/>
  <c r="Q421" i="2"/>
  <c r="S421" i="2"/>
  <c r="T421" i="2"/>
  <c r="U421" i="2" s="1"/>
  <c r="X421" i="2"/>
  <c r="Y421" i="2"/>
  <c r="Z421" i="2"/>
  <c r="AA421" i="2"/>
  <c r="N422" i="2"/>
  <c r="O422" i="2"/>
  <c r="R422" i="2" s="1"/>
  <c r="P422" i="2"/>
  <c r="Q422" i="2"/>
  <c r="S422" i="2"/>
  <c r="T422" i="2"/>
  <c r="U422" i="2"/>
  <c r="W422" i="2"/>
  <c r="X422" i="2"/>
  <c r="Y422" i="2"/>
  <c r="Z422" i="2"/>
  <c r="AA422" i="2"/>
  <c r="N423" i="2"/>
  <c r="O423" i="2"/>
  <c r="P423" i="2"/>
  <c r="Q423" i="2"/>
  <c r="R423" i="2"/>
  <c r="S423" i="2"/>
  <c r="T423" i="2"/>
  <c r="U423" i="2" s="1"/>
  <c r="X423" i="2"/>
  <c r="Y423" i="2"/>
  <c r="Z423" i="2"/>
  <c r="AA423" i="2"/>
  <c r="N424" i="2"/>
  <c r="O424" i="2"/>
  <c r="R424" i="2" s="1"/>
  <c r="P424" i="2"/>
  <c r="Q424" i="2"/>
  <c r="S424" i="2"/>
  <c r="T424" i="2"/>
  <c r="U424" i="2" s="1"/>
  <c r="X424" i="2"/>
  <c r="Y424" i="2"/>
  <c r="Z424" i="2"/>
  <c r="AA424" i="2"/>
  <c r="N425" i="2"/>
  <c r="O425" i="2"/>
  <c r="R425" i="2" s="1"/>
  <c r="P425" i="2"/>
  <c r="Q425" i="2"/>
  <c r="X425" i="2"/>
  <c r="Y425" i="2"/>
  <c r="Z425" i="2"/>
  <c r="AA425" i="2"/>
  <c r="N426" i="2"/>
  <c r="O426" i="2"/>
  <c r="R426" i="2" s="1"/>
  <c r="P426" i="2"/>
  <c r="Q426" i="2"/>
  <c r="S426" i="2"/>
  <c r="T426" i="2"/>
  <c r="U426" i="2" s="1"/>
  <c r="W426" i="2"/>
  <c r="X426" i="2"/>
  <c r="Y426" i="2"/>
  <c r="Z426" i="2"/>
  <c r="AA426" i="2"/>
  <c r="N427" i="2"/>
  <c r="O427" i="2"/>
  <c r="P427" i="2"/>
  <c r="Q427" i="2"/>
  <c r="R427" i="2"/>
  <c r="S427" i="2"/>
  <c r="T427" i="2"/>
  <c r="U427" i="2"/>
  <c r="X427" i="2"/>
  <c r="Y427" i="2"/>
  <c r="Z427" i="2"/>
  <c r="AA427" i="2"/>
  <c r="N428" i="2"/>
  <c r="O428" i="2"/>
  <c r="R428" i="2" s="1"/>
  <c r="P428" i="2"/>
  <c r="Q428" i="2"/>
  <c r="X428" i="2"/>
  <c r="Y428" i="2"/>
  <c r="Z428" i="2"/>
  <c r="AA428" i="2"/>
  <c r="N429" i="2"/>
  <c r="O429" i="2"/>
  <c r="R429" i="2" s="1"/>
  <c r="P429" i="2"/>
  <c r="Q429" i="2"/>
  <c r="S429" i="2"/>
  <c r="T429" i="2"/>
  <c r="U429" i="2"/>
  <c r="X429" i="2"/>
  <c r="Y429" i="2"/>
  <c r="Z429" i="2"/>
  <c r="AA429" i="2"/>
  <c r="N430" i="2"/>
  <c r="O430" i="2"/>
  <c r="R430" i="2" s="1"/>
  <c r="P430" i="2"/>
  <c r="Q430" i="2"/>
  <c r="S430" i="2"/>
  <c r="T430" i="2"/>
  <c r="U430" i="2"/>
  <c r="X430" i="2"/>
  <c r="Y430" i="2"/>
  <c r="Z430" i="2"/>
  <c r="AA430" i="2"/>
  <c r="N431" i="2"/>
  <c r="O431" i="2"/>
  <c r="P431" i="2"/>
  <c r="Q431" i="2"/>
  <c r="R431" i="2"/>
  <c r="S431" i="2"/>
  <c r="T431" i="2"/>
  <c r="U431" i="2" s="1"/>
  <c r="X431" i="2"/>
  <c r="Y431" i="2"/>
  <c r="Z431" i="2"/>
  <c r="AA431" i="2"/>
  <c r="N432" i="2"/>
  <c r="O432" i="2"/>
  <c r="R432" i="2" s="1"/>
  <c r="P432" i="2"/>
  <c r="Q432" i="2"/>
  <c r="S432" i="2"/>
  <c r="T432" i="2"/>
  <c r="U432" i="2" s="1"/>
  <c r="V432" i="2"/>
  <c r="X432" i="2"/>
  <c r="Y432" i="2"/>
  <c r="Z432" i="2"/>
  <c r="AA432" i="2"/>
  <c r="N433" i="2"/>
  <c r="O433" i="2"/>
  <c r="R433" i="2" s="1"/>
  <c r="P433" i="2"/>
  <c r="Q433" i="2"/>
  <c r="S433" i="2"/>
  <c r="T433" i="2"/>
  <c r="U433" i="2" s="1"/>
  <c r="X433" i="2"/>
  <c r="Y433" i="2"/>
  <c r="Z433" i="2"/>
  <c r="AA433" i="2"/>
  <c r="N434" i="2"/>
  <c r="O434" i="2"/>
  <c r="R434" i="2" s="1"/>
  <c r="P434" i="2"/>
  <c r="Q434" i="2"/>
  <c r="S434" i="2"/>
  <c r="X434" i="2"/>
  <c r="Y434" i="2"/>
  <c r="Z434" i="2"/>
  <c r="AA434" i="2"/>
  <c r="N435" i="2"/>
  <c r="O435" i="2"/>
  <c r="P435" i="2"/>
  <c r="Q435" i="2"/>
  <c r="R435" i="2"/>
  <c r="S435" i="2"/>
  <c r="T435" i="2"/>
  <c r="U435" i="2" s="1"/>
  <c r="X435" i="2"/>
  <c r="Y435" i="2"/>
  <c r="Z435" i="2"/>
  <c r="AA435" i="2"/>
  <c r="N436" i="2"/>
  <c r="O436" i="2"/>
  <c r="R436" i="2" s="1"/>
  <c r="P436" i="2"/>
  <c r="Q436" i="2"/>
  <c r="S436" i="2"/>
  <c r="T436" i="2"/>
  <c r="U436" i="2" s="1"/>
  <c r="W436" i="2"/>
  <c r="X436" i="2"/>
  <c r="Y436" i="2"/>
  <c r="Z436" i="2"/>
  <c r="AA436" i="2"/>
  <c r="N437" i="2"/>
  <c r="O437" i="2"/>
  <c r="R437" i="2" s="1"/>
  <c r="P437" i="2"/>
  <c r="Q437" i="2"/>
  <c r="X437" i="2"/>
  <c r="Y437" i="2"/>
  <c r="Z437" i="2"/>
  <c r="AA437" i="2"/>
  <c r="N438" i="2"/>
  <c r="O438" i="2"/>
  <c r="R438" i="2" s="1"/>
  <c r="P438" i="2"/>
  <c r="Q438" i="2"/>
  <c r="S438" i="2"/>
  <c r="T438" i="2"/>
  <c r="U438" i="2" s="1"/>
  <c r="V438" i="2"/>
  <c r="W438" i="2"/>
  <c r="X438" i="2"/>
  <c r="Y438" i="2"/>
  <c r="Z438" i="2"/>
  <c r="AA438" i="2"/>
  <c r="N439" i="2"/>
  <c r="O439" i="2"/>
  <c r="P439" i="2"/>
  <c r="Q439" i="2"/>
  <c r="R439" i="2"/>
  <c r="S439" i="2"/>
  <c r="T439" i="2"/>
  <c r="U439" i="2" s="1"/>
  <c r="X439" i="2"/>
  <c r="Y439" i="2"/>
  <c r="Z439" i="2"/>
  <c r="AA439" i="2"/>
  <c r="N440" i="2"/>
  <c r="O440" i="2"/>
  <c r="R440" i="2" s="1"/>
  <c r="P440" i="2"/>
  <c r="Q440" i="2"/>
  <c r="S440" i="2"/>
  <c r="X440" i="2"/>
  <c r="Y440" i="2"/>
  <c r="Z440" i="2"/>
  <c r="AA440" i="2"/>
  <c r="O5" i="3"/>
  <c r="P5" i="3"/>
  <c r="O6" i="3"/>
  <c r="P6" i="3"/>
  <c r="O7" i="3"/>
  <c r="P7" i="3" s="1"/>
  <c r="S7" i="3" s="1"/>
  <c r="O8" i="3"/>
  <c r="P8" i="3" s="1"/>
  <c r="T5" i="2" s="1"/>
  <c r="U5" i="2" s="1"/>
  <c r="S8" i="3"/>
  <c r="W5" i="2" s="1"/>
  <c r="O9" i="3"/>
  <c r="P9" i="3" s="1"/>
  <c r="S9" i="3" s="1"/>
  <c r="O10" i="3"/>
  <c r="P10" i="3" s="1"/>
  <c r="Q10" i="3" s="1"/>
  <c r="O11" i="3"/>
  <c r="O12" i="3"/>
  <c r="P12" i="3" s="1"/>
  <c r="R12" i="3"/>
  <c r="V9" i="2" s="1"/>
  <c r="O13" i="3"/>
  <c r="P13" i="3" s="1"/>
  <c r="O14" i="3"/>
  <c r="P14" i="3"/>
  <c r="O15" i="3"/>
  <c r="P15" i="3" s="1"/>
  <c r="S15" i="3" s="1"/>
  <c r="O16" i="3"/>
  <c r="P16" i="3" s="1"/>
  <c r="S16" i="3" s="1"/>
  <c r="O17" i="3"/>
  <c r="P17" i="3" s="1"/>
  <c r="O18" i="3"/>
  <c r="P18" i="3" s="1"/>
  <c r="O19" i="3"/>
  <c r="P19" i="3" s="1"/>
  <c r="O20" i="3"/>
  <c r="P20" i="3" s="1"/>
  <c r="R20" i="3"/>
  <c r="O21" i="3"/>
  <c r="P21" i="3"/>
  <c r="O22" i="3"/>
  <c r="P22" i="3"/>
  <c r="O23" i="3"/>
  <c r="P23" i="3" s="1"/>
  <c r="S23" i="3" s="1"/>
  <c r="O24" i="3"/>
  <c r="P24" i="3" s="1"/>
  <c r="S24" i="3"/>
  <c r="O25" i="3"/>
  <c r="P25" i="3" s="1"/>
  <c r="O26" i="3"/>
  <c r="P26" i="3" s="1"/>
  <c r="O27" i="3"/>
  <c r="P27" i="3" s="1"/>
  <c r="O28" i="3"/>
  <c r="P28" i="3" s="1"/>
  <c r="R28" i="3" s="1"/>
  <c r="O29" i="3"/>
  <c r="P29" i="3"/>
  <c r="O30" i="3"/>
  <c r="P30" i="3"/>
  <c r="O31" i="3"/>
  <c r="P31" i="3" s="1"/>
  <c r="S31" i="3" s="1"/>
  <c r="O32" i="3"/>
  <c r="P32" i="3" s="1"/>
  <c r="S32" i="3"/>
  <c r="O33" i="3"/>
  <c r="P33" i="3" s="1"/>
  <c r="O34" i="3"/>
  <c r="P34" i="3" s="1"/>
  <c r="Q34" i="3" s="1"/>
  <c r="O35" i="3"/>
  <c r="P35" i="3" s="1"/>
  <c r="O36" i="3"/>
  <c r="P36" i="3" s="1"/>
  <c r="R36" i="3"/>
  <c r="O37" i="3"/>
  <c r="P37" i="3"/>
  <c r="O38" i="3"/>
  <c r="P38" i="3"/>
  <c r="O39" i="3"/>
  <c r="P39" i="3" s="1"/>
  <c r="S39" i="3" s="1"/>
  <c r="O40" i="3"/>
  <c r="P40" i="3" s="1"/>
  <c r="S40" i="3"/>
  <c r="O41" i="3"/>
  <c r="P41" i="3" s="1"/>
  <c r="O42" i="3"/>
  <c r="P42" i="3" s="1"/>
  <c r="Q42" i="3" s="1"/>
  <c r="O43" i="3"/>
  <c r="P43" i="3" s="1"/>
  <c r="O44" i="3"/>
  <c r="P44" i="3" s="1"/>
  <c r="R44" i="3"/>
  <c r="O45" i="3"/>
  <c r="P45" i="3"/>
  <c r="O46" i="3"/>
  <c r="P46" i="3" s="1"/>
  <c r="O47" i="3"/>
  <c r="P47" i="3" s="1"/>
  <c r="S47" i="3" s="1"/>
  <c r="O48" i="3"/>
  <c r="P48" i="3"/>
  <c r="Q48" i="3" s="1"/>
  <c r="O49" i="3"/>
  <c r="P49" i="3" s="1"/>
  <c r="S49" i="3" s="1"/>
  <c r="O50" i="3"/>
  <c r="P50" i="3" s="1"/>
  <c r="Q50" i="3" s="1"/>
  <c r="O51" i="3"/>
  <c r="P51" i="3" s="1"/>
  <c r="O52" i="3"/>
  <c r="P52" i="3" s="1"/>
  <c r="R52" i="3" s="1"/>
  <c r="O53" i="3"/>
  <c r="P53" i="3" s="1"/>
  <c r="R53" i="3"/>
  <c r="O54" i="3"/>
  <c r="P54" i="3"/>
  <c r="O55" i="3"/>
  <c r="P55" i="3" s="1"/>
  <c r="S55" i="3" s="1"/>
  <c r="O56" i="3"/>
  <c r="P56" i="3"/>
  <c r="Q56" i="3" s="1"/>
  <c r="S56" i="3"/>
  <c r="O57" i="3"/>
  <c r="P57" i="3"/>
  <c r="S57" i="3" s="1"/>
  <c r="Q57" i="3"/>
  <c r="O58" i="3"/>
  <c r="P58" i="3" s="1"/>
  <c r="S58" i="3" s="1"/>
  <c r="O59" i="3"/>
  <c r="P59" i="3" s="1"/>
  <c r="O60" i="3"/>
  <c r="P60" i="3" s="1"/>
  <c r="R60" i="3"/>
  <c r="O61" i="3"/>
  <c r="P61" i="3" s="1"/>
  <c r="R61" i="3" s="1"/>
  <c r="O62" i="3"/>
  <c r="P62" i="3" s="1"/>
  <c r="T34" i="2" s="1"/>
  <c r="U34" i="2" s="1"/>
  <c r="O63" i="3"/>
  <c r="P63" i="3"/>
  <c r="S63" i="3" s="1"/>
  <c r="O64" i="3"/>
  <c r="P64" i="3" s="1"/>
  <c r="O65" i="3"/>
  <c r="P65" i="3"/>
  <c r="O66" i="3"/>
  <c r="P66" i="3" s="1"/>
  <c r="R66" i="3" s="1"/>
  <c r="O67" i="3"/>
  <c r="P67" i="3" s="1"/>
  <c r="O68" i="3"/>
  <c r="P68" i="3" s="1"/>
  <c r="T37" i="2" s="1"/>
  <c r="U37" i="2" s="1"/>
  <c r="O69" i="3"/>
  <c r="P69" i="3" s="1"/>
  <c r="T38" i="2" s="1"/>
  <c r="U38" i="2" s="1"/>
  <c r="O70" i="3"/>
  <c r="P70" i="3" s="1"/>
  <c r="O71" i="3"/>
  <c r="P71" i="3"/>
  <c r="Q71" i="3" s="1"/>
  <c r="O72" i="3"/>
  <c r="P72" i="3"/>
  <c r="O73" i="3"/>
  <c r="P73" i="3"/>
  <c r="Q73" i="3" s="1"/>
  <c r="O74" i="3"/>
  <c r="P74" i="3" s="1"/>
  <c r="O75" i="3"/>
  <c r="P75" i="3" s="1"/>
  <c r="O76" i="3"/>
  <c r="P76" i="3" s="1"/>
  <c r="S76" i="3" s="1"/>
  <c r="Q76" i="3"/>
  <c r="R76" i="3"/>
  <c r="O77" i="3"/>
  <c r="P77" i="3" s="1"/>
  <c r="R77" i="3" s="1"/>
  <c r="O78" i="3"/>
  <c r="P78" i="3" s="1"/>
  <c r="O79" i="3"/>
  <c r="P79" i="3" s="1"/>
  <c r="O80" i="3"/>
  <c r="P80" i="3" s="1"/>
  <c r="S80" i="3" s="1"/>
  <c r="W44" i="2" s="1"/>
  <c r="O81" i="3"/>
  <c r="P81" i="3" s="1"/>
  <c r="Q81" i="3" s="1"/>
  <c r="O82" i="3"/>
  <c r="P82" i="3" s="1"/>
  <c r="S82" i="3" s="1"/>
  <c r="O83" i="3"/>
  <c r="P83" i="3" s="1"/>
  <c r="O84" i="3"/>
  <c r="P84" i="3" s="1"/>
  <c r="Q84" i="3"/>
  <c r="O85" i="3"/>
  <c r="P85" i="3" s="1"/>
  <c r="O86" i="3"/>
  <c r="P86" i="3" s="1"/>
  <c r="O87" i="3"/>
  <c r="P87" i="3" s="1"/>
  <c r="R87" i="3" s="1"/>
  <c r="O88" i="3"/>
  <c r="P88" i="3"/>
  <c r="Q88" i="3" s="1"/>
  <c r="S88" i="3"/>
  <c r="O89" i="3"/>
  <c r="P89" i="3" s="1"/>
  <c r="Q89" i="3" s="1"/>
  <c r="O90" i="3"/>
  <c r="P90" i="3" s="1"/>
  <c r="S90" i="3"/>
  <c r="O91" i="3"/>
  <c r="P91" i="3" s="1"/>
  <c r="O92" i="3"/>
  <c r="P92" i="3" s="1"/>
  <c r="S92" i="3" s="1"/>
  <c r="O93" i="3"/>
  <c r="P93" i="3" s="1"/>
  <c r="R93" i="3" s="1"/>
  <c r="O94" i="3"/>
  <c r="P94" i="3" s="1"/>
  <c r="O95" i="3"/>
  <c r="P95" i="3" s="1"/>
  <c r="Q95" i="3" s="1"/>
  <c r="O96" i="3"/>
  <c r="P96" i="3" s="1"/>
  <c r="O97" i="3"/>
  <c r="P97" i="3"/>
  <c r="T51" i="2" s="1"/>
  <c r="U51" i="2" s="1"/>
  <c r="Q97" i="3"/>
  <c r="O98" i="3"/>
  <c r="P98" i="3" s="1"/>
  <c r="O99" i="3"/>
  <c r="P99" i="3" s="1"/>
  <c r="O100" i="3"/>
  <c r="P100" i="3" s="1"/>
  <c r="S100" i="3" s="1"/>
  <c r="O101" i="3"/>
  <c r="P101" i="3" s="1"/>
  <c r="R101" i="3" s="1"/>
  <c r="O102" i="3"/>
  <c r="P102" i="3"/>
  <c r="O103" i="3"/>
  <c r="P103" i="3"/>
  <c r="Q103" i="3" s="1"/>
  <c r="R103" i="3"/>
  <c r="O104" i="3"/>
  <c r="P104" i="3" s="1"/>
  <c r="O105" i="3"/>
  <c r="P105" i="3"/>
  <c r="O106" i="3"/>
  <c r="P106" i="3"/>
  <c r="R106" i="3" s="1"/>
  <c r="Q106" i="3"/>
  <c r="O107" i="3"/>
  <c r="P107" i="3" s="1"/>
  <c r="O108" i="3"/>
  <c r="P108" i="3" s="1"/>
  <c r="Q108" i="3"/>
  <c r="O109" i="3"/>
  <c r="P109" i="3" s="1"/>
  <c r="O110" i="3"/>
  <c r="P110" i="3" s="1"/>
  <c r="O111" i="3"/>
  <c r="P111" i="3"/>
  <c r="R111" i="3" s="1"/>
  <c r="O112" i="3"/>
  <c r="P112" i="3" s="1"/>
  <c r="O113" i="3"/>
  <c r="P113" i="3"/>
  <c r="Q113" i="3" s="1"/>
  <c r="O114" i="3"/>
  <c r="P114" i="3" s="1"/>
  <c r="Q114" i="3" s="1"/>
  <c r="O115" i="3"/>
  <c r="P115" i="3" s="1"/>
  <c r="O116" i="3"/>
  <c r="P116" i="3" s="1"/>
  <c r="S116" i="3" s="1"/>
  <c r="Q116" i="3"/>
  <c r="O117" i="3"/>
  <c r="P117" i="3"/>
  <c r="Q117" i="3" s="1"/>
  <c r="R117" i="3"/>
  <c r="O118" i="3"/>
  <c r="P118" i="3"/>
  <c r="O119" i="3"/>
  <c r="P119" i="3"/>
  <c r="O120" i="3"/>
  <c r="P120" i="3" s="1"/>
  <c r="S120" i="3" s="1"/>
  <c r="O121" i="3"/>
  <c r="P121" i="3"/>
  <c r="O122" i="3"/>
  <c r="P122" i="3" s="1"/>
  <c r="O123" i="3"/>
  <c r="P123" i="3" s="1"/>
  <c r="O124" i="3"/>
  <c r="P124" i="3" s="1"/>
  <c r="R124" i="3" s="1"/>
  <c r="O125" i="3"/>
  <c r="P125" i="3" s="1"/>
  <c r="O126" i="3"/>
  <c r="P126" i="3"/>
  <c r="O127" i="3"/>
  <c r="P127" i="3"/>
  <c r="Q127" i="3" s="1"/>
  <c r="O128" i="3"/>
  <c r="P128" i="3" s="1"/>
  <c r="O129" i="3"/>
  <c r="P129" i="3" s="1"/>
  <c r="Q129" i="3" s="1"/>
  <c r="O130" i="3"/>
  <c r="P130" i="3" s="1"/>
  <c r="R130" i="3" s="1"/>
  <c r="Q130" i="3"/>
  <c r="O131" i="3"/>
  <c r="P131" i="3" s="1"/>
  <c r="O132" i="3"/>
  <c r="P132" i="3" s="1"/>
  <c r="S132" i="3" s="1"/>
  <c r="O133" i="3"/>
  <c r="P133" i="3" s="1"/>
  <c r="O134" i="3"/>
  <c r="P134" i="3"/>
  <c r="O135" i="3"/>
  <c r="P135" i="3"/>
  <c r="Q135" i="3" s="1"/>
  <c r="S135" i="3"/>
  <c r="O136" i="3"/>
  <c r="P136" i="3" s="1"/>
  <c r="O137" i="3"/>
  <c r="P137" i="3" s="1"/>
  <c r="Q137" i="3" s="1"/>
  <c r="O138" i="3"/>
  <c r="P138" i="3" s="1"/>
  <c r="O139" i="3"/>
  <c r="P139" i="3" s="1"/>
  <c r="O140" i="3"/>
  <c r="P140" i="3" s="1"/>
  <c r="O141" i="3"/>
  <c r="P141" i="3" s="1"/>
  <c r="O142" i="3"/>
  <c r="P142" i="3"/>
  <c r="O143" i="3"/>
  <c r="P143" i="3" s="1"/>
  <c r="O144" i="3"/>
  <c r="P144" i="3" s="1"/>
  <c r="S144" i="3" s="1"/>
  <c r="W74" i="2" s="1"/>
  <c r="O145" i="3"/>
  <c r="P145" i="3"/>
  <c r="O146" i="3"/>
  <c r="P146" i="3" s="1"/>
  <c r="O147" i="3"/>
  <c r="P147" i="3" s="1"/>
  <c r="O148" i="3"/>
  <c r="P148" i="3" s="1"/>
  <c r="R148" i="3" s="1"/>
  <c r="O149" i="3"/>
  <c r="P149" i="3" s="1"/>
  <c r="O150" i="3"/>
  <c r="P150" i="3" s="1"/>
  <c r="O151" i="3"/>
  <c r="P151" i="3"/>
  <c r="O152" i="3"/>
  <c r="P152" i="3" s="1"/>
  <c r="O153" i="3"/>
  <c r="P153" i="3" s="1"/>
  <c r="O154" i="3"/>
  <c r="P154" i="3" s="1"/>
  <c r="O155" i="3"/>
  <c r="P155" i="3" s="1"/>
  <c r="O156" i="3"/>
  <c r="P156" i="3" s="1"/>
  <c r="S156" i="3" s="1"/>
  <c r="R156" i="3"/>
  <c r="O157" i="3"/>
  <c r="P157" i="3" s="1"/>
  <c r="O158" i="3"/>
  <c r="P158" i="3" s="1"/>
  <c r="O159" i="3"/>
  <c r="P159" i="3"/>
  <c r="Q159" i="3" s="1"/>
  <c r="R159" i="3"/>
  <c r="S159" i="3"/>
  <c r="O160" i="3"/>
  <c r="P160" i="3" s="1"/>
  <c r="S160" i="3" s="1"/>
  <c r="O161" i="3"/>
  <c r="P161" i="3" s="1"/>
  <c r="Q161" i="3" s="1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/>
  <c r="O167" i="3"/>
  <c r="P167" i="3"/>
  <c r="S167" i="3"/>
  <c r="O168" i="3"/>
  <c r="P168" i="3" s="1"/>
  <c r="O169" i="3"/>
  <c r="P169" i="3" s="1"/>
  <c r="T86" i="2" s="1"/>
  <c r="U86" i="2" s="1"/>
  <c r="O170" i="3"/>
  <c r="P170" i="3" s="1"/>
  <c r="S170" i="3"/>
  <c r="O171" i="3"/>
  <c r="P171" i="3" s="1"/>
  <c r="O172" i="3"/>
  <c r="P172" i="3" s="1"/>
  <c r="S172" i="3" s="1"/>
  <c r="Q172" i="3"/>
  <c r="R172" i="3"/>
  <c r="O173" i="3"/>
  <c r="P173" i="3" s="1"/>
  <c r="R173" i="3" s="1"/>
  <c r="O174" i="3"/>
  <c r="P174" i="3"/>
  <c r="O175" i="3"/>
  <c r="P175" i="3"/>
  <c r="Q175" i="3"/>
  <c r="R175" i="3"/>
  <c r="S175" i="3"/>
  <c r="O176" i="3"/>
  <c r="P176" i="3" s="1"/>
  <c r="O177" i="3"/>
  <c r="P177" i="3"/>
  <c r="S177" i="3" s="1"/>
  <c r="W90" i="2" s="1"/>
  <c r="O178" i="3"/>
  <c r="P178" i="3" s="1"/>
  <c r="O179" i="3"/>
  <c r="P179" i="3"/>
  <c r="Q179" i="3" s="1"/>
  <c r="O180" i="3"/>
  <c r="P180" i="3" s="1"/>
  <c r="R180" i="3" s="1"/>
  <c r="O181" i="3"/>
  <c r="P181" i="3" s="1"/>
  <c r="R181" i="3" s="1"/>
  <c r="Q181" i="3"/>
  <c r="S181" i="3"/>
  <c r="O182" i="3"/>
  <c r="P182" i="3" s="1"/>
  <c r="S182" i="3" s="1"/>
  <c r="Q182" i="3"/>
  <c r="R182" i="3"/>
  <c r="O183" i="3"/>
  <c r="P183" i="3" s="1"/>
  <c r="R183" i="3" s="1"/>
  <c r="O184" i="3"/>
  <c r="P184" i="3" s="1"/>
  <c r="Q184" i="3"/>
  <c r="O185" i="3"/>
  <c r="P185" i="3"/>
  <c r="S185" i="3" s="1"/>
  <c r="W94" i="2" s="1"/>
  <c r="O186" i="3"/>
  <c r="P186" i="3" s="1"/>
  <c r="R186" i="3" s="1"/>
  <c r="V95" i="2" s="1"/>
  <c r="O187" i="3"/>
  <c r="P187" i="3" s="1"/>
  <c r="Q187" i="3" s="1"/>
  <c r="O188" i="3"/>
  <c r="P188" i="3"/>
  <c r="O189" i="3"/>
  <c r="P189" i="3" s="1"/>
  <c r="R189" i="3" s="1"/>
  <c r="Q189" i="3"/>
  <c r="S189" i="3"/>
  <c r="O190" i="3"/>
  <c r="P190" i="3" s="1"/>
  <c r="O191" i="3"/>
  <c r="P191" i="3" s="1"/>
  <c r="R191" i="3" s="1"/>
  <c r="O192" i="3"/>
  <c r="P192" i="3" s="1"/>
  <c r="Q192" i="3" s="1"/>
  <c r="O193" i="3"/>
  <c r="P193" i="3"/>
  <c r="S193" i="3"/>
  <c r="O194" i="3"/>
  <c r="P194" i="3" s="1"/>
  <c r="O195" i="3"/>
  <c r="P195" i="3" s="1"/>
  <c r="Q195" i="3" s="1"/>
  <c r="R195" i="3"/>
  <c r="O196" i="3"/>
  <c r="P196" i="3"/>
  <c r="O197" i="3"/>
  <c r="P197" i="3" s="1"/>
  <c r="O198" i="3"/>
  <c r="P198" i="3" s="1"/>
  <c r="O199" i="3"/>
  <c r="P199" i="3" s="1"/>
  <c r="Q199" i="3" s="1"/>
  <c r="O200" i="3"/>
  <c r="P200" i="3" s="1"/>
  <c r="Q200" i="3" s="1"/>
  <c r="O201" i="3"/>
  <c r="P201" i="3"/>
  <c r="Q201" i="3" s="1"/>
  <c r="R201" i="3"/>
  <c r="S201" i="3"/>
  <c r="O202" i="3"/>
  <c r="P202" i="3" s="1"/>
  <c r="O203" i="3"/>
  <c r="P203" i="3"/>
  <c r="Q203" i="3" s="1"/>
  <c r="O204" i="3"/>
  <c r="P204" i="3"/>
  <c r="O205" i="3"/>
  <c r="P205" i="3" s="1"/>
  <c r="O206" i="3"/>
  <c r="P206" i="3" s="1"/>
  <c r="S206" i="3" s="1"/>
  <c r="Q206" i="3"/>
  <c r="O207" i="3"/>
  <c r="P207" i="3" s="1"/>
  <c r="O208" i="3"/>
  <c r="P208" i="3" s="1"/>
  <c r="Q208" i="3"/>
  <c r="O209" i="3"/>
  <c r="P209" i="3" s="1"/>
  <c r="R209" i="3" s="1"/>
  <c r="O210" i="3"/>
  <c r="P210" i="3" s="1"/>
  <c r="R210" i="3" s="1"/>
  <c r="O211" i="3"/>
  <c r="P211" i="3"/>
  <c r="Q211" i="3" s="1"/>
  <c r="O212" i="3"/>
  <c r="P212" i="3"/>
  <c r="O213" i="3"/>
  <c r="P213" i="3" s="1"/>
  <c r="Q213" i="3"/>
  <c r="O214" i="3"/>
  <c r="P214" i="3" s="1"/>
  <c r="S214" i="3" s="1"/>
  <c r="Q214" i="3"/>
  <c r="O215" i="3"/>
  <c r="P215" i="3" s="1"/>
  <c r="S215" i="3" s="1"/>
  <c r="R215" i="3"/>
  <c r="O216" i="3"/>
  <c r="P216" i="3" s="1"/>
  <c r="R216" i="3"/>
  <c r="O217" i="3"/>
  <c r="P217" i="3" s="1"/>
  <c r="O218" i="3"/>
  <c r="P218" i="3" s="1"/>
  <c r="Q218" i="3" s="1"/>
  <c r="O219" i="3"/>
  <c r="P219" i="3" s="1"/>
  <c r="Q219" i="3"/>
  <c r="O220" i="3"/>
  <c r="P220" i="3" s="1"/>
  <c r="T112" i="2" s="1"/>
  <c r="U112" i="2" s="1"/>
  <c r="O221" i="3"/>
  <c r="P221" i="3" s="1"/>
  <c r="O222" i="3"/>
  <c r="P222" i="3" s="1"/>
  <c r="S222" i="3" s="1"/>
  <c r="O223" i="3"/>
  <c r="P223" i="3" s="1"/>
  <c r="S223" i="3" s="1"/>
  <c r="Q223" i="3"/>
  <c r="R223" i="3"/>
  <c r="O224" i="3"/>
  <c r="P224" i="3" s="1"/>
  <c r="O225" i="3"/>
  <c r="P225" i="3"/>
  <c r="S225" i="3" s="1"/>
  <c r="O226" i="3"/>
  <c r="P226" i="3" s="1"/>
  <c r="O227" i="3"/>
  <c r="P227" i="3" s="1"/>
  <c r="Q227" i="3"/>
  <c r="R227" i="3"/>
  <c r="S227" i="3"/>
  <c r="O228" i="3"/>
  <c r="P228" i="3" s="1"/>
  <c r="T116" i="2" s="1"/>
  <c r="U116" i="2" s="1"/>
  <c r="O229" i="3"/>
  <c r="P229" i="3" s="1"/>
  <c r="O230" i="3"/>
  <c r="P230" i="3" s="1"/>
  <c r="S230" i="3" s="1"/>
  <c r="Q230" i="3"/>
  <c r="R230" i="3"/>
  <c r="O231" i="3"/>
  <c r="P231" i="3" s="1"/>
  <c r="S231" i="3" s="1"/>
  <c r="O232" i="3"/>
  <c r="P232" i="3" s="1"/>
  <c r="R232" i="3" s="1"/>
  <c r="O233" i="3"/>
  <c r="P233" i="3" s="1"/>
  <c r="O234" i="3"/>
  <c r="P234" i="3" s="1"/>
  <c r="Q234" i="3" s="1"/>
  <c r="R234" i="3"/>
  <c r="V118" i="2" s="1"/>
  <c r="S234" i="3"/>
  <c r="W118" i="2" s="1"/>
  <c r="O235" i="3"/>
  <c r="P235" i="3" s="1"/>
  <c r="Q235" i="3" s="1"/>
  <c r="O236" i="3"/>
  <c r="P236" i="3" s="1"/>
  <c r="O237" i="3"/>
  <c r="P237" i="3" s="1"/>
  <c r="Q237" i="3"/>
  <c r="O238" i="3"/>
  <c r="P238" i="3" s="1"/>
  <c r="Q238" i="3"/>
  <c r="O239" i="3"/>
  <c r="P239" i="3" s="1"/>
  <c r="S239" i="3" s="1"/>
  <c r="Q239" i="3"/>
  <c r="R239" i="3"/>
  <c r="O240" i="3"/>
  <c r="P240" i="3" s="1"/>
  <c r="O241" i="3"/>
  <c r="P241" i="3"/>
  <c r="S241" i="3"/>
  <c r="O242" i="3"/>
  <c r="P242" i="3" s="1"/>
  <c r="R242" i="3" s="1"/>
  <c r="V122" i="2" s="1"/>
  <c r="O243" i="3"/>
  <c r="P243" i="3"/>
  <c r="O244" i="3"/>
  <c r="P244" i="3" s="1"/>
  <c r="T124" i="2" s="1"/>
  <c r="U124" i="2" s="1"/>
  <c r="O245" i="3"/>
  <c r="P245" i="3"/>
  <c r="R245" i="3" s="1"/>
  <c r="Q245" i="3"/>
  <c r="O246" i="3"/>
  <c r="P246" i="3" s="1"/>
  <c r="S246" i="3" s="1"/>
  <c r="Q246" i="3"/>
  <c r="R246" i="3"/>
  <c r="O247" i="3"/>
  <c r="P247" i="3" s="1"/>
  <c r="O248" i="3"/>
  <c r="P248" i="3" s="1"/>
  <c r="O249" i="3"/>
  <c r="P249" i="3"/>
  <c r="O250" i="3"/>
  <c r="P250" i="3" s="1"/>
  <c r="Q250" i="3" s="1"/>
  <c r="S250" i="3"/>
  <c r="O251" i="3"/>
  <c r="P251" i="3" s="1"/>
  <c r="Q251" i="3" s="1"/>
  <c r="O252" i="3"/>
  <c r="P252" i="3" s="1"/>
  <c r="Q252" i="3" s="1"/>
  <c r="O253" i="3"/>
  <c r="P253" i="3"/>
  <c r="Q253" i="3" s="1"/>
  <c r="O254" i="3"/>
  <c r="P254" i="3" s="1"/>
  <c r="Q254" i="3"/>
  <c r="O255" i="3"/>
  <c r="P255" i="3" s="1"/>
  <c r="S255" i="3" s="1"/>
  <c r="R255" i="3"/>
  <c r="O256" i="3"/>
  <c r="P256" i="3" s="1"/>
  <c r="O257" i="3"/>
  <c r="P257" i="3"/>
  <c r="O258" i="3"/>
  <c r="P258" i="3" s="1"/>
  <c r="R258" i="3" s="1"/>
  <c r="V130" i="2" s="1"/>
  <c r="O259" i="3"/>
  <c r="P259" i="3"/>
  <c r="Q259" i="3"/>
  <c r="O260" i="3"/>
  <c r="P260" i="3" s="1"/>
  <c r="O261" i="3"/>
  <c r="P261" i="3" s="1"/>
  <c r="O262" i="3"/>
  <c r="P262" i="3" s="1"/>
  <c r="S262" i="3" s="1"/>
  <c r="Q262" i="3"/>
  <c r="R262" i="3"/>
  <c r="O263" i="3"/>
  <c r="P263" i="3" s="1"/>
  <c r="S263" i="3" s="1"/>
  <c r="O264" i="3"/>
  <c r="P264" i="3" s="1"/>
  <c r="O265" i="3"/>
  <c r="P265" i="3"/>
  <c r="O266" i="3"/>
  <c r="P266" i="3" s="1"/>
  <c r="T134" i="2" s="1"/>
  <c r="U134" i="2" s="1"/>
  <c r="O267" i="3"/>
  <c r="P267" i="3" s="1"/>
  <c r="O268" i="3"/>
  <c r="P268" i="3"/>
  <c r="Q268" i="3" s="1"/>
  <c r="O269" i="3"/>
  <c r="P269" i="3" s="1"/>
  <c r="Q269" i="3" s="1"/>
  <c r="O270" i="3"/>
  <c r="P270" i="3" s="1"/>
  <c r="S270" i="3" s="1"/>
  <c r="Q270" i="3"/>
  <c r="R270" i="3"/>
  <c r="V136" i="2" s="1"/>
  <c r="O271" i="3"/>
  <c r="P271" i="3" s="1"/>
  <c r="O272" i="3"/>
  <c r="P272" i="3" s="1"/>
  <c r="O273" i="3"/>
  <c r="P273" i="3" s="1"/>
  <c r="R273" i="3" s="1"/>
  <c r="V138" i="2" s="1"/>
  <c r="O274" i="3"/>
  <c r="P274" i="3" s="1"/>
  <c r="R274" i="3"/>
  <c r="V139" i="2" s="1"/>
  <c r="O275" i="3"/>
  <c r="P275" i="3" s="1"/>
  <c r="R275" i="3"/>
  <c r="V140" i="2" s="1"/>
  <c r="O276" i="3"/>
  <c r="P276" i="3"/>
  <c r="T141" i="2" s="1"/>
  <c r="U141" i="2" s="1"/>
  <c r="O277" i="3"/>
  <c r="P277" i="3" s="1"/>
  <c r="O278" i="3"/>
  <c r="P278" i="3"/>
  <c r="O279" i="3"/>
  <c r="P279" i="3" s="1"/>
  <c r="S279" i="3" s="1"/>
  <c r="R279" i="3"/>
  <c r="O280" i="3"/>
  <c r="P280" i="3"/>
  <c r="O281" i="3"/>
  <c r="P281" i="3" s="1"/>
  <c r="O282" i="3"/>
  <c r="P282" i="3" s="1"/>
  <c r="Q282" i="3" s="1"/>
  <c r="R282" i="3"/>
  <c r="S282" i="3"/>
  <c r="O283" i="3"/>
  <c r="P283" i="3"/>
  <c r="O284" i="3"/>
  <c r="S143" i="2" s="1"/>
  <c r="P284" i="3"/>
  <c r="S284" i="3" s="1"/>
  <c r="W143" i="2" s="1"/>
  <c r="O285" i="3"/>
  <c r="P285" i="3"/>
  <c r="Q285" i="3" s="1"/>
  <c r="O286" i="3"/>
  <c r="O287" i="3"/>
  <c r="P287" i="3" s="1"/>
  <c r="Q287" i="3"/>
  <c r="O288" i="3"/>
  <c r="S147" i="2" s="1"/>
  <c r="P288" i="3"/>
  <c r="Q288" i="3" s="1"/>
  <c r="O289" i="3"/>
  <c r="P289" i="3" s="1"/>
  <c r="O290" i="3"/>
  <c r="P290" i="3" s="1"/>
  <c r="O291" i="3"/>
  <c r="P291" i="3" s="1"/>
  <c r="Q291" i="3" s="1"/>
  <c r="R291" i="3"/>
  <c r="S291" i="3"/>
  <c r="O292" i="3"/>
  <c r="P292" i="3" s="1"/>
  <c r="O293" i="3"/>
  <c r="P293" i="3" s="1"/>
  <c r="O294" i="3"/>
  <c r="P294" i="3"/>
  <c r="R294" i="3" s="1"/>
  <c r="V149" i="2" s="1"/>
  <c r="O295" i="3"/>
  <c r="P295" i="3" s="1"/>
  <c r="S295" i="3" s="1"/>
  <c r="R295" i="3"/>
  <c r="V150" i="2" s="1"/>
  <c r="O296" i="3"/>
  <c r="P296" i="3" s="1"/>
  <c r="O297" i="3"/>
  <c r="P297" i="3"/>
  <c r="R297" i="3" s="1"/>
  <c r="Q297" i="3"/>
  <c r="S297" i="3"/>
  <c r="O298" i="3"/>
  <c r="P298" i="3" s="1"/>
  <c r="Q298" i="3" s="1"/>
  <c r="R298" i="3"/>
  <c r="S298" i="3"/>
  <c r="O299" i="3"/>
  <c r="P299" i="3" s="1"/>
  <c r="O300" i="3"/>
  <c r="P300" i="3"/>
  <c r="S300" i="3" s="1"/>
  <c r="R300" i="3"/>
  <c r="O301" i="3"/>
  <c r="P301" i="3" s="1"/>
  <c r="O302" i="3"/>
  <c r="P302" i="3" s="1"/>
  <c r="O303" i="3"/>
  <c r="P303" i="3" s="1"/>
  <c r="O304" i="3"/>
  <c r="P304" i="3" s="1"/>
  <c r="O305" i="3"/>
  <c r="P305" i="3" s="1"/>
  <c r="O306" i="3"/>
  <c r="P306" i="3" s="1"/>
  <c r="S306" i="3"/>
  <c r="O307" i="3"/>
  <c r="P307" i="3" s="1"/>
  <c r="O308" i="3"/>
  <c r="P308" i="3" s="1"/>
  <c r="S308" i="3" s="1"/>
  <c r="Q308" i="3"/>
  <c r="O309" i="3"/>
  <c r="P309" i="3" s="1"/>
  <c r="O310" i="3"/>
  <c r="P310" i="3" s="1"/>
  <c r="S310" i="3"/>
  <c r="O311" i="3"/>
  <c r="P311" i="3" s="1"/>
  <c r="O312" i="3"/>
  <c r="P312" i="3" s="1"/>
  <c r="S312" i="3"/>
  <c r="W158" i="2" s="1"/>
  <c r="O313" i="3"/>
  <c r="P313" i="3" s="1"/>
  <c r="O314" i="3"/>
  <c r="P314" i="3" s="1"/>
  <c r="Q314" i="3" s="1"/>
  <c r="O315" i="3"/>
  <c r="P315" i="3" s="1"/>
  <c r="S315" i="3" s="1"/>
  <c r="Q315" i="3"/>
  <c r="R315" i="3"/>
  <c r="O316" i="3"/>
  <c r="P316" i="3" s="1"/>
  <c r="O317" i="3"/>
  <c r="P317" i="3" s="1"/>
  <c r="R317" i="3" s="1"/>
  <c r="V160" i="2" s="1"/>
  <c r="O318" i="3"/>
  <c r="P318" i="3" s="1"/>
  <c r="R318" i="3"/>
  <c r="O319" i="3"/>
  <c r="P319" i="3"/>
  <c r="O320" i="3"/>
  <c r="P320" i="3" s="1"/>
  <c r="Q320" i="3"/>
  <c r="O321" i="3"/>
  <c r="P321" i="3"/>
  <c r="Q321" i="3" s="1"/>
  <c r="O322" i="3"/>
  <c r="P322" i="3" s="1"/>
  <c r="Q322" i="3" s="1"/>
  <c r="O323" i="3"/>
  <c r="P323" i="3" s="1"/>
  <c r="Q323" i="3"/>
  <c r="O324" i="3"/>
  <c r="P324" i="3" s="1"/>
  <c r="S324" i="3" s="1"/>
  <c r="R324" i="3"/>
  <c r="O325" i="3"/>
  <c r="P325" i="3" s="1"/>
  <c r="T164" i="2" s="1"/>
  <c r="U164" i="2" s="1"/>
  <c r="R325" i="3"/>
  <c r="V164" i="2" s="1"/>
  <c r="O326" i="3"/>
  <c r="P326" i="3" s="1"/>
  <c r="Q326" i="3" s="1"/>
  <c r="O327" i="3"/>
  <c r="P327" i="3"/>
  <c r="O328" i="3"/>
  <c r="P328" i="3"/>
  <c r="S328" i="3" s="1"/>
  <c r="Q328" i="3"/>
  <c r="R328" i="3"/>
  <c r="V167" i="2" s="1"/>
  <c r="O329" i="3"/>
  <c r="P329" i="3" s="1"/>
  <c r="Q329" i="3"/>
  <c r="O330" i="3"/>
  <c r="P330" i="3" s="1"/>
  <c r="R330" i="3" s="1"/>
  <c r="O331" i="3"/>
  <c r="P331" i="3" s="1"/>
  <c r="O332" i="3"/>
  <c r="P332" i="3" s="1"/>
  <c r="O333" i="3"/>
  <c r="P333" i="3"/>
  <c r="O334" i="3"/>
  <c r="P334" i="3" s="1"/>
  <c r="Q334" i="3" s="1"/>
  <c r="O335" i="3"/>
  <c r="P335" i="3" s="1"/>
  <c r="Q335" i="3" s="1"/>
  <c r="R335" i="3"/>
  <c r="O336" i="3"/>
  <c r="P336" i="3" s="1"/>
  <c r="Q336" i="3" s="1"/>
  <c r="R336" i="3"/>
  <c r="S336" i="3"/>
  <c r="O337" i="3"/>
  <c r="P337" i="3" s="1"/>
  <c r="O338" i="3"/>
  <c r="P338" i="3" s="1"/>
  <c r="Q338" i="3" s="1"/>
  <c r="O339" i="3"/>
  <c r="P339" i="3" s="1"/>
  <c r="S339" i="3" s="1"/>
  <c r="R339" i="3"/>
  <c r="O340" i="3"/>
  <c r="P340" i="3" s="1"/>
  <c r="R340" i="3"/>
  <c r="O341" i="3"/>
  <c r="P341" i="3" s="1"/>
  <c r="O342" i="3"/>
  <c r="P342" i="3" s="1"/>
  <c r="Q342" i="3" s="1"/>
  <c r="O343" i="3"/>
  <c r="P343" i="3" s="1"/>
  <c r="R343" i="3" s="1"/>
  <c r="V173" i="2" s="1"/>
  <c r="O344" i="3"/>
  <c r="P344" i="3"/>
  <c r="S344" i="3"/>
  <c r="O345" i="3"/>
  <c r="P345" i="3" s="1"/>
  <c r="T175" i="2" s="1"/>
  <c r="U175" i="2" s="1"/>
  <c r="O346" i="3"/>
  <c r="P346" i="3"/>
  <c r="R346" i="3" s="1"/>
  <c r="O347" i="3"/>
  <c r="P347" i="3" s="1"/>
  <c r="S347" i="3" s="1"/>
  <c r="R347" i="3"/>
  <c r="O348" i="3"/>
  <c r="P348" i="3" s="1"/>
  <c r="Q348" i="3" s="1"/>
  <c r="O349" i="3"/>
  <c r="P349" i="3" s="1"/>
  <c r="O350" i="3"/>
  <c r="P350" i="3"/>
  <c r="O351" i="3"/>
  <c r="P351" i="3" s="1"/>
  <c r="T177" i="2" s="1"/>
  <c r="U177" i="2" s="1"/>
  <c r="O352" i="3"/>
  <c r="P352" i="3" s="1"/>
  <c r="Q352" i="3" s="1"/>
  <c r="R352" i="3"/>
  <c r="S352" i="3"/>
  <c r="O353" i="3"/>
  <c r="P353" i="3" s="1"/>
  <c r="Q353" i="3" s="1"/>
  <c r="O354" i="3"/>
  <c r="P354" i="3" s="1"/>
  <c r="O355" i="3"/>
  <c r="P355" i="3" s="1"/>
  <c r="O356" i="3"/>
  <c r="P356" i="3" s="1"/>
  <c r="S356" i="3" s="1"/>
  <c r="Q356" i="3"/>
  <c r="O357" i="3"/>
  <c r="P357" i="3" s="1"/>
  <c r="R357" i="3" s="1"/>
  <c r="O358" i="3"/>
  <c r="P358" i="3" s="1"/>
  <c r="Q358" i="3" s="1"/>
  <c r="R358" i="3"/>
  <c r="S358" i="3"/>
  <c r="O359" i="3"/>
  <c r="P359" i="3" s="1"/>
  <c r="O360" i="3"/>
  <c r="P360" i="3" s="1"/>
  <c r="O361" i="3"/>
  <c r="P361" i="3" s="1"/>
  <c r="Q361" i="3" s="1"/>
  <c r="O362" i="3"/>
  <c r="P362" i="3" s="1"/>
  <c r="Q362" i="3"/>
  <c r="O363" i="3"/>
  <c r="P363" i="3" s="1"/>
  <c r="S363" i="3" s="1"/>
  <c r="Q363" i="3"/>
  <c r="R363" i="3"/>
  <c r="V183" i="2" s="1"/>
  <c r="O364" i="3"/>
  <c r="P364" i="3" s="1"/>
  <c r="O365" i="3"/>
  <c r="P365" i="3" s="1"/>
  <c r="O366" i="3"/>
  <c r="P366" i="3"/>
  <c r="O367" i="3"/>
  <c r="P367" i="3" s="1"/>
  <c r="S367" i="3" s="1"/>
  <c r="O368" i="3"/>
  <c r="P368" i="3"/>
  <c r="S368" i="3" s="1"/>
  <c r="O369" i="3"/>
  <c r="P369" i="3" s="1"/>
  <c r="Q369" i="3" s="1"/>
  <c r="O370" i="3"/>
  <c r="P370" i="3" s="1"/>
  <c r="O371" i="3"/>
  <c r="P371" i="3" s="1"/>
  <c r="O372" i="3"/>
  <c r="P372" i="3" s="1"/>
  <c r="S372" i="3" s="1"/>
  <c r="Q372" i="3"/>
  <c r="O373" i="3"/>
  <c r="S189" i="2" s="1"/>
  <c r="P373" i="3"/>
  <c r="R373" i="3"/>
  <c r="V189" i="2" s="1"/>
  <c r="O374" i="3"/>
  <c r="P374" i="3" s="1"/>
  <c r="Q374" i="3" s="1"/>
  <c r="O375" i="3"/>
  <c r="P375" i="3"/>
  <c r="R375" i="3"/>
  <c r="O376" i="3"/>
  <c r="P376" i="3" s="1"/>
  <c r="O377" i="3"/>
  <c r="P377" i="3"/>
  <c r="O378" i="3"/>
  <c r="P378" i="3" s="1"/>
  <c r="R378" i="3" s="1"/>
  <c r="O379" i="3"/>
  <c r="P379" i="3" s="1"/>
  <c r="S379" i="3" s="1"/>
  <c r="Q379" i="3"/>
  <c r="O380" i="3"/>
  <c r="P380" i="3" s="1"/>
  <c r="S380" i="3" s="1"/>
  <c r="R380" i="3"/>
  <c r="O381" i="3"/>
  <c r="P381" i="3" s="1"/>
  <c r="T193" i="2" s="1"/>
  <c r="U193" i="2" s="1"/>
  <c r="O382" i="3"/>
  <c r="P382" i="3" s="1"/>
  <c r="O383" i="3"/>
  <c r="P383" i="3" s="1"/>
  <c r="O384" i="3"/>
  <c r="P384" i="3"/>
  <c r="Q384" i="3" s="1"/>
  <c r="R384" i="3"/>
  <c r="S384" i="3"/>
  <c r="O385" i="3"/>
  <c r="P385" i="3" s="1"/>
  <c r="Q385" i="3"/>
  <c r="O386" i="3"/>
  <c r="P386" i="3" s="1"/>
  <c r="O387" i="3"/>
  <c r="P387" i="3" s="1"/>
  <c r="Q387" i="3" s="1"/>
  <c r="O388" i="3"/>
  <c r="P388" i="3" s="1"/>
  <c r="S388" i="3" s="1"/>
  <c r="Q388" i="3"/>
  <c r="R388" i="3"/>
  <c r="O389" i="3"/>
  <c r="P389" i="3" s="1"/>
  <c r="T197" i="2" s="1"/>
  <c r="U197" i="2" s="1"/>
  <c r="O390" i="3"/>
  <c r="P390" i="3" s="1"/>
  <c r="T198" i="2" s="1"/>
  <c r="U198" i="2" s="1"/>
  <c r="R390" i="3"/>
  <c r="V198" i="2" s="1"/>
  <c r="O391" i="3"/>
  <c r="P391" i="3" s="1"/>
  <c r="T199" i="2" s="1"/>
  <c r="U199" i="2" s="1"/>
  <c r="O392" i="3"/>
  <c r="P392" i="3" s="1"/>
  <c r="S392" i="3"/>
  <c r="O393" i="3"/>
  <c r="P393" i="3" s="1"/>
  <c r="O394" i="3"/>
  <c r="P394" i="3" s="1"/>
  <c r="R394" i="3"/>
  <c r="O395" i="3"/>
  <c r="P395" i="3" s="1"/>
  <c r="S395" i="3" s="1"/>
  <c r="O396" i="3"/>
  <c r="P396" i="3" s="1"/>
  <c r="O397" i="3"/>
  <c r="P397" i="3" s="1"/>
  <c r="R397" i="3" s="1"/>
  <c r="O398" i="3"/>
  <c r="P398" i="3"/>
  <c r="S398" i="3" s="1"/>
  <c r="O399" i="3"/>
  <c r="P399" i="3"/>
  <c r="O400" i="3"/>
  <c r="P400" i="3" s="1"/>
  <c r="T202" i="2" s="1"/>
  <c r="U202" i="2" s="1"/>
  <c r="O401" i="3"/>
  <c r="P401" i="3" s="1"/>
  <c r="S401" i="3" s="1"/>
  <c r="W203" i="2" s="1"/>
  <c r="O402" i="3"/>
  <c r="P402" i="3" s="1"/>
  <c r="O403" i="3"/>
  <c r="P403" i="3" s="1"/>
  <c r="Q403" i="3" s="1"/>
  <c r="R403" i="3"/>
  <c r="S403" i="3"/>
  <c r="O404" i="3"/>
  <c r="P404" i="3" s="1"/>
  <c r="S404" i="3" s="1"/>
  <c r="O405" i="3"/>
  <c r="P405" i="3" s="1"/>
  <c r="S405" i="3"/>
  <c r="O406" i="3"/>
  <c r="P406" i="3" s="1"/>
  <c r="O407" i="3"/>
  <c r="P407" i="3" s="1"/>
  <c r="Q407" i="3" s="1"/>
  <c r="O408" i="3"/>
  <c r="P408" i="3"/>
  <c r="S408" i="3"/>
  <c r="O409" i="3"/>
  <c r="P409" i="3" s="1"/>
  <c r="Q409" i="3" s="1"/>
  <c r="O410" i="3"/>
  <c r="P410" i="3" s="1"/>
  <c r="R410" i="3" s="1"/>
  <c r="O411" i="3"/>
  <c r="P411" i="3" s="1"/>
  <c r="O412" i="3"/>
  <c r="P412" i="3" s="1"/>
  <c r="O413" i="3"/>
  <c r="P413" i="3" s="1"/>
  <c r="R413" i="3"/>
  <c r="O414" i="3"/>
  <c r="P414" i="3" s="1"/>
  <c r="Q414" i="3"/>
  <c r="O415" i="3"/>
  <c r="P415" i="3"/>
  <c r="O416" i="3"/>
  <c r="P416" i="3" s="1"/>
  <c r="O417" i="3"/>
  <c r="P417" i="3" s="1"/>
  <c r="S417" i="3"/>
  <c r="W210" i="2" s="1"/>
  <c r="O418" i="3"/>
  <c r="P418" i="3" s="1"/>
  <c r="O419" i="3"/>
  <c r="P419" i="3" s="1"/>
  <c r="Q419" i="3" s="1"/>
  <c r="O420" i="3"/>
  <c r="P420" i="3" s="1"/>
  <c r="O421" i="3"/>
  <c r="P421" i="3" s="1"/>
  <c r="R421" i="3" s="1"/>
  <c r="O422" i="3"/>
  <c r="P422" i="3" s="1"/>
  <c r="Q422" i="3"/>
  <c r="O423" i="3"/>
  <c r="P423" i="3"/>
  <c r="O424" i="3"/>
  <c r="P424" i="3" s="1"/>
  <c r="O425" i="3"/>
  <c r="P425" i="3" s="1"/>
  <c r="O426" i="3"/>
  <c r="P426" i="3" s="1"/>
  <c r="R426" i="3" s="1"/>
  <c r="O427" i="3"/>
  <c r="P427" i="3"/>
  <c r="S427" i="3" s="1"/>
  <c r="O428" i="3"/>
  <c r="P428" i="3" s="1"/>
  <c r="Q428" i="3" s="1"/>
  <c r="R428" i="3"/>
  <c r="O429" i="3"/>
  <c r="P429" i="3" s="1"/>
  <c r="R429" i="3" s="1"/>
  <c r="O430" i="3"/>
  <c r="P430" i="3" s="1"/>
  <c r="S430" i="3" s="1"/>
  <c r="O431" i="3"/>
  <c r="P431" i="3"/>
  <c r="O432" i="3"/>
  <c r="P432" i="3"/>
  <c r="T218" i="2" s="1"/>
  <c r="U218" i="2" s="1"/>
  <c r="O433" i="3"/>
  <c r="P433" i="3" s="1"/>
  <c r="S433" i="3" s="1"/>
  <c r="W219" i="2" s="1"/>
  <c r="O434" i="3"/>
  <c r="P434" i="3"/>
  <c r="O435" i="3"/>
  <c r="P435" i="3" s="1"/>
  <c r="Q435" i="3" s="1"/>
  <c r="S435" i="3"/>
  <c r="O436" i="3"/>
  <c r="P436" i="3" s="1"/>
  <c r="S436" i="3"/>
  <c r="O437" i="3"/>
  <c r="P437" i="3" s="1"/>
  <c r="R437" i="3"/>
  <c r="O438" i="3"/>
  <c r="P438" i="3"/>
  <c r="S438" i="3" s="1"/>
  <c r="O439" i="3"/>
  <c r="P439" i="3" s="1"/>
  <c r="Q439" i="3"/>
  <c r="O440" i="3"/>
  <c r="P440" i="3" s="1"/>
  <c r="T222" i="2" s="1"/>
  <c r="U222" i="2" s="1"/>
  <c r="S440" i="3"/>
  <c r="W222" i="2" s="1"/>
  <c r="O441" i="3"/>
  <c r="P441" i="3" s="1"/>
  <c r="Q441" i="3" s="1"/>
  <c r="O442" i="3"/>
  <c r="P442" i="3" s="1"/>
  <c r="S442" i="3" s="1"/>
  <c r="W224" i="2" s="1"/>
  <c r="O443" i="3"/>
  <c r="P443" i="3" s="1"/>
  <c r="R443" i="3" s="1"/>
  <c r="O444" i="3"/>
  <c r="P444" i="3"/>
  <c r="S444" i="3" s="1"/>
  <c r="Q444" i="3"/>
  <c r="O445" i="3"/>
  <c r="P445" i="3" s="1"/>
  <c r="O446" i="3"/>
  <c r="P446" i="3" s="1"/>
  <c r="O447" i="3"/>
  <c r="P447" i="3" s="1"/>
  <c r="Q447" i="3" s="1"/>
  <c r="S447" i="3"/>
  <c r="O448" i="3"/>
  <c r="P448" i="3"/>
  <c r="Q448" i="3"/>
  <c r="O449" i="3"/>
  <c r="P449" i="3" s="1"/>
  <c r="O450" i="3"/>
  <c r="P450" i="3" s="1"/>
  <c r="O451" i="3"/>
  <c r="P451" i="3" s="1"/>
  <c r="O452" i="3"/>
  <c r="P452" i="3" s="1"/>
  <c r="O453" i="3"/>
  <c r="P453" i="3"/>
  <c r="S453" i="3" s="1"/>
  <c r="O454" i="3"/>
  <c r="P454" i="3"/>
  <c r="S454" i="3" s="1"/>
  <c r="O455" i="3"/>
  <c r="P455" i="3" s="1"/>
  <c r="R455" i="3" s="1"/>
  <c r="S455" i="3"/>
  <c r="O456" i="3"/>
  <c r="P456" i="3"/>
  <c r="O457" i="3"/>
  <c r="P457" i="3"/>
  <c r="O458" i="3"/>
  <c r="P458" i="3" s="1"/>
  <c r="Q458" i="3" s="1"/>
  <c r="O459" i="3"/>
  <c r="P459" i="3" s="1"/>
  <c r="R459" i="3" s="1"/>
  <c r="O460" i="3"/>
  <c r="P460" i="3" s="1"/>
  <c r="R460" i="3" s="1"/>
  <c r="V231" i="2" s="1"/>
  <c r="O461" i="3"/>
  <c r="P461" i="3"/>
  <c r="T232" i="2" s="1"/>
  <c r="U232" i="2" s="1"/>
  <c r="S461" i="3"/>
  <c r="W232" i="2" s="1"/>
  <c r="O462" i="3"/>
  <c r="P462" i="3" s="1"/>
  <c r="O463" i="3"/>
  <c r="P463" i="3" s="1"/>
  <c r="S463" i="3" s="1"/>
  <c r="W234" i="2" s="1"/>
  <c r="O464" i="3"/>
  <c r="P464" i="3"/>
  <c r="Q464" i="3"/>
  <c r="O465" i="3"/>
  <c r="P465" i="3" s="1"/>
  <c r="Q465" i="3" s="1"/>
  <c r="O466" i="3"/>
  <c r="P466" i="3" s="1"/>
  <c r="Q466" i="3" s="1"/>
  <c r="R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/>
  <c r="O471" i="3"/>
  <c r="P471" i="3" s="1"/>
  <c r="O472" i="3"/>
  <c r="P472" i="3" s="1"/>
  <c r="Q472" i="3" s="1"/>
  <c r="O473" i="3"/>
  <c r="P473" i="3" s="1"/>
  <c r="O474" i="3"/>
  <c r="P474" i="3" s="1"/>
  <c r="Q474" i="3" s="1"/>
  <c r="R474" i="3"/>
  <c r="S474" i="3"/>
  <c r="W239" i="2" s="1"/>
  <c r="O475" i="3"/>
  <c r="P475" i="3" s="1"/>
  <c r="R475" i="3" s="1"/>
  <c r="O476" i="3"/>
  <c r="P476" i="3" s="1"/>
  <c r="O477" i="3"/>
  <c r="P477" i="3" s="1"/>
  <c r="T241" i="2" s="1"/>
  <c r="U241" i="2" s="1"/>
  <c r="O478" i="3"/>
  <c r="P478" i="3" s="1"/>
  <c r="O479" i="3"/>
  <c r="P479" i="3" s="1"/>
  <c r="O480" i="3"/>
  <c r="P480" i="3" s="1"/>
  <c r="R480" i="3"/>
  <c r="O481" i="3"/>
  <c r="P481" i="3" s="1"/>
  <c r="T242" i="2" s="1"/>
  <c r="U242" i="2" s="1"/>
  <c r="O482" i="3"/>
  <c r="P482" i="3" s="1"/>
  <c r="S482" i="3" s="1"/>
  <c r="W243" i="2" s="1"/>
  <c r="O483" i="3"/>
  <c r="P483" i="3" s="1"/>
  <c r="O484" i="3"/>
  <c r="P484" i="3" s="1"/>
  <c r="R484" i="3"/>
  <c r="O485" i="3"/>
  <c r="P485" i="3"/>
  <c r="S485" i="3"/>
  <c r="O486" i="3"/>
  <c r="P486" i="3"/>
  <c r="S486" i="3" s="1"/>
  <c r="O487" i="3"/>
  <c r="P487" i="3" s="1"/>
  <c r="R487" i="3" s="1"/>
  <c r="S487" i="3"/>
  <c r="O488" i="3"/>
  <c r="P488" i="3"/>
  <c r="Q488" i="3"/>
  <c r="O489" i="3"/>
  <c r="P489" i="3" s="1"/>
  <c r="O490" i="3"/>
  <c r="P490" i="3"/>
  <c r="O491" i="3"/>
  <c r="P491" i="3" s="1"/>
  <c r="Q491" i="3" s="1"/>
  <c r="S491" i="3"/>
  <c r="O492" i="3"/>
  <c r="P492" i="3"/>
  <c r="Q492" i="3" s="1"/>
  <c r="O493" i="3"/>
  <c r="P493" i="3"/>
  <c r="R493" i="3" s="1"/>
  <c r="V250" i="2" s="1"/>
  <c r="O494" i="3"/>
  <c r="P494" i="3" s="1"/>
  <c r="S494" i="3"/>
  <c r="O495" i="3"/>
  <c r="P495" i="3" s="1"/>
  <c r="R495" i="3" s="1"/>
  <c r="S495" i="3"/>
  <c r="O496" i="3"/>
  <c r="P496" i="3"/>
  <c r="O497" i="3"/>
  <c r="P497" i="3" s="1"/>
  <c r="Q497" i="3" s="1"/>
  <c r="O498" i="3"/>
  <c r="P498" i="3"/>
  <c r="S498" i="3"/>
  <c r="O499" i="3"/>
  <c r="P499" i="3" s="1"/>
  <c r="T252" i="2" s="1"/>
  <c r="U252" i="2" s="1"/>
  <c r="O500" i="3"/>
  <c r="P500" i="3" s="1"/>
  <c r="S500" i="3" s="1"/>
  <c r="W253" i="2" s="1"/>
  <c r="Q500" i="3"/>
  <c r="O501" i="3"/>
  <c r="P501" i="3" s="1"/>
  <c r="O502" i="3"/>
  <c r="P502" i="3" s="1"/>
  <c r="S502" i="3" s="1"/>
  <c r="O503" i="3"/>
  <c r="P503" i="3" s="1"/>
  <c r="R503" i="3"/>
  <c r="O504" i="3"/>
  <c r="P504" i="3"/>
  <c r="S504" i="3" s="1"/>
  <c r="W255" i="2" s="1"/>
  <c r="O505" i="3"/>
  <c r="P505" i="3" s="1"/>
  <c r="Q505" i="3"/>
  <c r="O506" i="3"/>
  <c r="P506" i="3" s="1"/>
  <c r="Q506" i="3" s="1"/>
  <c r="S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S511" i="3" s="1"/>
  <c r="Q511" i="3"/>
  <c r="R511" i="3"/>
  <c r="O512" i="3"/>
  <c r="P512" i="3" s="1"/>
  <c r="O513" i="3"/>
  <c r="P513" i="3" s="1"/>
  <c r="O514" i="3"/>
  <c r="P514" i="3"/>
  <c r="R514" i="3"/>
  <c r="V259" i="2" s="1"/>
  <c r="O515" i="3"/>
  <c r="P515" i="3" s="1"/>
  <c r="Q515" i="3" s="1"/>
  <c r="O516" i="3"/>
  <c r="S261" i="2" s="1"/>
  <c r="P516" i="3"/>
  <c r="Q516" i="3" s="1"/>
  <c r="R516" i="3"/>
  <c r="V261" i="2" s="1"/>
  <c r="O517" i="3"/>
  <c r="S262" i="2" s="1"/>
  <c r="P517" i="3"/>
  <c r="O518" i="3"/>
  <c r="P518" i="3" s="1"/>
  <c r="S518" i="3" s="1"/>
  <c r="O519" i="3"/>
  <c r="P519" i="3" s="1"/>
  <c r="O520" i="3"/>
  <c r="P520" i="3"/>
  <c r="S520" i="3" s="1"/>
  <c r="R520" i="3"/>
  <c r="O521" i="3"/>
  <c r="P521" i="3" s="1"/>
  <c r="O522" i="3"/>
  <c r="S263" i="2" s="1"/>
  <c r="P522" i="3"/>
  <c r="R522" i="3"/>
  <c r="V263" i="2" s="1"/>
  <c r="O523" i="3"/>
  <c r="O524" i="3"/>
  <c r="S265" i="2" s="1"/>
  <c r="O525" i="3"/>
  <c r="S266" i="2" s="1"/>
  <c r="P525" i="3"/>
  <c r="T266" i="2" s="1"/>
  <c r="U266" i="2" s="1"/>
  <c r="Q525" i="3"/>
  <c r="N5" i="2"/>
  <c r="O5" i="2"/>
  <c r="R5" i="2" s="1"/>
  <c r="P5" i="2"/>
  <c r="Q5" i="2"/>
  <c r="X5" i="2"/>
  <c r="Y5" i="2"/>
  <c r="Z5" i="2"/>
  <c r="AA5" i="2"/>
  <c r="N6" i="2"/>
  <c r="O6" i="2"/>
  <c r="P6" i="2"/>
  <c r="Q6" i="2"/>
  <c r="R6" i="2"/>
  <c r="S6" i="2"/>
  <c r="T6" i="2"/>
  <c r="U6" i="2" s="1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X9" i="2"/>
  <c r="Y9" i="2"/>
  <c r="Z9" i="2"/>
  <c r="AA9" i="2"/>
  <c r="N10" i="2"/>
  <c r="O10" i="2"/>
  <c r="R10" i="2" s="1"/>
  <c r="P10" i="2"/>
  <c r="Q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S12" i="2"/>
  <c r="T12" i="2"/>
  <c r="U12" i="2" s="1"/>
  <c r="V12" i="2"/>
  <c r="X12" i="2"/>
  <c r="Y12" i="2"/>
  <c r="Z12" i="2"/>
  <c r="AA12" i="2"/>
  <c r="N13" i="2"/>
  <c r="O13" i="2"/>
  <c r="R13" i="2" s="1"/>
  <c r="P13" i="2"/>
  <c r="Q13" i="2"/>
  <c r="S13" i="2"/>
  <c r="T13" i="2"/>
  <c r="U13" i="2" s="1"/>
  <c r="X13" i="2"/>
  <c r="Y13" i="2"/>
  <c r="Z13" i="2"/>
  <c r="AA13" i="2"/>
  <c r="N14" i="2"/>
  <c r="O14" i="2"/>
  <c r="R14" i="2" s="1"/>
  <c r="P14" i="2"/>
  <c r="Q14" i="2"/>
  <c r="S14" i="2"/>
  <c r="T14" i="2"/>
  <c r="U14" i="2" s="1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S16" i="2"/>
  <c r="T16" i="2"/>
  <c r="U16" i="2" s="1"/>
  <c r="V16" i="2"/>
  <c r="X16" i="2"/>
  <c r="Y16" i="2"/>
  <c r="Z16" i="2"/>
  <c r="AA16" i="2"/>
  <c r="N17" i="2"/>
  <c r="O17" i="2"/>
  <c r="R17" i="2" s="1"/>
  <c r="P17" i="2"/>
  <c r="Q17" i="2"/>
  <c r="S17" i="2"/>
  <c r="T17" i="2"/>
  <c r="U17" i="2" s="1"/>
  <c r="X17" i="2"/>
  <c r="Y17" i="2"/>
  <c r="Z17" i="2"/>
  <c r="AA17" i="2"/>
  <c r="N18" i="2"/>
  <c r="O18" i="2"/>
  <c r="R18" i="2" s="1"/>
  <c r="P18" i="2"/>
  <c r="Q18" i="2"/>
  <c r="S18" i="2"/>
  <c r="T18" i="2"/>
  <c r="U18" i="2" s="1"/>
  <c r="X18" i="2"/>
  <c r="Y18" i="2"/>
  <c r="Z18" i="2"/>
  <c r="AA18" i="2"/>
  <c r="N19" i="2"/>
  <c r="O19" i="2"/>
  <c r="R19" i="2" s="1"/>
  <c r="P19" i="2"/>
  <c r="Q19" i="2"/>
  <c r="S19" i="2"/>
  <c r="T19" i="2"/>
  <c r="U19" i="2" s="1"/>
  <c r="X19" i="2"/>
  <c r="Y19" i="2"/>
  <c r="Z19" i="2"/>
  <c r="AA19" i="2"/>
  <c r="N20" i="2"/>
  <c r="O20" i="2"/>
  <c r="R20" i="2" s="1"/>
  <c r="P20" i="2"/>
  <c r="Q20" i="2"/>
  <c r="S20" i="2"/>
  <c r="T20" i="2"/>
  <c r="U20" i="2" s="1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S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S25" i="2"/>
  <c r="T25" i="2"/>
  <c r="U25" i="2" s="1"/>
  <c r="X25" i="2"/>
  <c r="Y25" i="2"/>
  <c r="Z25" i="2"/>
  <c r="AA25" i="2"/>
  <c r="N26" i="2"/>
  <c r="O26" i="2"/>
  <c r="R26" i="2" s="1"/>
  <c r="P26" i="2"/>
  <c r="Q26" i="2"/>
  <c r="S26" i="2"/>
  <c r="T26" i="2"/>
  <c r="U26" i="2" s="1"/>
  <c r="X26" i="2"/>
  <c r="Y26" i="2"/>
  <c r="Z26" i="2"/>
  <c r="AA26" i="2"/>
  <c r="N27" i="2"/>
  <c r="O27" i="2"/>
  <c r="R27" i="2" s="1"/>
  <c r="P27" i="2"/>
  <c r="Q27" i="2"/>
  <c r="S27" i="2"/>
  <c r="T27" i="2"/>
  <c r="U27" i="2" s="1"/>
  <c r="W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T29" i="2"/>
  <c r="U29" i="2" s="1"/>
  <c r="V29" i="2"/>
  <c r="X29" i="2"/>
  <c r="Y29" i="2"/>
  <c r="Z29" i="2"/>
  <c r="AA29" i="2"/>
  <c r="N30" i="2"/>
  <c r="O30" i="2"/>
  <c r="R30" i="2" s="1"/>
  <c r="P30" i="2"/>
  <c r="Q30" i="2"/>
  <c r="S30" i="2"/>
  <c r="T30" i="2"/>
  <c r="U30" i="2" s="1"/>
  <c r="V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V32" i="2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S35" i="2"/>
  <c r="T35" i="2"/>
  <c r="U35" i="2" s="1"/>
  <c r="W35" i="2"/>
  <c r="X35" i="2"/>
  <c r="Y35" i="2"/>
  <c r="Z35" i="2"/>
  <c r="AA35" i="2"/>
  <c r="N36" i="2"/>
  <c r="O36" i="2"/>
  <c r="R36" i="2" s="1"/>
  <c r="P36" i="2"/>
  <c r="Q36" i="2"/>
  <c r="S36" i="2"/>
  <c r="X36" i="2"/>
  <c r="Y36" i="2"/>
  <c r="Z36" i="2"/>
  <c r="AA36" i="2"/>
  <c r="N37" i="2"/>
  <c r="O37" i="2"/>
  <c r="R37" i="2" s="1"/>
  <c r="P37" i="2"/>
  <c r="Q37" i="2"/>
  <c r="X37" i="2"/>
  <c r="Y37" i="2"/>
  <c r="Z37" i="2"/>
  <c r="AA37" i="2"/>
  <c r="N38" i="2"/>
  <c r="O38" i="2"/>
  <c r="R38" i="2" s="1"/>
  <c r="P38" i="2"/>
  <c r="Q38" i="2"/>
  <c r="X38" i="2"/>
  <c r="Y38" i="2"/>
  <c r="Z38" i="2"/>
  <c r="AA38" i="2"/>
  <c r="N39" i="2"/>
  <c r="O39" i="2"/>
  <c r="P39" i="2"/>
  <c r="Q39" i="2"/>
  <c r="R39" i="2"/>
  <c r="S39" i="2"/>
  <c r="T39" i="2"/>
  <c r="U39" i="2" s="1"/>
  <c r="X39" i="2"/>
  <c r="Y39" i="2"/>
  <c r="Z39" i="2"/>
  <c r="AA39" i="2"/>
  <c r="N40" i="2"/>
  <c r="O40" i="2"/>
  <c r="R40" i="2" s="1"/>
  <c r="P40" i="2"/>
  <c r="Q40" i="2"/>
  <c r="S40" i="2"/>
  <c r="T40" i="2"/>
  <c r="U40" i="2" s="1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R43" i="2" s="1"/>
  <c r="P43" i="2"/>
  <c r="Q43" i="2"/>
  <c r="S43" i="2"/>
  <c r="X43" i="2"/>
  <c r="Y43" i="2"/>
  <c r="Z43" i="2"/>
  <c r="AA43" i="2"/>
  <c r="N44" i="2"/>
  <c r="O44" i="2"/>
  <c r="R44" i="2" s="1"/>
  <c r="P44" i="2"/>
  <c r="Q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P46" i="2"/>
  <c r="Q46" i="2"/>
  <c r="R46" i="2"/>
  <c r="S46" i="2"/>
  <c r="T46" i="2"/>
  <c r="U46" i="2" s="1"/>
  <c r="V46" i="2"/>
  <c r="X46" i="2"/>
  <c r="Y46" i="2"/>
  <c r="Z46" i="2"/>
  <c r="AA46" i="2"/>
  <c r="N47" i="2"/>
  <c r="O47" i="2"/>
  <c r="R47" i="2" s="1"/>
  <c r="P47" i="2"/>
  <c r="Q47" i="2"/>
  <c r="S47" i="2"/>
  <c r="T47" i="2"/>
  <c r="U47" i="2" s="1"/>
  <c r="W47" i="2"/>
  <c r="X47" i="2"/>
  <c r="Y47" i="2"/>
  <c r="Z47" i="2"/>
  <c r="AA47" i="2"/>
  <c r="N48" i="2"/>
  <c r="O48" i="2"/>
  <c r="R48" i="2" s="1"/>
  <c r="P48" i="2"/>
  <c r="Q48" i="2"/>
  <c r="S48" i="2"/>
  <c r="T48" i="2"/>
  <c r="U48" i="2" s="1"/>
  <c r="W48" i="2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S50" i="2"/>
  <c r="T50" i="2"/>
  <c r="U50" i="2" s="1"/>
  <c r="W50" i="2"/>
  <c r="X50" i="2"/>
  <c r="Y50" i="2"/>
  <c r="Z50" i="2"/>
  <c r="AA50" i="2"/>
  <c r="N51" i="2"/>
  <c r="O51" i="2"/>
  <c r="R51" i="2" s="1"/>
  <c r="P51" i="2"/>
  <c r="Q51" i="2"/>
  <c r="S51" i="2"/>
  <c r="X51" i="2"/>
  <c r="Y51" i="2"/>
  <c r="Z51" i="2"/>
  <c r="AA51" i="2"/>
  <c r="N52" i="2"/>
  <c r="O52" i="2"/>
  <c r="R52" i="2" s="1"/>
  <c r="P52" i="2"/>
  <c r="Q52" i="2"/>
  <c r="S52" i="2"/>
  <c r="T52" i="2"/>
  <c r="U52" i="2" s="1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S54" i="2"/>
  <c r="T54" i="2"/>
  <c r="U54" i="2" s="1"/>
  <c r="W54" i="2"/>
  <c r="X54" i="2"/>
  <c r="Y54" i="2"/>
  <c r="Z54" i="2"/>
  <c r="AA54" i="2"/>
  <c r="N55" i="2"/>
  <c r="O55" i="2"/>
  <c r="R55" i="2" s="1"/>
  <c r="P55" i="2"/>
  <c r="Q55" i="2"/>
  <c r="S55" i="2"/>
  <c r="T55" i="2"/>
  <c r="U55" i="2" s="1"/>
  <c r="X55" i="2"/>
  <c r="Y55" i="2"/>
  <c r="Z55" i="2"/>
  <c r="AA55" i="2"/>
  <c r="N56" i="2"/>
  <c r="O56" i="2"/>
  <c r="R56" i="2" s="1"/>
  <c r="P56" i="2"/>
  <c r="Q56" i="2"/>
  <c r="S56" i="2"/>
  <c r="T56" i="2"/>
  <c r="U56" i="2" s="1"/>
  <c r="V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P58" i="2"/>
  <c r="Q58" i="2"/>
  <c r="R58" i="2"/>
  <c r="S58" i="2"/>
  <c r="T58" i="2"/>
  <c r="U58" i="2" s="1"/>
  <c r="X58" i="2"/>
  <c r="Y58" i="2"/>
  <c r="Z58" i="2"/>
  <c r="AA58" i="2"/>
  <c r="N59" i="2"/>
  <c r="O59" i="2"/>
  <c r="R59" i="2" s="1"/>
  <c r="P59" i="2"/>
  <c r="Q59" i="2"/>
  <c r="S59" i="2"/>
  <c r="T59" i="2"/>
  <c r="U59" i="2" s="1"/>
  <c r="X59" i="2"/>
  <c r="Y59" i="2"/>
  <c r="Z59" i="2"/>
  <c r="AA59" i="2"/>
  <c r="N60" i="2"/>
  <c r="O60" i="2"/>
  <c r="R60" i="2" s="1"/>
  <c r="P60" i="2"/>
  <c r="Q60" i="2"/>
  <c r="S60" i="2"/>
  <c r="T60" i="2"/>
  <c r="U60" i="2" s="1"/>
  <c r="W60" i="2"/>
  <c r="X60" i="2"/>
  <c r="Y60" i="2"/>
  <c r="Z60" i="2"/>
  <c r="AA60" i="2"/>
  <c r="N61" i="2"/>
  <c r="O61" i="2"/>
  <c r="R61" i="2" s="1"/>
  <c r="P61" i="2"/>
  <c r="Q61" i="2"/>
  <c r="S61" i="2"/>
  <c r="T61" i="2"/>
  <c r="U61" i="2" s="1"/>
  <c r="V61" i="2"/>
  <c r="X61" i="2"/>
  <c r="Y61" i="2"/>
  <c r="Z61" i="2"/>
  <c r="AA61" i="2"/>
  <c r="N62" i="2"/>
  <c r="O62" i="2"/>
  <c r="R62" i="2" s="1"/>
  <c r="P62" i="2"/>
  <c r="Q62" i="2"/>
  <c r="S62" i="2"/>
  <c r="T62" i="2"/>
  <c r="U62" i="2" s="1"/>
  <c r="X62" i="2"/>
  <c r="Y62" i="2"/>
  <c r="Z62" i="2"/>
  <c r="AA62" i="2"/>
  <c r="N63" i="2"/>
  <c r="O63" i="2"/>
  <c r="R63" i="2" s="1"/>
  <c r="P63" i="2"/>
  <c r="Q63" i="2"/>
  <c r="S63" i="2"/>
  <c r="T63" i="2"/>
  <c r="U63" i="2" s="1"/>
  <c r="X63" i="2"/>
  <c r="Y63" i="2"/>
  <c r="Z63" i="2"/>
  <c r="AA63" i="2"/>
  <c r="N64" i="2"/>
  <c r="O64" i="2"/>
  <c r="R64" i="2" s="1"/>
  <c r="P64" i="2"/>
  <c r="Q64" i="2"/>
  <c r="S64" i="2"/>
  <c r="T64" i="2"/>
  <c r="U64" i="2" s="1"/>
  <c r="X64" i="2"/>
  <c r="Y64" i="2"/>
  <c r="Z64" i="2"/>
  <c r="AA64" i="2"/>
  <c r="N65" i="2"/>
  <c r="O65" i="2"/>
  <c r="R65" i="2" s="1"/>
  <c r="P65" i="2"/>
  <c r="Q65" i="2"/>
  <c r="S65" i="2"/>
  <c r="T65" i="2"/>
  <c r="U65" i="2" s="1"/>
  <c r="X65" i="2"/>
  <c r="Y65" i="2"/>
  <c r="Z65" i="2"/>
  <c r="AA65" i="2"/>
  <c r="N66" i="2"/>
  <c r="O66" i="2"/>
  <c r="R66" i="2" s="1"/>
  <c r="P66" i="2"/>
  <c r="Q66" i="2"/>
  <c r="S66" i="2"/>
  <c r="T66" i="2"/>
  <c r="U66" i="2" s="1"/>
  <c r="X66" i="2"/>
  <c r="Y66" i="2"/>
  <c r="Z66" i="2"/>
  <c r="AA66" i="2"/>
  <c r="N67" i="2"/>
  <c r="O67" i="2"/>
  <c r="P67" i="2"/>
  <c r="Q67" i="2"/>
  <c r="R67" i="2"/>
  <c r="S67" i="2"/>
  <c r="T67" i="2"/>
  <c r="U67" i="2" s="1"/>
  <c r="X67" i="2"/>
  <c r="Y67" i="2"/>
  <c r="Z67" i="2"/>
  <c r="AA67" i="2"/>
  <c r="N68" i="2"/>
  <c r="O68" i="2"/>
  <c r="R68" i="2" s="1"/>
  <c r="P68" i="2"/>
  <c r="Q68" i="2"/>
  <c r="S68" i="2"/>
  <c r="T68" i="2"/>
  <c r="U68" i="2" s="1"/>
  <c r="X68" i="2"/>
  <c r="Y68" i="2"/>
  <c r="Z68" i="2"/>
  <c r="AA68" i="2"/>
  <c r="N69" i="2"/>
  <c r="O69" i="2"/>
  <c r="R69" i="2" s="1"/>
  <c r="P69" i="2"/>
  <c r="Q69" i="2"/>
  <c r="S69" i="2"/>
  <c r="T69" i="2"/>
  <c r="U69" i="2" s="1"/>
  <c r="W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R72" i="2" s="1"/>
  <c r="P72" i="2"/>
  <c r="Q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S76" i="2"/>
  <c r="T76" i="2"/>
  <c r="U76" i="2" s="1"/>
  <c r="X76" i="2"/>
  <c r="Y76" i="2"/>
  <c r="Z76" i="2"/>
  <c r="AA76" i="2"/>
  <c r="N77" i="2"/>
  <c r="O77" i="2"/>
  <c r="R77" i="2" s="1"/>
  <c r="P77" i="2"/>
  <c r="Q77" i="2"/>
  <c r="S77" i="2"/>
  <c r="T77" i="2"/>
  <c r="U77" i="2" s="1"/>
  <c r="V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T81" i="2"/>
  <c r="U81" i="2" s="1"/>
  <c r="V81" i="2"/>
  <c r="W81" i="2"/>
  <c r="X81" i="2"/>
  <c r="Y81" i="2"/>
  <c r="Z81" i="2"/>
  <c r="AA81" i="2"/>
  <c r="N82" i="2"/>
  <c r="O82" i="2"/>
  <c r="R82" i="2" s="1"/>
  <c r="P82" i="2"/>
  <c r="Q82" i="2"/>
  <c r="S82" i="2"/>
  <c r="T82" i="2"/>
  <c r="U82" i="2" s="1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X86" i="2"/>
  <c r="Y86" i="2"/>
  <c r="Z86" i="2"/>
  <c r="AA86" i="2"/>
  <c r="N87" i="2"/>
  <c r="O87" i="2"/>
  <c r="R87" i="2" s="1"/>
  <c r="P87" i="2"/>
  <c r="Q87" i="2"/>
  <c r="S87" i="2"/>
  <c r="T87" i="2"/>
  <c r="U87" i="2" s="1"/>
  <c r="W87" i="2"/>
  <c r="X87" i="2"/>
  <c r="Y87" i="2"/>
  <c r="Z87" i="2"/>
  <c r="AA87" i="2"/>
  <c r="N88" i="2"/>
  <c r="O88" i="2"/>
  <c r="R88" i="2" s="1"/>
  <c r="P88" i="2"/>
  <c r="Q88" i="2"/>
  <c r="S88" i="2"/>
  <c r="T88" i="2"/>
  <c r="U88" i="2" s="1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S90" i="2"/>
  <c r="T90" i="2"/>
  <c r="U90" i="2" s="1"/>
  <c r="X90" i="2"/>
  <c r="Y90" i="2"/>
  <c r="Z90" i="2"/>
  <c r="AA90" i="2"/>
  <c r="N91" i="2"/>
  <c r="O91" i="2"/>
  <c r="R91" i="2" s="1"/>
  <c r="P91" i="2"/>
  <c r="Q91" i="2"/>
  <c r="S91" i="2"/>
  <c r="X91" i="2"/>
  <c r="Y91" i="2"/>
  <c r="Z91" i="2"/>
  <c r="AA91" i="2"/>
  <c r="N92" i="2"/>
  <c r="O92" i="2"/>
  <c r="R92" i="2" s="1"/>
  <c r="P92" i="2"/>
  <c r="Q92" i="2"/>
  <c r="S92" i="2"/>
  <c r="T92" i="2"/>
  <c r="U92" i="2" s="1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T94" i="2"/>
  <c r="U94" i="2" s="1"/>
  <c r="X94" i="2"/>
  <c r="Y94" i="2"/>
  <c r="Z94" i="2"/>
  <c r="AA94" i="2"/>
  <c r="N95" i="2"/>
  <c r="O95" i="2"/>
  <c r="R95" i="2" s="1"/>
  <c r="P95" i="2"/>
  <c r="Q95" i="2"/>
  <c r="X95" i="2"/>
  <c r="Y95" i="2"/>
  <c r="Z95" i="2"/>
  <c r="AA95" i="2"/>
  <c r="N96" i="2"/>
  <c r="O96" i="2"/>
  <c r="R96" i="2" s="1"/>
  <c r="P96" i="2"/>
  <c r="Q96" i="2"/>
  <c r="S96" i="2"/>
  <c r="T96" i="2"/>
  <c r="U96" i="2" s="1"/>
  <c r="X96" i="2"/>
  <c r="Y96" i="2"/>
  <c r="Z96" i="2"/>
  <c r="AA96" i="2"/>
  <c r="N97" i="2"/>
  <c r="O97" i="2"/>
  <c r="R97" i="2" s="1"/>
  <c r="P97" i="2"/>
  <c r="Q97" i="2"/>
  <c r="S97" i="2"/>
  <c r="T97" i="2"/>
  <c r="U97" i="2" s="1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T99" i="2"/>
  <c r="U99" i="2" s="1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X100" i="2"/>
  <c r="Y100" i="2"/>
  <c r="Z100" i="2"/>
  <c r="AA100" i="2"/>
  <c r="N101" i="2"/>
  <c r="O101" i="2"/>
  <c r="R101" i="2" s="1"/>
  <c r="P101" i="2"/>
  <c r="Q101" i="2"/>
  <c r="S101" i="2"/>
  <c r="T101" i="2"/>
  <c r="U101" i="2" s="1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V102" i="2"/>
  <c r="W102" i="2"/>
  <c r="X102" i="2"/>
  <c r="Y102" i="2"/>
  <c r="Z102" i="2"/>
  <c r="AA102" i="2"/>
  <c r="N103" i="2"/>
  <c r="O103" i="2"/>
  <c r="R103" i="2" s="1"/>
  <c r="P103" i="2"/>
  <c r="Q103" i="2"/>
  <c r="X103" i="2"/>
  <c r="Y103" i="2"/>
  <c r="Z103" i="2"/>
  <c r="AA103" i="2"/>
  <c r="N104" i="2"/>
  <c r="O104" i="2"/>
  <c r="P104" i="2"/>
  <c r="Q104" i="2"/>
  <c r="R104" i="2"/>
  <c r="S104" i="2"/>
  <c r="T104" i="2"/>
  <c r="U104" i="2" s="1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R106" i="2" s="1"/>
  <c r="P106" i="2"/>
  <c r="Q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T107" i="2"/>
  <c r="U107" i="2" s="1"/>
  <c r="X107" i="2"/>
  <c r="Y107" i="2"/>
  <c r="Z107" i="2"/>
  <c r="AA107" i="2"/>
  <c r="N108" i="2"/>
  <c r="O108" i="2"/>
  <c r="R108" i="2" s="1"/>
  <c r="P108" i="2"/>
  <c r="Q108" i="2"/>
  <c r="S108" i="2"/>
  <c r="T108" i="2"/>
  <c r="U108" i="2" s="1"/>
  <c r="X108" i="2"/>
  <c r="Y108" i="2"/>
  <c r="Z108" i="2"/>
  <c r="AA108" i="2"/>
  <c r="N109" i="2"/>
  <c r="O109" i="2"/>
  <c r="R109" i="2" s="1"/>
  <c r="P109" i="2"/>
  <c r="Q109" i="2"/>
  <c r="S109" i="2"/>
  <c r="T109" i="2"/>
  <c r="U109" i="2" s="1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S114" i="2"/>
  <c r="T114" i="2"/>
  <c r="U114" i="2" s="1"/>
  <c r="X114" i="2"/>
  <c r="Y114" i="2"/>
  <c r="Z114" i="2"/>
  <c r="AA114" i="2"/>
  <c r="N115" i="2"/>
  <c r="O115" i="2"/>
  <c r="R115" i="2" s="1"/>
  <c r="P115" i="2"/>
  <c r="Q115" i="2"/>
  <c r="S115" i="2"/>
  <c r="T115" i="2"/>
  <c r="U115" i="2" s="1"/>
  <c r="V115" i="2"/>
  <c r="W115" i="2"/>
  <c r="X115" i="2"/>
  <c r="Y115" i="2"/>
  <c r="Z115" i="2"/>
  <c r="AA115" i="2"/>
  <c r="N116" i="2"/>
  <c r="O116" i="2"/>
  <c r="R116" i="2" s="1"/>
  <c r="P116" i="2"/>
  <c r="Q116" i="2"/>
  <c r="S116" i="2"/>
  <c r="X116" i="2"/>
  <c r="Y116" i="2"/>
  <c r="Z116" i="2"/>
  <c r="AA116" i="2"/>
  <c r="N117" i="2"/>
  <c r="O117" i="2"/>
  <c r="R117" i="2" s="1"/>
  <c r="P117" i="2"/>
  <c r="Q117" i="2"/>
  <c r="X117" i="2"/>
  <c r="Y117" i="2"/>
  <c r="Z117" i="2"/>
  <c r="AA117" i="2"/>
  <c r="N118" i="2"/>
  <c r="O118" i="2"/>
  <c r="R118" i="2" s="1"/>
  <c r="P118" i="2"/>
  <c r="Q118" i="2"/>
  <c r="S118" i="2"/>
  <c r="T118" i="2"/>
  <c r="U118" i="2" s="1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T120" i="2"/>
  <c r="U120" i="2" s="1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S123" i="2"/>
  <c r="X123" i="2"/>
  <c r="Y123" i="2"/>
  <c r="Z123" i="2"/>
  <c r="AA123" i="2"/>
  <c r="N124" i="2"/>
  <c r="O124" i="2"/>
  <c r="R124" i="2" s="1"/>
  <c r="P124" i="2"/>
  <c r="Q124" i="2"/>
  <c r="S124" i="2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V125" i="2"/>
  <c r="X125" i="2"/>
  <c r="Y125" i="2"/>
  <c r="Z125" i="2"/>
  <c r="AA125" i="2"/>
  <c r="N126" i="2"/>
  <c r="O126" i="2"/>
  <c r="P126" i="2"/>
  <c r="Q126" i="2"/>
  <c r="R126" i="2"/>
  <c r="S126" i="2"/>
  <c r="T126" i="2"/>
  <c r="U126" i="2" s="1"/>
  <c r="W126" i="2"/>
  <c r="X126" i="2"/>
  <c r="Y126" i="2"/>
  <c r="Z126" i="2"/>
  <c r="AA126" i="2"/>
  <c r="N127" i="2"/>
  <c r="O127" i="2"/>
  <c r="R127" i="2" s="1"/>
  <c r="P127" i="2"/>
  <c r="Q127" i="2"/>
  <c r="X127" i="2"/>
  <c r="Y127" i="2"/>
  <c r="Z127" i="2"/>
  <c r="AA127" i="2"/>
  <c r="N128" i="2"/>
  <c r="O128" i="2"/>
  <c r="R128" i="2" s="1"/>
  <c r="P128" i="2"/>
  <c r="Q128" i="2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S130" i="2"/>
  <c r="T130" i="2"/>
  <c r="U130" i="2" s="1"/>
  <c r="X130" i="2"/>
  <c r="Y130" i="2"/>
  <c r="Z130" i="2"/>
  <c r="AA130" i="2"/>
  <c r="N131" i="2"/>
  <c r="O131" i="2"/>
  <c r="R131" i="2" s="1"/>
  <c r="P131" i="2"/>
  <c r="Q131" i="2"/>
  <c r="S131" i="2"/>
  <c r="T131" i="2"/>
  <c r="U131" i="2" s="1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T133" i="2"/>
  <c r="U133" i="2" s="1"/>
  <c r="X133" i="2"/>
  <c r="Y133" i="2"/>
  <c r="Z133" i="2"/>
  <c r="AA133" i="2"/>
  <c r="N134" i="2"/>
  <c r="O134" i="2"/>
  <c r="R134" i="2" s="1"/>
  <c r="P134" i="2"/>
  <c r="Q134" i="2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P136" i="2"/>
  <c r="Q136" i="2"/>
  <c r="R136" i="2"/>
  <c r="S136" i="2"/>
  <c r="T136" i="2"/>
  <c r="U136" i="2" s="1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S140" i="2"/>
  <c r="T140" i="2"/>
  <c r="U140" i="2" s="1"/>
  <c r="X140" i="2"/>
  <c r="Y140" i="2"/>
  <c r="Z140" i="2"/>
  <c r="AA140" i="2"/>
  <c r="N141" i="2"/>
  <c r="O141" i="2"/>
  <c r="R141" i="2" s="1"/>
  <c r="P141" i="2"/>
  <c r="Q141" i="2"/>
  <c r="S141" i="2"/>
  <c r="X141" i="2"/>
  <c r="Y141" i="2"/>
  <c r="Z141" i="2"/>
  <c r="AA141" i="2"/>
  <c r="N142" i="2"/>
  <c r="O142" i="2"/>
  <c r="R142" i="2" s="1"/>
  <c r="P142" i="2"/>
  <c r="Q142" i="2"/>
  <c r="S142" i="2"/>
  <c r="T142" i="2"/>
  <c r="U142" i="2" s="1"/>
  <c r="V142" i="2"/>
  <c r="W142" i="2"/>
  <c r="X142" i="2"/>
  <c r="Y142" i="2"/>
  <c r="Z142" i="2"/>
  <c r="AA142" i="2"/>
  <c r="N143" i="2"/>
  <c r="O143" i="2"/>
  <c r="R143" i="2" s="1"/>
  <c r="P143" i="2"/>
  <c r="Q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X147" i="2"/>
  <c r="Y147" i="2"/>
  <c r="Z147" i="2"/>
  <c r="AA147" i="2"/>
  <c r="N148" i="2"/>
  <c r="O148" i="2"/>
  <c r="R148" i="2" s="1"/>
  <c r="P148" i="2"/>
  <c r="Q148" i="2"/>
  <c r="T148" i="2"/>
  <c r="U148" i="2" s="1"/>
  <c r="X148" i="2"/>
  <c r="Y148" i="2"/>
  <c r="Z148" i="2"/>
  <c r="AA148" i="2"/>
  <c r="N149" i="2"/>
  <c r="O149" i="2"/>
  <c r="R149" i="2" s="1"/>
  <c r="P149" i="2"/>
  <c r="Q149" i="2"/>
  <c r="S149" i="2"/>
  <c r="T149" i="2"/>
  <c r="U149" i="2" s="1"/>
  <c r="X149" i="2"/>
  <c r="Y149" i="2"/>
  <c r="Z149" i="2"/>
  <c r="AA149" i="2"/>
  <c r="N150" i="2"/>
  <c r="O150" i="2"/>
  <c r="R150" i="2" s="1"/>
  <c r="P150" i="2"/>
  <c r="Q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V152" i="2"/>
  <c r="W152" i="2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R154" i="2" s="1"/>
  <c r="P154" i="2"/>
  <c r="Q154" i="2"/>
  <c r="S154" i="2"/>
  <c r="T154" i="2"/>
  <c r="U154" i="2" s="1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X158" i="2"/>
  <c r="Y158" i="2"/>
  <c r="Z158" i="2"/>
  <c r="AA158" i="2"/>
  <c r="N159" i="2"/>
  <c r="O159" i="2"/>
  <c r="R159" i="2" s="1"/>
  <c r="P159" i="2"/>
  <c r="Q159" i="2"/>
  <c r="X159" i="2"/>
  <c r="Y159" i="2"/>
  <c r="Z159" i="2"/>
  <c r="AA159" i="2"/>
  <c r="N160" i="2"/>
  <c r="O160" i="2"/>
  <c r="R160" i="2" s="1"/>
  <c r="P160" i="2"/>
  <c r="Q160" i="2"/>
  <c r="X160" i="2"/>
  <c r="Y160" i="2"/>
  <c r="Z160" i="2"/>
  <c r="AA160" i="2"/>
  <c r="N161" i="2"/>
  <c r="O161" i="2"/>
  <c r="R161" i="2" s="1"/>
  <c r="P161" i="2"/>
  <c r="Q161" i="2"/>
  <c r="S161" i="2"/>
  <c r="T161" i="2"/>
  <c r="U161" i="2" s="1"/>
  <c r="V161" i="2"/>
  <c r="X161" i="2"/>
  <c r="Y161" i="2"/>
  <c r="Z161" i="2"/>
  <c r="AA161" i="2"/>
  <c r="N162" i="2"/>
  <c r="O162" i="2"/>
  <c r="R162" i="2" s="1"/>
  <c r="P162" i="2"/>
  <c r="Q162" i="2"/>
  <c r="S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X163" i="2"/>
  <c r="Y163" i="2"/>
  <c r="Z163" i="2"/>
  <c r="AA163" i="2"/>
  <c r="N164" i="2"/>
  <c r="O164" i="2"/>
  <c r="R164" i="2" s="1"/>
  <c r="P164" i="2"/>
  <c r="Q164" i="2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W167" i="2"/>
  <c r="X167" i="2"/>
  <c r="Y167" i="2"/>
  <c r="Z167" i="2"/>
  <c r="AA167" i="2"/>
  <c r="N168" i="2"/>
  <c r="O168" i="2"/>
  <c r="R168" i="2" s="1"/>
  <c r="P168" i="2"/>
  <c r="Q168" i="2"/>
  <c r="S168" i="2"/>
  <c r="T168" i="2"/>
  <c r="U168" i="2" s="1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V170" i="2"/>
  <c r="W170" i="2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R172" i="2" s="1"/>
  <c r="P172" i="2"/>
  <c r="Q172" i="2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W174" i="2"/>
  <c r="X174" i="2"/>
  <c r="Y174" i="2"/>
  <c r="Z174" i="2"/>
  <c r="AA174" i="2"/>
  <c r="N175" i="2"/>
  <c r="O175" i="2"/>
  <c r="R175" i="2" s="1"/>
  <c r="P175" i="2"/>
  <c r="Q175" i="2"/>
  <c r="S175" i="2"/>
  <c r="X175" i="2"/>
  <c r="Y175" i="2"/>
  <c r="Z175" i="2"/>
  <c r="AA175" i="2"/>
  <c r="N176" i="2"/>
  <c r="O176" i="2"/>
  <c r="R176" i="2" s="1"/>
  <c r="P176" i="2"/>
  <c r="Q176" i="2"/>
  <c r="S176" i="2"/>
  <c r="X176" i="2"/>
  <c r="Y176" i="2"/>
  <c r="Z176" i="2"/>
  <c r="AA176" i="2"/>
  <c r="N177" i="2"/>
  <c r="O177" i="2"/>
  <c r="R177" i="2" s="1"/>
  <c r="P177" i="2"/>
  <c r="Q177" i="2"/>
  <c r="X177" i="2"/>
  <c r="Y177" i="2"/>
  <c r="Z177" i="2"/>
  <c r="AA177" i="2"/>
  <c r="N178" i="2"/>
  <c r="O178" i="2"/>
  <c r="R178" i="2" s="1"/>
  <c r="P178" i="2"/>
  <c r="Q178" i="2"/>
  <c r="S178" i="2"/>
  <c r="T178" i="2"/>
  <c r="U178" i="2" s="1"/>
  <c r="V178" i="2"/>
  <c r="W178" i="2"/>
  <c r="X178" i="2"/>
  <c r="Y178" i="2"/>
  <c r="Z178" i="2"/>
  <c r="AA178" i="2"/>
  <c r="N179" i="2"/>
  <c r="O179" i="2"/>
  <c r="R179" i="2" s="1"/>
  <c r="P179" i="2"/>
  <c r="Q179" i="2"/>
  <c r="S179" i="2"/>
  <c r="T179" i="2"/>
  <c r="U179" i="2" s="1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W183" i="2"/>
  <c r="X183" i="2"/>
  <c r="Y183" i="2"/>
  <c r="Z183" i="2"/>
  <c r="AA183" i="2"/>
  <c r="N184" i="2"/>
  <c r="O184" i="2"/>
  <c r="R184" i="2" s="1"/>
  <c r="P184" i="2"/>
  <c r="Q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S185" i="2"/>
  <c r="T185" i="2"/>
  <c r="U185" i="2" s="1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S187" i="2"/>
  <c r="T187" i="2"/>
  <c r="U187" i="2" s="1"/>
  <c r="X187" i="2"/>
  <c r="Y187" i="2"/>
  <c r="Z187" i="2"/>
  <c r="AA187" i="2"/>
  <c r="N188" i="2"/>
  <c r="O188" i="2"/>
  <c r="R188" i="2" s="1"/>
  <c r="P188" i="2"/>
  <c r="Q188" i="2"/>
  <c r="S188" i="2"/>
  <c r="T188" i="2"/>
  <c r="U188" i="2" s="1"/>
  <c r="W188" i="2"/>
  <c r="X188" i="2"/>
  <c r="Y188" i="2"/>
  <c r="Z188" i="2"/>
  <c r="AA188" i="2"/>
  <c r="N189" i="2"/>
  <c r="O189" i="2"/>
  <c r="R189" i="2" s="1"/>
  <c r="P189" i="2"/>
  <c r="Q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V190" i="2"/>
  <c r="X190" i="2"/>
  <c r="Y190" i="2"/>
  <c r="Z190" i="2"/>
  <c r="AA190" i="2"/>
  <c r="N191" i="2"/>
  <c r="O191" i="2"/>
  <c r="R191" i="2" s="1"/>
  <c r="P191" i="2"/>
  <c r="Q191" i="2"/>
  <c r="S191" i="2"/>
  <c r="T191" i="2"/>
  <c r="U191" i="2" s="1"/>
  <c r="W191" i="2"/>
  <c r="X191" i="2"/>
  <c r="Y191" i="2"/>
  <c r="Z191" i="2"/>
  <c r="AA191" i="2"/>
  <c r="N192" i="2"/>
  <c r="O192" i="2"/>
  <c r="R192" i="2" s="1"/>
  <c r="P192" i="2"/>
  <c r="Q192" i="2"/>
  <c r="S192" i="2"/>
  <c r="T192" i="2"/>
  <c r="U192" i="2" s="1"/>
  <c r="V192" i="2"/>
  <c r="W192" i="2"/>
  <c r="X192" i="2"/>
  <c r="Y192" i="2"/>
  <c r="Z192" i="2"/>
  <c r="AA192" i="2"/>
  <c r="N193" i="2"/>
  <c r="O193" i="2"/>
  <c r="R193" i="2" s="1"/>
  <c r="P193" i="2"/>
  <c r="Q193" i="2"/>
  <c r="X193" i="2"/>
  <c r="Y193" i="2"/>
  <c r="Z193" i="2"/>
  <c r="AA193" i="2"/>
  <c r="N194" i="2"/>
  <c r="O194" i="2"/>
  <c r="R194" i="2" s="1"/>
  <c r="P194" i="2"/>
  <c r="Q194" i="2"/>
  <c r="S194" i="2"/>
  <c r="T194" i="2"/>
  <c r="U194" i="2" s="1"/>
  <c r="X194" i="2"/>
  <c r="Y194" i="2"/>
  <c r="Z194" i="2"/>
  <c r="AA194" i="2"/>
  <c r="N195" i="2"/>
  <c r="O195" i="2"/>
  <c r="R195" i="2" s="1"/>
  <c r="P195" i="2"/>
  <c r="Q195" i="2"/>
  <c r="S195" i="2"/>
  <c r="T195" i="2"/>
  <c r="U195" i="2" s="1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V196" i="2"/>
  <c r="W196" i="2"/>
  <c r="X196" i="2"/>
  <c r="Y196" i="2"/>
  <c r="Z196" i="2"/>
  <c r="AA196" i="2"/>
  <c r="N197" i="2"/>
  <c r="O197" i="2"/>
  <c r="R197" i="2" s="1"/>
  <c r="P197" i="2"/>
  <c r="Q197" i="2"/>
  <c r="X197" i="2"/>
  <c r="Y197" i="2"/>
  <c r="Z197" i="2"/>
  <c r="AA197" i="2"/>
  <c r="N198" i="2"/>
  <c r="O198" i="2"/>
  <c r="R198" i="2" s="1"/>
  <c r="P198" i="2"/>
  <c r="Q198" i="2"/>
  <c r="X198" i="2"/>
  <c r="Y198" i="2"/>
  <c r="Z198" i="2"/>
  <c r="AA198" i="2"/>
  <c r="N199" i="2"/>
  <c r="O199" i="2"/>
  <c r="R199" i="2" s="1"/>
  <c r="P199" i="2"/>
  <c r="Q199" i="2"/>
  <c r="S199" i="2"/>
  <c r="X199" i="2"/>
  <c r="Y199" i="2"/>
  <c r="Z199" i="2"/>
  <c r="AA199" i="2"/>
  <c r="N200" i="2"/>
  <c r="O200" i="2"/>
  <c r="R200" i="2" s="1"/>
  <c r="P200" i="2"/>
  <c r="Q200" i="2"/>
  <c r="S200" i="2"/>
  <c r="T200" i="2"/>
  <c r="U200" i="2" s="1"/>
  <c r="W200" i="2"/>
  <c r="X200" i="2"/>
  <c r="Y200" i="2"/>
  <c r="Z200" i="2"/>
  <c r="AA200" i="2"/>
  <c r="N201" i="2"/>
  <c r="O201" i="2"/>
  <c r="R201" i="2" s="1"/>
  <c r="P201" i="2"/>
  <c r="Q201" i="2"/>
  <c r="S201" i="2"/>
  <c r="T201" i="2"/>
  <c r="U201" i="2" s="1"/>
  <c r="X201" i="2"/>
  <c r="Y201" i="2"/>
  <c r="Z201" i="2"/>
  <c r="AA201" i="2"/>
  <c r="N202" i="2"/>
  <c r="O202" i="2"/>
  <c r="R202" i="2" s="1"/>
  <c r="P202" i="2"/>
  <c r="Q202" i="2"/>
  <c r="S202" i="2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 s="1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X206" i="2"/>
  <c r="Y206" i="2"/>
  <c r="Z206" i="2"/>
  <c r="AA206" i="2"/>
  <c r="N207" i="2"/>
  <c r="O207" i="2"/>
  <c r="R207" i="2" s="1"/>
  <c r="P207" i="2"/>
  <c r="Q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 s="1"/>
  <c r="X208" i="2"/>
  <c r="Y208" i="2"/>
  <c r="Z208" i="2"/>
  <c r="AA208" i="2"/>
  <c r="N209" i="2"/>
  <c r="O209" i="2"/>
  <c r="R209" i="2" s="1"/>
  <c r="P209" i="2"/>
  <c r="Q209" i="2"/>
  <c r="S209" i="2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X215" i="2"/>
  <c r="Y215" i="2"/>
  <c r="Z215" i="2"/>
  <c r="AA215" i="2"/>
  <c r="N216" i="2"/>
  <c r="O216" i="2"/>
  <c r="R216" i="2" s="1"/>
  <c r="P216" i="2"/>
  <c r="Q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T217" i="2"/>
  <c r="U217" i="2" s="1"/>
  <c r="X217" i="2"/>
  <c r="Y217" i="2"/>
  <c r="Z217" i="2"/>
  <c r="AA217" i="2"/>
  <c r="N218" i="2"/>
  <c r="O218" i="2"/>
  <c r="R218" i="2" s="1"/>
  <c r="P218" i="2"/>
  <c r="Q218" i="2"/>
  <c r="S218" i="2"/>
  <c r="X218" i="2"/>
  <c r="Y218" i="2"/>
  <c r="Z218" i="2"/>
  <c r="AA218" i="2"/>
  <c r="N219" i="2"/>
  <c r="O219" i="2"/>
  <c r="R219" i="2" s="1"/>
  <c r="P219" i="2"/>
  <c r="Q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T221" i="2"/>
  <c r="U221" i="2" s="1"/>
  <c r="X221" i="2"/>
  <c r="Y221" i="2"/>
  <c r="Z221" i="2"/>
  <c r="AA221" i="2"/>
  <c r="N222" i="2"/>
  <c r="O222" i="2"/>
  <c r="R222" i="2" s="1"/>
  <c r="P222" i="2"/>
  <c r="Q222" i="2"/>
  <c r="S222" i="2"/>
  <c r="X222" i="2"/>
  <c r="Y222" i="2"/>
  <c r="Z222" i="2"/>
  <c r="AA222" i="2"/>
  <c r="N223" i="2"/>
  <c r="O223" i="2"/>
  <c r="R223" i="2" s="1"/>
  <c r="P223" i="2"/>
  <c r="Q223" i="2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X224" i="2"/>
  <c r="Y224" i="2"/>
  <c r="Z224" i="2"/>
  <c r="AA224" i="2"/>
  <c r="N225" i="2"/>
  <c r="O225" i="2"/>
  <c r="R225" i="2" s="1"/>
  <c r="P225" i="2"/>
  <c r="Q225" i="2"/>
  <c r="S225" i="2"/>
  <c r="T225" i="2"/>
  <c r="U225" i="2" s="1"/>
  <c r="W225" i="2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X229" i="2"/>
  <c r="Y229" i="2"/>
  <c r="Z229" i="2"/>
  <c r="AA229" i="2"/>
  <c r="N230" i="2"/>
  <c r="O230" i="2"/>
  <c r="R230" i="2" s="1"/>
  <c r="P230" i="2"/>
  <c r="Q230" i="2"/>
  <c r="S230" i="2"/>
  <c r="T230" i="2"/>
  <c r="U230" i="2" s="1"/>
  <c r="W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X232" i="2"/>
  <c r="Y232" i="2"/>
  <c r="Z232" i="2"/>
  <c r="AA232" i="2"/>
  <c r="N233" i="2"/>
  <c r="O233" i="2"/>
  <c r="R233" i="2" s="1"/>
  <c r="P233" i="2"/>
  <c r="Q233" i="2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X234" i="2"/>
  <c r="Y234" i="2"/>
  <c r="Z234" i="2"/>
  <c r="AA234" i="2"/>
  <c r="N235" i="2"/>
  <c r="O235" i="2"/>
  <c r="P235" i="2"/>
  <c r="Q235" i="2"/>
  <c r="R235" i="2"/>
  <c r="S235" i="2"/>
  <c r="T235" i="2"/>
  <c r="U235" i="2" s="1"/>
  <c r="X235" i="2"/>
  <c r="Y235" i="2"/>
  <c r="Z235" i="2"/>
  <c r="AA235" i="2"/>
  <c r="N236" i="2"/>
  <c r="O236" i="2"/>
  <c r="R236" i="2" s="1"/>
  <c r="P236" i="2"/>
  <c r="Q236" i="2"/>
  <c r="X236" i="2"/>
  <c r="Y236" i="2"/>
  <c r="Z236" i="2"/>
  <c r="AA236" i="2"/>
  <c r="N237" i="2"/>
  <c r="O237" i="2"/>
  <c r="R237" i="2" s="1"/>
  <c r="P237" i="2"/>
  <c r="Q237" i="2"/>
  <c r="S237" i="2"/>
  <c r="T237" i="2"/>
  <c r="U237" i="2" s="1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P239" i="2"/>
  <c r="Q239" i="2"/>
  <c r="R239" i="2"/>
  <c r="S239" i="2"/>
  <c r="T239" i="2"/>
  <c r="U239" i="2" s="1"/>
  <c r="V239" i="2"/>
  <c r="X239" i="2"/>
  <c r="Y239" i="2"/>
  <c r="Z239" i="2"/>
  <c r="AA239" i="2"/>
  <c r="N240" i="2"/>
  <c r="O240" i="2"/>
  <c r="R240" i="2" s="1"/>
  <c r="P240" i="2"/>
  <c r="Q240" i="2"/>
  <c r="V240" i="2"/>
  <c r="X240" i="2"/>
  <c r="Y240" i="2"/>
  <c r="Z240" i="2"/>
  <c r="AA240" i="2"/>
  <c r="N241" i="2"/>
  <c r="O241" i="2"/>
  <c r="R241" i="2" s="1"/>
  <c r="P241" i="2"/>
  <c r="Q241" i="2"/>
  <c r="S241" i="2"/>
  <c r="X241" i="2"/>
  <c r="Y241" i="2"/>
  <c r="Z241" i="2"/>
  <c r="AA241" i="2"/>
  <c r="N242" i="2"/>
  <c r="O242" i="2"/>
  <c r="R242" i="2" s="1"/>
  <c r="P242" i="2"/>
  <c r="Q242" i="2"/>
  <c r="X242" i="2"/>
  <c r="Y242" i="2"/>
  <c r="Z242" i="2"/>
  <c r="AA242" i="2"/>
  <c r="N243" i="2"/>
  <c r="O243" i="2"/>
  <c r="R243" i="2" s="1"/>
  <c r="P243" i="2"/>
  <c r="Q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/>
  <c r="X244" i="2"/>
  <c r="Y244" i="2"/>
  <c r="Z244" i="2"/>
  <c r="AA244" i="2"/>
  <c r="N245" i="2"/>
  <c r="O245" i="2"/>
  <c r="R245" i="2" s="1"/>
  <c r="P245" i="2"/>
  <c r="Q245" i="2"/>
  <c r="S245" i="2"/>
  <c r="T245" i="2"/>
  <c r="U245" i="2" s="1"/>
  <c r="V245" i="2"/>
  <c r="X245" i="2"/>
  <c r="Y245" i="2"/>
  <c r="Z245" i="2"/>
  <c r="AA245" i="2"/>
  <c r="N246" i="2"/>
  <c r="O246" i="2"/>
  <c r="R246" i="2" s="1"/>
  <c r="P246" i="2"/>
  <c r="Q246" i="2"/>
  <c r="S246" i="2"/>
  <c r="T246" i="2"/>
  <c r="U246" i="2" s="1"/>
  <c r="W246" i="2"/>
  <c r="X246" i="2"/>
  <c r="Y246" i="2"/>
  <c r="Z246" i="2"/>
  <c r="AA246" i="2"/>
  <c r="N247" i="2"/>
  <c r="O247" i="2"/>
  <c r="R247" i="2" s="1"/>
  <c r="P247" i="2"/>
  <c r="Q247" i="2"/>
  <c r="S247" i="2"/>
  <c r="T247" i="2"/>
  <c r="U247" i="2" s="1"/>
  <c r="X247" i="2"/>
  <c r="Y247" i="2"/>
  <c r="Z247" i="2"/>
  <c r="AA247" i="2"/>
  <c r="N248" i="2"/>
  <c r="O248" i="2"/>
  <c r="R248" i="2" s="1"/>
  <c r="P248" i="2"/>
  <c r="Q248" i="2"/>
  <c r="S248" i="2"/>
  <c r="T248" i="2"/>
  <c r="U248" i="2" s="1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P250" i="2"/>
  <c r="Q250" i="2"/>
  <c r="R250" i="2"/>
  <c r="S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R252" i="2" s="1"/>
  <c r="P252" i="2"/>
  <c r="Q252" i="2"/>
  <c r="X252" i="2"/>
  <c r="Y252" i="2"/>
  <c r="Z252" i="2"/>
  <c r="AA252" i="2"/>
  <c r="N253" i="2"/>
  <c r="O253" i="2"/>
  <c r="R253" i="2" s="1"/>
  <c r="P253" i="2"/>
  <c r="Q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X255" i="2"/>
  <c r="Y255" i="2"/>
  <c r="Z255" i="2"/>
  <c r="AA255" i="2"/>
  <c r="N256" i="2"/>
  <c r="O256" i="2"/>
  <c r="R256" i="2" s="1"/>
  <c r="P256" i="2"/>
  <c r="Q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X257" i="2"/>
  <c r="Y257" i="2"/>
  <c r="Z257" i="2"/>
  <c r="AA257" i="2"/>
  <c r="N258" i="2"/>
  <c r="O258" i="2"/>
  <c r="R258" i="2" s="1"/>
  <c r="P258" i="2"/>
  <c r="Q258" i="2"/>
  <c r="S258" i="2"/>
  <c r="X258" i="2"/>
  <c r="Y258" i="2"/>
  <c r="Z258" i="2"/>
  <c r="AA258" i="2"/>
  <c r="N259" i="2"/>
  <c r="O259" i="2"/>
  <c r="R259" i="2" s="1"/>
  <c r="P259" i="2"/>
  <c r="Q259" i="2"/>
  <c r="S259" i="2"/>
  <c r="T259" i="2"/>
  <c r="U259" i="2" s="1"/>
  <c r="X259" i="2"/>
  <c r="Y259" i="2"/>
  <c r="Z259" i="2"/>
  <c r="AA259" i="2"/>
  <c r="N260" i="2"/>
  <c r="O260" i="2"/>
  <c r="R260" i="2" s="1"/>
  <c r="P260" i="2"/>
  <c r="Q260" i="2"/>
  <c r="S260" i="2"/>
  <c r="T260" i="2"/>
  <c r="U260" i="2" s="1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F35" i="9" s="1"/>
  <c r="L34" i="9"/>
  <c r="M34" i="9" s="1"/>
  <c r="K34" i="9"/>
  <c r="E34" i="9"/>
  <c r="F34" i="9" s="1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Y39" i="8" l="1"/>
  <c r="Q39" i="8"/>
  <c r="X39" i="8"/>
  <c r="P39" i="8"/>
  <c r="W39" i="8"/>
  <c r="O39" i="8"/>
  <c r="V39" i="8"/>
  <c r="F23" i="9"/>
  <c r="R791" i="3"/>
  <c r="S791" i="3"/>
  <c r="Q791" i="3"/>
  <c r="R817" i="3"/>
  <c r="S817" i="3"/>
  <c r="Q817" i="3"/>
  <c r="T419" i="2"/>
  <c r="U419" i="2" s="1"/>
  <c r="T398" i="2"/>
  <c r="U398" i="2" s="1"/>
  <c r="T391" i="2"/>
  <c r="U391" i="2" s="1"/>
  <c r="T365" i="2"/>
  <c r="U365" i="2" s="1"/>
  <c r="T347" i="2"/>
  <c r="U347" i="2" s="1"/>
  <c r="R874" i="3"/>
  <c r="S861" i="3"/>
  <c r="W434" i="2" s="1"/>
  <c r="R855" i="3"/>
  <c r="Q837" i="3"/>
  <c r="R837" i="3"/>
  <c r="V422" i="2" s="1"/>
  <c r="S834" i="3"/>
  <c r="W419" i="2" s="1"/>
  <c r="Q831" i="3"/>
  <c r="S828" i="3"/>
  <c r="R828" i="3"/>
  <c r="P825" i="3"/>
  <c r="Q822" i="3"/>
  <c r="R822" i="3"/>
  <c r="V413" i="2" s="1"/>
  <c r="R816" i="3"/>
  <c r="S816" i="3"/>
  <c r="R810" i="3"/>
  <c r="V410" i="2" s="1"/>
  <c r="Q767" i="3"/>
  <c r="Q759" i="3"/>
  <c r="R746" i="3"/>
  <c r="V376" i="2" s="1"/>
  <c r="R730" i="3"/>
  <c r="V366" i="2" s="1"/>
  <c r="S714" i="3"/>
  <c r="Q714" i="3"/>
  <c r="R714" i="3"/>
  <c r="Q687" i="3"/>
  <c r="R676" i="3"/>
  <c r="S676" i="3"/>
  <c r="Q676" i="3"/>
  <c r="Q673" i="3"/>
  <c r="S673" i="3"/>
  <c r="W340" i="2" s="1"/>
  <c r="S852" i="3"/>
  <c r="R852" i="3"/>
  <c r="R690" i="3"/>
  <c r="V347" i="2" s="1"/>
  <c r="S690" i="3"/>
  <c r="W347" i="2" s="1"/>
  <c r="Q821" i="3"/>
  <c r="R821" i="3"/>
  <c r="V412" i="2" s="1"/>
  <c r="R809" i="3"/>
  <c r="S809" i="3"/>
  <c r="Q809" i="3"/>
  <c r="S679" i="3"/>
  <c r="R679" i="3"/>
  <c r="Q679" i="3"/>
  <c r="Q636" i="3"/>
  <c r="R636" i="3"/>
  <c r="V320" i="2" s="1"/>
  <c r="S636" i="3"/>
  <c r="W320" i="2" s="1"/>
  <c r="S533" i="3"/>
  <c r="W270" i="2" s="1"/>
  <c r="R533" i="3"/>
  <c r="V270" i="2" s="1"/>
  <c r="Q533" i="3"/>
  <c r="T270" i="2"/>
  <c r="U270" i="2" s="1"/>
  <c r="Q797" i="3"/>
  <c r="R797" i="3"/>
  <c r="V400" i="2" s="1"/>
  <c r="S770" i="3"/>
  <c r="W388" i="2" s="1"/>
  <c r="Q770" i="3"/>
  <c r="S762" i="3"/>
  <c r="Q762" i="3"/>
  <c r="S754" i="3"/>
  <c r="Q754" i="3"/>
  <c r="S738" i="3"/>
  <c r="Q738" i="3"/>
  <c r="R727" i="3"/>
  <c r="S727" i="3"/>
  <c r="R719" i="3"/>
  <c r="V362" i="2" s="1"/>
  <c r="S719" i="3"/>
  <c r="W362" i="2" s="1"/>
  <c r="R639" i="3"/>
  <c r="V322" i="2" s="1"/>
  <c r="S639" i="3"/>
  <c r="W322" i="2" s="1"/>
  <c r="Q639" i="3"/>
  <c r="S876" i="3"/>
  <c r="R876" i="3"/>
  <c r="Q870" i="3"/>
  <c r="R870" i="3"/>
  <c r="V437" i="2" s="1"/>
  <c r="Q845" i="3"/>
  <c r="R845" i="3"/>
  <c r="V424" i="2" s="1"/>
  <c r="S836" i="3"/>
  <c r="W421" i="2" s="1"/>
  <c r="R836" i="3"/>
  <c r="V421" i="2" s="1"/>
  <c r="R833" i="3"/>
  <c r="V418" i="2" s="1"/>
  <c r="S833" i="3"/>
  <c r="W418" i="2" s="1"/>
  <c r="Q833" i="3"/>
  <c r="Q830" i="3"/>
  <c r="R830" i="3"/>
  <c r="R824" i="3"/>
  <c r="V415" i="2" s="1"/>
  <c r="S824" i="3"/>
  <c r="W415" i="2" s="1"/>
  <c r="S704" i="3"/>
  <c r="Q704" i="3"/>
  <c r="R704" i="3"/>
  <c r="R701" i="3"/>
  <c r="V353" i="2" s="1"/>
  <c r="S701" i="3"/>
  <c r="W353" i="2" s="1"/>
  <c r="Q695" i="3"/>
  <c r="S695" i="3"/>
  <c r="R695" i="3"/>
  <c r="S671" i="3"/>
  <c r="W338" i="2" s="1"/>
  <c r="Q671" i="3"/>
  <c r="R671" i="3"/>
  <c r="V338" i="2" s="1"/>
  <c r="Q652" i="3"/>
  <c r="R652" i="3"/>
  <c r="S652" i="3"/>
  <c r="S642" i="3"/>
  <c r="Q642" i="3"/>
  <c r="R582" i="3"/>
  <c r="S582" i="3"/>
  <c r="Q582" i="3"/>
  <c r="R575" i="3"/>
  <c r="V292" i="2" s="1"/>
  <c r="S575" i="3"/>
  <c r="W292" i="2" s="1"/>
  <c r="Q575" i="3"/>
  <c r="S554" i="3"/>
  <c r="R554" i="3"/>
  <c r="S778" i="3"/>
  <c r="W391" i="2" s="1"/>
  <c r="Q778" i="3"/>
  <c r="R767" i="3"/>
  <c r="V387" i="2" s="1"/>
  <c r="S767" i="3"/>
  <c r="W387" i="2" s="1"/>
  <c r="R751" i="3"/>
  <c r="V378" i="2" s="1"/>
  <c r="S751" i="3"/>
  <c r="W378" i="2" s="1"/>
  <c r="R735" i="3"/>
  <c r="V371" i="2" s="1"/>
  <c r="S735" i="3"/>
  <c r="W371" i="2" s="1"/>
  <c r="S730" i="3"/>
  <c r="W366" i="2" s="1"/>
  <c r="Q730" i="3"/>
  <c r="Q664" i="3"/>
  <c r="R664" i="3"/>
  <c r="R864" i="3"/>
  <c r="S864" i="3"/>
  <c r="Q806" i="3"/>
  <c r="R806" i="3"/>
  <c r="V407" i="2" s="1"/>
  <c r="S387" i="2"/>
  <c r="T378" i="2"/>
  <c r="U378" i="2" s="1"/>
  <c r="T371" i="2"/>
  <c r="U371" i="2" s="1"/>
  <c r="Q869" i="3"/>
  <c r="R869" i="3"/>
  <c r="V436" i="2" s="1"/>
  <c r="S866" i="3"/>
  <c r="S860" i="3"/>
  <c r="W433" i="2" s="1"/>
  <c r="R860" i="3"/>
  <c r="V433" i="2" s="1"/>
  <c r="R857" i="3"/>
  <c r="V430" i="2" s="1"/>
  <c r="S857" i="3"/>
  <c r="W430" i="2" s="1"/>
  <c r="Q857" i="3"/>
  <c r="Q854" i="3"/>
  <c r="R854" i="3"/>
  <c r="R848" i="3"/>
  <c r="V427" i="2" s="1"/>
  <c r="S848" i="3"/>
  <c r="W427" i="2" s="1"/>
  <c r="R823" i="3"/>
  <c r="V414" i="2" s="1"/>
  <c r="Q805" i="3"/>
  <c r="R805" i="3"/>
  <c r="V406" i="2" s="1"/>
  <c r="S802" i="3"/>
  <c r="S796" i="3"/>
  <c r="W399" i="2" s="1"/>
  <c r="R796" i="3"/>
  <c r="V399" i="2" s="1"/>
  <c r="R793" i="3"/>
  <c r="S793" i="3"/>
  <c r="Q793" i="3"/>
  <c r="Q707" i="3"/>
  <c r="S698" i="3"/>
  <c r="W351" i="2" s="1"/>
  <c r="Q698" i="3"/>
  <c r="R698" i="3"/>
  <c r="V351" i="2" s="1"/>
  <c r="R692" i="3"/>
  <c r="S692" i="3"/>
  <c r="R670" i="3"/>
  <c r="V337" i="2" s="1"/>
  <c r="S670" i="3"/>
  <c r="W337" i="2" s="1"/>
  <c r="Q670" i="3"/>
  <c r="Q649" i="3"/>
  <c r="S649" i="3"/>
  <c r="W326" i="2" s="1"/>
  <c r="R649" i="3"/>
  <c r="V326" i="2" s="1"/>
  <c r="Q608" i="3"/>
  <c r="S608" i="3"/>
  <c r="R608" i="3"/>
  <c r="Q603" i="3"/>
  <c r="R603" i="3"/>
  <c r="V303" i="2" s="1"/>
  <c r="S603" i="3"/>
  <c r="W303" i="2" s="1"/>
  <c r="S578" i="3"/>
  <c r="R578" i="3"/>
  <c r="R849" i="3"/>
  <c r="V428" i="2" s="1"/>
  <c r="S849" i="3"/>
  <c r="W428" i="2" s="1"/>
  <c r="Q849" i="3"/>
  <c r="Q846" i="3"/>
  <c r="R846" i="3"/>
  <c r="V425" i="2" s="1"/>
  <c r="R840" i="3"/>
  <c r="S840" i="3"/>
  <c r="R783" i="3"/>
  <c r="V395" i="2" s="1"/>
  <c r="S783" i="3"/>
  <c r="W395" i="2" s="1"/>
  <c r="S746" i="3"/>
  <c r="W376" i="2" s="1"/>
  <c r="Q746" i="3"/>
  <c r="S812" i="3"/>
  <c r="R812" i="3"/>
  <c r="R800" i="3"/>
  <c r="V403" i="2" s="1"/>
  <c r="S800" i="3"/>
  <c r="W403" i="2" s="1"/>
  <c r="T437" i="2"/>
  <c r="U437" i="2" s="1"/>
  <c r="T425" i="2"/>
  <c r="U425" i="2" s="1"/>
  <c r="T395" i="2"/>
  <c r="U395" i="2" s="1"/>
  <c r="S383" i="2"/>
  <c r="S378" i="2"/>
  <c r="S371" i="2"/>
  <c r="T362" i="2"/>
  <c r="U362" i="2" s="1"/>
  <c r="Q878" i="3"/>
  <c r="R878" i="3"/>
  <c r="R872" i="3"/>
  <c r="V439" i="2" s="1"/>
  <c r="S872" i="3"/>
  <c r="W439" i="2" s="1"/>
  <c r="R866" i="3"/>
  <c r="R847" i="3"/>
  <c r="V426" i="2" s="1"/>
  <c r="Q829" i="3"/>
  <c r="R829" i="3"/>
  <c r="S826" i="3"/>
  <c r="Q823" i="3"/>
  <c r="S820" i="3"/>
  <c r="W411" i="2" s="1"/>
  <c r="R820" i="3"/>
  <c r="V411" i="2" s="1"/>
  <c r="Q814" i="3"/>
  <c r="R814" i="3"/>
  <c r="R808" i="3"/>
  <c r="V409" i="2" s="1"/>
  <c r="S808" i="3"/>
  <c r="W409" i="2" s="1"/>
  <c r="R802" i="3"/>
  <c r="R787" i="3"/>
  <c r="R779" i="3"/>
  <c r="V392" i="2" s="1"/>
  <c r="R771" i="3"/>
  <c r="V389" i="2" s="1"/>
  <c r="R763" i="3"/>
  <c r="S712" i="3"/>
  <c r="Q712" i="3"/>
  <c r="R712" i="3"/>
  <c r="R709" i="3"/>
  <c r="V357" i="2" s="1"/>
  <c r="S709" i="3"/>
  <c r="W357" i="2" s="1"/>
  <c r="R703" i="3"/>
  <c r="S703" i="3"/>
  <c r="R614" i="3"/>
  <c r="S614" i="3"/>
  <c r="Q614" i="3"/>
  <c r="S786" i="3"/>
  <c r="W398" i="2" s="1"/>
  <c r="Q786" i="3"/>
  <c r="R759" i="3"/>
  <c r="V383" i="2" s="1"/>
  <c r="S759" i="3"/>
  <c r="W383" i="2" s="1"/>
  <c r="Q529" i="3"/>
  <c r="R529" i="3"/>
  <c r="S529" i="3"/>
  <c r="S437" i="2"/>
  <c r="T428" i="2"/>
  <c r="U428" i="2" s="1"/>
  <c r="S425" i="2"/>
  <c r="T407" i="2"/>
  <c r="U407" i="2" s="1"/>
  <c r="T400" i="2"/>
  <c r="U400" i="2" s="1"/>
  <c r="S395" i="2"/>
  <c r="S362" i="2"/>
  <c r="T322" i="2"/>
  <c r="U322" i="2" s="1"/>
  <c r="T320" i="2"/>
  <c r="U320" i="2" s="1"/>
  <c r="Q853" i="3"/>
  <c r="R853" i="3"/>
  <c r="S844" i="3"/>
  <c r="W423" i="2" s="1"/>
  <c r="R844" i="3"/>
  <c r="V423" i="2" s="1"/>
  <c r="R841" i="3"/>
  <c r="S841" i="3"/>
  <c r="Q841" i="3"/>
  <c r="Q838" i="3"/>
  <c r="R838" i="3"/>
  <c r="R832" i="3"/>
  <c r="V417" i="2" s="1"/>
  <c r="S832" i="3"/>
  <c r="W417" i="2" s="1"/>
  <c r="Q792" i="3"/>
  <c r="R792" i="3"/>
  <c r="S706" i="3"/>
  <c r="W355" i="2" s="1"/>
  <c r="Q706" i="3"/>
  <c r="R706" i="3"/>
  <c r="V355" i="2" s="1"/>
  <c r="Q656" i="3"/>
  <c r="S656" i="3"/>
  <c r="W329" i="2" s="1"/>
  <c r="S629" i="3"/>
  <c r="W317" i="2" s="1"/>
  <c r="R629" i="3"/>
  <c r="V317" i="2" s="1"/>
  <c r="Q629" i="3"/>
  <c r="Q861" i="3"/>
  <c r="R861" i="3"/>
  <c r="V434" i="2" s="1"/>
  <c r="R775" i="3"/>
  <c r="S775" i="3"/>
  <c r="R743" i="3"/>
  <c r="S743" i="3"/>
  <c r="S722" i="3"/>
  <c r="W365" i="2" s="1"/>
  <c r="Q722" i="3"/>
  <c r="S410" i="2"/>
  <c r="R873" i="3"/>
  <c r="V440" i="2" s="1"/>
  <c r="S873" i="3"/>
  <c r="W440" i="2" s="1"/>
  <c r="Q873" i="3"/>
  <c r="S407" i="2"/>
  <c r="T388" i="2"/>
  <c r="U388" i="2" s="1"/>
  <c r="S320" i="2"/>
  <c r="Q877" i="3"/>
  <c r="R877" i="3"/>
  <c r="S874" i="3"/>
  <c r="S868" i="3"/>
  <c r="W435" i="2" s="1"/>
  <c r="R868" i="3"/>
  <c r="V435" i="2" s="1"/>
  <c r="R865" i="3"/>
  <c r="S865" i="3"/>
  <c r="Q865" i="3"/>
  <c r="Q862" i="3"/>
  <c r="R862" i="3"/>
  <c r="R856" i="3"/>
  <c r="V429" i="2" s="1"/>
  <c r="S856" i="3"/>
  <c r="W429" i="2" s="1"/>
  <c r="R831" i="3"/>
  <c r="Q813" i="3"/>
  <c r="R813" i="3"/>
  <c r="S810" i="3"/>
  <c r="W410" i="2" s="1"/>
  <c r="S804" i="3"/>
  <c r="W405" i="2" s="1"/>
  <c r="R804" i="3"/>
  <c r="V405" i="2" s="1"/>
  <c r="R801" i="3"/>
  <c r="V404" i="2" s="1"/>
  <c r="S801" i="3"/>
  <c r="W404" i="2" s="1"/>
  <c r="Q801" i="3"/>
  <c r="Q798" i="3"/>
  <c r="R798" i="3"/>
  <c r="V401" i="2" s="1"/>
  <c r="R789" i="3"/>
  <c r="S789" i="3"/>
  <c r="S784" i="3"/>
  <c r="W396" i="2" s="1"/>
  <c r="R784" i="3"/>
  <c r="V396" i="2" s="1"/>
  <c r="R781" i="3"/>
  <c r="V394" i="2" s="1"/>
  <c r="S781" i="3"/>
  <c r="W394" i="2" s="1"/>
  <c r="S776" i="3"/>
  <c r="R776" i="3"/>
  <c r="R773" i="3"/>
  <c r="S773" i="3"/>
  <c r="S768" i="3"/>
  <c r="R768" i="3"/>
  <c r="R765" i="3"/>
  <c r="V385" i="2" s="1"/>
  <c r="S765" i="3"/>
  <c r="W385" i="2" s="1"/>
  <c r="S760" i="3"/>
  <c r="R760" i="3"/>
  <c r="R757" i="3"/>
  <c r="V381" i="2" s="1"/>
  <c r="S757" i="3"/>
  <c r="W381" i="2" s="1"/>
  <c r="S752" i="3"/>
  <c r="W379" i="2" s="1"/>
  <c r="R752" i="3"/>
  <c r="V379" i="2" s="1"/>
  <c r="R749" i="3"/>
  <c r="S749" i="3"/>
  <c r="S744" i="3"/>
  <c r="R744" i="3"/>
  <c r="R741" i="3"/>
  <c r="V374" i="2" s="1"/>
  <c r="S741" i="3"/>
  <c r="W374" i="2" s="1"/>
  <c r="S736" i="3"/>
  <c r="R736" i="3"/>
  <c r="R733" i="3"/>
  <c r="V369" i="2" s="1"/>
  <c r="S733" i="3"/>
  <c r="W369" i="2" s="1"/>
  <c r="S728" i="3"/>
  <c r="R728" i="3"/>
  <c r="R725" i="3"/>
  <c r="S725" i="3"/>
  <c r="S720" i="3"/>
  <c r="W363" i="2" s="1"/>
  <c r="R720" i="3"/>
  <c r="V363" i="2" s="1"/>
  <c r="R717" i="3"/>
  <c r="V360" i="2" s="1"/>
  <c r="S717" i="3"/>
  <c r="W360" i="2" s="1"/>
  <c r="R711" i="3"/>
  <c r="S711" i="3"/>
  <c r="R687" i="3"/>
  <c r="Q681" i="3"/>
  <c r="S681" i="3"/>
  <c r="W342" i="2" s="1"/>
  <c r="R681" i="3"/>
  <c r="V342" i="2" s="1"/>
  <c r="R673" i="3"/>
  <c r="V340" i="2" s="1"/>
  <c r="Q688" i="3"/>
  <c r="R688" i="3"/>
  <c r="V345" i="2" s="1"/>
  <c r="Q667" i="3"/>
  <c r="R667" i="3"/>
  <c r="S667" i="3"/>
  <c r="Q657" i="3"/>
  <c r="S657" i="3"/>
  <c r="W330" i="2" s="1"/>
  <c r="R615" i="3"/>
  <c r="S615" i="3"/>
  <c r="Q615" i="3"/>
  <c r="R583" i="3"/>
  <c r="S583" i="3"/>
  <c r="Q583" i="3"/>
  <c r="Q576" i="3"/>
  <c r="R576" i="3"/>
  <c r="V293" i="2" s="1"/>
  <c r="R551" i="3"/>
  <c r="S551" i="3"/>
  <c r="Q551" i="3"/>
  <c r="R678" i="3"/>
  <c r="S678" i="3"/>
  <c r="Q675" i="3"/>
  <c r="R675" i="3"/>
  <c r="R669" i="3"/>
  <c r="V336" i="2" s="1"/>
  <c r="R658" i="3"/>
  <c r="V331" i="2" s="1"/>
  <c r="Q635" i="3"/>
  <c r="R635" i="3"/>
  <c r="V319" i="2" s="1"/>
  <c r="S635" i="3"/>
  <c r="W319" i="2" s="1"/>
  <c r="S632" i="3"/>
  <c r="Q600" i="3"/>
  <c r="R600" i="3"/>
  <c r="Q596" i="3"/>
  <c r="R596" i="3"/>
  <c r="V300" i="2" s="1"/>
  <c r="S596" i="3"/>
  <c r="W300" i="2" s="1"/>
  <c r="Q532" i="3"/>
  <c r="R532" i="3"/>
  <c r="V269" i="2" s="1"/>
  <c r="S532" i="3"/>
  <c r="W269" i="2" s="1"/>
  <c r="S875" i="3"/>
  <c r="S867" i="3"/>
  <c r="S859" i="3"/>
  <c r="W432" i="2" s="1"/>
  <c r="S851" i="3"/>
  <c r="S843" i="3"/>
  <c r="S835" i="3"/>
  <c r="W420" i="2" s="1"/>
  <c r="S827" i="3"/>
  <c r="S819" i="3"/>
  <c r="S811" i="3"/>
  <c r="S803" i="3"/>
  <c r="S795" i="3"/>
  <c r="R694" i="3"/>
  <c r="S694" i="3"/>
  <c r="Q683" i="3"/>
  <c r="R683" i="3"/>
  <c r="V344" i="2" s="1"/>
  <c r="S683" i="3"/>
  <c r="W344" i="2" s="1"/>
  <c r="Q669" i="3"/>
  <c r="S663" i="3"/>
  <c r="R663" i="3"/>
  <c r="Q658" i="3"/>
  <c r="R655" i="3"/>
  <c r="S655" i="3"/>
  <c r="Q648" i="3"/>
  <c r="S648" i="3"/>
  <c r="W325" i="2" s="1"/>
  <c r="R632" i="3"/>
  <c r="S621" i="3"/>
  <c r="W313" i="2" s="1"/>
  <c r="Q621" i="3"/>
  <c r="R599" i="3"/>
  <c r="S599" i="3"/>
  <c r="Q599" i="3"/>
  <c r="Q588" i="3"/>
  <c r="R588" i="3"/>
  <c r="S588" i="3"/>
  <c r="R567" i="3"/>
  <c r="S567" i="3"/>
  <c r="Q567" i="3"/>
  <c r="Q540" i="3"/>
  <c r="R540" i="3"/>
  <c r="S540" i="3"/>
  <c r="Q696" i="3"/>
  <c r="S696" i="3"/>
  <c r="W349" i="2" s="1"/>
  <c r="Q689" i="3"/>
  <c r="S689" i="3"/>
  <c r="W346" i="2" s="1"/>
  <c r="R686" i="3"/>
  <c r="S686" i="3"/>
  <c r="Q686" i="3"/>
  <c r="Q672" i="3"/>
  <c r="R672" i="3"/>
  <c r="V339" i="2" s="1"/>
  <c r="R654" i="3"/>
  <c r="S654" i="3"/>
  <c r="Q654" i="3"/>
  <c r="Q620" i="3"/>
  <c r="R620" i="3"/>
  <c r="V312" i="2" s="1"/>
  <c r="S620" i="3"/>
  <c r="W312" i="2" s="1"/>
  <c r="Q587" i="3"/>
  <c r="R587" i="3"/>
  <c r="V297" i="2" s="1"/>
  <c r="S587" i="3"/>
  <c r="W297" i="2" s="1"/>
  <c r="Q563" i="3"/>
  <c r="R563" i="3"/>
  <c r="Q691" i="3"/>
  <c r="R691" i="3"/>
  <c r="V348" i="2" s="1"/>
  <c r="R685" i="3"/>
  <c r="R680" i="3"/>
  <c r="V341" i="2" s="1"/>
  <c r="Q674" i="3"/>
  <c r="R662" i="3"/>
  <c r="S662" i="3"/>
  <c r="R653" i="3"/>
  <c r="R647" i="3"/>
  <c r="S647" i="3"/>
  <c r="Q644" i="3"/>
  <c r="R644" i="3"/>
  <c r="S640" i="3"/>
  <c r="W323" i="2" s="1"/>
  <c r="R631" i="3"/>
  <c r="S631" i="3"/>
  <c r="Q631" i="3"/>
  <c r="R591" i="3"/>
  <c r="S591" i="3"/>
  <c r="Q591" i="3"/>
  <c r="R668" i="3"/>
  <c r="V335" i="2" s="1"/>
  <c r="S668" i="3"/>
  <c r="W335" i="2" s="1"/>
  <c r="Q665" i="3"/>
  <c r="S665" i="3"/>
  <c r="R665" i="3"/>
  <c r="R646" i="3"/>
  <c r="S646" i="3"/>
  <c r="Q646" i="3"/>
  <c r="Q643" i="3"/>
  <c r="R643" i="3"/>
  <c r="S643" i="3"/>
  <c r="R630" i="3"/>
  <c r="S630" i="3"/>
  <c r="Q630" i="3"/>
  <c r="S626" i="3"/>
  <c r="W314" i="2" s="1"/>
  <c r="R626" i="3"/>
  <c r="V314" i="2" s="1"/>
  <c r="Q626" i="3"/>
  <c r="R623" i="3"/>
  <c r="S623" i="3"/>
  <c r="Q623" i="3"/>
  <c r="Q616" i="3"/>
  <c r="R616" i="3"/>
  <c r="S616" i="3"/>
  <c r="S605" i="3"/>
  <c r="W305" i="2" s="1"/>
  <c r="Q605" i="3"/>
  <c r="R590" i="3"/>
  <c r="S590" i="3"/>
  <c r="Q590" i="3"/>
  <c r="Q579" i="3"/>
  <c r="R579" i="3"/>
  <c r="S579" i="3"/>
  <c r="Q552" i="3"/>
  <c r="S552" i="3"/>
  <c r="W281" i="2" s="1"/>
  <c r="R552" i="3"/>
  <c r="V281" i="2" s="1"/>
  <c r="Q544" i="3"/>
  <c r="S544" i="3"/>
  <c r="W274" i="2" s="1"/>
  <c r="Q651" i="3"/>
  <c r="R651" i="3"/>
  <c r="V328" i="2" s="1"/>
  <c r="Q641" i="3"/>
  <c r="S641" i="3"/>
  <c r="W324" i="2" s="1"/>
  <c r="R638" i="3"/>
  <c r="S638" i="3"/>
  <c r="Q611" i="3"/>
  <c r="R611" i="3"/>
  <c r="V307" i="2" s="1"/>
  <c r="S602" i="3"/>
  <c r="W302" i="2" s="1"/>
  <c r="R602" i="3"/>
  <c r="V302" i="2" s="1"/>
  <c r="S570" i="3"/>
  <c r="W288" i="2" s="1"/>
  <c r="R570" i="3"/>
  <c r="V288" i="2" s="1"/>
  <c r="Q564" i="3"/>
  <c r="R564" i="3"/>
  <c r="V287" i="2" s="1"/>
  <c r="R558" i="3"/>
  <c r="V284" i="2" s="1"/>
  <c r="S558" i="3"/>
  <c r="W284" i="2" s="1"/>
  <c r="Q548" i="3"/>
  <c r="R548" i="3"/>
  <c r="V278" i="2" s="1"/>
  <c r="S548" i="3"/>
  <c r="W278" i="2" s="1"/>
  <c r="Q537" i="3"/>
  <c r="R537" i="3"/>
  <c r="V271" i="2" s="1"/>
  <c r="S537" i="3"/>
  <c r="W271" i="2" s="1"/>
  <c r="Q619" i="3"/>
  <c r="R619" i="3"/>
  <c r="V311" i="2" s="1"/>
  <c r="S610" i="3"/>
  <c r="W306" i="2" s="1"/>
  <c r="R610" i="3"/>
  <c r="V306" i="2" s="1"/>
  <c r="R607" i="3"/>
  <c r="S607" i="3"/>
  <c r="Q607" i="3"/>
  <c r="Q604" i="3"/>
  <c r="R604" i="3"/>
  <c r="V304" i="2" s="1"/>
  <c r="R598" i="3"/>
  <c r="S598" i="3"/>
  <c r="Q595" i="3"/>
  <c r="R595" i="3"/>
  <c r="V299" i="2" s="1"/>
  <c r="S592" i="3"/>
  <c r="Q572" i="3"/>
  <c r="R572" i="3"/>
  <c r="V290" i="2" s="1"/>
  <c r="R566" i="3"/>
  <c r="S566" i="3"/>
  <c r="R543" i="3"/>
  <c r="V273" i="2" s="1"/>
  <c r="S543" i="3"/>
  <c r="W273" i="2" s="1"/>
  <c r="Q543" i="3"/>
  <c r="S634" i="3"/>
  <c r="W318" i="2" s="1"/>
  <c r="R634" i="3"/>
  <c r="V318" i="2" s="1"/>
  <c r="Q628" i="3"/>
  <c r="R628" i="3"/>
  <c r="V316" i="2" s="1"/>
  <c r="R622" i="3"/>
  <c r="S622" i="3"/>
  <c r="R592" i="3"/>
  <c r="S586" i="3"/>
  <c r="W296" i="2" s="1"/>
  <c r="R586" i="3"/>
  <c r="V296" i="2" s="1"/>
  <c r="Q550" i="3"/>
  <c r="R550" i="3"/>
  <c r="V280" i="2" s="1"/>
  <c r="S550" i="3"/>
  <c r="W280" i="2" s="1"/>
  <c r="R535" i="3"/>
  <c r="S535" i="3"/>
  <c r="Q535" i="3"/>
  <c r="Q580" i="3"/>
  <c r="R580" i="3"/>
  <c r="R574" i="3"/>
  <c r="V291" i="2" s="1"/>
  <c r="S574" i="3"/>
  <c r="W291" i="2" s="1"/>
  <c r="Q571" i="3"/>
  <c r="R571" i="3"/>
  <c r="V289" i="2" s="1"/>
  <c r="S562" i="3"/>
  <c r="W286" i="2" s="1"/>
  <c r="R562" i="3"/>
  <c r="V286" i="2" s="1"/>
  <c r="R559" i="3"/>
  <c r="S559" i="3"/>
  <c r="Q559" i="3"/>
  <c r="Q556" i="3"/>
  <c r="R556" i="3"/>
  <c r="V282" i="2" s="1"/>
  <c r="S546" i="3"/>
  <c r="W276" i="2" s="1"/>
  <c r="R546" i="3"/>
  <c r="V276" i="2" s="1"/>
  <c r="Q542" i="3"/>
  <c r="R542" i="3"/>
  <c r="V272" i="2" s="1"/>
  <c r="S542" i="3"/>
  <c r="W272" i="2" s="1"/>
  <c r="R527" i="3"/>
  <c r="S527" i="3"/>
  <c r="Q527" i="3"/>
  <c r="Q659" i="3"/>
  <c r="R659" i="3"/>
  <c r="V332" i="2" s="1"/>
  <c r="Q627" i="3"/>
  <c r="R627" i="3"/>
  <c r="V315" i="2" s="1"/>
  <c r="S618" i="3"/>
  <c r="W310" i="2" s="1"/>
  <c r="R618" i="3"/>
  <c r="V310" i="2" s="1"/>
  <c r="Q612" i="3"/>
  <c r="R612" i="3"/>
  <c r="V308" i="2" s="1"/>
  <c r="R606" i="3"/>
  <c r="S606" i="3"/>
  <c r="S594" i="3"/>
  <c r="W298" i="2" s="1"/>
  <c r="R594" i="3"/>
  <c r="V298" i="2" s="1"/>
  <c r="R568" i="3"/>
  <c r="R541" i="3"/>
  <c r="S538" i="3"/>
  <c r="R538" i="3"/>
  <c r="Q534" i="3"/>
  <c r="R534" i="3"/>
  <c r="S534" i="3"/>
  <c r="Q555" i="3"/>
  <c r="R555" i="3"/>
  <c r="Q545" i="3"/>
  <c r="R545" i="3"/>
  <c r="V275" i="2" s="1"/>
  <c r="S545" i="3"/>
  <c r="W275" i="2" s="1"/>
  <c r="Q541" i="3"/>
  <c r="S530" i="3"/>
  <c r="W267" i="2" s="1"/>
  <c r="R530" i="3"/>
  <c r="V267" i="2" s="1"/>
  <c r="Q526" i="3"/>
  <c r="R526" i="3"/>
  <c r="S526" i="3"/>
  <c r="R547" i="3"/>
  <c r="V277" i="2" s="1"/>
  <c r="R539" i="3"/>
  <c r="R531" i="3"/>
  <c r="V268" i="2" s="1"/>
  <c r="S633" i="3"/>
  <c r="S625" i="3"/>
  <c r="S617" i="3"/>
  <c r="S609" i="3"/>
  <c r="S601" i="3"/>
  <c r="S593" i="3"/>
  <c r="S585" i="3"/>
  <c r="W295" i="2" s="1"/>
  <c r="S577" i="3"/>
  <c r="S569" i="3"/>
  <c r="S561" i="3"/>
  <c r="W285" i="2" s="1"/>
  <c r="S553" i="3"/>
  <c r="Q382" i="3"/>
  <c r="S382" i="3"/>
  <c r="S508" i="3"/>
  <c r="Q508" i="3"/>
  <c r="T258" i="2"/>
  <c r="U258" i="2" s="1"/>
  <c r="Q513" i="3"/>
  <c r="S406" i="3"/>
  <c r="R406" i="3"/>
  <c r="Q406" i="3"/>
  <c r="S512" i="3"/>
  <c r="W257" i="2" s="1"/>
  <c r="Q512" i="3"/>
  <c r="R512" i="3"/>
  <c r="V257" i="2" s="1"/>
  <c r="T257" i="2"/>
  <c r="U257" i="2" s="1"/>
  <c r="S462" i="3"/>
  <c r="W233" i="2" s="1"/>
  <c r="T233" i="2"/>
  <c r="U233" i="2" s="1"/>
  <c r="T209" i="2"/>
  <c r="U209" i="2" s="1"/>
  <c r="Q416" i="3"/>
  <c r="T215" i="2"/>
  <c r="U215" i="2" s="1"/>
  <c r="S424" i="3"/>
  <c r="W215" i="2" s="1"/>
  <c r="S452" i="3"/>
  <c r="W229" i="2" s="1"/>
  <c r="T229" i="2"/>
  <c r="U229" i="2" s="1"/>
  <c r="Q452" i="3"/>
  <c r="R452" i="3"/>
  <c r="V229" i="2" s="1"/>
  <c r="R277" i="3"/>
  <c r="S277" i="3"/>
  <c r="Q243" i="3"/>
  <c r="R243" i="3"/>
  <c r="V123" i="2" s="1"/>
  <c r="S243" i="3"/>
  <c r="W123" i="2" s="1"/>
  <c r="S271" i="3"/>
  <c r="Q271" i="3"/>
  <c r="R271" i="3"/>
  <c r="S133" i="2"/>
  <c r="R517" i="3"/>
  <c r="V262" i="2" s="1"/>
  <c r="T262" i="2"/>
  <c r="U262" i="2" s="1"/>
  <c r="S456" i="3"/>
  <c r="Q456" i="3"/>
  <c r="R456" i="3"/>
  <c r="Q437" i="3"/>
  <c r="S437" i="3"/>
  <c r="S414" i="3"/>
  <c r="R414" i="3"/>
  <c r="S376" i="3"/>
  <c r="Q376" i="3"/>
  <c r="R312" i="3"/>
  <c r="V158" i="2" s="1"/>
  <c r="Q312" i="3"/>
  <c r="R293" i="3"/>
  <c r="V148" i="2" s="1"/>
  <c r="Q293" i="3"/>
  <c r="Q151" i="3"/>
  <c r="R151" i="3"/>
  <c r="R138" i="3"/>
  <c r="V72" i="2" s="1"/>
  <c r="Q138" i="3"/>
  <c r="S138" i="3"/>
  <c r="W72" i="2" s="1"/>
  <c r="Q133" i="3"/>
  <c r="R133" i="3"/>
  <c r="S41" i="3"/>
  <c r="W22" i="2" s="1"/>
  <c r="Q41" i="3"/>
  <c r="Q13" i="3"/>
  <c r="R13" i="3"/>
  <c r="V10" i="2" s="1"/>
  <c r="R74" i="3"/>
  <c r="V40" i="2" s="1"/>
  <c r="Q74" i="3"/>
  <c r="S74" i="3"/>
  <c r="W40" i="2" s="1"/>
  <c r="Q522" i="3"/>
  <c r="T263" i="2"/>
  <c r="U263" i="2" s="1"/>
  <c r="R261" i="3"/>
  <c r="V133" i="2" s="1"/>
  <c r="S261" i="3"/>
  <c r="W133" i="2" s="1"/>
  <c r="Q261" i="3"/>
  <c r="S257" i="2"/>
  <c r="S5" i="2"/>
  <c r="Q503" i="3"/>
  <c r="S503" i="3"/>
  <c r="S488" i="3"/>
  <c r="R488" i="3"/>
  <c r="S480" i="3"/>
  <c r="Q480" i="3"/>
  <c r="S464" i="3"/>
  <c r="W235" i="2" s="1"/>
  <c r="R464" i="3"/>
  <c r="V235" i="2" s="1"/>
  <c r="S448" i="3"/>
  <c r="W226" i="2" s="1"/>
  <c r="R448" i="3"/>
  <c r="V226" i="2" s="1"/>
  <c r="R354" i="3"/>
  <c r="V180" i="2" s="1"/>
  <c r="S354" i="3"/>
  <c r="W180" i="2" s="1"/>
  <c r="S340" i="3"/>
  <c r="Q340" i="3"/>
  <c r="S332" i="3"/>
  <c r="R332" i="3"/>
  <c r="Q332" i="3"/>
  <c r="S320" i="3"/>
  <c r="R320" i="3"/>
  <c r="Q311" i="3"/>
  <c r="R311" i="3"/>
  <c r="S292" i="3"/>
  <c r="Q292" i="3"/>
  <c r="R292" i="3"/>
  <c r="Q275" i="3"/>
  <c r="S275" i="3"/>
  <c r="W140" i="2" s="1"/>
  <c r="S238" i="3"/>
  <c r="R238" i="3"/>
  <c r="Q157" i="3"/>
  <c r="R157" i="3"/>
  <c r="V82" i="2" s="1"/>
  <c r="Q96" i="3"/>
  <c r="S96" i="3"/>
  <c r="S496" i="3"/>
  <c r="R4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V176" i="2" s="1"/>
  <c r="S350" i="3"/>
  <c r="W176" i="2" s="1"/>
  <c r="R229" i="3"/>
  <c r="V117" i="2" s="1"/>
  <c r="Q229" i="3"/>
  <c r="S229" i="3"/>
  <c r="W117" i="2" s="1"/>
  <c r="T117" i="2"/>
  <c r="U117" i="2" s="1"/>
  <c r="S198" i="2"/>
  <c r="T44" i="2"/>
  <c r="U44" i="2" s="1"/>
  <c r="S37" i="2"/>
  <c r="T243" i="2"/>
  <c r="U243" i="2" s="1"/>
  <c r="S148" i="2"/>
  <c r="T143" i="2"/>
  <c r="U143" i="2" s="1"/>
  <c r="S128" i="2"/>
  <c r="T95" i="2"/>
  <c r="U95" i="2" s="1"/>
  <c r="S44" i="2"/>
  <c r="Q479" i="3"/>
  <c r="S479" i="3"/>
  <c r="S422" i="3"/>
  <c r="W213" i="2" s="1"/>
  <c r="R422" i="3"/>
  <c r="V213" i="2" s="1"/>
  <c r="Q375" i="3"/>
  <c r="S375" i="3"/>
  <c r="W190" i="2" s="1"/>
  <c r="R362" i="3"/>
  <c r="V182" i="2" s="1"/>
  <c r="S362" i="3"/>
  <c r="W182" i="2" s="1"/>
  <c r="Q344" i="3"/>
  <c r="R344" i="3"/>
  <c r="V174" i="2" s="1"/>
  <c r="S264" i="3"/>
  <c r="R264" i="3"/>
  <c r="Q264" i="3"/>
  <c r="R213" i="3"/>
  <c r="V109" i="2" s="1"/>
  <c r="S213" i="3"/>
  <c r="W109" i="2" s="1"/>
  <c r="S198" i="3"/>
  <c r="R198" i="3"/>
  <c r="Q198" i="3"/>
  <c r="Q136" i="3"/>
  <c r="S136" i="3"/>
  <c r="W70" i="2" s="1"/>
  <c r="Q45" i="3"/>
  <c r="R45" i="3"/>
  <c r="V25" i="2" s="1"/>
  <c r="Q29" i="3"/>
  <c r="R29" i="3"/>
  <c r="V17" i="2" s="1"/>
  <c r="Q79" i="3"/>
  <c r="R79" i="3"/>
  <c r="V43" i="2" s="1"/>
  <c r="S79" i="3"/>
  <c r="W43" i="2" s="1"/>
  <c r="S68" i="3"/>
  <c r="W37" i="2" s="1"/>
  <c r="R68" i="3"/>
  <c r="V37" i="2" s="1"/>
  <c r="S233" i="2"/>
  <c r="T176" i="2"/>
  <c r="U176" i="2" s="1"/>
  <c r="S240" i="2"/>
  <c r="T128" i="2"/>
  <c r="U128" i="2" s="1"/>
  <c r="T123" i="2"/>
  <c r="U123" i="2" s="1"/>
  <c r="T253" i="2"/>
  <c r="U253" i="2" s="1"/>
  <c r="S253" i="2"/>
  <c r="S243" i="2"/>
  <c r="S223" i="2"/>
  <c r="T219" i="2"/>
  <c r="U219" i="2" s="1"/>
  <c r="S197" i="2"/>
  <c r="S164" i="2"/>
  <c r="T147" i="2"/>
  <c r="U147" i="2" s="1"/>
  <c r="T127" i="2"/>
  <c r="U127" i="2" s="1"/>
  <c r="S95" i="2"/>
  <c r="T72" i="2"/>
  <c r="U72" i="2" s="1"/>
  <c r="P524" i="3"/>
  <c r="Q520" i="3"/>
  <c r="R491" i="3"/>
  <c r="V248" i="2" s="1"/>
  <c r="S484" i="3"/>
  <c r="W245" i="2" s="1"/>
  <c r="Q484" i="3"/>
  <c r="Q455" i="3"/>
  <c r="R438" i="3"/>
  <c r="Q421" i="3"/>
  <c r="S330" i="3"/>
  <c r="W169" i="2" s="1"/>
  <c r="Q310" i="3"/>
  <c r="R310" i="3"/>
  <c r="Q149" i="3"/>
  <c r="R149" i="3"/>
  <c r="V78" i="2" s="1"/>
  <c r="Q125" i="3"/>
  <c r="R125" i="3"/>
  <c r="S17" i="3"/>
  <c r="Q17" i="3"/>
  <c r="Q5" i="3"/>
  <c r="R5" i="3"/>
  <c r="S360" i="3"/>
  <c r="Q360" i="3"/>
  <c r="Q37" i="3"/>
  <c r="R37" i="3"/>
  <c r="S390" i="3"/>
  <c r="W198" i="2" s="1"/>
  <c r="Q390" i="3"/>
  <c r="S373" i="3"/>
  <c r="W189" i="2" s="1"/>
  <c r="Q373" i="3"/>
  <c r="S333" i="3"/>
  <c r="Q333" i="3"/>
  <c r="R333" i="3"/>
  <c r="S316" i="3"/>
  <c r="W159" i="2" s="1"/>
  <c r="Q316" i="3"/>
  <c r="R316" i="3"/>
  <c r="V159" i="2" s="1"/>
  <c r="S25" i="3"/>
  <c r="Q25" i="3"/>
  <c r="T240" i="2"/>
  <c r="U240" i="2" s="1"/>
  <c r="T159" i="2"/>
  <c r="U159" i="2" s="1"/>
  <c r="S159" i="2"/>
  <c r="S117" i="2"/>
  <c r="T223" i="2"/>
  <c r="U223" i="2" s="1"/>
  <c r="T250" i="2"/>
  <c r="U250" i="2" s="1"/>
  <c r="S242" i="2"/>
  <c r="T236" i="2"/>
  <c r="U236" i="2" s="1"/>
  <c r="S219" i="2"/>
  <c r="T206" i="2"/>
  <c r="U206" i="2" s="1"/>
  <c r="T189" i="2"/>
  <c r="U189" i="2" s="1"/>
  <c r="T172" i="2"/>
  <c r="U172" i="2" s="1"/>
  <c r="T163" i="2"/>
  <c r="U163" i="2" s="1"/>
  <c r="T160" i="2"/>
  <c r="U160" i="2" s="1"/>
  <c r="T158" i="2"/>
  <c r="U158" i="2" s="1"/>
  <c r="S134" i="2"/>
  <c r="S127" i="2"/>
  <c r="S112" i="2"/>
  <c r="S72" i="2"/>
  <c r="T10" i="2"/>
  <c r="U10" i="2" s="1"/>
  <c r="S516" i="3"/>
  <c r="W261" i="2" s="1"/>
  <c r="T261" i="2"/>
  <c r="U261" i="2" s="1"/>
  <c r="R504" i="3"/>
  <c r="V255" i="2" s="1"/>
  <c r="S493" i="3"/>
  <c r="W250" i="2" s="1"/>
  <c r="Q463" i="3"/>
  <c r="R463" i="3"/>
  <c r="V234" i="2" s="1"/>
  <c r="R458" i="3"/>
  <c r="Q442" i="3"/>
  <c r="R442" i="3"/>
  <c r="V224" i="2" s="1"/>
  <c r="Q438" i="3"/>
  <c r="Q396" i="3"/>
  <c r="R396" i="3"/>
  <c r="R374" i="3"/>
  <c r="S357" i="3"/>
  <c r="Q357" i="3"/>
  <c r="S334" i="3"/>
  <c r="R314" i="3"/>
  <c r="S314" i="3"/>
  <c r="R303" i="3"/>
  <c r="V154" i="2" s="1"/>
  <c r="S303" i="3"/>
  <c r="W154" i="2" s="1"/>
  <c r="Q104" i="3"/>
  <c r="S104" i="3"/>
  <c r="Q64" i="3"/>
  <c r="S64" i="3"/>
  <c r="S33" i="3"/>
  <c r="Q33" i="3"/>
  <c r="T255" i="2"/>
  <c r="U255" i="2" s="1"/>
  <c r="S252" i="2"/>
  <c r="S236" i="2"/>
  <c r="S206" i="2"/>
  <c r="S193" i="2"/>
  <c r="S177" i="2"/>
  <c r="S172" i="2"/>
  <c r="S160" i="2"/>
  <c r="S158" i="2"/>
  <c r="T43" i="2"/>
  <c r="U43" i="2" s="1"/>
  <c r="S38" i="2"/>
  <c r="T22" i="2"/>
  <c r="U22" i="2" s="1"/>
  <c r="S10" i="2"/>
  <c r="Q504" i="3"/>
  <c r="Q496" i="3"/>
  <c r="Q493" i="3"/>
  <c r="S472" i="3"/>
  <c r="W237" i="2" s="1"/>
  <c r="R472" i="3"/>
  <c r="V237" i="2" s="1"/>
  <c r="R360" i="3"/>
  <c r="R356" i="3"/>
  <c r="Q346" i="3"/>
  <c r="Q343" i="3"/>
  <c r="S343" i="3"/>
  <c r="W173" i="2" s="1"/>
  <c r="R338" i="3"/>
  <c r="S338" i="3"/>
  <c r="R334" i="3"/>
  <c r="S294" i="3"/>
  <c r="W149" i="2" s="1"/>
  <c r="Q257" i="3"/>
  <c r="S257" i="3"/>
  <c r="S247" i="3"/>
  <c r="R247" i="3"/>
  <c r="R58" i="3"/>
  <c r="Q58" i="3"/>
  <c r="S48" i="3"/>
  <c r="Q21" i="3"/>
  <c r="R21" i="3"/>
  <c r="V13" i="2" s="1"/>
  <c r="S203" i="3"/>
  <c r="W104" i="2" s="1"/>
  <c r="S162" i="3"/>
  <c r="Q72" i="3"/>
  <c r="S72" i="3"/>
  <c r="P523" i="3"/>
  <c r="T264" i="2" s="1"/>
  <c r="U264" i="2" s="1"/>
  <c r="S264" i="2"/>
  <c r="Q495" i="3"/>
  <c r="Q487" i="3"/>
  <c r="R435" i="3"/>
  <c r="Q324" i="3"/>
  <c r="Q279" i="3"/>
  <c r="S254" i="3"/>
  <c r="R254" i="3"/>
  <c r="R250" i="3"/>
  <c r="V126" i="2" s="1"/>
  <c r="R222" i="3"/>
  <c r="S218" i="3"/>
  <c r="W110" i="2" s="1"/>
  <c r="R203" i="3"/>
  <c r="V104" i="2" s="1"/>
  <c r="Q162" i="3"/>
  <c r="R154" i="3"/>
  <c r="Q154" i="3"/>
  <c r="R100" i="3"/>
  <c r="V54" i="2" s="1"/>
  <c r="Q66" i="3"/>
  <c r="R379" i="3"/>
  <c r="V191" i="2" s="1"/>
  <c r="S348" i="3"/>
  <c r="R348" i="3"/>
  <c r="R308" i="3"/>
  <c r="V156" i="2" s="1"/>
  <c r="S245" i="3"/>
  <c r="W125" i="2" s="1"/>
  <c r="Q222" i="3"/>
  <c r="R218" i="3"/>
  <c r="V110" i="2" s="1"/>
  <c r="R214" i="3"/>
  <c r="S211" i="3"/>
  <c r="W107" i="2" s="1"/>
  <c r="R206" i="3"/>
  <c r="S195" i="3"/>
  <c r="W100" i="2" s="1"/>
  <c r="R116" i="3"/>
  <c r="V60" i="2" s="1"/>
  <c r="S106" i="3"/>
  <c r="W56" i="2" s="1"/>
  <c r="Q100" i="3"/>
  <c r="R82" i="3"/>
  <c r="Q82" i="3"/>
  <c r="S71" i="3"/>
  <c r="W39" i="2" s="1"/>
  <c r="Q347" i="3"/>
  <c r="S326" i="3"/>
  <c r="W165" i="2" s="1"/>
  <c r="S323" i="3"/>
  <c r="R323" i="3"/>
  <c r="R263" i="3"/>
  <c r="R231" i="3"/>
  <c r="R135" i="3"/>
  <c r="V69" i="2" s="1"/>
  <c r="R132" i="3"/>
  <c r="R127" i="3"/>
  <c r="V65" i="2" s="1"/>
  <c r="Q49" i="3"/>
  <c r="Q9" i="3"/>
  <c r="R98" i="3"/>
  <c r="V52" i="2" s="1"/>
  <c r="S98" i="3"/>
  <c r="W52" i="2" s="1"/>
  <c r="M29" i="9"/>
  <c r="M30" i="9"/>
  <c r="M28" i="9"/>
  <c r="C16" i="8"/>
  <c r="F31" i="9"/>
  <c r="F32" i="9" s="1"/>
  <c r="F33" i="9" s="1"/>
  <c r="Q478" i="3"/>
  <c r="R478" i="3"/>
  <c r="S478" i="3"/>
  <c r="R18" i="3"/>
  <c r="S18" i="3"/>
  <c r="Q18" i="3"/>
  <c r="R525" i="3"/>
  <c r="V266" i="2" s="1"/>
  <c r="S525" i="3"/>
  <c r="W266" i="2" s="1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S523" i="3"/>
  <c r="W264" i="2" s="1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R386" i="3"/>
  <c r="V194" i="2" s="1"/>
  <c r="Q386" i="3"/>
  <c r="S386" i="3"/>
  <c r="W194" i="2" s="1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R244" i="3"/>
  <c r="V124" i="2" s="1"/>
  <c r="S244" i="3"/>
  <c r="W124" i="2" s="1"/>
  <c r="Q244" i="3"/>
  <c r="Q242" i="3"/>
  <c r="S242" i="3"/>
  <c r="W122" i="2" s="1"/>
  <c r="Q178" i="3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W263" i="2" s="1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W262" i="2" s="1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Q454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T91" i="2"/>
  <c r="U91" i="2" s="1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Q284" i="3"/>
  <c r="R284" i="3"/>
  <c r="V14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Q123" i="3"/>
  <c r="R123" i="3"/>
  <c r="V64" i="2" s="1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S179" i="3"/>
  <c r="W92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R179" i="3"/>
  <c r="V92" i="2" s="1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S129" i="3"/>
  <c r="W67" i="2" s="1"/>
  <c r="R129" i="3"/>
  <c r="V67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R92" i="3"/>
  <c r="V50" i="2" s="1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Q92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R47" i="3"/>
  <c r="V27" i="2" s="1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F24" i="9"/>
  <c r="F25" i="9" s="1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R825" i="3" l="1"/>
  <c r="V416" i="2" s="1"/>
  <c r="S825" i="3"/>
  <c r="W416" i="2" s="1"/>
  <c r="Q825" i="3"/>
  <c r="T416" i="2"/>
  <c r="U416" i="2" s="1"/>
  <c r="Q523" i="3"/>
  <c r="S524" i="3"/>
  <c r="W265" i="2" s="1"/>
  <c r="T265" i="2"/>
  <c r="U265" i="2" s="1"/>
  <c r="Q524" i="3"/>
  <c r="R524" i="3"/>
  <c r="V265" i="2" s="1"/>
  <c r="R523" i="3"/>
  <c r="V264" i="2" s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  <c r="E21" i="8" l="1"/>
</calcChain>
</file>

<file path=xl/sharedStrings.xml><?xml version="1.0" encoding="utf-8"?>
<sst xmlns="http://schemas.openxmlformats.org/spreadsheetml/2006/main" count="6352" uniqueCount="708">
  <si>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</si>
  <si>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</si>
  <si>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</si>
  <si>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</si>
  <si>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</si>
  <si>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</si>
  <si>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</si>
  <si>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</si>
  <si>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</si>
  <si>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</si>
  <si>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</si>
  <si>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</si>
  <si>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</si>
  <si>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</si>
  <si>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</si>
  <si>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</si>
  <si>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</si>
  <si>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</si>
  <si>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</si>
  <si>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</si>
  <si>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</si>
  <si>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</si>
  <si>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</si>
  <si>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</si>
  <si>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</si>
  <si>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</si>
  <si>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</si>
  <si>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</si>
  <si>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</si>
  <si>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</si>
  <si>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</si>
  <si>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</si>
  <si>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</si>
  <si>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</si>
  <si>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</si>
  <si>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</si>
  <si>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</si>
  <si>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</si>
  <si>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</si>
  <si>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</si>
  <si>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</si>
  <si>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</si>
  <si>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</si>
  <si>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</si>
  <si>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</si>
  <si>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</si>
  <si>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</si>
  <si>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</si>
  <si>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</si>
  <si>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</si>
  <si>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</si>
  <si>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</si>
  <si>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</si>
  <si>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</si>
  <si>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</si>
  <si>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</si>
  <si>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</si>
  <si>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</si>
  <si>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</si>
  <si>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</si>
  <si>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</si>
  <si>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</si>
  <si>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</si>
  <si>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</si>
  <si>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</si>
  <si>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</si>
  <si>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</si>
  <si>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</si>
  <si>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</si>
  <si>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</si>
  <si>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</si>
  <si>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</si>
  <si>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</si>
  <si>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</si>
  <si>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</si>
  <si>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</si>
  <si>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</si>
  <si>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</si>
  <si>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</si>
  <si>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</si>
  <si>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</si>
  <si>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</si>
  <si>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</si>
  <si>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</si>
  <si>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</si>
  <si>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</si>
  <si>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</si>
  <si>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</si>
  <si>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</si>
  <si>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</si>
  <si>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</si>
  <si>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</si>
  <si>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</si>
  <si>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</si>
  <si>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</si>
  <si>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</si>
  <si>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</si>
  <si>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</si>
  <si>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</si>
  <si>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</si>
  <si>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</si>
  <si>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</si>
  <si>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</si>
  <si>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</si>
  <si>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</si>
  <si>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</si>
  <si>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</si>
  <si>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</si>
  <si>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</si>
  <si>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</si>
  <si>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</si>
  <si>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</si>
  <si>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</si>
  <si>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</si>
  <si>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</si>
  <si>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</si>
  <si>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</si>
  <si>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</si>
  <si>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</si>
  <si>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</si>
  <si>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</si>
  <si>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</si>
  <si>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</si>
  <si>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</si>
  <si>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</si>
  <si>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</si>
  <si>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</si>
  <si>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</si>
  <si>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</si>
  <si>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</si>
  <si>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</si>
  <si>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</si>
  <si>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</si>
  <si>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</si>
  <si>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</si>
  <si>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</si>
  <si>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</si>
  <si>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</si>
  <si>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</si>
  <si>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</si>
  <si>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</si>
  <si>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</si>
  <si>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</si>
  <si>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</si>
  <si>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</si>
  <si>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</si>
  <si>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</si>
  <si>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</si>
  <si>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</si>
  <si>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</si>
  <si>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</si>
  <si>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</si>
  <si>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</si>
  <si>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</si>
  <si>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</si>
  <si>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</si>
  <si>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</si>
  <si>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</si>
  <si>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</si>
  <si>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</si>
  <si>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</si>
  <si>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</si>
  <si>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</si>
  <si>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</si>
  <si>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</si>
  <si>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</si>
  <si>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</si>
  <si>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</si>
  <si>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</si>
  <si>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</si>
  <si>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</si>
  <si>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</si>
  <si>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</si>
  <si>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</si>
  <si>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</si>
  <si>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</si>
  <si>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</si>
  <si>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</si>
  <si>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</si>
  <si>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</si>
  <si>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</si>
  <si>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</si>
  <si>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</si>
  <si>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</si>
  <si>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</si>
  <si>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</si>
  <si>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</si>
  <si>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</si>
  <si>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</si>
  <si>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</si>
  <si>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</si>
  <si>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</si>
  <si>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</si>
  <si>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</si>
  <si>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</si>
  <si>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</si>
  <si>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</si>
  <si>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</si>
  <si>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</si>
  <si>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</si>
  <si>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</si>
  <si>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</si>
  <si>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</si>
  <si>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</si>
  <si>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</si>
  <si>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</si>
  <si>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</si>
  <si>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</si>
  <si>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</si>
  <si>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</si>
  <si>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</si>
  <si>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</si>
  <si>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</si>
  <si>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</si>
  <si>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</si>
  <si>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</si>
  <si>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</si>
  <si>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</si>
  <si>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</si>
  <si>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</si>
  <si>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</si>
  <si>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</si>
  <si>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</si>
  <si>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</si>
  <si>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</si>
  <si>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</si>
  <si>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</si>
  <si>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</si>
  <si>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</si>
  <si>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</si>
  <si>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</si>
  <si>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</si>
  <si>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</si>
  <si>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</si>
  <si>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</si>
  <si>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</si>
  <si>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</si>
  <si>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</si>
  <si>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</si>
  <si>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</si>
  <si>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</si>
  <si>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</si>
  <si>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</si>
  <si>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</si>
  <si>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</si>
  <si>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</si>
  <si>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</si>
  <si>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</si>
  <si>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</si>
  <si>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</si>
  <si>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</si>
  <si>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</si>
  <si>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</si>
  <si>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</si>
  <si>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</si>
  <si>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</si>
  <si>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</si>
  <si>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</si>
  <si>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</si>
  <si>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</si>
  <si>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</si>
  <si>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</si>
  <si>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</si>
  <si>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</si>
  <si>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</si>
  <si>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</si>
  <si>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</si>
  <si>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</si>
  <si>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</si>
  <si>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</si>
  <si>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</si>
  <si>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</si>
  <si>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</si>
  <si>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</si>
  <si>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</si>
  <si>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</si>
  <si>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</si>
  <si>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</si>
  <si>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</si>
  <si>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</si>
  <si>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</si>
  <si>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</si>
  <si>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</si>
  <si>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</si>
  <si>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</si>
  <si>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</si>
  <si>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</si>
  <si>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</si>
  <si>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</si>
  <si>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</si>
  <si>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</si>
  <si>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</si>
  <si>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</si>
  <si>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</si>
  <si>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</si>
  <si>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</si>
  <si>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</si>
  <si>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</si>
  <si>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</si>
  <si>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</si>
  <si>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</si>
  <si>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</si>
  <si>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</si>
  <si>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</si>
  <si>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</si>
  <si>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</si>
  <si>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</si>
  <si>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</si>
  <si>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</si>
  <si>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</si>
  <si>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</si>
  <si>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</si>
  <si>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</si>
  <si>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</si>
  <si>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</si>
  <si>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</si>
  <si>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</si>
  <si>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</si>
  <si>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</si>
  <si>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</si>
  <si>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</si>
  <si>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</si>
  <si>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</si>
  <si>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</si>
  <si>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</si>
  <si>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</si>
  <si>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</si>
  <si>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</si>
  <si>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</si>
  <si>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</si>
  <si>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</si>
  <si>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</si>
  <si>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</si>
  <si>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</si>
  <si>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</si>
  <si>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</si>
  <si>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</si>
  <si>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</si>
  <si>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</si>
  <si>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</si>
  <si>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</si>
  <si>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</si>
  <si>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</si>
  <si>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</si>
  <si>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</si>
  <si>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</si>
  <si>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</si>
  <si>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</si>
  <si>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</si>
  <si>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</si>
  <si>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</si>
  <si>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</si>
  <si>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</si>
  <si>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</si>
  <si>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</si>
  <si>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</si>
  <si>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</si>
  <si>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</si>
  <si>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</si>
  <si>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</si>
  <si>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</si>
  <si>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</si>
  <si>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</si>
  <si>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</si>
  <si>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</si>
  <si>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</si>
  <si>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</si>
  <si>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</si>
  <si>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</si>
  <si>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</si>
  <si>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</si>
  <si>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</si>
  <si>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</si>
  <si>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</si>
  <si>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</si>
  <si>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</si>
  <si>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</si>
  <si>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</si>
  <si>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</si>
  <si>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</si>
  <si>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</si>
  <si>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</si>
  <si>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</si>
  <si>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</si>
  <si>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</si>
  <si>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</si>
  <si>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</si>
  <si>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</si>
  <si>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</si>
  <si>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</si>
  <si>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</si>
  <si>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</si>
  <si>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</si>
  <si>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</si>
  <si>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</si>
  <si>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</si>
  <si>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</si>
  <si>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</si>
  <si>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</si>
  <si>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</si>
  <si>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</si>
  <si>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</si>
  <si>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</si>
  <si>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</si>
  <si>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</si>
  <si>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</si>
  <si>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</si>
  <si>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</si>
  <si>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</si>
  <si>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</si>
  <si>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</si>
  <si>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</si>
  <si>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</si>
  <si>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</si>
  <si>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</si>
  <si>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</si>
  <si>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</si>
  <si>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</si>
  <si>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</si>
  <si>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</si>
  <si>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</si>
  <si>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</si>
  <si>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</si>
  <si>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</si>
  <si>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</si>
  <si>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</si>
  <si>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</si>
  <si>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</si>
  <si>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</si>
  <si>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</si>
  <si>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</si>
  <si>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</si>
  <si>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</si>
  <si>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</si>
  <si>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</si>
  <si>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</si>
  <si>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</si>
  <si>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</si>
  <si>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</si>
  <si>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</si>
  <si>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</si>
  <si>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</si>
  <si>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</si>
  <si>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</si>
  <si>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</si>
  <si>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</si>
  <si>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</si>
  <si>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</si>
  <si>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</si>
  <si>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</si>
  <si>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</si>
  <si>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</si>
  <si>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</si>
  <si>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</si>
  <si>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</si>
  <si>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</si>
  <si>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</si>
  <si>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</si>
  <si>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</si>
  <si>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</si>
  <si>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</si>
  <si>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</si>
  <si>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</si>
  <si>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</si>
  <si>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</si>
  <si>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</si>
  <si>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</si>
  <si>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</si>
  <si>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</si>
  <si>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</si>
  <si>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</si>
  <si>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</si>
  <si>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</si>
  <si>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</si>
  <si>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</si>
  <si>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</si>
  <si>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</si>
  <si>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</si>
  <si>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</si>
  <si>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</si>
  <si>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</si>
  <si>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</si>
  <si>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</si>
  <si>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</si>
  <si>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</si>
  <si>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</si>
  <si>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</si>
  <si>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</si>
  <si>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</si>
  <si>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</si>
  <si>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</si>
  <si>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</si>
  <si>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</si>
  <si>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</si>
  <si>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</si>
  <si>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</si>
  <si>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</si>
  <si>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</si>
  <si>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</si>
  <si>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</si>
  <si>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</si>
  <si>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</si>
  <si>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</si>
  <si>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</si>
  <si>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</si>
  <si>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</si>
  <si>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</si>
  <si>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</si>
  <si>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</si>
  <si>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</si>
  <si>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</si>
  <si>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</si>
  <si>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</si>
  <si>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</si>
  <si>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</si>
  <si>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</si>
  <si>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</si>
  <si>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</si>
  <si>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</si>
  <si>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</si>
  <si>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</si>
  <si>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</si>
  <si>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</si>
  <si>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</si>
  <si>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</si>
  <si>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</si>
  <si>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</si>
  <si>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</si>
  <si>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</si>
  <si>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</si>
  <si>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</si>
  <si>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</si>
  <si>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</si>
  <si>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</si>
  <si>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</si>
  <si>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</si>
  <si>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</si>
  <si>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</si>
  <si>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</si>
  <si>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</si>
  <si>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</si>
  <si>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</si>
  <si>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</si>
  <si>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</si>
  <si>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</si>
  <si>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</si>
  <si>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</si>
  <si>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</si>
  <si>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</si>
  <si>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</si>
  <si>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</si>
  <si>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</si>
  <si>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</si>
  <si>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</si>
  <si>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</si>
  <si>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</si>
  <si>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</si>
  <si>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</si>
  <si>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</si>
  <si>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</si>
  <si>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</si>
  <si>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</si>
  <si>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</si>
  <si>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</si>
  <si>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</si>
  <si>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</si>
  <si>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</si>
  <si>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</si>
  <si>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</si>
  <si>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</si>
  <si>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</si>
  <si>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</si>
  <si>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</si>
  <si>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</si>
  <si>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</si>
  <si>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</si>
  <si>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</si>
  <si>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</si>
  <si>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</si>
  <si>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</si>
  <si>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</si>
  <si>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</si>
  <si>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</si>
  <si>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</si>
  <si>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</si>
  <si>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</si>
  <si>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</si>
  <si>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</si>
  <si>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</si>
  <si>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</si>
  <si>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</si>
  <si>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</si>
  <si>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</si>
  <si>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</si>
  <si>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</si>
  <si>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</si>
  <si>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</si>
  <si>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</si>
  <si>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</si>
  <si>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</si>
  <si>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</si>
  <si>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</si>
  <si>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</si>
  <si>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</si>
  <si>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</si>
  <si>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</si>
  <si>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</si>
  <si>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</si>
  <si>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</si>
  <si>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</si>
  <si>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</si>
  <si>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</si>
  <si>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</si>
  <si>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</si>
  <si>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</si>
  <si>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</si>
  <si>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strategy_13_demo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</si>
  <si>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</si>
  <si>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</si>
  <si>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</si>
  <si>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</si>
  <si>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</si>
  <si>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</si>
  <si>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</si>
  <si>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</si>
  <si>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</si>
  <si>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</si>
  <si>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</si>
  <si>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</si>
  <si>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</si>
  <si>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</si>
  <si>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</si>
  <si>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</si>
  <si>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</si>
  <si>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</si>
  <si>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</si>
  <si>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</si>
  <si>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</si>
  <si>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</si>
  <si>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</si>
  <si>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</si>
  <si>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</si>
  <si>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</si>
  <si>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</si>
  <si>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</si>
  <si>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</si>
  <si>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</si>
  <si>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strategy_14_demo</t>
  </si>
  <si>
    <t>[sl 3657.51]</t>
  </si>
  <si>
    <t>[sl 3658.01]</t>
  </si>
  <si>
    <t>[sl 3658.08]</t>
  </si>
  <si>
    <t>[tp 3659.55]</t>
  </si>
  <si>
    <t>[tp 3659.62]</t>
  </si>
  <si>
    <t>strategy_15_demo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</si>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</sst>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0" xfId="0" applyNumberFormat="1"/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2" xfId="0" applyNumberFormat="1" applyFont="1" applyBorder="1" applyAlignment="1">
      <alignment horizont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10" fillId="9" borderId="0" xfId="0" applyFont="1" applyFill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/>
    </xf>
  </cellXfs>
  <cellStyles count="2">
    <cellStyle name="Normal" xfId="0" builtinId="0"/>
    <cellStyle name="Percent" xfId="1" builtinId="5"/>
  </cellStyles>
  <dxfs count="92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824301388886" createdVersion="8" refreshedVersion="8" minRefreshableVersion="3" recordCount="44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14:35:08"/>
    </cacheField>
    <cacheField name="Position" numFmtId="0">
      <sharedItems containsString="0" containsBlank="1" containsNumber="1" containsInteger="1" minValue="442874070" maxValue="44336200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6.18" maxValue="3699.07"/>
    </cacheField>
    <cacheField name="S / L" numFmtId="0">
      <sharedItems containsString="0" containsBlank="1" containsNumber="1" minValue="3636.25" maxValue="3696.57"/>
    </cacheField>
    <cacheField name="T / P" numFmtId="0">
      <sharedItems containsString="0" containsBlank="1" containsNumber="1" minValue="3632.99" maxValue="3702.57"/>
    </cacheField>
    <cacheField name="Time2" numFmtId="0">
      <sharedItems containsBlank="1"/>
    </cacheField>
    <cacheField name="Price2" numFmtId="0">
      <sharedItems containsString="0" containsBlank="1" containsNumber="1" minValue="3634.66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6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4:35:08"/>
    </cacheField>
    <cacheField name="opening_timestamp_manila" numFmtId="0">
      <sharedItems containsNonDate="0" containsDate="1" containsString="0" containsBlank="1" minDate="2025-09-16T14:04:38" maxDate="2025-09-18T19:35:08" count="342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9:35:0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9:35:0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826367476853" createdVersion="8" refreshedVersion="8" minRefreshableVersion="3" recordCount="44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14:35:08"/>
    </cacheField>
    <cacheField name="Position" numFmtId="0">
      <sharedItems containsString="0" containsBlank="1" containsNumber="1" containsInteger="1" minValue="442874070" maxValue="44336200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6.18" maxValue="3699.07"/>
    </cacheField>
    <cacheField name="S / L" numFmtId="0">
      <sharedItems containsString="0" containsBlank="1" containsNumber="1" minValue="3636.25" maxValue="3696.57"/>
    </cacheField>
    <cacheField name="T / P" numFmtId="0">
      <sharedItems containsString="0" containsBlank="1" containsNumber="1" minValue="3632.99" maxValue="3702.57"/>
    </cacheField>
    <cacheField name="Time2" numFmtId="0">
      <sharedItems containsBlank="1"/>
    </cacheField>
    <cacheField name="Price2" numFmtId="0">
      <sharedItems containsString="0" containsBlank="1" containsNumber="1" minValue="3634.66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6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4:35:08"/>
    </cacheField>
    <cacheField name="opening_timestamp_manila" numFmtId="0">
      <sharedItems containsNonDate="0" containsDate="1" containsString="0" containsBlank="1" minDate="2025-09-16T14:04:38" maxDate="2025-09-18T19:35:08" count="338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Seconds (opening_timestamp_manila)" numFmtId="0" databaseField="0">
      <fieldGroup base="19">
        <rangePr groupBy="second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9:35:0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9:35:0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m/>
    <m/>
    <m/>
    <m/>
    <m/>
    <m/>
    <m/>
    <m/>
    <m/>
    <m/>
    <m/>
    <m/>
    <m/>
    <m/>
    <m/>
    <m/>
    <x v="12"/>
    <m/>
    <m/>
    <x v="233"/>
    <x v="2"/>
    <x v="23"/>
    <x v="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m/>
    <m/>
    <m/>
    <m/>
    <m/>
    <m/>
    <m/>
    <m/>
    <m/>
    <m/>
    <m/>
    <m/>
    <m/>
    <m/>
    <m/>
    <m/>
    <x v="12"/>
    <m/>
    <m/>
    <x v="233"/>
    <m/>
    <x v="23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Z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39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um of Profit" fld="12" baseField="0" baseItem="0"/>
  </dataFields>
  <formats count="10">
    <format dxfId="55">
      <pivotArea type="all" dataOnly="0" outline="0" fieldPosition="0"/>
    </format>
    <format dxfId="56">
      <pivotArea outline="0" collapsedLevelsAreSubtotals="1" fieldPosition="0"/>
    </format>
    <format dxfId="5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8">
      <pivotArea dataOnly="0" labelOnly="1" grandCol="1" outline="0" fieldPosition="0"/>
    </format>
    <format dxfId="59">
      <pivotArea outline="0" collapsedLevelsAreSubtotals="1" fieldPosition="0"/>
    </format>
    <format dxfId="60">
      <pivotArea field="21" type="button" dataOnly="0" labelOnly="1" outline="0" axis="axisRow" fieldPosition="0"/>
    </format>
    <format dxfId="61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62">
      <pivotArea dataOnly="0" labelOnly="1" grandRow="1" outline="0" fieldPosition="0"/>
    </format>
    <format dxfId="63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64">
      <pivotArea dataOnly="0" labelOnly="1" grandCol="1" outline="0" fieldPosition="0"/>
    </format>
  </formats>
  <conditionalFormats count="4"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N5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um of Profit" fld="12" baseField="0" baseItem="0"/>
  </dataFields>
  <formats count="32">
    <format dxfId="73">
      <pivotArea dataOnly="0" labelOnly="1" fieldPosition="0">
        <references count="1">
          <reference field="16" count="1">
            <x v="11"/>
          </reference>
        </references>
      </pivotArea>
    </format>
    <format dxfId="74">
      <pivotArea type="all" dataOnly="0" outline="0" fieldPosition="0"/>
    </format>
    <format dxfId="75">
      <pivotArea outline="0" collapsedLevelsAreSubtotals="1" fieldPosition="0"/>
    </format>
    <format dxfId="76">
      <pivotArea type="origin" dataOnly="0" labelOnly="1" outline="0" fieldPosition="0"/>
    </format>
    <format dxfId="77">
      <pivotArea field="16" type="button" dataOnly="0" labelOnly="1" outline="0" axis="axisCol" fieldPosition="0"/>
    </format>
    <format dxfId="78">
      <pivotArea type="topRight" dataOnly="0" labelOnly="1" outline="0" fieldPosition="0"/>
    </format>
    <format dxfId="79">
      <pivotArea field="20" type="button" dataOnly="0" labelOnly="1" outline="0" axis="axisRow" fieldPosition="0"/>
    </format>
    <format dxfId="80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81">
      <pivotArea dataOnly="0" labelOnly="1" grandRow="1" outline="0" fieldPosition="0"/>
    </format>
    <format dxfId="8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3">
      <pivotArea dataOnly="0" labelOnly="1" grandCol="1" outline="0" fieldPosition="0"/>
    </format>
    <format dxfId="8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5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86">
      <pivotArea dataOnly="0" labelOnly="1" fieldPosition="0">
        <references count="1">
          <reference field="16" count="1">
            <x v="8"/>
          </reference>
        </references>
      </pivotArea>
    </format>
    <format dxfId="87">
      <pivotArea dataOnly="0" labelOnly="1" fieldPosition="0">
        <references count="1">
          <reference field="16" count="1">
            <x v="8"/>
          </reference>
        </references>
      </pivotArea>
    </format>
    <format dxfId="8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9">
      <pivotArea outline="0" collapsedLevelsAreSubtotals="1" fieldPosition="0"/>
    </format>
    <format dxfId="9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91">
      <pivotArea dataOnly="0" labelOnly="1" grandCol="1" outline="0" fieldPosition="0"/>
    </format>
    <format dxfId="12">
      <pivotArea dataOnly="0" labelOnly="1" fieldPosition="0">
        <references count="1">
          <reference field="16" count="1">
            <x v="8"/>
          </reference>
        </references>
      </pivotArea>
    </format>
    <format dxfId="1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16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20" type="button" dataOnly="0" labelOnly="1" outline="0" axis="axisRow" fieldPosition="0"/>
    </format>
    <format dxfId="3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0">
      <pivotArea dataOnly="0" labelOnly="1" grandCol="1" outline="0" fieldPosition="0"/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39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49">
      <pivotArea type="all" dataOnly="0" outline="0" fieldPosition="0"/>
    </format>
    <format dxfId="50">
      <pivotArea outline="0" collapsedLevelsAreSubtotals="1" fieldPosition="0"/>
    </format>
    <format dxfId="51">
      <pivotArea field="22" type="button" dataOnly="0" labelOnly="1" outline="0" axis="axisRow" fieldPosition="0"/>
    </format>
    <format dxfId="52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53">
      <pivotArea dataOnly="0" labelOnly="1" grandRow="1" outline="0" fieldPosition="0"/>
    </format>
    <format dxfId="54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1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Profit" fld="12" baseField="0" baseItem="0"/>
  </dataFields>
  <formats count="8">
    <format dxfId="66">
      <pivotArea dataOnly="0" labelOnly="1" fieldPosition="0">
        <references count="1">
          <reference field="16" count="1">
            <x v="11"/>
          </reference>
        </references>
      </pivotArea>
    </format>
    <format dxfId="67">
      <pivotArea type="all" dataOnly="0" outline="0" fieldPosition="0"/>
    </format>
    <format dxfId="68">
      <pivotArea outline="0" collapsedLevelsAreSubtotals="1" fieldPosition="0"/>
    </format>
    <format dxfId="69">
      <pivotArea field="16" type="button" dataOnly="0" labelOnly="1" outline="0" axis="axisRow" fieldPosition="0"/>
    </format>
    <format dxfId="70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1">
      <pivotArea dataOnly="0" labelOnly="1" grandRow="1" outline="0" fieldPosition="0"/>
    </format>
    <format dxfId="72">
      <pivotArea dataOnly="0" labelOnly="1" outline="0" axis="axisValues" fieldPosition="0"/>
    </format>
    <format dxfId="65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9">
    <i>
      <x/>
    </i>
    <i>
      <x v="1"/>
    </i>
    <i>
      <x v="5"/>
    </i>
    <i>
      <x v="8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Row"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3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Z104"/>
  <sheetViews>
    <sheetView showGridLines="0" tabSelected="1" topLeftCell="N10" workbookViewId="0">
      <selection activeCell="X28" sqref="X28:X35"/>
    </sheetView>
  </sheetViews>
  <sheetFormatPr defaultRowHeight="15" zeroHeight="1" x14ac:dyDescent="0.25"/>
  <cols>
    <col min="1" max="1" width="16" bestFit="1" customWidth="1"/>
    <col min="2" max="2" width="19.7109375" customWidth="1"/>
    <col min="3" max="4" width="16.140625" bestFit="1" customWidth="1"/>
    <col min="5" max="7" width="15.85546875" bestFit="1" customWidth="1"/>
    <col min="8" max="8" width="12" bestFit="1" customWidth="1"/>
    <col min="9" max="9" width="11.28515625" bestFit="1" customWidth="1"/>
    <col min="10" max="11" width="15.85546875" bestFit="1" customWidth="1"/>
    <col min="12" max="12" width="16.140625" customWidth="1"/>
    <col min="13" max="13" width="17.7109375" customWidth="1"/>
    <col min="14" max="16" width="16.140625" bestFit="1" customWidth="1"/>
    <col min="17" max="25" width="15.85546875" bestFit="1" customWidth="1"/>
    <col min="26" max="26" width="10" bestFit="1" customWidth="1"/>
  </cols>
  <sheetData>
    <row r="1" spans="1:26" ht="18.75" x14ac:dyDescent="0.3">
      <c r="A1" s="27" t="s">
        <v>59</v>
      </c>
      <c r="C1" s="26">
        <v>32.25</v>
      </c>
    </row>
    <row r="2" spans="1:26" x14ac:dyDescent="0.25"/>
    <row r="3" spans="1:26" x14ac:dyDescent="0.25"/>
    <row r="4" spans="1:26" x14ac:dyDescent="0.25">
      <c r="J4" s="30"/>
      <c r="K4" s="30"/>
    </row>
    <row r="5" spans="1:26" x14ac:dyDescent="0.25">
      <c r="J5" s="30"/>
      <c r="K5" s="30"/>
    </row>
    <row r="6" spans="1:26" x14ac:dyDescent="0.25">
      <c r="J6" s="30"/>
      <c r="K6" s="30"/>
    </row>
    <row r="7" spans="1:26" ht="17.100000000000001" customHeight="1" x14ac:dyDescent="0.25">
      <c r="A7" s="27" t="s">
        <v>280</v>
      </c>
    </row>
    <row r="8" spans="1:26" ht="17.100000000000001" customHeight="1" x14ac:dyDescent="0.25">
      <c r="A8" s="48" t="s">
        <v>54</v>
      </c>
      <c r="B8" s="49" t="s">
        <v>56</v>
      </c>
      <c r="C8" s="52" t="s">
        <v>175</v>
      </c>
      <c r="D8" s="52" t="s">
        <v>176</v>
      </c>
      <c r="E8" s="52" t="s">
        <v>177</v>
      </c>
      <c r="H8" s="27" t="s">
        <v>282</v>
      </c>
      <c r="M8" s="27" t="s">
        <v>281</v>
      </c>
    </row>
    <row r="9" spans="1:26" ht="17.100000000000001" customHeight="1" x14ac:dyDescent="0.25">
      <c r="A9" s="50" t="s">
        <v>124</v>
      </c>
      <c r="B9" s="61">
        <v>7.3600000000000012</v>
      </c>
      <c r="C9" s="53">
        <f>COUNTIFS(Positions_Demo!$Q:$Q,$A9,Positions_Demo!$N:$N,"W")</f>
        <v>8</v>
      </c>
      <c r="D9" s="53">
        <f>COUNTIFS(Positions_Demo!$Q:$Q,$A9,Positions_Demo!$N:$N,"L")</f>
        <v>4</v>
      </c>
      <c r="E9" s="54">
        <f>C9/(C9+D9)</f>
        <v>0.66666666666666663</v>
      </c>
      <c r="H9" s="48" t="s">
        <v>29</v>
      </c>
      <c r="I9" s="49" t="s">
        <v>279</v>
      </c>
    </row>
    <row r="10" spans="1:26" ht="17.100000000000001" customHeight="1" x14ac:dyDescent="0.25">
      <c r="A10" s="50" t="s">
        <v>125</v>
      </c>
      <c r="B10" s="61">
        <v>17.96</v>
      </c>
      <c r="C10" s="53">
        <f>COUNTIFS(Positions_Demo!$Q:$Q,$A10,Positions_Demo!$N:$N,"W")</f>
        <v>8</v>
      </c>
      <c r="D10" s="53">
        <f>COUNTIFS(Positions_Demo!$Q:$Q,$A10,Positions_Demo!$N:$N,"L")</f>
        <v>4</v>
      </c>
      <c r="E10" s="54">
        <f t="shared" ref="E10:E14" si="0">C10/(C10+D10)</f>
        <v>0.66666666666666663</v>
      </c>
      <c r="H10" s="49"/>
      <c r="I10" s="49"/>
    </row>
    <row r="11" spans="1:26" ht="17.100000000000001" customHeight="1" x14ac:dyDescent="0.25">
      <c r="A11" s="50" t="s">
        <v>123</v>
      </c>
      <c r="B11" s="61">
        <v>13.809999999999999</v>
      </c>
      <c r="C11" s="53">
        <f>COUNTIFS(Positions_Demo!$Q:$Q,$A11,Positions_Demo!$N:$N,"W")</f>
        <v>9</v>
      </c>
      <c r="D11" s="53">
        <f>COUNTIFS(Positions_Demo!$Q:$Q,$A11,Positions_Demo!$N:$N,"L")</f>
        <v>5</v>
      </c>
      <c r="E11" s="54">
        <f t="shared" si="0"/>
        <v>0.6428571428571429</v>
      </c>
      <c r="H11" s="48" t="s">
        <v>54</v>
      </c>
      <c r="I11" s="49" t="s">
        <v>56</v>
      </c>
      <c r="M11" s="48" t="s">
        <v>56</v>
      </c>
      <c r="N11" s="48" t="s">
        <v>467</v>
      </c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spans="1:26" ht="17.100000000000001" customHeight="1" x14ac:dyDescent="0.25">
      <c r="A12" s="50" t="s">
        <v>395</v>
      </c>
      <c r="B12" s="61">
        <v>-6.14</v>
      </c>
      <c r="C12" s="53">
        <f>COUNTIFS(Positions_Demo!$Q:$Q,$A12,Positions_Demo!$N:$N,"W")</f>
        <v>4</v>
      </c>
      <c r="D12" s="53">
        <f>COUNTIFS(Positions_Demo!$Q:$Q,$A12,Positions_Demo!$N:$N,"L")</f>
        <v>6</v>
      </c>
      <c r="E12" s="54">
        <f t="shared" si="0"/>
        <v>0.4</v>
      </c>
      <c r="H12" s="50" t="s">
        <v>74</v>
      </c>
      <c r="I12" s="51">
        <v>-32.900000000000006</v>
      </c>
      <c r="M12" s="57" t="s">
        <v>54</v>
      </c>
      <c r="N12" s="58" t="s">
        <v>124</v>
      </c>
      <c r="O12" s="58" t="s">
        <v>125</v>
      </c>
      <c r="P12" s="58" t="s">
        <v>123</v>
      </c>
      <c r="Q12" s="58" t="s">
        <v>395</v>
      </c>
      <c r="R12" s="58" t="s">
        <v>268</v>
      </c>
      <c r="S12" s="58" t="s">
        <v>48</v>
      </c>
      <c r="T12" s="58" t="s">
        <v>49</v>
      </c>
      <c r="U12" s="58" t="s">
        <v>53</v>
      </c>
      <c r="V12" s="58" t="s">
        <v>150</v>
      </c>
      <c r="W12" s="58" t="s">
        <v>616</v>
      </c>
      <c r="X12" s="58" t="s">
        <v>647</v>
      </c>
      <c r="Y12" s="58" t="s">
        <v>653</v>
      </c>
      <c r="Z12" s="58" t="s">
        <v>55</v>
      </c>
    </row>
    <row r="13" spans="1:26" ht="17.100000000000001" customHeight="1" x14ac:dyDescent="0.25">
      <c r="A13" s="50" t="s">
        <v>268</v>
      </c>
      <c r="B13" s="61">
        <v>-11.790000000000001</v>
      </c>
      <c r="C13" s="53">
        <f>COUNTIFS(Positions_Demo!$Q:$Q,$A13,Positions_Demo!$N:$N,"W")</f>
        <v>10</v>
      </c>
      <c r="D13" s="53">
        <f>COUNTIFS(Positions_Demo!$Q:$Q,$A13,Positions_Demo!$N:$N,"L")</f>
        <v>14</v>
      </c>
      <c r="E13" s="54">
        <f t="shared" si="0"/>
        <v>0.41666666666666669</v>
      </c>
      <c r="H13" s="50" t="s">
        <v>277</v>
      </c>
      <c r="I13" s="51">
        <v>60.529999999999973</v>
      </c>
      <c r="M13" s="59" t="s">
        <v>276</v>
      </c>
      <c r="N13" s="60">
        <v>-3.09</v>
      </c>
      <c r="O13" s="60">
        <v>-3.02</v>
      </c>
      <c r="P13" s="60">
        <v>-3.05</v>
      </c>
      <c r="Q13" s="60"/>
      <c r="R13" s="60"/>
      <c r="S13" s="60">
        <v>-0.44999999999999973</v>
      </c>
      <c r="T13" s="60">
        <v>0.10000000000000009</v>
      </c>
      <c r="U13" s="60">
        <v>-0.44999999999999973</v>
      </c>
      <c r="V13" s="60">
        <v>0</v>
      </c>
      <c r="W13" s="60"/>
      <c r="X13" s="60"/>
      <c r="Y13" s="60"/>
      <c r="Z13" s="60">
        <v>-9.9599999999999991</v>
      </c>
    </row>
    <row r="14" spans="1:26" ht="17.100000000000001" customHeight="1" x14ac:dyDescent="0.25">
      <c r="A14" s="50" t="s">
        <v>48</v>
      </c>
      <c r="B14" s="61">
        <v>0.94000000000000217</v>
      </c>
      <c r="C14" s="53">
        <f>COUNTIFS(Positions_Demo!$Q:$Q,$A14,Positions_Demo!$N:$N,"W")</f>
        <v>46</v>
      </c>
      <c r="D14" s="53">
        <f>COUNTIFS(Positions_Demo!$Q:$Q,$A14,Positions_Demo!$N:$N,"L")</f>
        <v>38</v>
      </c>
      <c r="E14" s="54">
        <f t="shared" si="0"/>
        <v>0.54761904761904767</v>
      </c>
      <c r="H14" s="50" t="s">
        <v>55</v>
      </c>
      <c r="I14" s="51">
        <v>27.629999999999967</v>
      </c>
      <c r="M14" s="59" t="s">
        <v>72</v>
      </c>
      <c r="N14" s="60">
        <v>4.17</v>
      </c>
      <c r="O14" s="60">
        <v>8.98</v>
      </c>
      <c r="P14" s="60">
        <v>5.8800000000000008</v>
      </c>
      <c r="Q14" s="60"/>
      <c r="R14" s="60"/>
      <c r="S14" s="60">
        <v>9.11</v>
      </c>
      <c r="T14" s="60">
        <v>9.75</v>
      </c>
      <c r="U14" s="60">
        <v>8.42</v>
      </c>
      <c r="V14" s="60">
        <v>7.61</v>
      </c>
      <c r="W14" s="60"/>
      <c r="X14" s="60"/>
      <c r="Y14" s="60"/>
      <c r="Z14" s="60">
        <v>53.92</v>
      </c>
    </row>
    <row r="15" spans="1:26" ht="17.100000000000001" customHeight="1" x14ac:dyDescent="0.25">
      <c r="A15" s="50" t="s">
        <v>49</v>
      </c>
      <c r="B15" s="61">
        <v>6.0400000000000018</v>
      </c>
      <c r="C15" s="53">
        <f>COUNTIFS(Positions_Demo!$Q:$Q,$A15,Positions_Demo!$N:$N,"W")</f>
        <v>48</v>
      </c>
      <c r="D15" s="53">
        <f>COUNTIFS(Positions_Demo!$Q:$Q,$A15,Positions_Demo!$N:$N,"L")</f>
        <v>40</v>
      </c>
      <c r="E15" s="54">
        <f>C15/(C15+D15)</f>
        <v>0.54545454545454541</v>
      </c>
      <c r="M15" s="59" t="s">
        <v>70</v>
      </c>
      <c r="N15" s="60"/>
      <c r="O15" s="60"/>
      <c r="P15" s="60"/>
      <c r="Q15" s="60"/>
      <c r="R15" s="60"/>
      <c r="S15" s="60">
        <v>11.76</v>
      </c>
      <c r="T15" s="60">
        <v>11.71</v>
      </c>
      <c r="U15" s="60">
        <v>14.229999999999999</v>
      </c>
      <c r="V15" s="60">
        <v>8</v>
      </c>
      <c r="W15" s="60"/>
      <c r="X15" s="60"/>
      <c r="Y15" s="60"/>
      <c r="Z15" s="60">
        <v>45.699999999999996</v>
      </c>
    </row>
    <row r="16" spans="1:26" ht="17.100000000000001" customHeight="1" x14ac:dyDescent="0.25">
      <c r="A16" s="50" t="s">
        <v>53</v>
      </c>
      <c r="B16" s="61">
        <v>-0.75999999999999535</v>
      </c>
      <c r="C16" s="53">
        <f>COUNTIFS(Positions_Demo!$Q:$Q,$A16,Positions_Demo!$N:$N,"W")</f>
        <v>45</v>
      </c>
      <c r="D16" s="53">
        <f>COUNTIFS(Positions_Demo!$Q:$Q,$A16,Positions_Demo!$N:$N,"L")</f>
        <v>38</v>
      </c>
      <c r="E16" s="54">
        <f>C16/(C16+D16)</f>
        <v>0.54216867469879515</v>
      </c>
      <c r="M16" s="59" t="s">
        <v>71</v>
      </c>
      <c r="N16" s="60"/>
      <c r="O16" s="60"/>
      <c r="P16" s="60"/>
      <c r="Q16" s="60"/>
      <c r="R16" s="60">
        <v>1.6899999999999995</v>
      </c>
      <c r="S16" s="60">
        <v>-9.2100000000000009</v>
      </c>
      <c r="T16" s="60">
        <v>-7.54</v>
      </c>
      <c r="U16" s="60">
        <v>-9.07</v>
      </c>
      <c r="V16" s="60">
        <v>-9.36</v>
      </c>
      <c r="W16" s="60"/>
      <c r="X16" s="60"/>
      <c r="Y16" s="60"/>
      <c r="Z16" s="60">
        <v>-33.49</v>
      </c>
    </row>
    <row r="17" spans="1:26" ht="17.100000000000001" customHeight="1" x14ac:dyDescent="0.25">
      <c r="A17" s="55" t="s">
        <v>150</v>
      </c>
      <c r="B17" s="61">
        <v>10.170000000000003</v>
      </c>
      <c r="C17" s="53">
        <f>COUNTIFS(Positions_Demo!$Q:$Q,$A17,Positions_Demo!$N:$N,"W")</f>
        <v>56</v>
      </c>
      <c r="D17" s="53">
        <f>COUNTIFS(Positions_Demo!$Q:$Q,$A17,Positions_Demo!$N:$N,"L")</f>
        <v>26</v>
      </c>
      <c r="E17" s="54">
        <f t="shared" ref="E17:E20" si="1">C17/(C17+D17)</f>
        <v>0.68292682926829273</v>
      </c>
      <c r="M17" s="59" t="s">
        <v>461</v>
      </c>
      <c r="N17" s="60"/>
      <c r="O17" s="60"/>
      <c r="P17" s="60"/>
      <c r="Q17" s="60"/>
      <c r="R17" s="60"/>
      <c r="S17" s="60">
        <v>-0.38999999999999996</v>
      </c>
      <c r="T17" s="60">
        <v>-2.21</v>
      </c>
      <c r="U17" s="60">
        <v>-0.44999999999999996</v>
      </c>
      <c r="V17" s="60">
        <v>4.1900000000000004</v>
      </c>
      <c r="W17" s="60"/>
      <c r="X17" s="60"/>
      <c r="Y17" s="60"/>
      <c r="Z17" s="60">
        <v>1.1400000000000006</v>
      </c>
    </row>
    <row r="18" spans="1:26" ht="17.100000000000001" customHeight="1" x14ac:dyDescent="0.25">
      <c r="A18" s="50" t="s">
        <v>616</v>
      </c>
      <c r="B18" s="61">
        <v>1.4999999999999996</v>
      </c>
      <c r="C18" s="53">
        <f>COUNTIFS(Positions_Demo!$Q:$Q,$A18,Positions_Demo!$N:$N,"W")</f>
        <v>3</v>
      </c>
      <c r="D18" s="53">
        <f>COUNTIFS(Positions_Demo!$Q:$Q,$A18,Positions_Demo!$N:$N,"L")</f>
        <v>3</v>
      </c>
      <c r="E18" s="54">
        <f t="shared" si="1"/>
        <v>0.5</v>
      </c>
      <c r="M18" s="59" t="s">
        <v>456</v>
      </c>
      <c r="N18" s="60">
        <v>-6.26</v>
      </c>
      <c r="O18" s="60">
        <v>-6.32</v>
      </c>
      <c r="P18" s="60">
        <v>-6.0600000000000005</v>
      </c>
      <c r="Q18" s="60"/>
      <c r="R18" s="60"/>
      <c r="S18" s="60">
        <v>3.3699999999999997</v>
      </c>
      <c r="T18" s="60">
        <v>-2.1799999999999997</v>
      </c>
      <c r="U18" s="60">
        <v>3.83</v>
      </c>
      <c r="V18" s="60">
        <v>-1.4099999999999997</v>
      </c>
      <c r="W18" s="60"/>
      <c r="X18" s="60"/>
      <c r="Y18" s="60"/>
      <c r="Z18" s="60">
        <v>-15.030000000000003</v>
      </c>
    </row>
    <row r="19" spans="1:26" ht="17.100000000000001" customHeight="1" x14ac:dyDescent="0.25">
      <c r="A19" s="50" t="s">
        <v>647</v>
      </c>
      <c r="B19" s="61">
        <v>-8.5500000000000007</v>
      </c>
      <c r="C19" s="53">
        <f>COUNTIFS(Positions_Demo!$Q:$Q,$A19,Positions_Demo!$N:$N,"W")</f>
        <v>6</v>
      </c>
      <c r="D19" s="53">
        <f>COUNTIFS(Positions_Demo!$Q:$Q,$A19,Positions_Demo!$N:$N,"L")</f>
        <v>6</v>
      </c>
      <c r="E19" s="54">
        <f t="shared" si="1"/>
        <v>0.5</v>
      </c>
      <c r="M19" s="59" t="s">
        <v>460</v>
      </c>
      <c r="N19" s="60"/>
      <c r="O19" s="60"/>
      <c r="P19" s="60"/>
      <c r="Q19" s="60">
        <v>-3.02</v>
      </c>
      <c r="R19" s="60">
        <v>-3.02</v>
      </c>
      <c r="S19" s="60">
        <v>0.10000000000000009</v>
      </c>
      <c r="T19" s="60">
        <v>3.62</v>
      </c>
      <c r="U19" s="60">
        <v>1.1300000000000003</v>
      </c>
      <c r="V19" s="60">
        <v>0.16000000000000014</v>
      </c>
      <c r="W19" s="60"/>
      <c r="X19" s="60"/>
      <c r="Y19" s="60"/>
      <c r="Z19" s="60">
        <v>-1.0299999999999989</v>
      </c>
    </row>
    <row r="20" spans="1:26" ht="17.100000000000001" customHeight="1" x14ac:dyDescent="0.25">
      <c r="A20" s="50" t="s">
        <v>653</v>
      </c>
      <c r="B20" s="61">
        <v>-2.9100000000000006</v>
      </c>
      <c r="C20" s="53">
        <f>COUNTIFS(Positions_Demo!$Q:$Q,$A20,Positions_Demo!$N:$N,"W")</f>
        <v>5</v>
      </c>
      <c r="D20" s="53">
        <f>COUNTIFS(Positions_Demo!$Q:$Q,$A20,Positions_Demo!$N:$N,"L")</f>
        <v>7</v>
      </c>
      <c r="E20" s="54">
        <f t="shared" si="1"/>
        <v>0.41666666666666669</v>
      </c>
      <c r="M20" s="59" t="s">
        <v>459</v>
      </c>
      <c r="N20" s="60"/>
      <c r="O20" s="60"/>
      <c r="P20" s="60"/>
      <c r="Q20" s="60">
        <v>3.46</v>
      </c>
      <c r="R20" s="60">
        <v>0.41000000000000014</v>
      </c>
      <c r="S20" s="60">
        <v>4.2</v>
      </c>
      <c r="T20" s="60">
        <v>4.46</v>
      </c>
      <c r="U20" s="60">
        <v>4.9800000000000004</v>
      </c>
      <c r="V20" s="60">
        <v>3.41</v>
      </c>
      <c r="W20" s="60"/>
      <c r="X20" s="60"/>
      <c r="Y20" s="60"/>
      <c r="Z20" s="60">
        <v>20.92</v>
      </c>
    </row>
    <row r="21" spans="1:26" ht="17.100000000000001" customHeight="1" x14ac:dyDescent="0.25">
      <c r="A21" s="50" t="s">
        <v>55</v>
      </c>
      <c r="B21" s="51">
        <v>27.63000000000001</v>
      </c>
      <c r="C21" s="52">
        <f>SUM(C9:C20)</f>
        <v>248</v>
      </c>
      <c r="D21" s="52">
        <f>SUM(D9:D20)</f>
        <v>191</v>
      </c>
      <c r="E21" s="56">
        <f t="shared" ref="E21" si="2">C21/(C21+D21)</f>
        <v>0.56492027334851935</v>
      </c>
      <c r="M21" s="59" t="s">
        <v>462</v>
      </c>
      <c r="N21" s="60">
        <v>2.14</v>
      </c>
      <c r="O21" s="60">
        <v>5.99</v>
      </c>
      <c r="P21" s="60">
        <v>4.62</v>
      </c>
      <c r="Q21" s="60"/>
      <c r="R21" s="60">
        <v>-5.3</v>
      </c>
      <c r="S21" s="60">
        <v>-2.9099999999999997</v>
      </c>
      <c r="T21" s="60">
        <v>-7.1700000000000008</v>
      </c>
      <c r="U21" s="60">
        <v>-4.4000000000000004</v>
      </c>
      <c r="V21" s="60">
        <v>-4.4099999999999993</v>
      </c>
      <c r="W21" s="60"/>
      <c r="X21" s="60"/>
      <c r="Y21" s="60"/>
      <c r="Z21" s="60">
        <v>-11.44</v>
      </c>
    </row>
    <row r="22" spans="1:26" ht="17.100000000000001" customHeight="1" x14ac:dyDescent="0.25">
      <c r="M22" s="59" t="s">
        <v>458</v>
      </c>
      <c r="N22" s="60"/>
      <c r="O22" s="60"/>
      <c r="P22" s="60"/>
      <c r="Q22" s="60">
        <v>-1.39</v>
      </c>
      <c r="R22" s="60">
        <v>1.68</v>
      </c>
      <c r="S22" s="60">
        <v>3.7800000000000002</v>
      </c>
      <c r="T22" s="60">
        <v>1.32</v>
      </c>
      <c r="U22" s="60">
        <v>4.25</v>
      </c>
      <c r="V22" s="60">
        <v>3.17</v>
      </c>
      <c r="W22" s="60"/>
      <c r="X22" s="60"/>
      <c r="Y22" s="60"/>
      <c r="Z22" s="60">
        <v>12.81</v>
      </c>
    </row>
    <row r="23" spans="1:26" ht="17.100000000000001" customHeight="1" x14ac:dyDescent="0.25">
      <c r="M23" s="59" t="s">
        <v>457</v>
      </c>
      <c r="N23" s="60"/>
      <c r="O23" s="60"/>
      <c r="P23" s="60"/>
      <c r="Q23" s="60">
        <v>-6.04</v>
      </c>
      <c r="R23" s="60">
        <v>-6.15</v>
      </c>
      <c r="S23" s="60">
        <v>1.0099999999999998</v>
      </c>
      <c r="T23" s="60">
        <v>1.42</v>
      </c>
      <c r="U23" s="60">
        <v>1.3900000000000001</v>
      </c>
      <c r="V23" s="60">
        <v>3.8400000000000003</v>
      </c>
      <c r="W23" s="60"/>
      <c r="X23" s="60"/>
      <c r="Y23" s="60"/>
      <c r="Z23" s="60">
        <v>-4.5300000000000011</v>
      </c>
    </row>
    <row r="24" spans="1:26" ht="17.100000000000001" customHeight="1" x14ac:dyDescent="0.25">
      <c r="M24" s="59" t="s">
        <v>704</v>
      </c>
      <c r="N24" s="60">
        <v>3.8600000000000003</v>
      </c>
      <c r="O24" s="60">
        <v>4</v>
      </c>
      <c r="P24" s="60">
        <v>3.77</v>
      </c>
      <c r="Q24" s="60">
        <v>3.48</v>
      </c>
      <c r="R24" s="60">
        <v>3.51</v>
      </c>
      <c r="S24" s="60">
        <v>4.26</v>
      </c>
      <c r="T24" s="60">
        <v>4.28</v>
      </c>
      <c r="U24" s="60">
        <v>3.29</v>
      </c>
      <c r="V24" s="60">
        <v>3.0700000000000003</v>
      </c>
      <c r="W24" s="60"/>
      <c r="X24" s="60"/>
      <c r="Y24" s="60"/>
      <c r="Z24" s="60">
        <v>33.520000000000003</v>
      </c>
    </row>
    <row r="25" spans="1:26" ht="17.100000000000001" customHeight="1" x14ac:dyDescent="0.25">
      <c r="M25" s="59" t="s">
        <v>705</v>
      </c>
      <c r="N25" s="60"/>
      <c r="O25" s="60"/>
      <c r="P25" s="60"/>
      <c r="Q25" s="60">
        <v>-3.01</v>
      </c>
      <c r="R25" s="60">
        <v>-3</v>
      </c>
      <c r="S25" s="60">
        <v>1.1899999999999995</v>
      </c>
      <c r="T25" s="60">
        <v>1.9999999999999991</v>
      </c>
      <c r="U25" s="60">
        <v>-0.43000000000000105</v>
      </c>
      <c r="V25" s="60">
        <v>-0.55000000000000027</v>
      </c>
      <c r="W25" s="60"/>
      <c r="X25" s="60"/>
      <c r="Y25" s="60"/>
      <c r="Z25" s="60">
        <v>-3.8000000000000025</v>
      </c>
    </row>
    <row r="26" spans="1:26" ht="17.100000000000001" customHeight="1" x14ac:dyDescent="0.25">
      <c r="M26" s="59" t="s">
        <v>706</v>
      </c>
      <c r="N26" s="60"/>
      <c r="O26" s="60"/>
      <c r="P26" s="60"/>
      <c r="Q26" s="60"/>
      <c r="R26" s="60">
        <v>-2.71</v>
      </c>
      <c r="S26" s="60">
        <v>-2.41</v>
      </c>
      <c r="T26" s="60">
        <v>-1.1999999999999997</v>
      </c>
      <c r="U26" s="60">
        <v>-4.8499999999999996</v>
      </c>
      <c r="V26" s="60">
        <v>-1.9999999999999574E-2</v>
      </c>
      <c r="W26" s="60">
        <v>-2.6</v>
      </c>
      <c r="X26" s="60"/>
      <c r="Y26" s="60"/>
      <c r="Z26" s="60">
        <v>-13.79</v>
      </c>
    </row>
    <row r="27" spans="1:26" ht="17.100000000000001" customHeight="1" x14ac:dyDescent="0.25">
      <c r="M27" s="59" t="s">
        <v>707</v>
      </c>
      <c r="N27" s="60"/>
      <c r="O27" s="60"/>
      <c r="P27" s="60"/>
      <c r="Q27" s="60"/>
      <c r="R27" s="60">
        <v>-3.04</v>
      </c>
      <c r="S27" s="60">
        <v>2.9400000000000004</v>
      </c>
      <c r="T27" s="60">
        <v>3.37</v>
      </c>
      <c r="U27" s="60">
        <v>3.899999999999999</v>
      </c>
      <c r="V27" s="60">
        <v>1.2200000000000002</v>
      </c>
      <c r="W27" s="60"/>
      <c r="X27" s="60"/>
      <c r="Y27" s="60"/>
      <c r="Z27" s="60">
        <v>8.39</v>
      </c>
    </row>
    <row r="28" spans="1:26" ht="17.100000000000001" customHeight="1" x14ac:dyDescent="0.25">
      <c r="M28" s="59" t="s">
        <v>465</v>
      </c>
      <c r="N28" s="60"/>
      <c r="O28" s="60"/>
      <c r="P28" s="60"/>
      <c r="Q28" s="60"/>
      <c r="R28" s="60">
        <v>3.65</v>
      </c>
      <c r="S28" s="60">
        <v>0.96</v>
      </c>
      <c r="T28" s="60">
        <v>1.5099999999999998</v>
      </c>
      <c r="U28" s="60">
        <v>1.2700000000000005</v>
      </c>
      <c r="V28" s="60">
        <v>0.30000000000000004</v>
      </c>
      <c r="W28" s="60">
        <v>3.61</v>
      </c>
      <c r="X28" s="60">
        <v>0.30000000000000004</v>
      </c>
      <c r="Y28" s="60">
        <v>3.26</v>
      </c>
      <c r="Z28" s="60">
        <v>14.86</v>
      </c>
    </row>
    <row r="29" spans="1:26" ht="17.100000000000001" customHeight="1" x14ac:dyDescent="0.25">
      <c r="M29" s="59" t="s">
        <v>466</v>
      </c>
      <c r="N29" s="60"/>
      <c r="O29" s="60"/>
      <c r="P29" s="60"/>
      <c r="Q29" s="60">
        <v>0.37999999999999989</v>
      </c>
      <c r="R29" s="60">
        <v>0.48999999999999977</v>
      </c>
      <c r="S29" s="60">
        <v>3.09</v>
      </c>
      <c r="T29" s="60">
        <v>3.7399999999999998</v>
      </c>
      <c r="U29" s="60">
        <v>1.0499999999999989</v>
      </c>
      <c r="V29" s="60">
        <v>2.8799999999999994</v>
      </c>
      <c r="W29" s="60">
        <v>0.48999999999999977</v>
      </c>
      <c r="X29" s="60">
        <v>1.65</v>
      </c>
      <c r="Y29" s="60">
        <v>5.0000000000000266E-2</v>
      </c>
      <c r="Z29" s="60">
        <v>13.819999999999999</v>
      </c>
    </row>
    <row r="30" spans="1:26" ht="17.100000000000001" customHeight="1" x14ac:dyDescent="0.25">
      <c r="M30" s="59" t="s">
        <v>463</v>
      </c>
      <c r="N30" s="60"/>
      <c r="O30" s="60"/>
      <c r="P30" s="60"/>
      <c r="Q30" s="60"/>
      <c r="R30" s="60"/>
      <c r="S30" s="60">
        <v>-2.9699999999999998</v>
      </c>
      <c r="T30" s="60">
        <v>-1.9900000000000002</v>
      </c>
      <c r="U30" s="60">
        <v>-2.57</v>
      </c>
      <c r="V30" s="60">
        <v>-4.54</v>
      </c>
      <c r="W30" s="60"/>
      <c r="X30" s="60">
        <v>-4.5199999999999996</v>
      </c>
      <c r="Y30" s="60">
        <v>-3.1100000000000003</v>
      </c>
      <c r="Z30" s="60">
        <v>-19.7</v>
      </c>
    </row>
    <row r="31" spans="1:26" x14ac:dyDescent="0.25">
      <c r="H31" s="28"/>
      <c r="M31" s="59" t="s">
        <v>464</v>
      </c>
      <c r="N31" s="60"/>
      <c r="O31" s="60"/>
      <c r="P31" s="60"/>
      <c r="Q31" s="60"/>
      <c r="R31" s="60"/>
      <c r="S31" s="60">
        <v>-5.96</v>
      </c>
      <c r="T31" s="60">
        <v>-4.9800000000000004</v>
      </c>
      <c r="U31" s="60">
        <v>-5.96</v>
      </c>
      <c r="V31" s="60">
        <v>-5.79</v>
      </c>
      <c r="W31" s="60"/>
      <c r="X31" s="60">
        <v>-5.98</v>
      </c>
      <c r="Y31" s="60">
        <v>-3.1100000000000003</v>
      </c>
      <c r="Z31" s="60">
        <v>-31.78</v>
      </c>
    </row>
    <row r="32" spans="1:26" x14ac:dyDescent="0.25">
      <c r="H32" s="28"/>
      <c r="M32" s="59" t="s">
        <v>272</v>
      </c>
      <c r="N32" s="60"/>
      <c r="O32" s="60"/>
      <c r="P32" s="60"/>
      <c r="Q32" s="60"/>
      <c r="R32" s="60"/>
      <c r="S32" s="60">
        <v>-3.04</v>
      </c>
      <c r="T32" s="60">
        <v>-2.4500000000000002</v>
      </c>
      <c r="U32" s="60">
        <v>-2.99</v>
      </c>
      <c r="V32" s="60"/>
      <c r="W32" s="60"/>
      <c r="X32" s="60"/>
      <c r="Y32" s="60"/>
      <c r="Z32" s="60">
        <v>-8.48</v>
      </c>
    </row>
    <row r="33" spans="1:26" x14ac:dyDescent="0.25">
      <c r="M33" s="59" t="s">
        <v>273</v>
      </c>
      <c r="N33" s="60">
        <v>6.61</v>
      </c>
      <c r="O33" s="60">
        <v>8.51</v>
      </c>
      <c r="P33" s="60">
        <v>6.6899999999999995</v>
      </c>
      <c r="Q33" s="60"/>
      <c r="R33" s="60"/>
      <c r="S33" s="60">
        <v>-9.1999999999999993</v>
      </c>
      <c r="T33" s="60">
        <v>-7.59</v>
      </c>
      <c r="U33" s="60">
        <v>-9.08</v>
      </c>
      <c r="V33" s="60"/>
      <c r="W33" s="60"/>
      <c r="X33" s="60"/>
      <c r="Y33" s="60"/>
      <c r="Z33" s="60">
        <v>-4.0599999999999969</v>
      </c>
    </row>
    <row r="34" spans="1:26" x14ac:dyDescent="0.25">
      <c r="M34" s="59" t="s">
        <v>274</v>
      </c>
      <c r="N34" s="60">
        <v>2.96</v>
      </c>
      <c r="O34" s="60">
        <v>2.8499999999999996</v>
      </c>
      <c r="P34" s="60">
        <v>1.04</v>
      </c>
      <c r="Q34" s="60"/>
      <c r="R34" s="60"/>
      <c r="S34" s="60">
        <v>-2.23</v>
      </c>
      <c r="T34" s="60">
        <v>-1.77</v>
      </c>
      <c r="U34" s="60">
        <v>-2.27</v>
      </c>
      <c r="V34" s="60"/>
      <c r="W34" s="60"/>
      <c r="X34" s="60"/>
      <c r="Y34" s="60"/>
      <c r="Z34" s="60">
        <v>0.57999999999999918</v>
      </c>
    </row>
    <row r="35" spans="1:26" x14ac:dyDescent="0.25">
      <c r="M35" s="59" t="s">
        <v>275</v>
      </c>
      <c r="N35" s="60">
        <v>-3.03</v>
      </c>
      <c r="O35" s="60">
        <v>-3.03</v>
      </c>
      <c r="P35" s="60">
        <v>0.92</v>
      </c>
      <c r="Q35" s="60"/>
      <c r="R35" s="60"/>
      <c r="S35" s="60">
        <v>-6.06</v>
      </c>
      <c r="T35" s="60">
        <v>-2.16</v>
      </c>
      <c r="U35" s="60">
        <v>-5.98</v>
      </c>
      <c r="V35" s="60">
        <v>-1.5999999999999999</v>
      </c>
      <c r="W35" s="60"/>
      <c r="X35" s="60"/>
      <c r="Y35" s="60"/>
      <c r="Z35" s="60">
        <v>-20.94</v>
      </c>
    </row>
    <row r="36" spans="1:26" x14ac:dyDescent="0.25">
      <c r="M36" s="59" t="s">
        <v>55</v>
      </c>
      <c r="N36" s="60">
        <v>7.3600000000000012</v>
      </c>
      <c r="O36" s="60">
        <v>17.96</v>
      </c>
      <c r="P36" s="60">
        <v>13.81</v>
      </c>
      <c r="Q36" s="60">
        <v>-6.14</v>
      </c>
      <c r="R36" s="60">
        <v>-11.79</v>
      </c>
      <c r="S36" s="60">
        <v>0.93999999999999684</v>
      </c>
      <c r="T36" s="60">
        <v>6.0400000000000027</v>
      </c>
      <c r="U36" s="60">
        <v>-0.76000000000000689</v>
      </c>
      <c r="V36" s="60">
        <v>10.170000000000003</v>
      </c>
      <c r="W36" s="60">
        <v>1.4999999999999996</v>
      </c>
      <c r="X36" s="60">
        <v>-8.5500000000000007</v>
      </c>
      <c r="Y36" s="60">
        <v>-2.9100000000000006</v>
      </c>
      <c r="Z36" s="60">
        <v>27.629999999999985</v>
      </c>
    </row>
    <row r="37" spans="1:26" x14ac:dyDescent="0.25">
      <c r="M37" s="63" t="s">
        <v>175</v>
      </c>
      <c r="N37" s="58">
        <f>COUNTIF(N13:N35,"&gt;0.0")</f>
        <v>5</v>
      </c>
      <c r="O37" s="58">
        <f t="shared" ref="O37:Z37" si="3">COUNTIF(O13:O35,"&gt;0.0")</f>
        <v>5</v>
      </c>
      <c r="P37" s="58">
        <f t="shared" si="3"/>
        <v>6</v>
      </c>
      <c r="Q37" s="58">
        <f t="shared" si="3"/>
        <v>3</v>
      </c>
      <c r="R37" s="58">
        <f t="shared" si="3"/>
        <v>6</v>
      </c>
      <c r="S37" s="58">
        <f t="shared" si="3"/>
        <v>12</v>
      </c>
      <c r="T37" s="58">
        <f t="shared" si="3"/>
        <v>12</v>
      </c>
      <c r="U37" s="58">
        <f t="shared" si="3"/>
        <v>11</v>
      </c>
      <c r="V37" s="58">
        <f t="shared" si="3"/>
        <v>11</v>
      </c>
      <c r="W37" s="58">
        <f t="shared" si="3"/>
        <v>2</v>
      </c>
      <c r="X37" s="58">
        <f t="shared" si="3"/>
        <v>2</v>
      </c>
      <c r="Y37" s="58">
        <f t="shared" si="3"/>
        <v>2</v>
      </c>
      <c r="Z37" s="58">
        <f t="shared" si="3"/>
        <v>10</v>
      </c>
    </row>
    <row r="38" spans="1:26" x14ac:dyDescent="0.25">
      <c r="M38" s="63" t="s">
        <v>176</v>
      </c>
      <c r="N38" s="58">
        <f>COUNTIF(N13:N35,"&lt;0.0")</f>
        <v>3</v>
      </c>
      <c r="O38" s="58">
        <f t="shared" ref="O38:Z38" si="4">COUNTIF(O13:O35,"&lt;0.0")</f>
        <v>3</v>
      </c>
      <c r="P38" s="58">
        <f t="shared" si="4"/>
        <v>2</v>
      </c>
      <c r="Q38" s="58">
        <f t="shared" si="4"/>
        <v>4</v>
      </c>
      <c r="R38" s="58">
        <f t="shared" si="4"/>
        <v>6</v>
      </c>
      <c r="S38" s="58">
        <f t="shared" si="4"/>
        <v>11</v>
      </c>
      <c r="T38" s="58">
        <f t="shared" si="4"/>
        <v>11</v>
      </c>
      <c r="U38" s="58">
        <f t="shared" si="4"/>
        <v>12</v>
      </c>
      <c r="V38" s="58">
        <f t="shared" si="4"/>
        <v>8</v>
      </c>
      <c r="W38" s="58">
        <f t="shared" si="4"/>
        <v>1</v>
      </c>
      <c r="X38" s="58">
        <f t="shared" si="4"/>
        <v>2</v>
      </c>
      <c r="Y38" s="58">
        <f t="shared" si="4"/>
        <v>2</v>
      </c>
      <c r="Z38" s="58">
        <f t="shared" si="4"/>
        <v>13</v>
      </c>
    </row>
    <row r="39" spans="1:26" x14ac:dyDescent="0.25">
      <c r="M39" s="64" t="s">
        <v>65</v>
      </c>
      <c r="N39" s="65">
        <f>N37/(N37+N38)</f>
        <v>0.625</v>
      </c>
      <c r="O39" s="65">
        <f t="shared" ref="O39:Z39" si="5">O37/(O37+O38)</f>
        <v>0.625</v>
      </c>
      <c r="P39" s="65">
        <f t="shared" si="5"/>
        <v>0.75</v>
      </c>
      <c r="Q39" s="65">
        <f t="shared" si="5"/>
        <v>0.42857142857142855</v>
      </c>
      <c r="R39" s="65">
        <f t="shared" si="5"/>
        <v>0.5</v>
      </c>
      <c r="S39" s="65">
        <f t="shared" si="5"/>
        <v>0.52173913043478259</v>
      </c>
      <c r="T39" s="65">
        <f t="shared" si="5"/>
        <v>0.52173913043478259</v>
      </c>
      <c r="U39" s="65">
        <f t="shared" si="5"/>
        <v>0.47826086956521741</v>
      </c>
      <c r="V39" s="65">
        <f t="shared" si="5"/>
        <v>0.57894736842105265</v>
      </c>
      <c r="W39" s="65">
        <f t="shared" si="5"/>
        <v>0.66666666666666663</v>
      </c>
      <c r="X39" s="65">
        <f t="shared" si="5"/>
        <v>0.5</v>
      </c>
      <c r="Y39" s="65">
        <f t="shared" si="5"/>
        <v>0.5</v>
      </c>
      <c r="Z39" s="65">
        <f t="shared" si="5"/>
        <v>0.43478260869565216</v>
      </c>
    </row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>
      <c r="A45" s="27" t="s">
        <v>468</v>
      </c>
    </row>
    <row r="46" spans="1:26" s="29" customFormat="1" x14ac:dyDescent="0.25">
      <c r="A46" s="68" t="s">
        <v>56</v>
      </c>
      <c r="B46" s="68" t="s">
        <v>467</v>
      </c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</row>
    <row r="47" spans="1:26" s="29" customFormat="1" ht="25.5" x14ac:dyDescent="0.25">
      <c r="A47" s="68" t="s">
        <v>54</v>
      </c>
      <c r="B47" s="66" t="s">
        <v>124</v>
      </c>
      <c r="C47" s="66" t="s">
        <v>125</v>
      </c>
      <c r="D47" s="66" t="s">
        <v>123</v>
      </c>
      <c r="E47" s="66" t="s">
        <v>395</v>
      </c>
      <c r="F47" s="66" t="s">
        <v>268</v>
      </c>
      <c r="G47" s="66" t="s">
        <v>48</v>
      </c>
      <c r="H47" s="66" t="s">
        <v>49</v>
      </c>
      <c r="I47" s="66" t="s">
        <v>53</v>
      </c>
      <c r="J47" s="67" t="s">
        <v>150</v>
      </c>
      <c r="K47" s="69" t="s">
        <v>616</v>
      </c>
      <c r="L47" s="69" t="s">
        <v>647</v>
      </c>
      <c r="M47" s="69" t="s">
        <v>653</v>
      </c>
      <c r="N47" s="66" t="s">
        <v>55</v>
      </c>
    </row>
    <row r="48" spans="1:26" s="29" customFormat="1" x14ac:dyDescent="0.25">
      <c r="A48" s="70" t="s">
        <v>62</v>
      </c>
      <c r="B48" s="61">
        <v>6.5400000000000009</v>
      </c>
      <c r="C48" s="61">
        <v>8.33</v>
      </c>
      <c r="D48" s="61">
        <v>8.65</v>
      </c>
      <c r="E48" s="61"/>
      <c r="F48" s="61"/>
      <c r="G48" s="61">
        <v>-20.53</v>
      </c>
      <c r="H48" s="61">
        <v>-13.970000000000002</v>
      </c>
      <c r="I48" s="61">
        <v>-20.32</v>
      </c>
      <c r="J48" s="61">
        <v>-1.5999999999999999</v>
      </c>
      <c r="K48" s="61"/>
      <c r="L48" s="61"/>
      <c r="M48" s="61"/>
      <c r="N48" s="61">
        <v>-32.9</v>
      </c>
    </row>
    <row r="49" spans="1:14" s="29" customFormat="1" x14ac:dyDescent="0.25">
      <c r="A49" s="70" t="s">
        <v>278</v>
      </c>
      <c r="B49" s="61">
        <v>0.82000000000000051</v>
      </c>
      <c r="C49" s="61">
        <v>9.6300000000000008</v>
      </c>
      <c r="D49" s="61">
        <v>5.160000000000001</v>
      </c>
      <c r="E49" s="61">
        <v>-6.14</v>
      </c>
      <c r="F49" s="61">
        <v>-11.790000000000001</v>
      </c>
      <c r="G49" s="61">
        <v>21.47</v>
      </c>
      <c r="H49" s="61">
        <v>20.009999999999987</v>
      </c>
      <c r="I49" s="61">
        <v>19.560000000000009</v>
      </c>
      <c r="J49" s="61">
        <v>11.769999999999998</v>
      </c>
      <c r="K49" s="61">
        <v>1.4999999999999996</v>
      </c>
      <c r="L49" s="61">
        <v>-8.5500000000000007</v>
      </c>
      <c r="M49" s="61">
        <v>-2.9100000000000006</v>
      </c>
      <c r="N49" s="61">
        <v>60.529999999999994</v>
      </c>
    </row>
    <row r="50" spans="1:14" s="29" customFormat="1" x14ac:dyDescent="0.25">
      <c r="A50" s="70" t="s">
        <v>55</v>
      </c>
      <c r="B50" s="61">
        <v>7.3600000000000012</v>
      </c>
      <c r="C50" s="61">
        <v>17.96</v>
      </c>
      <c r="D50" s="61">
        <v>13.810000000000002</v>
      </c>
      <c r="E50" s="61">
        <v>-6.14</v>
      </c>
      <c r="F50" s="61">
        <v>-11.790000000000001</v>
      </c>
      <c r="G50" s="61">
        <v>0.93999999999999773</v>
      </c>
      <c r="H50" s="61">
        <v>6.0399999999999849</v>
      </c>
      <c r="I50" s="61">
        <v>-0.75999999999999091</v>
      </c>
      <c r="J50" s="61">
        <v>10.169999999999998</v>
      </c>
      <c r="K50" s="61">
        <v>1.4999999999999996</v>
      </c>
      <c r="L50" s="61">
        <v>-8.5500000000000007</v>
      </c>
      <c r="M50" s="61">
        <v>-2.9100000000000006</v>
      </c>
      <c r="N50" s="61">
        <v>27.629999999999995</v>
      </c>
    </row>
    <row r="51" spans="1:14" x14ac:dyDescent="0.25"/>
    <row r="52" spans="1:14" x14ac:dyDescent="0.25"/>
    <row r="53" spans="1:14" x14ac:dyDescent="0.25"/>
    <row r="54" spans="1:14" x14ac:dyDescent="0.25"/>
    <row r="55" spans="1:14" x14ac:dyDescent="0.25"/>
    <row r="56" spans="1:14" x14ac:dyDescent="0.25"/>
    <row r="57" spans="1:14" x14ac:dyDescent="0.25"/>
    <row r="58" spans="1:14" x14ac:dyDescent="0.25"/>
    <row r="59" spans="1:14" x14ac:dyDescent="0.25"/>
    <row r="60" spans="1:14" x14ac:dyDescent="0.25"/>
    <row r="61" spans="1:14" x14ac:dyDescent="0.25"/>
    <row r="62" spans="1:14" x14ac:dyDescent="0.25"/>
    <row r="63" spans="1:14" x14ac:dyDescent="0.25"/>
    <row r="64" spans="1:1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N49">
    <cfRule type="cellIs" dxfId="48" priority="7" operator="lessThan">
      <formula>0</formula>
    </cfRule>
    <cfRule type="cellIs" dxfId="47" priority="8" operator="greaterThan">
      <formula>0</formula>
    </cfRule>
  </conditionalFormatting>
  <conditionalFormatting pivot="1" sqref="B9:B20">
    <cfRule type="cellIs" dxfId="46" priority="5" operator="lessThan">
      <formula>0</formula>
    </cfRule>
    <cfRule type="cellIs" dxfId="45" priority="6" operator="greaterThan">
      <formula>0</formula>
    </cfRule>
  </conditionalFormatting>
  <conditionalFormatting pivot="1" sqref="N13:Z35">
    <cfRule type="cellIs" dxfId="44" priority="4" operator="greaterThan">
      <formula>0</formula>
    </cfRule>
  </conditionalFormatting>
  <conditionalFormatting pivot="1" sqref="N13:Z35">
    <cfRule type="cellIs" dxfId="43" priority="3" operator="lessThan">
      <formula>0</formula>
    </cfRule>
  </conditionalFormatting>
  <conditionalFormatting pivot="1" sqref="S13:S35">
    <cfRule type="cellIs" dxfId="14" priority="2" operator="greaterThan">
      <formula>0</formula>
    </cfRule>
  </conditionalFormatting>
  <conditionalFormatting pivot="1" sqref="S13:S3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2.0299999999999998</v>
      </c>
    </row>
    <row r="6" spans="2:13" x14ac:dyDescent="0.25">
      <c r="B6" s="31" t="s">
        <v>66</v>
      </c>
      <c r="C6" s="32">
        <f>AVERAGE(C22:C61)</f>
        <v>1.1323076923076925</v>
      </c>
      <c r="D6" s="30"/>
      <c r="E6" s="30"/>
    </row>
    <row r="7" spans="2:13" x14ac:dyDescent="0.25">
      <c r="B7" s="31" t="s">
        <v>67</v>
      </c>
      <c r="C7" s="32">
        <f>MIN(C22:C61)</f>
        <v>-3.24</v>
      </c>
      <c r="D7" s="30"/>
      <c r="E7" s="30"/>
    </row>
    <row r="8" spans="2:13" x14ac:dyDescent="0.25">
      <c r="B8" s="31" t="s">
        <v>68</v>
      </c>
      <c r="C8" s="32">
        <f>MAX(C22:C61)</f>
        <v>7.3600000000000012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0.66666666666666663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 s="47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 s="47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 s="47">
        <v>6.5400000000000009</v>
      </c>
    </row>
    <row r="23" spans="2:18" x14ac:dyDescent="0.25">
      <c r="B23" s="22">
        <v>45917.906921296293</v>
      </c>
      <c r="C23" s="47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 s="47">
        <v>0.81999999999999984</v>
      </c>
      <c r="K23" s="25">
        <f t="shared" ref="K23:K62" si="2">IF(OR(I23="Grand Total",I23=""),"",K22+J23)</f>
        <v>39.61</v>
      </c>
      <c r="L23" s="24" t="str">
        <f t="shared" ref="L23:L62" si="3">IF(OR(J23="",I23="Grand Total"),"",IF(J23&lt;0,"L","W"))</f>
        <v>W</v>
      </c>
      <c r="M23">
        <f>IF(L23="","",IF(L23=L22,M22+1,1))</f>
        <v>2</v>
      </c>
      <c r="Q23" s="1" t="s">
        <v>277</v>
      </c>
      <c r="R23" s="47">
        <v>0.81999999999999984</v>
      </c>
    </row>
    <row r="24" spans="2:18" x14ac:dyDescent="0.25">
      <c r="B24" s="22">
        <v>45917.934699074074</v>
      </c>
      <c r="C24" s="47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 s="47">
        <v>7.3600000000000012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 s="47">
        <v>7.3600000000000012</v>
      </c>
    </row>
    <row r="25" spans="2:18" x14ac:dyDescent="0.25">
      <c r="B25" s="22">
        <v>45917.954143518517</v>
      </c>
      <c r="C25" s="47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 s="47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47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47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47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47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47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 s="47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 s="47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1" t="s">
        <v>55</v>
      </c>
      <c r="C34" s="47">
        <v>7.3600000000000012</v>
      </c>
      <c r="D34" s="25" t="str">
        <f t="shared" si="0"/>
        <v/>
      </c>
      <c r="E34" s="24" t="str">
        <f t="shared" si="1"/>
        <v/>
      </c>
      <c r="F34" t="str">
        <f t="shared" si="4"/>
        <v/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D35" s="25" t="str">
        <f t="shared" si="0"/>
        <v/>
      </c>
      <c r="E35" s="24" t="str">
        <f t="shared" si="1"/>
        <v/>
      </c>
      <c r="F35" t="str">
        <f t="shared" si="4"/>
        <v/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2:18" x14ac:dyDescent="0.25"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2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2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 s="47">
        <v>-3.09</v>
      </c>
    </row>
    <row r="40" spans="2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 s="47">
        <v>4.17</v>
      </c>
    </row>
    <row r="41" spans="2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 s="47">
        <v>-6.26</v>
      </c>
    </row>
    <row r="42" spans="2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 s="47">
        <v>2.14</v>
      </c>
    </row>
    <row r="43" spans="2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273</v>
      </c>
      <c r="R43" s="47">
        <v>6.61</v>
      </c>
    </row>
    <row r="44" spans="2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274</v>
      </c>
      <c r="R44" s="47">
        <v>2.96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275</v>
      </c>
      <c r="R45" s="47">
        <v>-3.03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704</v>
      </c>
      <c r="R46" s="47">
        <v>3.8600000000000003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55</v>
      </c>
      <c r="R47" s="47">
        <v>7.3600000000000012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42" priority="27" operator="greaterThan">
      <formula>$M$1</formula>
    </cfRule>
    <cfRule type="cellIs" dxfId="41" priority="28" operator="greaterThan">
      <formula>"31.555$G$1"</formula>
    </cfRule>
  </conditionalFormatting>
  <conditionalFormatting sqref="K22:K62">
    <cfRule type="cellIs" dxfId="40" priority="26" operator="lessThan">
      <formula>0</formula>
    </cfRule>
  </conditionalFormatting>
  <conditionalFormatting sqref="K22:K62">
    <cfRule type="cellIs" dxfId="39" priority="25" operator="lessThan">
      <formula>0</formula>
    </cfRule>
  </conditionalFormatting>
  <conditionalFormatting sqref="D22">
    <cfRule type="cellIs" dxfId="38" priority="23" operator="greaterThan">
      <formula>$M$1</formula>
    </cfRule>
    <cfRule type="cellIs" dxfId="37" priority="24" operator="greaterThan">
      <formula>"31.555$G$1"</formula>
    </cfRule>
  </conditionalFormatting>
  <conditionalFormatting sqref="D22">
    <cfRule type="cellIs" dxfId="36" priority="22" operator="lessThan">
      <formula>0</formula>
    </cfRule>
  </conditionalFormatting>
  <conditionalFormatting sqref="D22">
    <cfRule type="cellIs" dxfId="35" priority="21" operator="lessThan">
      <formula>0</formula>
    </cfRule>
  </conditionalFormatting>
  <conditionalFormatting sqref="D23:D64">
    <cfRule type="cellIs" dxfId="34" priority="19" operator="greaterThan">
      <formula>$M$1</formula>
    </cfRule>
    <cfRule type="cellIs" dxfId="33" priority="20" operator="greaterThan">
      <formula>"31.555$G$1"</formula>
    </cfRule>
  </conditionalFormatting>
  <conditionalFormatting sqref="D23:D64">
    <cfRule type="cellIs" dxfId="32" priority="18" operator="lessThan">
      <formula>0</formula>
    </cfRule>
  </conditionalFormatting>
  <conditionalFormatting sqref="D23:D64">
    <cfRule type="cellIs" dxfId="31" priority="17" operator="lessThan">
      <formula>0</formula>
    </cfRule>
  </conditionalFormatting>
  <conditionalFormatting pivot="1" sqref="C22:C28">
    <cfRule type="cellIs" dxfId="26" priority="12" operator="greaterThan">
      <formula>0</formula>
    </cfRule>
  </conditionalFormatting>
  <conditionalFormatting pivot="1" sqref="C22:C28">
    <cfRule type="cellIs" dxfId="25" priority="11" operator="lessThan">
      <formula>0</formula>
    </cfRule>
  </conditionalFormatting>
  <conditionalFormatting pivot="1" sqref="J22:J23">
    <cfRule type="cellIs" dxfId="20" priority="6" operator="greaterThan">
      <formula>0</formula>
    </cfRule>
  </conditionalFormatting>
  <conditionalFormatting pivot="1" sqref="J22:J23">
    <cfRule type="cellIs" dxfId="19" priority="5" operator="lessThan">
      <formula>0</formula>
    </cfRule>
  </conditionalFormatting>
  <conditionalFormatting pivot="1" sqref="R22:R23">
    <cfRule type="cellIs" dxfId="18" priority="4" operator="greaterThan">
      <formula>0</formula>
    </cfRule>
  </conditionalFormatting>
  <conditionalFormatting pivot="1" sqref="R22:R23">
    <cfRule type="cellIs" dxfId="17" priority="3" operator="lessThan">
      <formula>0</formula>
    </cfRule>
  </conditionalFormatting>
  <conditionalFormatting pivot="1" sqref="R39:R45">
    <cfRule type="cellIs" dxfId="16" priority="2" operator="greaterThan">
      <formula>0</formula>
    </cfRule>
  </conditionalFormatting>
  <conditionalFormatting pivot="1" sqref="R39:R45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440"/>
  <sheetViews>
    <sheetView showGridLines="0" workbookViewId="0"/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66" si="0">IF(M3&gt;0,"W",IF(M3&lt;0,"L","BE"))</f>
        <v>L</v>
      </c>
      <c r="O3" s="11">
        <f t="shared" ref="O3:O66" si="1">INT(LEFT(A3,10))</f>
        <v>45917</v>
      </c>
      <c r="P3" s="12" t="str">
        <f t="shared" ref="P3:P66" si="2">TEXT(A3,"hh")</f>
        <v>15</v>
      </c>
      <c r="Q3" s="13" t="str">
        <f>VLOOKUP($B3,Deals_Demo!$H:$N,7,0)</f>
        <v>strategy_11_demo</v>
      </c>
      <c r="R3" s="13" t="str">
        <f t="shared" ref="R3:R66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66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66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2">$M259*0.1</f>
        <v>2.7000000000000003E-2</v>
      </c>
      <c r="Y259" s="13">
        <f t="shared" ref="Y259:Y322" si="43">$M259*0.2</f>
        <v>5.4000000000000006E-2</v>
      </c>
      <c r="Z259" s="13">
        <f t="shared" ref="Z259:Z322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  <row r="261" spans="1:27" x14ac:dyDescent="0.25">
      <c r="A261" s="40">
        <v>45918.257384259261</v>
      </c>
      <c r="B261" s="41">
        <v>443197453</v>
      </c>
      <c r="C261" s="42" t="s">
        <v>36</v>
      </c>
      <c r="D261" s="42" t="s">
        <v>37</v>
      </c>
      <c r="E261" s="42" t="s">
        <v>38</v>
      </c>
      <c r="F261" s="43">
        <v>3663.03</v>
      </c>
      <c r="G261" s="43">
        <v>3659.91</v>
      </c>
      <c r="H261" s="43">
        <v>3666.41</v>
      </c>
      <c r="I261" s="42" t="s">
        <v>469</v>
      </c>
      <c r="J261" s="43">
        <v>3659.91</v>
      </c>
      <c r="K261" s="43">
        <v>0</v>
      </c>
      <c r="L261" s="43">
        <v>0</v>
      </c>
      <c r="M261" s="44">
        <v>-3.12</v>
      </c>
      <c r="N261" s="10" t="str">
        <f t="shared" ref="N261:N324" si="45">IF(M261&gt;0,"W",IF(M261&lt;0,"L","BE"))</f>
        <v>L</v>
      </c>
      <c r="O261" s="11">
        <f t="shared" ref="O261:O324" si="46">INT(LEFT(A261,10))</f>
        <v>45918</v>
      </c>
      <c r="P261" s="12" t="str">
        <f t="shared" ref="P261:P324" si="47">TEXT(A261,"hh")</f>
        <v>06</v>
      </c>
      <c r="Q261" s="13" t="str">
        <f>VLOOKUP($B261,Deals_Demo!$H:$N,7,0)</f>
        <v>strategy_08_demo</v>
      </c>
      <c r="R261" s="13" t="str">
        <f t="shared" ref="R261:R324" si="48">TEXT(O261,"ddd")</f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ref="U261:U324" si="49">TEXT(T261,"yyyy-mm-dd")</f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2"/>
        <v>-0.31200000000000006</v>
      </c>
      <c r="Y261" s="13">
        <f t="shared" si="43"/>
        <v>-0.62400000000000011</v>
      </c>
      <c r="Z261" s="13">
        <f t="shared" si="44"/>
        <v>-0.93599999999999994</v>
      </c>
      <c r="AA261" s="13">
        <f t="shared" ref="AA261:AA324" si="50">IF(M261&lt;2.9,-3,M261)</f>
        <v>-3</v>
      </c>
    </row>
    <row r="262" spans="1:27" x14ac:dyDescent="0.25">
      <c r="A262" s="35">
        <v>45918.257395833331</v>
      </c>
      <c r="B262" s="36">
        <v>443197454</v>
      </c>
      <c r="C262" s="37" t="s">
        <v>36</v>
      </c>
      <c r="D262" s="37" t="s">
        <v>37</v>
      </c>
      <c r="E262" s="37" t="s">
        <v>38</v>
      </c>
      <c r="F262" s="38">
        <v>3663.03</v>
      </c>
      <c r="G262" s="38">
        <v>3660.03</v>
      </c>
      <c r="H262" s="38">
        <v>3666.53</v>
      </c>
      <c r="I262" s="37" t="s">
        <v>470</v>
      </c>
      <c r="J262" s="38">
        <v>3660.03</v>
      </c>
      <c r="K262" s="38">
        <v>0</v>
      </c>
      <c r="L262" s="38">
        <v>0</v>
      </c>
      <c r="M262" s="39">
        <v>-3</v>
      </c>
      <c r="N262" s="10" t="str">
        <f t="shared" si="45"/>
        <v>L</v>
      </c>
      <c r="O262" s="11">
        <f t="shared" si="46"/>
        <v>45918</v>
      </c>
      <c r="P262" s="12" t="str">
        <f t="shared" si="47"/>
        <v>06</v>
      </c>
      <c r="Q262" s="13" t="str">
        <f>VLOOKUP($B262,Deals_Demo!$H:$N,7,0)</f>
        <v>strategy_07_demo</v>
      </c>
      <c r="R262" s="13" t="str">
        <f t="shared" si="48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9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2"/>
        <v>-0.30000000000000004</v>
      </c>
      <c r="Y262" s="13">
        <f t="shared" si="43"/>
        <v>-0.60000000000000009</v>
      </c>
      <c r="Z262" s="13">
        <f t="shared" si="44"/>
        <v>-0.89999999999999991</v>
      </c>
      <c r="AA262" s="13">
        <f t="shared" si="50"/>
        <v>-3</v>
      </c>
    </row>
    <row r="263" spans="1:27" x14ac:dyDescent="0.25">
      <c r="A263" s="40">
        <v>45918.267685185187</v>
      </c>
      <c r="B263" s="41">
        <v>443199246</v>
      </c>
      <c r="C263" s="42" t="s">
        <v>36</v>
      </c>
      <c r="D263" s="42" t="s">
        <v>39</v>
      </c>
      <c r="E263" s="42" t="s">
        <v>38</v>
      </c>
      <c r="F263" s="43">
        <v>3661.97</v>
      </c>
      <c r="G263" s="43">
        <v>3661.36</v>
      </c>
      <c r="H263" s="43">
        <v>3658.47</v>
      </c>
      <c r="I263" s="42" t="s">
        <v>471</v>
      </c>
      <c r="J263" s="43">
        <v>3661.36</v>
      </c>
      <c r="K263" s="43">
        <v>0</v>
      </c>
      <c r="L263" s="43">
        <v>0</v>
      </c>
      <c r="M263" s="44">
        <v>0.61</v>
      </c>
      <c r="N263" s="10" t="str">
        <f t="shared" si="45"/>
        <v>W</v>
      </c>
      <c r="O263" s="11">
        <f t="shared" si="46"/>
        <v>45918</v>
      </c>
      <c r="P263" s="12" t="str">
        <f t="shared" si="47"/>
        <v>06</v>
      </c>
      <c r="Q263" s="13" t="str">
        <f>VLOOKUP($B263,Deals_Demo!$H:$N,7,0)</f>
        <v>strategy_11_demo</v>
      </c>
      <c r="R263" s="13" t="str">
        <f t="shared" si="48"/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si="49"/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2"/>
        <v>6.0999999999999999E-2</v>
      </c>
      <c r="Y263" s="13">
        <f t="shared" si="43"/>
        <v>0.122</v>
      </c>
      <c r="Z263" s="13">
        <f t="shared" si="44"/>
        <v>0.183</v>
      </c>
      <c r="AA263" s="13">
        <f t="shared" si="50"/>
        <v>-3</v>
      </c>
    </row>
    <row r="264" spans="1:27" x14ac:dyDescent="0.25">
      <c r="A264" s="35">
        <v>45918.267696759256</v>
      </c>
      <c r="B264" s="36">
        <v>443199248</v>
      </c>
      <c r="C264" s="37" t="s">
        <v>36</v>
      </c>
      <c r="D264" s="37" t="s">
        <v>39</v>
      </c>
      <c r="E264" s="37" t="s">
        <v>38</v>
      </c>
      <c r="F264" s="38">
        <v>3661.97</v>
      </c>
      <c r="G264" s="38">
        <v>3661.36</v>
      </c>
      <c r="H264" s="38">
        <v>3658.97</v>
      </c>
      <c r="I264" s="37" t="s">
        <v>471</v>
      </c>
      <c r="J264" s="38">
        <v>3661.36</v>
      </c>
      <c r="K264" s="38">
        <v>0</v>
      </c>
      <c r="L264" s="38">
        <v>0</v>
      </c>
      <c r="M264" s="39">
        <v>0.61</v>
      </c>
      <c r="N264" s="10" t="str">
        <f t="shared" si="45"/>
        <v>W</v>
      </c>
      <c r="O264" s="11">
        <f t="shared" si="46"/>
        <v>45918</v>
      </c>
      <c r="P264" s="12" t="str">
        <f t="shared" si="47"/>
        <v>06</v>
      </c>
      <c r="Q264" s="13" t="str">
        <f>VLOOKUP($B264,Deals_Demo!$H:$N,7,0)</f>
        <v>strategy_09_demo</v>
      </c>
      <c r="R264" s="13" t="str">
        <f t="shared" si="48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49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2"/>
        <v>6.0999999999999999E-2</v>
      </c>
      <c r="Y264" s="13">
        <f t="shared" si="43"/>
        <v>0.122</v>
      </c>
      <c r="Z264" s="13">
        <f t="shared" si="44"/>
        <v>0.183</v>
      </c>
      <c r="AA264" s="13">
        <f t="shared" si="50"/>
        <v>-3</v>
      </c>
    </row>
    <row r="265" spans="1:27" x14ac:dyDescent="0.25">
      <c r="A265" s="40">
        <v>45918.267696759256</v>
      </c>
      <c r="B265" s="41">
        <v>443199252</v>
      </c>
      <c r="C265" s="42" t="s">
        <v>36</v>
      </c>
      <c r="D265" s="42" t="s">
        <v>39</v>
      </c>
      <c r="E265" s="42" t="s">
        <v>38</v>
      </c>
      <c r="F265" s="43">
        <v>3661.97</v>
      </c>
      <c r="G265" s="43">
        <v>3661.36</v>
      </c>
      <c r="H265" s="43">
        <v>3660.47</v>
      </c>
      <c r="I265" s="42" t="s">
        <v>471</v>
      </c>
      <c r="J265" s="43">
        <v>3661.36</v>
      </c>
      <c r="K265" s="43">
        <v>0</v>
      </c>
      <c r="L265" s="43">
        <v>0</v>
      </c>
      <c r="M265" s="44">
        <v>0.61</v>
      </c>
      <c r="N265" s="10" t="str">
        <f t="shared" si="45"/>
        <v>W</v>
      </c>
      <c r="O265" s="11">
        <f t="shared" si="46"/>
        <v>45918</v>
      </c>
      <c r="P265" s="12" t="str">
        <f t="shared" si="47"/>
        <v>06</v>
      </c>
      <c r="Q265" s="13" t="str">
        <f>VLOOKUP($B265,Deals_Demo!$H:$N,7,0)</f>
        <v>strategy_12_demo</v>
      </c>
      <c r="R265" s="13" t="str">
        <f t="shared" si="48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49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2"/>
        <v>6.0999999999999999E-2</v>
      </c>
      <c r="Y265" s="13">
        <f t="shared" si="43"/>
        <v>0.122</v>
      </c>
      <c r="Z265" s="13">
        <f t="shared" si="44"/>
        <v>0.183</v>
      </c>
      <c r="AA265" s="13">
        <f t="shared" si="50"/>
        <v>-3</v>
      </c>
    </row>
    <row r="266" spans="1:27" x14ac:dyDescent="0.25">
      <c r="A266" s="35">
        <v>45918.267696759256</v>
      </c>
      <c r="B266" s="36">
        <v>443199254</v>
      </c>
      <c r="C266" s="37" t="s">
        <v>36</v>
      </c>
      <c r="D266" s="37" t="s">
        <v>39</v>
      </c>
      <c r="E266" s="37" t="s">
        <v>38</v>
      </c>
      <c r="F266" s="38">
        <v>3661.97</v>
      </c>
      <c r="G266" s="38">
        <v>3661.36</v>
      </c>
      <c r="H266" s="38">
        <v>3658.97</v>
      </c>
      <c r="I266" s="37" t="s">
        <v>471</v>
      </c>
      <c r="J266" s="38">
        <v>3661.36</v>
      </c>
      <c r="K266" s="38">
        <v>0</v>
      </c>
      <c r="L266" s="38">
        <v>0</v>
      </c>
      <c r="M266" s="39">
        <v>0.61</v>
      </c>
      <c r="N266" s="10" t="str">
        <f t="shared" si="45"/>
        <v>W</v>
      </c>
      <c r="O266" s="11">
        <f t="shared" si="46"/>
        <v>45918</v>
      </c>
      <c r="P266" s="12" t="str">
        <f t="shared" si="47"/>
        <v>06</v>
      </c>
      <c r="Q266" s="13" t="str">
        <f>VLOOKUP($B266,Deals_Demo!$H:$N,7,0)</f>
        <v>strategy_10_demo</v>
      </c>
      <c r="R266" s="13" t="str">
        <f t="shared" si="48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49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2"/>
        <v>6.0999999999999999E-2</v>
      </c>
      <c r="Y266" s="13">
        <f t="shared" si="43"/>
        <v>0.122</v>
      </c>
      <c r="Z266" s="13">
        <f t="shared" si="44"/>
        <v>0.183</v>
      </c>
      <c r="AA266" s="13">
        <f t="shared" si="50"/>
        <v>-3</v>
      </c>
    </row>
    <row r="267" spans="1:27" x14ac:dyDescent="0.25">
      <c r="A267" s="40">
        <v>45918.281921296293</v>
      </c>
      <c r="B267" s="41">
        <v>443201861</v>
      </c>
      <c r="C267" s="42" t="s">
        <v>36</v>
      </c>
      <c r="D267" s="42" t="s">
        <v>39</v>
      </c>
      <c r="E267" s="42" t="s">
        <v>38</v>
      </c>
      <c r="F267" s="43">
        <v>3660.95</v>
      </c>
      <c r="G267" s="43">
        <v>3660.15</v>
      </c>
      <c r="H267" s="43">
        <v>3659.45</v>
      </c>
      <c r="I267" s="42" t="s">
        <v>472</v>
      </c>
      <c r="J267" s="43">
        <v>3659.45</v>
      </c>
      <c r="K267" s="43">
        <v>0</v>
      </c>
      <c r="L267" s="43">
        <v>0</v>
      </c>
      <c r="M267" s="44">
        <v>1.5</v>
      </c>
      <c r="N267" s="10" t="str">
        <f t="shared" si="45"/>
        <v>W</v>
      </c>
      <c r="O267" s="11">
        <f t="shared" si="46"/>
        <v>45918</v>
      </c>
      <c r="P267" s="12" t="str">
        <f t="shared" si="47"/>
        <v>06</v>
      </c>
      <c r="Q267" s="13" t="str">
        <f>VLOOKUP($B267,Deals_Demo!$H:$N,7,0)</f>
        <v>strategy_12_demo</v>
      </c>
      <c r="R267" s="13" t="str">
        <f t="shared" si="48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49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2"/>
        <v>0.15000000000000002</v>
      </c>
      <c r="Y267" s="13">
        <f t="shared" si="43"/>
        <v>0.30000000000000004</v>
      </c>
      <c r="Z267" s="13">
        <f t="shared" si="44"/>
        <v>0.44999999999999996</v>
      </c>
      <c r="AA267" s="13">
        <f t="shared" si="50"/>
        <v>-3</v>
      </c>
    </row>
    <row r="268" spans="1:27" x14ac:dyDescent="0.25">
      <c r="A268" s="35">
        <v>45918.281921296293</v>
      </c>
      <c r="B268" s="36">
        <v>443201862</v>
      </c>
      <c r="C268" s="37" t="s">
        <v>36</v>
      </c>
      <c r="D268" s="37" t="s">
        <v>39</v>
      </c>
      <c r="E268" s="37" t="s">
        <v>38</v>
      </c>
      <c r="F268" s="38">
        <v>3661.03</v>
      </c>
      <c r="G268" s="38">
        <v>3658.66</v>
      </c>
      <c r="H268" s="38">
        <v>3657.45</v>
      </c>
      <c r="I268" s="37" t="s">
        <v>473</v>
      </c>
      <c r="J268" s="38">
        <v>3657.43</v>
      </c>
      <c r="K268" s="38">
        <v>0</v>
      </c>
      <c r="L268" s="38">
        <v>0</v>
      </c>
      <c r="M268" s="39">
        <v>3.6</v>
      </c>
      <c r="N268" s="10" t="str">
        <f t="shared" si="45"/>
        <v>W</v>
      </c>
      <c r="O268" s="11">
        <f t="shared" si="46"/>
        <v>45918</v>
      </c>
      <c r="P268" s="12" t="str">
        <f t="shared" si="47"/>
        <v>06</v>
      </c>
      <c r="Q268" s="13" t="str">
        <f>VLOOKUP($B268,Deals_Demo!$H:$N,7,0)</f>
        <v>strategy_11_demo</v>
      </c>
      <c r="R268" s="13" t="str">
        <f t="shared" si="48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49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2"/>
        <v>0.36000000000000004</v>
      </c>
      <c r="Y268" s="13">
        <f t="shared" si="43"/>
        <v>0.72000000000000008</v>
      </c>
      <c r="Z268" s="13">
        <f t="shared" si="44"/>
        <v>1.08</v>
      </c>
      <c r="AA268" s="13">
        <f t="shared" si="50"/>
        <v>3.6</v>
      </c>
    </row>
    <row r="269" spans="1:27" x14ac:dyDescent="0.25">
      <c r="A269" s="40">
        <v>45918.28193287037</v>
      </c>
      <c r="B269" s="41">
        <v>443201863</v>
      </c>
      <c r="C269" s="42" t="s">
        <v>36</v>
      </c>
      <c r="D269" s="42" t="s">
        <v>39</v>
      </c>
      <c r="E269" s="42" t="s">
        <v>38</v>
      </c>
      <c r="F269" s="43">
        <v>3661.03</v>
      </c>
      <c r="G269" s="43">
        <v>3658.76</v>
      </c>
      <c r="H269" s="43">
        <v>3657.95</v>
      </c>
      <c r="I269" s="42" t="s">
        <v>474</v>
      </c>
      <c r="J269" s="43">
        <v>3657.93</v>
      </c>
      <c r="K269" s="43">
        <v>0</v>
      </c>
      <c r="L269" s="43">
        <v>0</v>
      </c>
      <c r="M269" s="44">
        <v>3.1</v>
      </c>
      <c r="N269" s="10" t="str">
        <f t="shared" si="45"/>
        <v>W</v>
      </c>
      <c r="O269" s="11">
        <f t="shared" si="46"/>
        <v>45918</v>
      </c>
      <c r="P269" s="12" t="str">
        <f t="shared" si="47"/>
        <v>06</v>
      </c>
      <c r="Q269" s="13" t="str">
        <f>VLOOKUP($B269,Deals_Demo!$H:$N,7,0)</f>
        <v>strategy_09_demo</v>
      </c>
      <c r="R269" s="13" t="str">
        <f t="shared" si="48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49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2"/>
        <v>0.31000000000000005</v>
      </c>
      <c r="Y269" s="13">
        <f t="shared" si="43"/>
        <v>0.62000000000000011</v>
      </c>
      <c r="Z269" s="13">
        <f t="shared" si="44"/>
        <v>0.92999999999999994</v>
      </c>
      <c r="AA269" s="13">
        <f t="shared" si="50"/>
        <v>3.1</v>
      </c>
    </row>
    <row r="270" spans="1:27" x14ac:dyDescent="0.25">
      <c r="A270" s="35">
        <v>45918.28193287037</v>
      </c>
      <c r="B270" s="36">
        <v>443201864</v>
      </c>
      <c r="C270" s="37" t="s">
        <v>36</v>
      </c>
      <c r="D270" s="37" t="s">
        <v>39</v>
      </c>
      <c r="E270" s="37" t="s">
        <v>38</v>
      </c>
      <c r="F270" s="38">
        <v>3661.03</v>
      </c>
      <c r="G270" s="38">
        <v>3658.76</v>
      </c>
      <c r="H270" s="38">
        <v>3657.95</v>
      </c>
      <c r="I270" s="37" t="s">
        <v>474</v>
      </c>
      <c r="J270" s="38">
        <v>3657.93</v>
      </c>
      <c r="K270" s="38">
        <v>0</v>
      </c>
      <c r="L270" s="38">
        <v>0</v>
      </c>
      <c r="M270" s="39">
        <v>3.1</v>
      </c>
      <c r="N270" s="10" t="str">
        <f t="shared" si="45"/>
        <v>W</v>
      </c>
      <c r="O270" s="11">
        <f t="shared" si="46"/>
        <v>45918</v>
      </c>
      <c r="P270" s="12" t="str">
        <f t="shared" si="47"/>
        <v>06</v>
      </c>
      <c r="Q270" s="13" t="str">
        <f>VLOOKUP($B270,Deals_Demo!$H:$N,7,0)</f>
        <v>strategy_10_demo</v>
      </c>
      <c r="R270" s="13" t="str">
        <f t="shared" si="48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49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2"/>
        <v>0.31000000000000005</v>
      </c>
      <c r="Y270" s="13">
        <f t="shared" si="43"/>
        <v>0.62000000000000011</v>
      </c>
      <c r="Z270" s="13">
        <f t="shared" si="44"/>
        <v>0.92999999999999994</v>
      </c>
      <c r="AA270" s="13">
        <f t="shared" si="50"/>
        <v>3.1</v>
      </c>
    </row>
    <row r="271" spans="1:27" x14ac:dyDescent="0.25">
      <c r="A271" s="40">
        <v>45918.287824074076</v>
      </c>
      <c r="B271" s="41">
        <v>443202901</v>
      </c>
      <c r="C271" s="42" t="s">
        <v>36</v>
      </c>
      <c r="D271" s="42" t="s">
        <v>39</v>
      </c>
      <c r="E271" s="42" t="s">
        <v>38</v>
      </c>
      <c r="F271" s="43">
        <v>3659.49</v>
      </c>
      <c r="G271" s="43">
        <v>3658.78</v>
      </c>
      <c r="H271" s="43">
        <v>3657.99</v>
      </c>
      <c r="I271" s="42" t="s">
        <v>474</v>
      </c>
      <c r="J271" s="43">
        <v>3657.93</v>
      </c>
      <c r="K271" s="43">
        <v>0</v>
      </c>
      <c r="L271" s="43">
        <v>0</v>
      </c>
      <c r="M271" s="44">
        <v>1.56</v>
      </c>
      <c r="N271" s="10" t="str">
        <f t="shared" si="45"/>
        <v>W</v>
      </c>
      <c r="O271" s="11">
        <f t="shared" si="46"/>
        <v>45918</v>
      </c>
      <c r="P271" s="12" t="str">
        <f t="shared" si="47"/>
        <v>06</v>
      </c>
      <c r="Q271" s="13" t="str">
        <f>VLOOKUP($B271,Deals_Demo!$H:$N,7,0)</f>
        <v>strategy_12_demo</v>
      </c>
      <c r="R271" s="13" t="str">
        <f t="shared" si="48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49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2"/>
        <v>0.15600000000000003</v>
      </c>
      <c r="Y271" s="13">
        <f t="shared" si="43"/>
        <v>0.31200000000000006</v>
      </c>
      <c r="Z271" s="13">
        <f t="shared" si="44"/>
        <v>0.46799999999999997</v>
      </c>
      <c r="AA271" s="13">
        <f t="shared" si="50"/>
        <v>-3</v>
      </c>
    </row>
    <row r="272" spans="1:27" x14ac:dyDescent="0.25">
      <c r="A272" s="35">
        <v>45918.296157407407</v>
      </c>
      <c r="B272" s="36">
        <v>443205050</v>
      </c>
      <c r="C272" s="37" t="s">
        <v>36</v>
      </c>
      <c r="D272" s="37" t="s">
        <v>39</v>
      </c>
      <c r="E272" s="37" t="s">
        <v>38</v>
      </c>
      <c r="F272" s="38">
        <v>3657.87</v>
      </c>
      <c r="G272" s="38">
        <v>3656.61</v>
      </c>
      <c r="H272" s="38">
        <v>3654.37</v>
      </c>
      <c r="I272" s="37" t="s">
        <v>475</v>
      </c>
      <c r="J272" s="38">
        <v>3656.61</v>
      </c>
      <c r="K272" s="38">
        <v>0</v>
      </c>
      <c r="L272" s="38">
        <v>0</v>
      </c>
      <c r="M272" s="39">
        <v>1.26</v>
      </c>
      <c r="N272" s="10" t="str">
        <f t="shared" si="45"/>
        <v>W</v>
      </c>
      <c r="O272" s="11">
        <f t="shared" si="46"/>
        <v>45918</v>
      </c>
      <c r="P272" s="12" t="str">
        <f t="shared" si="47"/>
        <v>07</v>
      </c>
      <c r="Q272" s="13" t="str">
        <f>VLOOKUP($B272,Deals_Demo!$H:$N,7,0)</f>
        <v>strategy_11_demo</v>
      </c>
      <c r="R272" s="13" t="str">
        <f t="shared" si="48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49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2"/>
        <v>0.126</v>
      </c>
      <c r="Y272" s="13">
        <f t="shared" si="43"/>
        <v>0.252</v>
      </c>
      <c r="Z272" s="13">
        <f t="shared" si="44"/>
        <v>0.378</v>
      </c>
      <c r="AA272" s="13">
        <f t="shared" si="50"/>
        <v>-3</v>
      </c>
    </row>
    <row r="273" spans="1:27" x14ac:dyDescent="0.25">
      <c r="A273" s="40">
        <v>45918.296157407407</v>
      </c>
      <c r="B273" s="41">
        <v>443205051</v>
      </c>
      <c r="C273" s="42" t="s">
        <v>36</v>
      </c>
      <c r="D273" s="42" t="s">
        <v>39</v>
      </c>
      <c r="E273" s="42" t="s">
        <v>38</v>
      </c>
      <c r="F273" s="43">
        <v>3657.83</v>
      </c>
      <c r="G273" s="43">
        <v>3656.61</v>
      </c>
      <c r="H273" s="43">
        <v>3654.87</v>
      </c>
      <c r="I273" s="42" t="s">
        <v>475</v>
      </c>
      <c r="J273" s="43">
        <v>3656.61</v>
      </c>
      <c r="K273" s="43">
        <v>0</v>
      </c>
      <c r="L273" s="43">
        <v>0</v>
      </c>
      <c r="M273" s="44">
        <v>1.22</v>
      </c>
      <c r="N273" s="10" t="str">
        <f t="shared" si="45"/>
        <v>W</v>
      </c>
      <c r="O273" s="11">
        <f t="shared" si="46"/>
        <v>45918</v>
      </c>
      <c r="P273" s="12" t="str">
        <f t="shared" si="47"/>
        <v>07</v>
      </c>
      <c r="Q273" s="13" t="str">
        <f>VLOOKUP($B273,Deals_Demo!$H:$N,7,0)</f>
        <v>strategy_10_demo</v>
      </c>
      <c r="R273" s="13" t="str">
        <f t="shared" si="48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49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2"/>
        <v>0.122</v>
      </c>
      <c r="Y273" s="13">
        <f t="shared" si="43"/>
        <v>0.24399999999999999</v>
      </c>
      <c r="Z273" s="13">
        <f t="shared" si="44"/>
        <v>0.36599999999999999</v>
      </c>
      <c r="AA273" s="13">
        <f t="shared" si="50"/>
        <v>-3</v>
      </c>
    </row>
    <row r="274" spans="1:27" x14ac:dyDescent="0.25">
      <c r="A274" s="35">
        <v>45918.296168981484</v>
      </c>
      <c r="B274" s="36">
        <v>443205052</v>
      </c>
      <c r="C274" s="37" t="s">
        <v>36</v>
      </c>
      <c r="D274" s="37" t="s">
        <v>39</v>
      </c>
      <c r="E274" s="37" t="s">
        <v>38</v>
      </c>
      <c r="F274" s="38">
        <v>3657.81</v>
      </c>
      <c r="G274" s="38">
        <v>3660.87</v>
      </c>
      <c r="H274" s="38">
        <v>3656.37</v>
      </c>
      <c r="I274" s="37" t="s">
        <v>476</v>
      </c>
      <c r="J274" s="38">
        <v>3656.3</v>
      </c>
      <c r="K274" s="38">
        <v>0</v>
      </c>
      <c r="L274" s="38">
        <v>0</v>
      </c>
      <c r="M274" s="39">
        <v>1.51</v>
      </c>
      <c r="N274" s="10" t="str">
        <f t="shared" si="45"/>
        <v>W</v>
      </c>
      <c r="O274" s="11">
        <f t="shared" si="46"/>
        <v>45918</v>
      </c>
      <c r="P274" s="12" t="str">
        <f t="shared" si="47"/>
        <v>07</v>
      </c>
      <c r="Q274" s="13" t="str">
        <f>VLOOKUP($B274,Deals_Demo!$H:$N,7,0)</f>
        <v>strategy_12_demo</v>
      </c>
      <c r="R274" s="13" t="str">
        <f t="shared" si="48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49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2"/>
        <v>0.15100000000000002</v>
      </c>
      <c r="Y274" s="13">
        <f t="shared" si="43"/>
        <v>0.30200000000000005</v>
      </c>
      <c r="Z274" s="13">
        <f t="shared" si="44"/>
        <v>0.45299999999999996</v>
      </c>
      <c r="AA274" s="13">
        <f t="shared" si="50"/>
        <v>-3</v>
      </c>
    </row>
    <row r="275" spans="1:27" x14ac:dyDescent="0.25">
      <c r="A275" s="40">
        <v>45918.296168981484</v>
      </c>
      <c r="B275" s="41">
        <v>443205054</v>
      </c>
      <c r="C275" s="42" t="s">
        <v>36</v>
      </c>
      <c r="D275" s="42" t="s">
        <v>39</v>
      </c>
      <c r="E275" s="42" t="s">
        <v>38</v>
      </c>
      <c r="F275" s="43">
        <v>3657.81</v>
      </c>
      <c r="G275" s="43">
        <v>3656.61</v>
      </c>
      <c r="H275" s="43">
        <v>3654.87</v>
      </c>
      <c r="I275" s="42" t="s">
        <v>475</v>
      </c>
      <c r="J275" s="43">
        <v>3656.61</v>
      </c>
      <c r="K275" s="43">
        <v>0</v>
      </c>
      <c r="L275" s="43">
        <v>0</v>
      </c>
      <c r="M275" s="44">
        <v>1.2</v>
      </c>
      <c r="N275" s="10" t="str">
        <f t="shared" si="45"/>
        <v>W</v>
      </c>
      <c r="O275" s="11">
        <f t="shared" si="46"/>
        <v>45918</v>
      </c>
      <c r="P275" s="12" t="str">
        <f t="shared" si="47"/>
        <v>07</v>
      </c>
      <c r="Q275" s="13" t="str">
        <f>VLOOKUP($B275,Deals_Demo!$H:$N,7,0)</f>
        <v>strategy_09_demo</v>
      </c>
      <c r="R275" s="13" t="str">
        <f t="shared" si="48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49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2"/>
        <v>0.12</v>
      </c>
      <c r="Y275" s="13">
        <f t="shared" si="43"/>
        <v>0.24</v>
      </c>
      <c r="Z275" s="13">
        <f t="shared" si="44"/>
        <v>0.36</v>
      </c>
      <c r="AA275" s="13">
        <f t="shared" si="50"/>
        <v>-3</v>
      </c>
    </row>
    <row r="276" spans="1:27" x14ac:dyDescent="0.25">
      <c r="A276" s="35">
        <v>45918.296620370369</v>
      </c>
      <c r="B276" s="36">
        <v>443205097</v>
      </c>
      <c r="C276" s="37" t="s">
        <v>36</v>
      </c>
      <c r="D276" s="37" t="s">
        <v>39</v>
      </c>
      <c r="E276" s="37" t="s">
        <v>38</v>
      </c>
      <c r="F276" s="38">
        <v>3658</v>
      </c>
      <c r="G276" s="38">
        <v>3655.96</v>
      </c>
      <c r="H276" s="38">
        <v>3654.5</v>
      </c>
      <c r="I276" s="37" t="s">
        <v>477</v>
      </c>
      <c r="J276" s="38">
        <v>3654.49</v>
      </c>
      <c r="K276" s="38">
        <v>0</v>
      </c>
      <c r="L276" s="38">
        <v>0</v>
      </c>
      <c r="M276" s="39">
        <v>3.51</v>
      </c>
      <c r="N276" s="10" t="str">
        <f t="shared" si="45"/>
        <v>W</v>
      </c>
      <c r="O276" s="11">
        <f t="shared" si="46"/>
        <v>45918</v>
      </c>
      <c r="P276" s="12" t="str">
        <f t="shared" si="47"/>
        <v>07</v>
      </c>
      <c r="Q276" s="13" t="str">
        <f>VLOOKUP($B276,Deals_Demo!$H:$N,7,0)</f>
        <v>strategy_08_demo</v>
      </c>
      <c r="R276" s="13" t="str">
        <f t="shared" si="48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49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2"/>
        <v>0.35099999999999998</v>
      </c>
      <c r="Y276" s="13">
        <f t="shared" si="43"/>
        <v>0.70199999999999996</v>
      </c>
      <c r="Z276" s="13">
        <f t="shared" si="44"/>
        <v>1.0529999999999999</v>
      </c>
      <c r="AA276" s="13">
        <f t="shared" si="50"/>
        <v>3.51</v>
      </c>
    </row>
    <row r="277" spans="1:27" x14ac:dyDescent="0.25">
      <c r="A277" s="40">
        <v>45918.296620370369</v>
      </c>
      <c r="B277" s="41">
        <v>443205098</v>
      </c>
      <c r="C277" s="42" t="s">
        <v>36</v>
      </c>
      <c r="D277" s="42" t="s">
        <v>39</v>
      </c>
      <c r="E277" s="42" t="s">
        <v>38</v>
      </c>
      <c r="F277" s="43">
        <v>3657.97</v>
      </c>
      <c r="G277" s="43">
        <v>3655.96</v>
      </c>
      <c r="H277" s="43">
        <v>3654.5</v>
      </c>
      <c r="I277" s="42" t="s">
        <v>477</v>
      </c>
      <c r="J277" s="43">
        <v>3654.49</v>
      </c>
      <c r="K277" s="43">
        <v>0</v>
      </c>
      <c r="L277" s="43">
        <v>0</v>
      </c>
      <c r="M277" s="44">
        <v>3.48</v>
      </c>
      <c r="N277" s="10" t="str">
        <f t="shared" si="45"/>
        <v>W</v>
      </c>
      <c r="O277" s="11">
        <f t="shared" si="46"/>
        <v>45918</v>
      </c>
      <c r="P277" s="12" t="str">
        <f t="shared" si="47"/>
        <v>07</v>
      </c>
      <c r="Q277" s="13" t="str">
        <f>VLOOKUP($B277,Deals_Demo!$H:$N,7,0)</f>
        <v>strategy_07_demo</v>
      </c>
      <c r="R277" s="13" t="str">
        <f t="shared" si="48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49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2"/>
        <v>0.34800000000000003</v>
      </c>
      <c r="Y277" s="13">
        <f t="shared" si="43"/>
        <v>0.69600000000000006</v>
      </c>
      <c r="Z277" s="13">
        <f t="shared" si="44"/>
        <v>1.044</v>
      </c>
      <c r="AA277" s="13">
        <f t="shared" si="50"/>
        <v>3.48</v>
      </c>
    </row>
    <row r="278" spans="1:27" x14ac:dyDescent="0.25">
      <c r="A278" s="35">
        <v>45918.298587962963</v>
      </c>
      <c r="B278" s="36">
        <v>443205423</v>
      </c>
      <c r="C278" s="37" t="s">
        <v>36</v>
      </c>
      <c r="D278" s="37" t="s">
        <v>39</v>
      </c>
      <c r="E278" s="37" t="s">
        <v>38</v>
      </c>
      <c r="F278" s="38">
        <v>3658.79</v>
      </c>
      <c r="G278" s="38">
        <v>3657.54</v>
      </c>
      <c r="H278" s="38">
        <v>3652.79</v>
      </c>
      <c r="I278" s="37" t="s">
        <v>478</v>
      </c>
      <c r="J278" s="38">
        <v>3657.55</v>
      </c>
      <c r="K278" s="38">
        <v>0</v>
      </c>
      <c r="L278" s="38">
        <v>0</v>
      </c>
      <c r="M278" s="39">
        <v>1.24</v>
      </c>
      <c r="N278" s="10" t="str">
        <f t="shared" si="45"/>
        <v>W</v>
      </c>
      <c r="O278" s="11">
        <f t="shared" si="46"/>
        <v>45918</v>
      </c>
      <c r="P278" s="12" t="str">
        <f t="shared" si="47"/>
        <v>07</v>
      </c>
      <c r="Q278" s="13" t="str">
        <f>VLOOKUP($B278,Deals_Demo!$H:$N,7,0)</f>
        <v>DEMO_strategy_02</v>
      </c>
      <c r="R278" s="13" t="str">
        <f t="shared" si="48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49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2"/>
        <v>0.124</v>
      </c>
      <c r="Y278" s="13">
        <f t="shared" si="43"/>
        <v>0.248</v>
      </c>
      <c r="Z278" s="13">
        <f t="shared" si="44"/>
        <v>0.372</v>
      </c>
      <c r="AA278" s="13">
        <f t="shared" si="50"/>
        <v>-3</v>
      </c>
    </row>
    <row r="279" spans="1:27" x14ac:dyDescent="0.25">
      <c r="A279" s="40">
        <v>45918.29859953704</v>
      </c>
      <c r="B279" s="41">
        <v>443205424</v>
      </c>
      <c r="C279" s="42" t="s">
        <v>36</v>
      </c>
      <c r="D279" s="42" t="s">
        <v>39</v>
      </c>
      <c r="E279" s="42" t="s">
        <v>38</v>
      </c>
      <c r="F279" s="43">
        <v>3658.79</v>
      </c>
      <c r="G279" s="43">
        <v>3657.54</v>
      </c>
      <c r="H279" s="42"/>
      <c r="I279" s="42" t="s">
        <v>478</v>
      </c>
      <c r="J279" s="43">
        <v>3657.55</v>
      </c>
      <c r="K279" s="43">
        <v>0</v>
      </c>
      <c r="L279" s="43">
        <v>0</v>
      </c>
      <c r="M279" s="44">
        <v>1.24</v>
      </c>
      <c r="N279" s="10" t="str">
        <f t="shared" si="45"/>
        <v>W</v>
      </c>
      <c r="O279" s="11">
        <f t="shared" si="46"/>
        <v>45918</v>
      </c>
      <c r="P279" s="12" t="str">
        <f t="shared" si="47"/>
        <v>07</v>
      </c>
      <c r="Q279" s="13" t="str">
        <f>VLOOKUP($B279,Deals_Demo!$H:$N,7,0)</f>
        <v>DEMO_strategy_01</v>
      </c>
      <c r="R279" s="13" t="str">
        <f t="shared" si="48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49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2"/>
        <v>0.124</v>
      </c>
      <c r="Y279" s="13">
        <f t="shared" si="43"/>
        <v>0.248</v>
      </c>
      <c r="Z279" s="13">
        <f t="shared" si="44"/>
        <v>0.372</v>
      </c>
      <c r="AA279" s="13">
        <f t="shared" si="50"/>
        <v>-3</v>
      </c>
    </row>
    <row r="280" spans="1:27" x14ac:dyDescent="0.25">
      <c r="A280" s="35">
        <v>45918.298622685186</v>
      </c>
      <c r="B280" s="36">
        <v>443205427</v>
      </c>
      <c r="C280" s="37" t="s">
        <v>36</v>
      </c>
      <c r="D280" s="37" t="s">
        <v>39</v>
      </c>
      <c r="E280" s="37" t="s">
        <v>38</v>
      </c>
      <c r="F280" s="38">
        <v>3658.74</v>
      </c>
      <c r="G280" s="38">
        <v>3656.92</v>
      </c>
      <c r="H280" s="38">
        <v>3654.24</v>
      </c>
      <c r="I280" s="37" t="s">
        <v>479</v>
      </c>
      <c r="J280" s="38">
        <v>3657.01</v>
      </c>
      <c r="K280" s="38">
        <v>0</v>
      </c>
      <c r="L280" s="38">
        <v>0</v>
      </c>
      <c r="M280" s="39">
        <v>1.73</v>
      </c>
      <c r="N280" s="10" t="str">
        <f t="shared" si="45"/>
        <v>W</v>
      </c>
      <c r="O280" s="11">
        <f t="shared" si="46"/>
        <v>45918</v>
      </c>
      <c r="P280" s="12" t="str">
        <f t="shared" si="47"/>
        <v>07</v>
      </c>
      <c r="Q280" s="13" t="str">
        <f>VLOOKUP($B280,Deals_Demo!$H:$N,7,0)</f>
        <v>DEMO_strategy_03</v>
      </c>
      <c r="R280" s="13" t="str">
        <f t="shared" si="48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49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2"/>
        <v>0.17300000000000001</v>
      </c>
      <c r="Y280" s="13">
        <f t="shared" si="43"/>
        <v>0.34600000000000003</v>
      </c>
      <c r="Z280" s="13">
        <f t="shared" si="44"/>
        <v>0.51900000000000002</v>
      </c>
      <c r="AA280" s="13">
        <f t="shared" si="50"/>
        <v>-3</v>
      </c>
    </row>
    <row r="281" spans="1:27" x14ac:dyDescent="0.25">
      <c r="A281" s="40">
        <v>45918.318611111114</v>
      </c>
      <c r="B281" s="41">
        <v>443208612</v>
      </c>
      <c r="C281" s="42" t="s">
        <v>36</v>
      </c>
      <c r="D281" s="42" t="s">
        <v>39</v>
      </c>
      <c r="E281" s="42" t="s">
        <v>38</v>
      </c>
      <c r="F281" s="43">
        <v>3656.29</v>
      </c>
      <c r="G281" s="43">
        <v>3655.65</v>
      </c>
      <c r="H281" s="43">
        <v>3654.77</v>
      </c>
      <c r="I281" s="42" t="s">
        <v>480</v>
      </c>
      <c r="J281" s="43">
        <v>3654.73</v>
      </c>
      <c r="K281" s="43">
        <v>0</v>
      </c>
      <c r="L281" s="43">
        <v>0</v>
      </c>
      <c r="M281" s="44">
        <v>1.56</v>
      </c>
      <c r="N281" s="10" t="str">
        <f t="shared" si="45"/>
        <v>W</v>
      </c>
      <c r="O281" s="11">
        <f t="shared" si="46"/>
        <v>45918</v>
      </c>
      <c r="P281" s="12" t="str">
        <f t="shared" si="47"/>
        <v>07</v>
      </c>
      <c r="Q281" s="13" t="str">
        <f>VLOOKUP($B281,Deals_Demo!$H:$N,7,0)</f>
        <v>strategy_12_demo</v>
      </c>
      <c r="R281" s="13" t="str">
        <f t="shared" si="48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49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2"/>
        <v>0.15600000000000003</v>
      </c>
      <c r="Y281" s="13">
        <f t="shared" si="43"/>
        <v>0.31200000000000006</v>
      </c>
      <c r="Z281" s="13">
        <f t="shared" si="44"/>
        <v>0.46799999999999997</v>
      </c>
      <c r="AA281" s="13">
        <f t="shared" si="50"/>
        <v>-3</v>
      </c>
    </row>
    <row r="282" spans="1:27" x14ac:dyDescent="0.25">
      <c r="A282" s="35">
        <v>45918.32</v>
      </c>
      <c r="B282" s="36">
        <v>443209177</v>
      </c>
      <c r="C282" s="37" t="s">
        <v>36</v>
      </c>
      <c r="D282" s="37" t="s">
        <v>39</v>
      </c>
      <c r="E282" s="37" t="s">
        <v>38</v>
      </c>
      <c r="F282" s="38">
        <v>3656.23</v>
      </c>
      <c r="G282" s="38">
        <v>3654.2</v>
      </c>
      <c r="H282" s="38">
        <v>3652.73</v>
      </c>
      <c r="I282" s="37" t="s">
        <v>481</v>
      </c>
      <c r="J282" s="38">
        <v>3654.2</v>
      </c>
      <c r="K282" s="38">
        <v>0</v>
      </c>
      <c r="L282" s="38">
        <v>0</v>
      </c>
      <c r="M282" s="39">
        <v>2.0299999999999998</v>
      </c>
      <c r="N282" s="10" t="str">
        <f t="shared" si="45"/>
        <v>W</v>
      </c>
      <c r="O282" s="11">
        <f t="shared" si="46"/>
        <v>45918</v>
      </c>
      <c r="P282" s="12" t="str">
        <f t="shared" si="47"/>
        <v>07</v>
      </c>
      <c r="Q282" s="13" t="str">
        <f>VLOOKUP($B282,Deals_Demo!$H:$N,7,0)</f>
        <v>strategy_11_demo</v>
      </c>
      <c r="R282" s="13" t="str">
        <f t="shared" si="48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49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2"/>
        <v>0.20299999999999999</v>
      </c>
      <c r="Y282" s="13">
        <f t="shared" si="43"/>
        <v>0.40599999999999997</v>
      </c>
      <c r="Z282" s="13">
        <f t="shared" si="44"/>
        <v>0.60899999999999987</v>
      </c>
      <c r="AA282" s="13">
        <f t="shared" si="50"/>
        <v>-3</v>
      </c>
    </row>
    <row r="283" spans="1:27" x14ac:dyDescent="0.25">
      <c r="A283" s="40">
        <v>45918.32</v>
      </c>
      <c r="B283" s="41">
        <v>443209178</v>
      </c>
      <c r="C283" s="42" t="s">
        <v>36</v>
      </c>
      <c r="D283" s="42" t="s">
        <v>39</v>
      </c>
      <c r="E283" s="42" t="s">
        <v>38</v>
      </c>
      <c r="F283" s="43">
        <v>3656.23</v>
      </c>
      <c r="G283" s="43">
        <v>3654.49</v>
      </c>
      <c r="H283" s="43">
        <v>3653.23</v>
      </c>
      <c r="I283" s="42" t="s">
        <v>482</v>
      </c>
      <c r="J283" s="43">
        <v>3653.17</v>
      </c>
      <c r="K283" s="43">
        <v>0</v>
      </c>
      <c r="L283" s="43">
        <v>0</v>
      </c>
      <c r="M283" s="44">
        <v>3.06</v>
      </c>
      <c r="N283" s="10" t="str">
        <f t="shared" si="45"/>
        <v>W</v>
      </c>
      <c r="O283" s="11">
        <f t="shared" si="46"/>
        <v>45918</v>
      </c>
      <c r="P283" s="12" t="str">
        <f t="shared" si="47"/>
        <v>07</v>
      </c>
      <c r="Q283" s="13" t="str">
        <f>VLOOKUP($B283,Deals_Demo!$H:$N,7,0)</f>
        <v>strategy_10_demo</v>
      </c>
      <c r="R283" s="13" t="str">
        <f t="shared" si="48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49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2"/>
        <v>0.30600000000000005</v>
      </c>
      <c r="Y283" s="13">
        <f t="shared" si="43"/>
        <v>0.6120000000000001</v>
      </c>
      <c r="Z283" s="13">
        <f t="shared" si="44"/>
        <v>0.91799999999999993</v>
      </c>
      <c r="AA283" s="13">
        <f t="shared" si="50"/>
        <v>3.06</v>
      </c>
    </row>
    <row r="284" spans="1:27" x14ac:dyDescent="0.25">
      <c r="A284" s="35">
        <v>45918.320011574076</v>
      </c>
      <c r="B284" s="36">
        <v>443209179</v>
      </c>
      <c r="C284" s="37" t="s">
        <v>36</v>
      </c>
      <c r="D284" s="37" t="s">
        <v>39</v>
      </c>
      <c r="E284" s="37" t="s">
        <v>38</v>
      </c>
      <c r="F284" s="38">
        <v>3656.23</v>
      </c>
      <c r="G284" s="38">
        <v>3654.49</v>
      </c>
      <c r="H284" s="38">
        <v>3653.23</v>
      </c>
      <c r="I284" s="37" t="s">
        <v>482</v>
      </c>
      <c r="J284" s="38">
        <v>3653.17</v>
      </c>
      <c r="K284" s="38">
        <v>0</v>
      </c>
      <c r="L284" s="38">
        <v>0</v>
      </c>
      <c r="M284" s="39">
        <v>3.06</v>
      </c>
      <c r="N284" s="10" t="str">
        <f t="shared" si="45"/>
        <v>W</v>
      </c>
      <c r="O284" s="11">
        <f t="shared" si="46"/>
        <v>45918</v>
      </c>
      <c r="P284" s="12" t="str">
        <f t="shared" si="47"/>
        <v>07</v>
      </c>
      <c r="Q284" s="13" t="str">
        <f>VLOOKUP($B284,Deals_Demo!$H:$N,7,0)</f>
        <v>strategy_09_demo</v>
      </c>
      <c r="R284" s="13" t="str">
        <f t="shared" si="48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49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2"/>
        <v>0.30600000000000005</v>
      </c>
      <c r="Y284" s="13">
        <f t="shared" si="43"/>
        <v>0.6120000000000001</v>
      </c>
      <c r="Z284" s="13">
        <f t="shared" si="44"/>
        <v>0.91799999999999993</v>
      </c>
      <c r="AA284" s="13">
        <f t="shared" si="50"/>
        <v>3.06</v>
      </c>
    </row>
    <row r="285" spans="1:27" x14ac:dyDescent="0.25">
      <c r="A285" s="40">
        <v>45918.320821759262</v>
      </c>
      <c r="B285" s="41">
        <v>443209388</v>
      </c>
      <c r="C285" s="42" t="s">
        <v>36</v>
      </c>
      <c r="D285" s="42" t="s">
        <v>39</v>
      </c>
      <c r="E285" s="42" t="s">
        <v>38</v>
      </c>
      <c r="F285" s="43">
        <v>3657.33</v>
      </c>
      <c r="G285" s="43">
        <v>3654.55</v>
      </c>
      <c r="H285" s="43">
        <v>3651.33</v>
      </c>
      <c r="I285" s="42" t="s">
        <v>483</v>
      </c>
      <c r="J285" s="43">
        <v>3654.57</v>
      </c>
      <c r="K285" s="43">
        <v>0</v>
      </c>
      <c r="L285" s="43">
        <v>0</v>
      </c>
      <c r="M285" s="44">
        <v>2.76</v>
      </c>
      <c r="N285" s="10" t="str">
        <f t="shared" si="45"/>
        <v>W</v>
      </c>
      <c r="O285" s="11">
        <f t="shared" si="46"/>
        <v>45918</v>
      </c>
      <c r="P285" s="12" t="str">
        <f t="shared" si="47"/>
        <v>07</v>
      </c>
      <c r="Q285" s="13" t="str">
        <f>VLOOKUP($B285,Deals_Demo!$H:$N,7,0)</f>
        <v>DEMO_strategy_02</v>
      </c>
      <c r="R285" s="13" t="str">
        <f t="shared" si="48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49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2"/>
        <v>0.27599999999999997</v>
      </c>
      <c r="Y285" s="13">
        <f t="shared" si="43"/>
        <v>0.55199999999999994</v>
      </c>
      <c r="Z285" s="13">
        <f t="shared" si="44"/>
        <v>0.82799999999999996</v>
      </c>
      <c r="AA285" s="13">
        <f t="shared" si="50"/>
        <v>-3</v>
      </c>
    </row>
    <row r="286" spans="1:27" x14ac:dyDescent="0.25">
      <c r="A286" s="35">
        <v>45918.320821759262</v>
      </c>
      <c r="B286" s="36">
        <v>443209390</v>
      </c>
      <c r="C286" s="37" t="s">
        <v>36</v>
      </c>
      <c r="D286" s="37" t="s">
        <v>39</v>
      </c>
      <c r="E286" s="37" t="s">
        <v>38</v>
      </c>
      <c r="F286" s="38">
        <v>3657.27</v>
      </c>
      <c r="G286" s="38">
        <v>3654.58</v>
      </c>
      <c r="H286" s="37"/>
      <c r="I286" s="37" t="s">
        <v>483</v>
      </c>
      <c r="J286" s="38">
        <v>3654.65</v>
      </c>
      <c r="K286" s="38">
        <v>0</v>
      </c>
      <c r="L286" s="38">
        <v>0</v>
      </c>
      <c r="M286" s="39">
        <v>2.62</v>
      </c>
      <c r="N286" s="10" t="str">
        <f t="shared" si="45"/>
        <v>W</v>
      </c>
      <c r="O286" s="11">
        <f t="shared" si="46"/>
        <v>45918</v>
      </c>
      <c r="P286" s="12" t="str">
        <f t="shared" si="47"/>
        <v>07</v>
      </c>
      <c r="Q286" s="13" t="str">
        <f>VLOOKUP($B286,Deals_Demo!$H:$N,7,0)</f>
        <v>DEMO_strategy_01</v>
      </c>
      <c r="R286" s="13" t="str">
        <f t="shared" si="48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49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2"/>
        <v>0.26200000000000001</v>
      </c>
      <c r="Y286" s="13">
        <f t="shared" si="43"/>
        <v>0.52400000000000002</v>
      </c>
      <c r="Z286" s="13">
        <f t="shared" si="44"/>
        <v>0.78600000000000003</v>
      </c>
      <c r="AA286" s="13">
        <f t="shared" si="50"/>
        <v>-3</v>
      </c>
    </row>
    <row r="287" spans="1:27" x14ac:dyDescent="0.25">
      <c r="A287" s="40">
        <v>45918.327060185184</v>
      </c>
      <c r="B287" s="41">
        <v>443210955</v>
      </c>
      <c r="C287" s="42" t="s">
        <v>36</v>
      </c>
      <c r="D287" s="42" t="s">
        <v>39</v>
      </c>
      <c r="E287" s="42" t="s">
        <v>38</v>
      </c>
      <c r="F287" s="43">
        <v>3656.79</v>
      </c>
      <c r="G287" s="43">
        <v>3654.7</v>
      </c>
      <c r="H287" s="43">
        <v>3652.28</v>
      </c>
      <c r="I287" s="42" t="s">
        <v>483</v>
      </c>
      <c r="J287" s="43">
        <v>3654.75</v>
      </c>
      <c r="K287" s="43">
        <v>0</v>
      </c>
      <c r="L287" s="43">
        <v>0</v>
      </c>
      <c r="M287" s="44">
        <v>2.04</v>
      </c>
      <c r="N287" s="10" t="str">
        <f t="shared" si="45"/>
        <v>W</v>
      </c>
      <c r="O287" s="11">
        <f t="shared" si="46"/>
        <v>45918</v>
      </c>
      <c r="P287" s="12" t="str">
        <f t="shared" si="47"/>
        <v>07</v>
      </c>
      <c r="Q287" s="13" t="str">
        <f>VLOOKUP($B287,Deals_Demo!$H:$N,7,0)</f>
        <v>DEMO_strategy_03</v>
      </c>
      <c r="R287" s="13" t="str">
        <f t="shared" si="48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49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2"/>
        <v>0.20400000000000001</v>
      </c>
      <c r="Y287" s="13">
        <f t="shared" si="43"/>
        <v>0.40800000000000003</v>
      </c>
      <c r="Z287" s="13">
        <f t="shared" si="44"/>
        <v>0.61199999999999999</v>
      </c>
      <c r="AA287" s="13">
        <f t="shared" si="50"/>
        <v>-3</v>
      </c>
    </row>
    <row r="288" spans="1:27" x14ac:dyDescent="0.25">
      <c r="A288" s="35">
        <v>45918.335509259261</v>
      </c>
      <c r="B288" s="36">
        <v>443213475</v>
      </c>
      <c r="C288" s="37" t="s">
        <v>36</v>
      </c>
      <c r="D288" s="37" t="s">
        <v>39</v>
      </c>
      <c r="E288" s="37" t="s">
        <v>38</v>
      </c>
      <c r="F288" s="38">
        <v>3653.88</v>
      </c>
      <c r="G288" s="38">
        <v>3653.07</v>
      </c>
      <c r="H288" s="38">
        <v>3652.23</v>
      </c>
      <c r="I288" s="37" t="s">
        <v>484</v>
      </c>
      <c r="J288" s="38">
        <v>3652.23</v>
      </c>
      <c r="K288" s="38">
        <v>0</v>
      </c>
      <c r="L288" s="38">
        <v>0</v>
      </c>
      <c r="M288" s="39">
        <v>1.65</v>
      </c>
      <c r="N288" s="10" t="str">
        <f t="shared" si="45"/>
        <v>W</v>
      </c>
      <c r="O288" s="11">
        <f t="shared" si="46"/>
        <v>45918</v>
      </c>
      <c r="P288" s="12" t="str">
        <f t="shared" si="47"/>
        <v>08</v>
      </c>
      <c r="Q288" s="13" t="str">
        <f>VLOOKUP($B288,Deals_Demo!$H:$N,7,0)</f>
        <v>strategy_12_demo</v>
      </c>
      <c r="R288" s="13" t="str">
        <f t="shared" si="48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49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2"/>
        <v>0.16500000000000001</v>
      </c>
      <c r="Y288" s="13">
        <f t="shared" si="43"/>
        <v>0.33</v>
      </c>
      <c r="Z288" s="13">
        <f t="shared" si="44"/>
        <v>0.49499999999999994</v>
      </c>
      <c r="AA288" s="13">
        <f t="shared" si="50"/>
        <v>-3</v>
      </c>
    </row>
    <row r="289" spans="1:27" x14ac:dyDescent="0.25">
      <c r="A289" s="40">
        <v>45918.335509259261</v>
      </c>
      <c r="B289" s="41">
        <v>443213477</v>
      </c>
      <c r="C289" s="42" t="s">
        <v>36</v>
      </c>
      <c r="D289" s="42" t="s">
        <v>39</v>
      </c>
      <c r="E289" s="42" t="s">
        <v>38</v>
      </c>
      <c r="F289" s="43">
        <v>3653.88</v>
      </c>
      <c r="G289" s="43">
        <v>3652.83</v>
      </c>
      <c r="H289" s="43">
        <v>3650.88</v>
      </c>
      <c r="I289" s="42" t="s">
        <v>485</v>
      </c>
      <c r="J289" s="43">
        <v>3653.02</v>
      </c>
      <c r="K289" s="43">
        <v>0</v>
      </c>
      <c r="L289" s="43">
        <v>0</v>
      </c>
      <c r="M289" s="44">
        <v>0.86</v>
      </c>
      <c r="N289" s="10" t="str">
        <f t="shared" si="45"/>
        <v>W</v>
      </c>
      <c r="O289" s="11">
        <f t="shared" si="46"/>
        <v>45918</v>
      </c>
      <c r="P289" s="12" t="str">
        <f t="shared" si="47"/>
        <v>08</v>
      </c>
      <c r="Q289" s="13" t="str">
        <f>VLOOKUP($B289,Deals_Demo!$H:$N,7,0)</f>
        <v>strategy_09_demo</v>
      </c>
      <c r="R289" s="13" t="str">
        <f t="shared" si="48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49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2"/>
        <v>8.6000000000000007E-2</v>
      </c>
      <c r="Y289" s="13">
        <f t="shared" si="43"/>
        <v>0.17200000000000001</v>
      </c>
      <c r="Z289" s="13">
        <f t="shared" si="44"/>
        <v>0.25800000000000001</v>
      </c>
      <c r="AA289" s="13">
        <f t="shared" si="50"/>
        <v>-3</v>
      </c>
    </row>
    <row r="290" spans="1:27" x14ac:dyDescent="0.25">
      <c r="A290" s="35">
        <v>45918.335509259261</v>
      </c>
      <c r="B290" s="36">
        <v>443213478</v>
      </c>
      <c r="C290" s="37" t="s">
        <v>36</v>
      </c>
      <c r="D290" s="37" t="s">
        <v>39</v>
      </c>
      <c r="E290" s="37" t="s">
        <v>38</v>
      </c>
      <c r="F290" s="38">
        <v>3653.88</v>
      </c>
      <c r="G290" s="38">
        <v>3652.84</v>
      </c>
      <c r="H290" s="38">
        <v>3650.88</v>
      </c>
      <c r="I290" s="37" t="s">
        <v>485</v>
      </c>
      <c r="J290" s="38">
        <v>3653.02</v>
      </c>
      <c r="K290" s="38">
        <v>0</v>
      </c>
      <c r="L290" s="38">
        <v>0</v>
      </c>
      <c r="M290" s="39">
        <v>0.86</v>
      </c>
      <c r="N290" s="10" t="str">
        <f t="shared" si="45"/>
        <v>W</v>
      </c>
      <c r="O290" s="11">
        <f t="shared" si="46"/>
        <v>45918</v>
      </c>
      <c r="P290" s="12" t="str">
        <f t="shared" si="47"/>
        <v>08</v>
      </c>
      <c r="Q290" s="13" t="str">
        <f>VLOOKUP($B290,Deals_Demo!$H:$N,7,0)</f>
        <v>strategy_10_demo</v>
      </c>
      <c r="R290" s="13" t="str">
        <f t="shared" si="48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49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2"/>
        <v>8.6000000000000007E-2</v>
      </c>
      <c r="Y290" s="13">
        <f t="shared" si="43"/>
        <v>0.17200000000000001</v>
      </c>
      <c r="Z290" s="13">
        <f t="shared" si="44"/>
        <v>0.25800000000000001</v>
      </c>
      <c r="AA290" s="13">
        <f t="shared" si="50"/>
        <v>-3</v>
      </c>
    </row>
    <row r="291" spans="1:27" x14ac:dyDescent="0.25">
      <c r="A291" s="40">
        <v>45918.335625</v>
      </c>
      <c r="B291" s="41">
        <v>443213728</v>
      </c>
      <c r="C291" s="42" t="s">
        <v>36</v>
      </c>
      <c r="D291" s="42" t="s">
        <v>39</v>
      </c>
      <c r="E291" s="42" t="s">
        <v>38</v>
      </c>
      <c r="F291" s="43">
        <v>3653.88</v>
      </c>
      <c r="G291" s="43">
        <v>3652.83</v>
      </c>
      <c r="H291" s="43">
        <v>3650.38</v>
      </c>
      <c r="I291" s="42" t="s">
        <v>485</v>
      </c>
      <c r="J291" s="43">
        <v>3653.02</v>
      </c>
      <c r="K291" s="43">
        <v>0</v>
      </c>
      <c r="L291" s="43">
        <v>0</v>
      </c>
      <c r="M291" s="44">
        <v>0.86</v>
      </c>
      <c r="N291" s="10" t="str">
        <f t="shared" si="45"/>
        <v>W</v>
      </c>
      <c r="O291" s="11">
        <f t="shared" si="46"/>
        <v>45918</v>
      </c>
      <c r="P291" s="12" t="str">
        <f t="shared" si="47"/>
        <v>08</v>
      </c>
      <c r="Q291" s="13" t="str">
        <f>VLOOKUP($B291,Deals_Demo!$H:$N,7,0)</f>
        <v>strategy_11_demo</v>
      </c>
      <c r="R291" s="13" t="str">
        <f t="shared" si="48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49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2"/>
        <v>8.6000000000000007E-2</v>
      </c>
      <c r="Y291" s="13">
        <f t="shared" si="43"/>
        <v>0.17200000000000001</v>
      </c>
      <c r="Z291" s="13">
        <f t="shared" si="44"/>
        <v>0.25800000000000001</v>
      </c>
      <c r="AA291" s="13">
        <f t="shared" si="50"/>
        <v>-3</v>
      </c>
    </row>
    <row r="292" spans="1:27" x14ac:dyDescent="0.25">
      <c r="A292" s="35">
        <v>45918.336782407408</v>
      </c>
      <c r="B292" s="36">
        <v>443213829</v>
      </c>
      <c r="C292" s="37" t="s">
        <v>36</v>
      </c>
      <c r="D292" s="37" t="s">
        <v>39</v>
      </c>
      <c r="E292" s="37" t="s">
        <v>38</v>
      </c>
      <c r="F292" s="38">
        <v>3653.99</v>
      </c>
      <c r="G292" s="38">
        <v>3656.99</v>
      </c>
      <c r="H292" s="38">
        <v>3650.49</v>
      </c>
      <c r="I292" s="37" t="s">
        <v>486</v>
      </c>
      <c r="J292" s="38">
        <v>3657</v>
      </c>
      <c r="K292" s="38">
        <v>0</v>
      </c>
      <c r="L292" s="38">
        <v>0</v>
      </c>
      <c r="M292" s="39">
        <v>-3.01</v>
      </c>
      <c r="N292" s="10" t="str">
        <f t="shared" si="45"/>
        <v>L</v>
      </c>
      <c r="O292" s="11">
        <f t="shared" si="46"/>
        <v>45918</v>
      </c>
      <c r="P292" s="12" t="str">
        <f t="shared" si="47"/>
        <v>08</v>
      </c>
      <c r="Q292" s="13" t="str">
        <f>VLOOKUP($B292,Deals_Demo!$H:$N,7,0)</f>
        <v>strategy_07_demo</v>
      </c>
      <c r="R292" s="13" t="str">
        <f t="shared" si="48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49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2"/>
        <v>-0.30099999999999999</v>
      </c>
      <c r="Y292" s="13">
        <f t="shared" si="43"/>
        <v>-0.60199999999999998</v>
      </c>
      <c r="Z292" s="13">
        <f t="shared" si="44"/>
        <v>-0.90299999999999991</v>
      </c>
      <c r="AA292" s="13">
        <f t="shared" si="50"/>
        <v>-3</v>
      </c>
    </row>
    <row r="293" spans="1:27" x14ac:dyDescent="0.25">
      <c r="A293" s="40">
        <v>45918.336782407408</v>
      </c>
      <c r="B293" s="41">
        <v>443213830</v>
      </c>
      <c r="C293" s="42" t="s">
        <v>36</v>
      </c>
      <c r="D293" s="42" t="s">
        <v>39</v>
      </c>
      <c r="E293" s="42" t="s">
        <v>38</v>
      </c>
      <c r="F293" s="43">
        <v>3654</v>
      </c>
      <c r="G293" s="43">
        <v>3656.99</v>
      </c>
      <c r="H293" s="43">
        <v>3650.49</v>
      </c>
      <c r="I293" s="42" t="s">
        <v>486</v>
      </c>
      <c r="J293" s="43">
        <v>3657</v>
      </c>
      <c r="K293" s="43">
        <v>0</v>
      </c>
      <c r="L293" s="43">
        <v>0</v>
      </c>
      <c r="M293" s="44">
        <v>-3</v>
      </c>
      <c r="N293" s="10" t="str">
        <f t="shared" si="45"/>
        <v>L</v>
      </c>
      <c r="O293" s="11">
        <f t="shared" si="46"/>
        <v>45918</v>
      </c>
      <c r="P293" s="12" t="str">
        <f t="shared" si="47"/>
        <v>08</v>
      </c>
      <c r="Q293" s="13" t="str">
        <f>VLOOKUP($B293,Deals_Demo!$H:$N,7,0)</f>
        <v>strategy_08_demo</v>
      </c>
      <c r="R293" s="13" t="str">
        <f t="shared" si="48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49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2"/>
        <v>-0.30000000000000004</v>
      </c>
      <c r="Y293" s="13">
        <f t="shared" si="43"/>
        <v>-0.60000000000000009</v>
      </c>
      <c r="Z293" s="13">
        <f t="shared" si="44"/>
        <v>-0.89999999999999991</v>
      </c>
      <c r="AA293" s="13">
        <f t="shared" si="50"/>
        <v>-3</v>
      </c>
    </row>
    <row r="294" spans="1:27" x14ac:dyDescent="0.25">
      <c r="A294" s="35">
        <v>45918.342685185184</v>
      </c>
      <c r="B294" s="36">
        <v>443215676</v>
      </c>
      <c r="C294" s="37" t="s">
        <v>36</v>
      </c>
      <c r="D294" s="37" t="s">
        <v>39</v>
      </c>
      <c r="E294" s="37" t="s">
        <v>38</v>
      </c>
      <c r="F294" s="38">
        <v>3652.63</v>
      </c>
      <c r="G294" s="38">
        <v>3655.13</v>
      </c>
      <c r="H294" s="38">
        <v>3649.63</v>
      </c>
      <c r="I294" s="37" t="s">
        <v>487</v>
      </c>
      <c r="J294" s="38">
        <v>3655.33</v>
      </c>
      <c r="K294" s="38">
        <v>0</v>
      </c>
      <c r="L294" s="38">
        <v>0</v>
      </c>
      <c r="M294" s="39">
        <v>-2.7</v>
      </c>
      <c r="N294" s="10" t="str">
        <f t="shared" si="45"/>
        <v>L</v>
      </c>
      <c r="O294" s="11">
        <f t="shared" si="46"/>
        <v>45918</v>
      </c>
      <c r="P294" s="12" t="str">
        <f t="shared" si="47"/>
        <v>08</v>
      </c>
      <c r="Q294" s="13" t="str">
        <f>VLOOKUP($B294,Deals_Demo!$H:$N,7,0)</f>
        <v>strategy_10_demo</v>
      </c>
      <c r="R294" s="13" t="str">
        <f t="shared" si="48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49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2"/>
        <v>-0.27</v>
      </c>
      <c r="Y294" s="13">
        <f t="shared" si="43"/>
        <v>-0.54</v>
      </c>
      <c r="Z294" s="13">
        <f t="shared" si="44"/>
        <v>-0.81</v>
      </c>
      <c r="AA294" s="13">
        <f t="shared" si="50"/>
        <v>-3</v>
      </c>
    </row>
    <row r="295" spans="1:27" x14ac:dyDescent="0.25">
      <c r="A295" s="40">
        <v>45918.342685185184</v>
      </c>
      <c r="B295" s="41">
        <v>443215678</v>
      </c>
      <c r="C295" s="42" t="s">
        <v>36</v>
      </c>
      <c r="D295" s="42" t="s">
        <v>39</v>
      </c>
      <c r="E295" s="42" t="s">
        <v>38</v>
      </c>
      <c r="F295" s="43">
        <v>3652.6</v>
      </c>
      <c r="G295" s="43">
        <v>3655.63</v>
      </c>
      <c r="H295" s="43">
        <v>3649.13</v>
      </c>
      <c r="I295" s="42" t="s">
        <v>488</v>
      </c>
      <c r="J295" s="43">
        <v>3655.63</v>
      </c>
      <c r="K295" s="43">
        <v>0</v>
      </c>
      <c r="L295" s="43">
        <v>0</v>
      </c>
      <c r="M295" s="44">
        <v>-3.03</v>
      </c>
      <c r="N295" s="10" t="str">
        <f t="shared" si="45"/>
        <v>L</v>
      </c>
      <c r="O295" s="11">
        <f t="shared" si="46"/>
        <v>45918</v>
      </c>
      <c r="P295" s="12" t="str">
        <f t="shared" si="47"/>
        <v>08</v>
      </c>
      <c r="Q295" s="13" t="str">
        <f>VLOOKUP($B295,Deals_Demo!$H:$N,7,0)</f>
        <v>strategy_11_demo</v>
      </c>
      <c r="R295" s="13" t="str">
        <f t="shared" si="48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49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2"/>
        <v>-0.30299999999999999</v>
      </c>
      <c r="Y295" s="13">
        <f t="shared" si="43"/>
        <v>-0.60599999999999998</v>
      </c>
      <c r="Z295" s="13">
        <f t="shared" si="44"/>
        <v>-0.90899999999999992</v>
      </c>
      <c r="AA295" s="13">
        <f t="shared" si="50"/>
        <v>-3</v>
      </c>
    </row>
    <row r="296" spans="1:27" x14ac:dyDescent="0.25">
      <c r="A296" s="35">
        <v>45918.342685185184</v>
      </c>
      <c r="B296" s="36">
        <v>443215679</v>
      </c>
      <c r="C296" s="37" t="s">
        <v>36</v>
      </c>
      <c r="D296" s="37" t="s">
        <v>39</v>
      </c>
      <c r="E296" s="37" t="s">
        <v>38</v>
      </c>
      <c r="F296" s="38">
        <v>3652.6</v>
      </c>
      <c r="G296" s="38">
        <v>3655.63</v>
      </c>
      <c r="H296" s="38">
        <v>3651.13</v>
      </c>
      <c r="I296" s="37" t="s">
        <v>488</v>
      </c>
      <c r="J296" s="38">
        <v>3655.63</v>
      </c>
      <c r="K296" s="38">
        <v>0</v>
      </c>
      <c r="L296" s="38">
        <v>0</v>
      </c>
      <c r="M296" s="39">
        <v>-3.03</v>
      </c>
      <c r="N296" s="10" t="str">
        <f t="shared" si="45"/>
        <v>L</v>
      </c>
      <c r="O296" s="11">
        <f t="shared" si="46"/>
        <v>45918</v>
      </c>
      <c r="P296" s="12" t="str">
        <f t="shared" si="47"/>
        <v>08</v>
      </c>
      <c r="Q296" s="13" t="str">
        <f>VLOOKUP($B296,Deals_Demo!$H:$N,7,0)</f>
        <v>strategy_12_demo</v>
      </c>
      <c r="R296" s="13" t="str">
        <f t="shared" si="48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49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2"/>
        <v>-0.30299999999999999</v>
      </c>
      <c r="Y296" s="13">
        <f t="shared" si="43"/>
        <v>-0.60599999999999998</v>
      </c>
      <c r="Z296" s="13">
        <f t="shared" si="44"/>
        <v>-0.90899999999999992</v>
      </c>
      <c r="AA296" s="13">
        <f t="shared" si="50"/>
        <v>-3</v>
      </c>
    </row>
    <row r="297" spans="1:27" x14ac:dyDescent="0.25">
      <c r="A297" s="40">
        <v>45918.34269675926</v>
      </c>
      <c r="B297" s="41">
        <v>443215680</v>
      </c>
      <c r="C297" s="42" t="s">
        <v>36</v>
      </c>
      <c r="D297" s="42" t="s">
        <v>39</v>
      </c>
      <c r="E297" s="42" t="s">
        <v>38</v>
      </c>
      <c r="F297" s="43">
        <v>3652.56</v>
      </c>
      <c r="G297" s="43">
        <v>3655.6</v>
      </c>
      <c r="H297" s="43">
        <v>3649.6</v>
      </c>
      <c r="I297" s="42" t="s">
        <v>488</v>
      </c>
      <c r="J297" s="43">
        <v>3655.63</v>
      </c>
      <c r="K297" s="43">
        <v>0</v>
      </c>
      <c r="L297" s="43">
        <v>0</v>
      </c>
      <c r="M297" s="44">
        <v>-3.07</v>
      </c>
      <c r="N297" s="10" t="str">
        <f t="shared" si="45"/>
        <v>L</v>
      </c>
      <c r="O297" s="11">
        <f t="shared" si="46"/>
        <v>45918</v>
      </c>
      <c r="P297" s="12" t="str">
        <f t="shared" si="47"/>
        <v>08</v>
      </c>
      <c r="Q297" s="13" t="str">
        <f>VLOOKUP($B297,Deals_Demo!$H:$N,7,0)</f>
        <v>strategy_09_demo</v>
      </c>
      <c r="R297" s="13" t="str">
        <f t="shared" si="48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49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2"/>
        <v>-0.307</v>
      </c>
      <c r="Y297" s="13">
        <f t="shared" si="43"/>
        <v>-0.61399999999999999</v>
      </c>
      <c r="Z297" s="13">
        <f t="shared" si="44"/>
        <v>-0.92099999999999993</v>
      </c>
      <c r="AA297" s="13">
        <f t="shared" si="50"/>
        <v>-3</v>
      </c>
    </row>
    <row r="298" spans="1:27" x14ac:dyDescent="0.25">
      <c r="A298" s="35">
        <v>45918.353564814817</v>
      </c>
      <c r="B298" s="36">
        <v>443219391</v>
      </c>
      <c r="C298" s="37" t="s">
        <v>36</v>
      </c>
      <c r="D298" s="37" t="s">
        <v>37</v>
      </c>
      <c r="E298" s="37" t="s">
        <v>38</v>
      </c>
      <c r="F298" s="38">
        <v>3657.87</v>
      </c>
      <c r="G298" s="38">
        <v>3654.9</v>
      </c>
      <c r="H298" s="38">
        <v>3659.4</v>
      </c>
      <c r="I298" s="37" t="s">
        <v>489</v>
      </c>
      <c r="J298" s="38">
        <v>3654.88</v>
      </c>
      <c r="K298" s="38">
        <v>0</v>
      </c>
      <c r="L298" s="38">
        <v>0</v>
      </c>
      <c r="M298" s="39">
        <v>-2.99</v>
      </c>
      <c r="N298" s="10" t="str">
        <f t="shared" si="45"/>
        <v>L</v>
      </c>
      <c r="O298" s="11">
        <f t="shared" si="46"/>
        <v>45918</v>
      </c>
      <c r="P298" s="12" t="str">
        <f t="shared" si="47"/>
        <v>08</v>
      </c>
      <c r="Q298" s="13" t="str">
        <f>VLOOKUP($B298,Deals_Demo!$H:$N,7,0)</f>
        <v>strategy_12_demo</v>
      </c>
      <c r="R298" s="13" t="str">
        <f t="shared" si="48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49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2"/>
        <v>-0.29900000000000004</v>
      </c>
      <c r="Y298" s="13">
        <f t="shared" si="43"/>
        <v>-0.59800000000000009</v>
      </c>
      <c r="Z298" s="13">
        <f t="shared" si="44"/>
        <v>-0.89700000000000002</v>
      </c>
      <c r="AA298" s="13">
        <f t="shared" si="50"/>
        <v>-3</v>
      </c>
    </row>
    <row r="299" spans="1:27" x14ac:dyDescent="0.25">
      <c r="A299" s="40">
        <v>45918.353564814817</v>
      </c>
      <c r="B299" s="41">
        <v>443219392</v>
      </c>
      <c r="C299" s="42" t="s">
        <v>36</v>
      </c>
      <c r="D299" s="42" t="s">
        <v>37</v>
      </c>
      <c r="E299" s="42" t="s">
        <v>38</v>
      </c>
      <c r="F299" s="43">
        <v>3657.84</v>
      </c>
      <c r="G299" s="43">
        <v>3655.37</v>
      </c>
      <c r="H299" s="43">
        <v>3660.87</v>
      </c>
      <c r="I299" s="42" t="s">
        <v>490</v>
      </c>
      <c r="J299" s="43">
        <v>3655.36</v>
      </c>
      <c r="K299" s="43">
        <v>0</v>
      </c>
      <c r="L299" s="43">
        <v>0</v>
      </c>
      <c r="M299" s="44">
        <v>-2.48</v>
      </c>
      <c r="N299" s="10" t="str">
        <f t="shared" si="45"/>
        <v>L</v>
      </c>
      <c r="O299" s="11">
        <f t="shared" si="46"/>
        <v>45918</v>
      </c>
      <c r="P299" s="12" t="str">
        <f t="shared" si="47"/>
        <v>08</v>
      </c>
      <c r="Q299" s="13" t="str">
        <f>VLOOKUP($B299,Deals_Demo!$H:$N,7,0)</f>
        <v>strategy_10_demo</v>
      </c>
      <c r="R299" s="13" t="str">
        <f t="shared" si="48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49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2"/>
        <v>-0.248</v>
      </c>
      <c r="Y299" s="13">
        <f t="shared" si="43"/>
        <v>-0.496</v>
      </c>
      <c r="Z299" s="13">
        <f t="shared" si="44"/>
        <v>-0.74399999999999999</v>
      </c>
      <c r="AA299" s="13">
        <f t="shared" si="50"/>
        <v>-3</v>
      </c>
    </row>
    <row r="300" spans="1:27" x14ac:dyDescent="0.25">
      <c r="A300" s="35">
        <v>45918.353564814817</v>
      </c>
      <c r="B300" s="36">
        <v>443219395</v>
      </c>
      <c r="C300" s="37" t="s">
        <v>36</v>
      </c>
      <c r="D300" s="37" t="s">
        <v>37</v>
      </c>
      <c r="E300" s="37" t="s">
        <v>38</v>
      </c>
      <c r="F300" s="38">
        <v>3657.84</v>
      </c>
      <c r="G300" s="38">
        <v>3654.87</v>
      </c>
      <c r="H300" s="38">
        <v>3661.37</v>
      </c>
      <c r="I300" s="37" t="s">
        <v>491</v>
      </c>
      <c r="J300" s="38">
        <v>3654.87</v>
      </c>
      <c r="K300" s="38">
        <v>0</v>
      </c>
      <c r="L300" s="38">
        <v>0</v>
      </c>
      <c r="M300" s="39">
        <v>-2.97</v>
      </c>
      <c r="N300" s="10" t="str">
        <f t="shared" si="45"/>
        <v>L</v>
      </c>
      <c r="O300" s="11">
        <f t="shared" si="46"/>
        <v>45918</v>
      </c>
      <c r="P300" s="12" t="str">
        <f t="shared" si="47"/>
        <v>08</v>
      </c>
      <c r="Q300" s="13" t="str">
        <f>VLOOKUP($B300,Deals_Demo!$H:$N,7,0)</f>
        <v>strategy_11_demo</v>
      </c>
      <c r="R300" s="13" t="str">
        <f t="shared" si="48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49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2"/>
        <v>-0.29700000000000004</v>
      </c>
      <c r="Y300" s="13">
        <f t="shared" si="43"/>
        <v>-0.59400000000000008</v>
      </c>
      <c r="Z300" s="13">
        <f t="shared" si="44"/>
        <v>-0.89100000000000001</v>
      </c>
      <c r="AA300" s="13">
        <f t="shared" si="50"/>
        <v>-3</v>
      </c>
    </row>
    <row r="301" spans="1:27" x14ac:dyDescent="0.25">
      <c r="A301" s="40">
        <v>45918.353576388887</v>
      </c>
      <c r="B301" s="41">
        <v>443219399</v>
      </c>
      <c r="C301" s="42" t="s">
        <v>36</v>
      </c>
      <c r="D301" s="42" t="s">
        <v>37</v>
      </c>
      <c r="E301" s="42" t="s">
        <v>38</v>
      </c>
      <c r="F301" s="43">
        <v>3657.87</v>
      </c>
      <c r="G301" s="43">
        <v>3654.87</v>
      </c>
      <c r="H301" s="43">
        <v>3660.87</v>
      </c>
      <c r="I301" s="42" t="s">
        <v>491</v>
      </c>
      <c r="J301" s="43">
        <v>3654.87</v>
      </c>
      <c r="K301" s="43">
        <v>0</v>
      </c>
      <c r="L301" s="43">
        <v>0</v>
      </c>
      <c r="M301" s="44">
        <v>-3</v>
      </c>
      <c r="N301" s="10" t="str">
        <f t="shared" si="45"/>
        <v>L</v>
      </c>
      <c r="O301" s="11">
        <f t="shared" si="46"/>
        <v>45918</v>
      </c>
      <c r="P301" s="12" t="str">
        <f t="shared" si="47"/>
        <v>08</v>
      </c>
      <c r="Q301" s="13" t="str">
        <f>VLOOKUP($B301,Deals_Demo!$H:$N,7,0)</f>
        <v>strategy_09_demo</v>
      </c>
      <c r="R301" s="13" t="str">
        <f t="shared" si="48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49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2"/>
        <v>-0.30000000000000004</v>
      </c>
      <c r="Y301" s="13">
        <f t="shared" si="43"/>
        <v>-0.60000000000000009</v>
      </c>
      <c r="Z301" s="13">
        <f t="shared" si="44"/>
        <v>-0.89999999999999991</v>
      </c>
      <c r="AA301" s="13">
        <f t="shared" si="50"/>
        <v>-3</v>
      </c>
    </row>
    <row r="302" spans="1:27" x14ac:dyDescent="0.25">
      <c r="A302" s="35">
        <v>45918.363981481481</v>
      </c>
      <c r="B302" s="36">
        <v>443224528</v>
      </c>
      <c r="C302" s="37" t="s">
        <v>36</v>
      </c>
      <c r="D302" s="37" t="s">
        <v>39</v>
      </c>
      <c r="E302" s="37" t="s">
        <v>38</v>
      </c>
      <c r="F302" s="38">
        <v>3653.51</v>
      </c>
      <c r="G302" s="38">
        <v>3653.19</v>
      </c>
      <c r="H302" s="38">
        <v>3650.51</v>
      </c>
      <c r="I302" s="37" t="s">
        <v>492</v>
      </c>
      <c r="J302" s="38">
        <v>3653.2</v>
      </c>
      <c r="K302" s="38">
        <v>0</v>
      </c>
      <c r="L302" s="38">
        <v>0</v>
      </c>
      <c r="M302" s="39">
        <v>0.31</v>
      </c>
      <c r="N302" s="10" t="str">
        <f t="shared" si="45"/>
        <v>W</v>
      </c>
      <c r="O302" s="11">
        <f t="shared" si="46"/>
        <v>45918</v>
      </c>
      <c r="P302" s="12" t="str">
        <f t="shared" si="47"/>
        <v>08</v>
      </c>
      <c r="Q302" s="13" t="str">
        <f>VLOOKUP($B302,Deals_Demo!$H:$N,7,0)</f>
        <v>strategy_10_demo</v>
      </c>
      <c r="R302" s="13" t="str">
        <f t="shared" si="48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49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2"/>
        <v>3.1E-2</v>
      </c>
      <c r="Y302" s="13">
        <f t="shared" si="43"/>
        <v>6.2E-2</v>
      </c>
      <c r="Z302" s="13">
        <f t="shared" si="44"/>
        <v>9.2999999999999999E-2</v>
      </c>
      <c r="AA302" s="13">
        <f t="shared" si="50"/>
        <v>-3</v>
      </c>
    </row>
    <row r="303" spans="1:27" x14ac:dyDescent="0.25">
      <c r="A303" s="40">
        <v>45918.363981481481</v>
      </c>
      <c r="B303" s="41">
        <v>443224529</v>
      </c>
      <c r="C303" s="42" t="s">
        <v>36</v>
      </c>
      <c r="D303" s="42" t="s">
        <v>39</v>
      </c>
      <c r="E303" s="42" t="s">
        <v>38</v>
      </c>
      <c r="F303" s="43">
        <v>3653.51</v>
      </c>
      <c r="G303" s="43">
        <v>3653.19</v>
      </c>
      <c r="H303" s="43">
        <v>3650.01</v>
      </c>
      <c r="I303" s="42" t="s">
        <v>492</v>
      </c>
      <c r="J303" s="43">
        <v>3653.2</v>
      </c>
      <c r="K303" s="43">
        <v>0</v>
      </c>
      <c r="L303" s="43">
        <v>0</v>
      </c>
      <c r="M303" s="44">
        <v>0.31</v>
      </c>
      <c r="N303" s="10" t="str">
        <f t="shared" si="45"/>
        <v>W</v>
      </c>
      <c r="O303" s="11">
        <f t="shared" si="46"/>
        <v>45918</v>
      </c>
      <c r="P303" s="12" t="str">
        <f t="shared" si="47"/>
        <v>08</v>
      </c>
      <c r="Q303" s="13" t="str">
        <f>VLOOKUP($B303,Deals_Demo!$H:$N,7,0)</f>
        <v>strategy_11_demo</v>
      </c>
      <c r="R303" s="13" t="str">
        <f t="shared" si="48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49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2"/>
        <v>3.1E-2</v>
      </c>
      <c r="Y303" s="13">
        <f t="shared" si="43"/>
        <v>6.2E-2</v>
      </c>
      <c r="Z303" s="13">
        <f t="shared" si="44"/>
        <v>9.2999999999999999E-2</v>
      </c>
      <c r="AA303" s="13">
        <f t="shared" si="50"/>
        <v>-3</v>
      </c>
    </row>
    <row r="304" spans="1:27" x14ac:dyDescent="0.25">
      <c r="A304" s="35">
        <v>45918.363981481481</v>
      </c>
      <c r="B304" s="36">
        <v>443224531</v>
      </c>
      <c r="C304" s="37" t="s">
        <v>36</v>
      </c>
      <c r="D304" s="37" t="s">
        <v>39</v>
      </c>
      <c r="E304" s="37" t="s">
        <v>38</v>
      </c>
      <c r="F304" s="38">
        <v>3653.51</v>
      </c>
      <c r="G304" s="38">
        <v>3653.19</v>
      </c>
      <c r="H304" s="38">
        <v>3652.01</v>
      </c>
      <c r="I304" s="37" t="s">
        <v>492</v>
      </c>
      <c r="J304" s="38">
        <v>3653.2</v>
      </c>
      <c r="K304" s="38">
        <v>0</v>
      </c>
      <c r="L304" s="38">
        <v>0</v>
      </c>
      <c r="M304" s="39">
        <v>0.31</v>
      </c>
      <c r="N304" s="10" t="str">
        <f t="shared" si="45"/>
        <v>W</v>
      </c>
      <c r="O304" s="11">
        <f t="shared" si="46"/>
        <v>45918</v>
      </c>
      <c r="P304" s="12" t="str">
        <f t="shared" si="47"/>
        <v>08</v>
      </c>
      <c r="Q304" s="13" t="str">
        <f>VLOOKUP($B304,Deals_Demo!$H:$N,7,0)</f>
        <v>strategy_12_demo</v>
      </c>
      <c r="R304" s="13" t="str">
        <f t="shared" si="48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49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2"/>
        <v>3.1E-2</v>
      </c>
      <c r="Y304" s="13">
        <f t="shared" si="43"/>
        <v>6.2E-2</v>
      </c>
      <c r="Z304" s="13">
        <f t="shared" si="44"/>
        <v>9.2999999999999999E-2</v>
      </c>
      <c r="AA304" s="13">
        <f t="shared" si="50"/>
        <v>-3</v>
      </c>
    </row>
    <row r="305" spans="1:27" x14ac:dyDescent="0.25">
      <c r="A305" s="40">
        <v>45918.363993055558</v>
      </c>
      <c r="B305" s="41">
        <v>443224532</v>
      </c>
      <c r="C305" s="42" t="s">
        <v>36</v>
      </c>
      <c r="D305" s="42" t="s">
        <v>39</v>
      </c>
      <c r="E305" s="42" t="s">
        <v>38</v>
      </c>
      <c r="F305" s="43">
        <v>3653.5</v>
      </c>
      <c r="G305" s="43">
        <v>3653.19</v>
      </c>
      <c r="H305" s="43">
        <v>3650.51</v>
      </c>
      <c r="I305" s="42" t="s">
        <v>492</v>
      </c>
      <c r="J305" s="43">
        <v>3653.2</v>
      </c>
      <c r="K305" s="43">
        <v>0</v>
      </c>
      <c r="L305" s="43">
        <v>0</v>
      </c>
      <c r="M305" s="44">
        <v>0.3</v>
      </c>
      <c r="N305" s="10" t="str">
        <f t="shared" si="45"/>
        <v>W</v>
      </c>
      <c r="O305" s="11">
        <f t="shared" si="46"/>
        <v>45918</v>
      </c>
      <c r="P305" s="12" t="str">
        <f t="shared" si="47"/>
        <v>08</v>
      </c>
      <c r="Q305" s="13" t="str">
        <f>VLOOKUP($B305,Deals_Demo!$H:$N,7,0)</f>
        <v>strategy_09_demo</v>
      </c>
      <c r="R305" s="13" t="str">
        <f t="shared" si="48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49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2"/>
        <v>0.03</v>
      </c>
      <c r="Y305" s="13">
        <f t="shared" si="43"/>
        <v>0.06</v>
      </c>
      <c r="Z305" s="13">
        <f t="shared" si="44"/>
        <v>0.09</v>
      </c>
      <c r="AA305" s="13">
        <f t="shared" si="50"/>
        <v>-3</v>
      </c>
    </row>
    <row r="306" spans="1:27" x14ac:dyDescent="0.25">
      <c r="A306" s="35">
        <v>45918.369305555556</v>
      </c>
      <c r="B306" s="36">
        <v>443226592</v>
      </c>
      <c r="C306" s="37" t="s">
        <v>36</v>
      </c>
      <c r="D306" s="37" t="s">
        <v>39</v>
      </c>
      <c r="E306" s="37" t="s">
        <v>38</v>
      </c>
      <c r="F306" s="38">
        <v>3653.2</v>
      </c>
      <c r="G306" s="38">
        <v>3656.2</v>
      </c>
      <c r="H306" s="38">
        <v>3651.7</v>
      </c>
      <c r="I306" s="37" t="s">
        <v>493</v>
      </c>
      <c r="J306" s="38">
        <v>3651.21</v>
      </c>
      <c r="K306" s="38">
        <v>0</v>
      </c>
      <c r="L306" s="38">
        <v>0</v>
      </c>
      <c r="M306" s="39">
        <v>1.99</v>
      </c>
      <c r="N306" s="10" t="str">
        <f t="shared" si="45"/>
        <v>W</v>
      </c>
      <c r="O306" s="11">
        <f t="shared" si="46"/>
        <v>45918</v>
      </c>
      <c r="P306" s="12" t="str">
        <f t="shared" si="47"/>
        <v>08</v>
      </c>
      <c r="Q306" s="13" t="str">
        <f>VLOOKUP($B306,Deals_Demo!$H:$N,7,0)</f>
        <v>strategy_12_demo</v>
      </c>
      <c r="R306" s="13" t="str">
        <f t="shared" si="48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49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2"/>
        <v>0.19900000000000001</v>
      </c>
      <c r="Y306" s="13">
        <f t="shared" si="43"/>
        <v>0.39800000000000002</v>
      </c>
      <c r="Z306" s="13">
        <f t="shared" si="44"/>
        <v>0.59699999999999998</v>
      </c>
      <c r="AA306" s="13">
        <f t="shared" si="50"/>
        <v>-3</v>
      </c>
    </row>
    <row r="307" spans="1:27" x14ac:dyDescent="0.25">
      <c r="A307" s="40">
        <v>45918.369305555556</v>
      </c>
      <c r="B307" s="41">
        <v>443226594</v>
      </c>
      <c r="C307" s="42" t="s">
        <v>36</v>
      </c>
      <c r="D307" s="42" t="s">
        <v>39</v>
      </c>
      <c r="E307" s="42" t="s">
        <v>38</v>
      </c>
      <c r="F307" s="43">
        <v>3652.86</v>
      </c>
      <c r="G307" s="43">
        <v>3655.57</v>
      </c>
      <c r="H307" s="43">
        <v>3650.07</v>
      </c>
      <c r="I307" s="42" t="s">
        <v>494</v>
      </c>
      <c r="J307" s="43">
        <v>3649.86</v>
      </c>
      <c r="K307" s="43">
        <v>0</v>
      </c>
      <c r="L307" s="43">
        <v>0</v>
      </c>
      <c r="M307" s="44">
        <v>3</v>
      </c>
      <c r="N307" s="10" t="str">
        <f t="shared" si="45"/>
        <v>W</v>
      </c>
      <c r="O307" s="11">
        <f t="shared" si="46"/>
        <v>45918</v>
      </c>
      <c r="P307" s="12" t="str">
        <f t="shared" si="47"/>
        <v>08</v>
      </c>
      <c r="Q307" s="13" t="str">
        <f>VLOOKUP($B307,Deals_Demo!$H:$N,7,0)</f>
        <v>strategy_10_demo</v>
      </c>
      <c r="R307" s="13" t="str">
        <f t="shared" si="48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49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2"/>
        <v>0.30000000000000004</v>
      </c>
      <c r="Y307" s="13">
        <f t="shared" si="43"/>
        <v>0.60000000000000009</v>
      </c>
      <c r="Z307" s="13">
        <f t="shared" si="44"/>
        <v>0.89999999999999991</v>
      </c>
      <c r="AA307" s="13">
        <f t="shared" si="50"/>
        <v>3</v>
      </c>
    </row>
    <row r="308" spans="1:27" x14ac:dyDescent="0.25">
      <c r="A308" s="35">
        <v>45918.369305555556</v>
      </c>
      <c r="B308" s="36">
        <v>443226595</v>
      </c>
      <c r="C308" s="37" t="s">
        <v>36</v>
      </c>
      <c r="D308" s="37" t="s">
        <v>39</v>
      </c>
      <c r="E308" s="37" t="s">
        <v>38</v>
      </c>
      <c r="F308" s="38">
        <v>3652.96</v>
      </c>
      <c r="G308" s="38">
        <v>3652.04</v>
      </c>
      <c r="H308" s="38">
        <v>3649.57</v>
      </c>
      <c r="I308" s="37" t="s">
        <v>495</v>
      </c>
      <c r="J308" s="38">
        <v>3652.04</v>
      </c>
      <c r="K308" s="38">
        <v>0</v>
      </c>
      <c r="L308" s="38">
        <v>0</v>
      </c>
      <c r="M308" s="39">
        <v>0.92</v>
      </c>
      <c r="N308" s="10" t="str">
        <f t="shared" si="45"/>
        <v>W</v>
      </c>
      <c r="O308" s="11">
        <f t="shared" si="46"/>
        <v>45918</v>
      </c>
      <c r="P308" s="12" t="str">
        <f t="shared" si="47"/>
        <v>08</v>
      </c>
      <c r="Q308" s="13" t="str">
        <f>VLOOKUP($B308,Deals_Demo!$H:$N,7,0)</f>
        <v>strategy_11_demo</v>
      </c>
      <c r="R308" s="13" t="str">
        <f t="shared" si="48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49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2"/>
        <v>9.2000000000000012E-2</v>
      </c>
      <c r="Y308" s="13">
        <f t="shared" si="43"/>
        <v>0.18400000000000002</v>
      </c>
      <c r="Z308" s="13">
        <f t="shared" si="44"/>
        <v>0.27600000000000002</v>
      </c>
      <c r="AA308" s="13">
        <f t="shared" si="50"/>
        <v>-3</v>
      </c>
    </row>
    <row r="309" spans="1:27" x14ac:dyDescent="0.25">
      <c r="A309" s="40">
        <v>45918.369317129633</v>
      </c>
      <c r="B309" s="41">
        <v>443226596</v>
      </c>
      <c r="C309" s="42" t="s">
        <v>36</v>
      </c>
      <c r="D309" s="42" t="s">
        <v>39</v>
      </c>
      <c r="E309" s="42" t="s">
        <v>38</v>
      </c>
      <c r="F309" s="43">
        <v>3652.95</v>
      </c>
      <c r="G309" s="43">
        <v>3656.07</v>
      </c>
      <c r="H309" s="43">
        <v>3650.07</v>
      </c>
      <c r="I309" s="42" t="s">
        <v>494</v>
      </c>
      <c r="J309" s="43">
        <v>3649.86</v>
      </c>
      <c r="K309" s="43">
        <v>0</v>
      </c>
      <c r="L309" s="43">
        <v>0</v>
      </c>
      <c r="M309" s="44">
        <v>3.09</v>
      </c>
      <c r="N309" s="10" t="str">
        <f t="shared" si="45"/>
        <v>W</v>
      </c>
      <c r="O309" s="11">
        <f t="shared" si="46"/>
        <v>45918</v>
      </c>
      <c r="P309" s="12" t="str">
        <f t="shared" si="47"/>
        <v>08</v>
      </c>
      <c r="Q309" s="13" t="str">
        <f>VLOOKUP($B309,Deals_Demo!$H:$N,7,0)</f>
        <v>strategy_09_demo</v>
      </c>
      <c r="R309" s="13" t="str">
        <f t="shared" si="48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49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2"/>
        <v>0.309</v>
      </c>
      <c r="Y309" s="13">
        <f t="shared" si="43"/>
        <v>0.61799999999999999</v>
      </c>
      <c r="Z309" s="13">
        <f t="shared" si="44"/>
        <v>0.92699999999999994</v>
      </c>
      <c r="AA309" s="13">
        <f t="shared" si="50"/>
        <v>3.09</v>
      </c>
    </row>
    <row r="310" spans="1:27" x14ac:dyDescent="0.25">
      <c r="A310" s="35">
        <v>45918.372314814813</v>
      </c>
      <c r="B310" s="36">
        <v>443229730</v>
      </c>
      <c r="C310" s="37" t="s">
        <v>36</v>
      </c>
      <c r="D310" s="37" t="s">
        <v>39</v>
      </c>
      <c r="E310" s="37" t="s">
        <v>38</v>
      </c>
      <c r="F310" s="38">
        <v>3651.79</v>
      </c>
      <c r="G310" s="38">
        <v>3654.84</v>
      </c>
      <c r="H310" s="38">
        <v>3650.34</v>
      </c>
      <c r="I310" s="37" t="s">
        <v>496</v>
      </c>
      <c r="J310" s="38">
        <v>3650.27</v>
      </c>
      <c r="K310" s="38">
        <v>0</v>
      </c>
      <c r="L310" s="38">
        <v>0</v>
      </c>
      <c r="M310" s="39">
        <v>1.52</v>
      </c>
      <c r="N310" s="10" t="str">
        <f t="shared" si="45"/>
        <v>W</v>
      </c>
      <c r="O310" s="11">
        <f t="shared" si="46"/>
        <v>45918</v>
      </c>
      <c r="P310" s="12" t="str">
        <f t="shared" si="47"/>
        <v>08</v>
      </c>
      <c r="Q310" s="13" t="str">
        <f>VLOOKUP($B310,Deals_Demo!$H:$N,7,0)</f>
        <v>strategy_12_demo</v>
      </c>
      <c r="R310" s="13" t="str">
        <f t="shared" si="48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49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2"/>
        <v>0.15200000000000002</v>
      </c>
      <c r="Y310" s="13">
        <f t="shared" si="43"/>
        <v>0.30400000000000005</v>
      </c>
      <c r="Z310" s="13">
        <f t="shared" si="44"/>
        <v>0.45599999999999996</v>
      </c>
      <c r="AA310" s="13">
        <f t="shared" si="50"/>
        <v>-3</v>
      </c>
    </row>
    <row r="311" spans="1:27" x14ac:dyDescent="0.25">
      <c r="A311" s="40">
        <v>45918.372314814813</v>
      </c>
      <c r="B311" s="41">
        <v>443229731</v>
      </c>
      <c r="C311" s="42" t="s">
        <v>36</v>
      </c>
      <c r="D311" s="42" t="s">
        <v>39</v>
      </c>
      <c r="E311" s="42" t="s">
        <v>38</v>
      </c>
      <c r="F311" s="43">
        <v>3651.79</v>
      </c>
      <c r="G311" s="43">
        <v>3650.54</v>
      </c>
      <c r="H311" s="43">
        <v>3648.79</v>
      </c>
      <c r="I311" s="42" t="s">
        <v>497</v>
      </c>
      <c r="J311" s="43">
        <v>3648.78</v>
      </c>
      <c r="K311" s="43">
        <v>0</v>
      </c>
      <c r="L311" s="43">
        <v>0</v>
      </c>
      <c r="M311" s="44">
        <v>3.01</v>
      </c>
      <c r="N311" s="10" t="str">
        <f t="shared" si="45"/>
        <v>W</v>
      </c>
      <c r="O311" s="11">
        <f t="shared" si="46"/>
        <v>45918</v>
      </c>
      <c r="P311" s="12" t="str">
        <f t="shared" si="47"/>
        <v>08</v>
      </c>
      <c r="Q311" s="13" t="str">
        <f>VLOOKUP($B311,Deals_Demo!$H:$N,7,0)</f>
        <v>strategy_09_demo</v>
      </c>
      <c r="R311" s="13" t="str">
        <f t="shared" si="48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49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2"/>
        <v>0.30099999999999999</v>
      </c>
      <c r="Y311" s="13">
        <f t="shared" si="43"/>
        <v>0.60199999999999998</v>
      </c>
      <c r="Z311" s="13">
        <f t="shared" si="44"/>
        <v>0.90299999999999991</v>
      </c>
      <c r="AA311" s="13">
        <f t="shared" si="50"/>
        <v>3.01</v>
      </c>
    </row>
    <row r="312" spans="1:27" x14ac:dyDescent="0.25">
      <c r="A312" s="35">
        <v>45918.372314814813</v>
      </c>
      <c r="B312" s="36">
        <v>443229732</v>
      </c>
      <c r="C312" s="37" t="s">
        <v>36</v>
      </c>
      <c r="D312" s="37" t="s">
        <v>39</v>
      </c>
      <c r="E312" s="37" t="s">
        <v>38</v>
      </c>
      <c r="F312" s="38">
        <v>3651.79</v>
      </c>
      <c r="G312" s="38">
        <v>3650.44</v>
      </c>
      <c r="H312" s="38">
        <v>3648.79</v>
      </c>
      <c r="I312" s="37" t="s">
        <v>497</v>
      </c>
      <c r="J312" s="38">
        <v>3648.78</v>
      </c>
      <c r="K312" s="38">
        <v>0</v>
      </c>
      <c r="L312" s="38">
        <v>0</v>
      </c>
      <c r="M312" s="39">
        <v>3.01</v>
      </c>
      <c r="N312" s="10" t="str">
        <f t="shared" si="45"/>
        <v>W</v>
      </c>
      <c r="O312" s="11">
        <f t="shared" si="46"/>
        <v>45918</v>
      </c>
      <c r="P312" s="12" t="str">
        <f t="shared" si="47"/>
        <v>08</v>
      </c>
      <c r="Q312" s="13" t="str">
        <f>VLOOKUP($B312,Deals_Demo!$H:$N,7,0)</f>
        <v>strategy_10_demo</v>
      </c>
      <c r="R312" s="13" t="str">
        <f t="shared" si="48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49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2"/>
        <v>0.30099999999999999</v>
      </c>
      <c r="Y312" s="13">
        <f t="shared" si="43"/>
        <v>0.60199999999999998</v>
      </c>
      <c r="Z312" s="13">
        <f t="shared" si="44"/>
        <v>0.90299999999999991</v>
      </c>
      <c r="AA312" s="13">
        <f t="shared" si="50"/>
        <v>3.01</v>
      </c>
    </row>
    <row r="313" spans="1:27" x14ac:dyDescent="0.25">
      <c r="A313" s="40">
        <v>45918.37232638889</v>
      </c>
      <c r="B313" s="41">
        <v>443229733</v>
      </c>
      <c r="C313" s="42" t="s">
        <v>36</v>
      </c>
      <c r="D313" s="42" t="s">
        <v>39</v>
      </c>
      <c r="E313" s="42" t="s">
        <v>38</v>
      </c>
      <c r="F313" s="43">
        <v>3651.71</v>
      </c>
      <c r="G313" s="43">
        <v>3650.43</v>
      </c>
      <c r="H313" s="43">
        <v>3648.29</v>
      </c>
      <c r="I313" s="42" t="s">
        <v>498</v>
      </c>
      <c r="J313" s="43">
        <v>3648.23</v>
      </c>
      <c r="K313" s="43">
        <v>0</v>
      </c>
      <c r="L313" s="43">
        <v>0</v>
      </c>
      <c r="M313" s="44">
        <v>3.48</v>
      </c>
      <c r="N313" s="10" t="str">
        <f t="shared" si="45"/>
        <v>W</v>
      </c>
      <c r="O313" s="11">
        <f t="shared" si="46"/>
        <v>45918</v>
      </c>
      <c r="P313" s="12" t="str">
        <f t="shared" si="47"/>
        <v>08</v>
      </c>
      <c r="Q313" s="13" t="str">
        <f>VLOOKUP($B313,Deals_Demo!$H:$N,7,0)</f>
        <v>strategy_11_demo</v>
      </c>
      <c r="R313" s="13" t="str">
        <f t="shared" si="48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49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2"/>
        <v>0.34800000000000003</v>
      </c>
      <c r="Y313" s="13">
        <f t="shared" si="43"/>
        <v>0.69600000000000006</v>
      </c>
      <c r="Z313" s="13">
        <f t="shared" si="44"/>
        <v>1.044</v>
      </c>
      <c r="AA313" s="13">
        <f t="shared" si="50"/>
        <v>3.48</v>
      </c>
    </row>
    <row r="314" spans="1:27" x14ac:dyDescent="0.25">
      <c r="A314" s="35">
        <v>45918.386203703703</v>
      </c>
      <c r="B314" s="36">
        <v>443246235</v>
      </c>
      <c r="C314" s="37" t="s">
        <v>36</v>
      </c>
      <c r="D314" s="37" t="s">
        <v>39</v>
      </c>
      <c r="E314" s="37" t="s">
        <v>38</v>
      </c>
      <c r="F314" s="38">
        <v>3637.97</v>
      </c>
      <c r="G314" s="38">
        <v>3637.39</v>
      </c>
      <c r="H314" s="38">
        <v>3634.46</v>
      </c>
      <c r="I314" s="37" t="s">
        <v>499</v>
      </c>
      <c r="J314" s="38">
        <v>3637.63</v>
      </c>
      <c r="K314" s="38">
        <v>0</v>
      </c>
      <c r="L314" s="38">
        <v>0</v>
      </c>
      <c r="M314" s="39">
        <v>0.34</v>
      </c>
      <c r="N314" s="10" t="str">
        <f t="shared" si="45"/>
        <v>W</v>
      </c>
      <c r="O314" s="11">
        <f t="shared" si="46"/>
        <v>45918</v>
      </c>
      <c r="P314" s="12" t="str">
        <f t="shared" si="47"/>
        <v>09</v>
      </c>
      <c r="Q314" s="13" t="str">
        <f>VLOOKUP($B314,Deals_Demo!$H:$N,7,0)</f>
        <v>strategy_11_demo</v>
      </c>
      <c r="R314" s="13" t="str">
        <f t="shared" si="48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49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2"/>
        <v>3.4000000000000002E-2</v>
      </c>
      <c r="Y314" s="13">
        <f t="shared" si="43"/>
        <v>6.8000000000000005E-2</v>
      </c>
      <c r="Z314" s="13">
        <f t="shared" si="44"/>
        <v>0.10200000000000001</v>
      </c>
      <c r="AA314" s="13">
        <f t="shared" si="50"/>
        <v>-3</v>
      </c>
    </row>
    <row r="315" spans="1:27" x14ac:dyDescent="0.25">
      <c r="A315" s="40">
        <v>45918.386203703703</v>
      </c>
      <c r="B315" s="41">
        <v>443246239</v>
      </c>
      <c r="C315" s="42" t="s">
        <v>36</v>
      </c>
      <c r="D315" s="42" t="s">
        <v>39</v>
      </c>
      <c r="E315" s="42" t="s">
        <v>38</v>
      </c>
      <c r="F315" s="43">
        <v>3638.03</v>
      </c>
      <c r="G315" s="43">
        <v>3637.33</v>
      </c>
      <c r="H315" s="43">
        <v>3634.97</v>
      </c>
      <c r="I315" s="42" t="s">
        <v>499</v>
      </c>
      <c r="J315" s="43">
        <v>3637.33</v>
      </c>
      <c r="K315" s="43">
        <v>0</v>
      </c>
      <c r="L315" s="43">
        <v>0</v>
      </c>
      <c r="M315" s="44">
        <v>0.7</v>
      </c>
      <c r="N315" s="10" t="str">
        <f t="shared" si="45"/>
        <v>W</v>
      </c>
      <c r="O315" s="11">
        <f t="shared" si="46"/>
        <v>45918</v>
      </c>
      <c r="P315" s="12" t="str">
        <f t="shared" si="47"/>
        <v>09</v>
      </c>
      <c r="Q315" s="13" t="str">
        <f>VLOOKUP($B315,Deals_Demo!$H:$N,7,0)</f>
        <v>strategy_10_demo</v>
      </c>
      <c r="R315" s="13" t="str">
        <f t="shared" si="48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49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2"/>
        <v>6.9999999999999993E-2</v>
      </c>
      <c r="Y315" s="13">
        <f t="shared" si="43"/>
        <v>0.13999999999999999</v>
      </c>
      <c r="Z315" s="13">
        <f t="shared" si="44"/>
        <v>0.21</v>
      </c>
      <c r="AA315" s="13">
        <f t="shared" si="50"/>
        <v>-3</v>
      </c>
    </row>
    <row r="316" spans="1:27" x14ac:dyDescent="0.25">
      <c r="A316" s="35">
        <v>45918.386203703703</v>
      </c>
      <c r="B316" s="36">
        <v>443246241</v>
      </c>
      <c r="C316" s="37" t="s">
        <v>36</v>
      </c>
      <c r="D316" s="37" t="s">
        <v>39</v>
      </c>
      <c r="E316" s="37" t="s">
        <v>38</v>
      </c>
      <c r="F316" s="38">
        <v>3638.01</v>
      </c>
      <c r="G316" s="38">
        <v>3637.34</v>
      </c>
      <c r="H316" s="38">
        <v>3634.97</v>
      </c>
      <c r="I316" s="37" t="s">
        <v>499</v>
      </c>
      <c r="J316" s="38">
        <v>3637.34</v>
      </c>
      <c r="K316" s="38">
        <v>0</v>
      </c>
      <c r="L316" s="38">
        <v>0</v>
      </c>
      <c r="M316" s="39">
        <v>0.67</v>
      </c>
      <c r="N316" s="10" t="str">
        <f t="shared" si="45"/>
        <v>W</v>
      </c>
      <c r="O316" s="11">
        <f t="shared" si="46"/>
        <v>45918</v>
      </c>
      <c r="P316" s="12" t="str">
        <f t="shared" si="47"/>
        <v>09</v>
      </c>
      <c r="Q316" s="13" t="str">
        <f>VLOOKUP($B316,Deals_Demo!$H:$N,7,0)</f>
        <v>strategy_09_demo</v>
      </c>
      <c r="R316" s="13" t="str">
        <f t="shared" si="48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49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2"/>
        <v>6.7000000000000004E-2</v>
      </c>
      <c r="Y316" s="13">
        <f t="shared" si="43"/>
        <v>0.13400000000000001</v>
      </c>
      <c r="Z316" s="13">
        <f t="shared" si="44"/>
        <v>0.20100000000000001</v>
      </c>
      <c r="AA316" s="13">
        <f t="shared" si="50"/>
        <v>-3</v>
      </c>
    </row>
    <row r="317" spans="1:27" x14ac:dyDescent="0.25">
      <c r="A317" s="40">
        <v>45918.38621527778</v>
      </c>
      <c r="B317" s="41">
        <v>443246243</v>
      </c>
      <c r="C317" s="42" t="s">
        <v>36</v>
      </c>
      <c r="D317" s="42" t="s">
        <v>39</v>
      </c>
      <c r="E317" s="42" t="s">
        <v>38</v>
      </c>
      <c r="F317" s="43">
        <v>3638.03</v>
      </c>
      <c r="G317" s="43">
        <v>3640.97</v>
      </c>
      <c r="H317" s="43">
        <v>3636.47</v>
      </c>
      <c r="I317" s="42" t="s">
        <v>500</v>
      </c>
      <c r="J317" s="43">
        <v>3636.4</v>
      </c>
      <c r="K317" s="43">
        <v>0</v>
      </c>
      <c r="L317" s="43">
        <v>0</v>
      </c>
      <c r="M317" s="44">
        <v>1.63</v>
      </c>
      <c r="N317" s="10" t="str">
        <f t="shared" si="45"/>
        <v>W</v>
      </c>
      <c r="O317" s="11">
        <f t="shared" si="46"/>
        <v>45918</v>
      </c>
      <c r="P317" s="12" t="str">
        <f t="shared" si="47"/>
        <v>09</v>
      </c>
      <c r="Q317" s="13" t="str">
        <f>VLOOKUP($B317,Deals_Demo!$H:$N,7,0)</f>
        <v>strategy_12_demo</v>
      </c>
      <c r="R317" s="13" t="str">
        <f t="shared" si="48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49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2"/>
        <v>0.16300000000000001</v>
      </c>
      <c r="Y317" s="13">
        <f t="shared" si="43"/>
        <v>0.32600000000000001</v>
      </c>
      <c r="Z317" s="13">
        <f t="shared" si="44"/>
        <v>0.48899999999999993</v>
      </c>
      <c r="AA317" s="13">
        <f t="shared" si="50"/>
        <v>-3</v>
      </c>
    </row>
    <row r="318" spans="1:27" x14ac:dyDescent="0.25">
      <c r="A318" s="35">
        <v>45918.387939814813</v>
      </c>
      <c r="B318" s="36">
        <v>443247469</v>
      </c>
      <c r="C318" s="37" t="s">
        <v>36</v>
      </c>
      <c r="D318" s="37" t="s">
        <v>39</v>
      </c>
      <c r="E318" s="37" t="s">
        <v>38</v>
      </c>
      <c r="F318" s="38">
        <v>3637.71</v>
      </c>
      <c r="G318" s="38">
        <v>3636.65</v>
      </c>
      <c r="H318" s="38">
        <v>3634.71</v>
      </c>
      <c r="I318" s="37" t="s">
        <v>501</v>
      </c>
      <c r="J318" s="38">
        <v>3634.66</v>
      </c>
      <c r="K318" s="38">
        <v>0</v>
      </c>
      <c r="L318" s="38">
        <v>0</v>
      </c>
      <c r="M318" s="39">
        <v>3.05</v>
      </c>
      <c r="N318" s="10" t="str">
        <f t="shared" si="45"/>
        <v>W</v>
      </c>
      <c r="O318" s="11">
        <f t="shared" si="46"/>
        <v>45918</v>
      </c>
      <c r="P318" s="12" t="str">
        <f t="shared" si="47"/>
        <v>09</v>
      </c>
      <c r="Q318" s="13" t="str">
        <f>VLOOKUP($B318,Deals_Demo!$H:$N,7,0)</f>
        <v>strategy_09_demo</v>
      </c>
      <c r="R318" s="13" t="str">
        <f t="shared" si="48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49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2"/>
        <v>0.30499999999999999</v>
      </c>
      <c r="Y318" s="13">
        <f t="shared" si="43"/>
        <v>0.61</v>
      </c>
      <c r="Z318" s="13">
        <f t="shared" si="44"/>
        <v>0.91499999999999992</v>
      </c>
      <c r="AA318" s="13">
        <f t="shared" si="50"/>
        <v>3.05</v>
      </c>
    </row>
    <row r="319" spans="1:27" x14ac:dyDescent="0.25">
      <c r="A319" s="40">
        <v>45918.387939814813</v>
      </c>
      <c r="B319" s="41">
        <v>443247470</v>
      </c>
      <c r="C319" s="42" t="s">
        <v>36</v>
      </c>
      <c r="D319" s="42" t="s">
        <v>39</v>
      </c>
      <c r="E319" s="42" t="s">
        <v>38</v>
      </c>
      <c r="F319" s="43">
        <v>3637.72</v>
      </c>
      <c r="G319" s="43">
        <v>3636.6</v>
      </c>
      <c r="H319" s="43">
        <v>3634.21</v>
      </c>
      <c r="I319" s="42" t="s">
        <v>502</v>
      </c>
      <c r="J319" s="43">
        <v>3636.79</v>
      </c>
      <c r="K319" s="43">
        <v>0</v>
      </c>
      <c r="L319" s="43">
        <v>0</v>
      </c>
      <c r="M319" s="44">
        <v>0.93</v>
      </c>
      <c r="N319" s="10" t="str">
        <f t="shared" si="45"/>
        <v>W</v>
      </c>
      <c r="O319" s="11">
        <f t="shared" si="46"/>
        <v>45918</v>
      </c>
      <c r="P319" s="12" t="str">
        <f t="shared" si="47"/>
        <v>09</v>
      </c>
      <c r="Q319" s="13" t="str">
        <f>VLOOKUP($B319,Deals_Demo!$H:$N,7,0)</f>
        <v>strategy_11_demo</v>
      </c>
      <c r="R319" s="13" t="str">
        <f t="shared" si="48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49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2"/>
        <v>9.3000000000000013E-2</v>
      </c>
      <c r="Y319" s="13">
        <f t="shared" si="43"/>
        <v>0.18600000000000003</v>
      </c>
      <c r="Z319" s="13">
        <f t="shared" si="44"/>
        <v>0.27900000000000003</v>
      </c>
      <c r="AA319" s="13">
        <f t="shared" si="50"/>
        <v>-3</v>
      </c>
    </row>
    <row r="320" spans="1:27" x14ac:dyDescent="0.25">
      <c r="A320" s="35">
        <v>45918.387939814813</v>
      </c>
      <c r="B320" s="36">
        <v>443247471</v>
      </c>
      <c r="C320" s="37" t="s">
        <v>36</v>
      </c>
      <c r="D320" s="37" t="s">
        <v>39</v>
      </c>
      <c r="E320" s="37" t="s">
        <v>38</v>
      </c>
      <c r="F320" s="38">
        <v>3637.73</v>
      </c>
      <c r="G320" s="38">
        <v>3640.71</v>
      </c>
      <c r="H320" s="38">
        <v>3636.21</v>
      </c>
      <c r="I320" s="37" t="s">
        <v>503</v>
      </c>
      <c r="J320" s="38">
        <v>3636.21</v>
      </c>
      <c r="K320" s="38">
        <v>0</v>
      </c>
      <c r="L320" s="38">
        <v>0</v>
      </c>
      <c r="M320" s="39">
        <v>1.52</v>
      </c>
      <c r="N320" s="10" t="str">
        <f t="shared" si="45"/>
        <v>W</v>
      </c>
      <c r="O320" s="11">
        <f t="shared" si="46"/>
        <v>45918</v>
      </c>
      <c r="P320" s="12" t="str">
        <f t="shared" si="47"/>
        <v>09</v>
      </c>
      <c r="Q320" s="13" t="str">
        <f>VLOOKUP($B320,Deals_Demo!$H:$N,7,0)</f>
        <v>strategy_12_demo</v>
      </c>
      <c r="R320" s="13" t="str">
        <f t="shared" si="48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49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2"/>
        <v>0.15200000000000002</v>
      </c>
      <c r="Y320" s="13">
        <f t="shared" si="43"/>
        <v>0.30400000000000005</v>
      </c>
      <c r="Z320" s="13">
        <f t="shared" si="44"/>
        <v>0.45599999999999996</v>
      </c>
      <c r="AA320" s="13">
        <f t="shared" si="50"/>
        <v>-3</v>
      </c>
    </row>
    <row r="321" spans="1:27" x14ac:dyDescent="0.25">
      <c r="A321" s="40">
        <v>45918.38795138889</v>
      </c>
      <c r="B321" s="41">
        <v>443247472</v>
      </c>
      <c r="C321" s="42" t="s">
        <v>36</v>
      </c>
      <c r="D321" s="42" t="s">
        <v>39</v>
      </c>
      <c r="E321" s="42" t="s">
        <v>38</v>
      </c>
      <c r="F321" s="43">
        <v>3637.67</v>
      </c>
      <c r="G321" s="43">
        <v>3636.68</v>
      </c>
      <c r="H321" s="43">
        <v>3634.71</v>
      </c>
      <c r="I321" s="42" t="s">
        <v>501</v>
      </c>
      <c r="J321" s="43">
        <v>3634.66</v>
      </c>
      <c r="K321" s="43">
        <v>0</v>
      </c>
      <c r="L321" s="43">
        <v>0</v>
      </c>
      <c r="M321" s="44">
        <v>3.01</v>
      </c>
      <c r="N321" s="10" t="str">
        <f t="shared" si="45"/>
        <v>W</v>
      </c>
      <c r="O321" s="11">
        <f t="shared" si="46"/>
        <v>45918</v>
      </c>
      <c r="P321" s="12" t="str">
        <f t="shared" si="47"/>
        <v>09</v>
      </c>
      <c r="Q321" s="13" t="str">
        <f>VLOOKUP($B321,Deals_Demo!$H:$N,7,0)</f>
        <v>strategy_10_demo</v>
      </c>
      <c r="R321" s="13" t="str">
        <f t="shared" si="48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49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2"/>
        <v>0.30099999999999999</v>
      </c>
      <c r="Y321" s="13">
        <f t="shared" si="43"/>
        <v>0.60199999999999998</v>
      </c>
      <c r="Z321" s="13">
        <f t="shared" si="44"/>
        <v>0.90299999999999991</v>
      </c>
      <c r="AA321" s="13">
        <f t="shared" si="50"/>
        <v>3.01</v>
      </c>
    </row>
    <row r="322" spans="1:27" x14ac:dyDescent="0.25">
      <c r="A322" s="35">
        <v>45918.388749999998</v>
      </c>
      <c r="B322" s="36">
        <v>443247692</v>
      </c>
      <c r="C322" s="37" t="s">
        <v>36</v>
      </c>
      <c r="D322" s="37" t="s">
        <v>39</v>
      </c>
      <c r="E322" s="37" t="s">
        <v>38</v>
      </c>
      <c r="F322" s="38">
        <v>3637.52</v>
      </c>
      <c r="G322" s="38">
        <v>3637.24</v>
      </c>
      <c r="H322" s="38">
        <v>3636.03</v>
      </c>
      <c r="I322" s="37" t="s">
        <v>504</v>
      </c>
      <c r="J322" s="38">
        <v>3635.79</v>
      </c>
      <c r="K322" s="38">
        <v>0</v>
      </c>
      <c r="L322" s="38">
        <v>0</v>
      </c>
      <c r="M322" s="39">
        <v>1.73</v>
      </c>
      <c r="N322" s="10" t="str">
        <f t="shared" si="45"/>
        <v>W</v>
      </c>
      <c r="O322" s="11">
        <f t="shared" si="46"/>
        <v>45918</v>
      </c>
      <c r="P322" s="12" t="str">
        <f t="shared" si="47"/>
        <v>09</v>
      </c>
      <c r="Q322" s="13" t="str">
        <f>VLOOKUP($B322,Deals_Demo!$H:$N,7,0)</f>
        <v>strategy_12_demo</v>
      </c>
      <c r="R322" s="13" t="str">
        <f t="shared" si="48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49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2"/>
        <v>0.17300000000000001</v>
      </c>
      <c r="Y322" s="13">
        <f t="shared" si="43"/>
        <v>0.34600000000000003</v>
      </c>
      <c r="Z322" s="13">
        <f t="shared" si="44"/>
        <v>0.51900000000000002</v>
      </c>
      <c r="AA322" s="13">
        <f t="shared" si="50"/>
        <v>-3</v>
      </c>
    </row>
    <row r="323" spans="1:27" x14ac:dyDescent="0.25">
      <c r="A323" s="40">
        <v>45918.389097222222</v>
      </c>
      <c r="B323" s="41">
        <v>443247808</v>
      </c>
      <c r="C323" s="42" t="s">
        <v>36</v>
      </c>
      <c r="D323" s="42" t="s">
        <v>39</v>
      </c>
      <c r="E323" s="42" t="s">
        <v>38</v>
      </c>
      <c r="F323" s="43">
        <v>3638.61</v>
      </c>
      <c r="G323" s="43">
        <v>3641.66</v>
      </c>
      <c r="H323" s="43">
        <v>3635.16</v>
      </c>
      <c r="I323" s="42" t="s">
        <v>505</v>
      </c>
      <c r="J323" s="43">
        <v>3635.13</v>
      </c>
      <c r="K323" s="43">
        <v>0</v>
      </c>
      <c r="L323" s="43">
        <v>0</v>
      </c>
      <c r="M323" s="44">
        <v>3.48</v>
      </c>
      <c r="N323" s="10" t="str">
        <f t="shared" si="45"/>
        <v>W</v>
      </c>
      <c r="O323" s="11">
        <f t="shared" si="46"/>
        <v>45918</v>
      </c>
      <c r="P323" s="12" t="str">
        <f t="shared" si="47"/>
        <v>09</v>
      </c>
      <c r="Q323" s="13" t="str">
        <f>VLOOKUP($B323,Deals_Demo!$H:$N,7,0)</f>
        <v>strategy_13_demo</v>
      </c>
      <c r="R323" s="13" t="str">
        <f t="shared" si="48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49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1">$M323*0.1</f>
        <v>0.34800000000000003</v>
      </c>
      <c r="Y323" s="13">
        <f t="shared" ref="Y323:Y386" si="52">$M323*0.2</f>
        <v>0.69600000000000006</v>
      </c>
      <c r="Z323" s="13">
        <f t="shared" ref="Z323:Z386" si="53">$M323*0.3</f>
        <v>1.044</v>
      </c>
      <c r="AA323" s="13">
        <f t="shared" si="50"/>
        <v>3.48</v>
      </c>
    </row>
    <row r="324" spans="1:27" x14ac:dyDescent="0.25">
      <c r="A324" s="35">
        <v>45918.389097222222</v>
      </c>
      <c r="B324" s="36">
        <v>443247810</v>
      </c>
      <c r="C324" s="37" t="s">
        <v>36</v>
      </c>
      <c r="D324" s="37" t="s">
        <v>39</v>
      </c>
      <c r="E324" s="37" t="s">
        <v>38</v>
      </c>
      <c r="F324" s="38">
        <v>3638.54</v>
      </c>
      <c r="G324" s="38">
        <v>3637.32</v>
      </c>
      <c r="H324" s="38">
        <v>3635.11</v>
      </c>
      <c r="I324" s="37" t="s">
        <v>506</v>
      </c>
      <c r="J324" s="38">
        <v>3635.08</v>
      </c>
      <c r="K324" s="38">
        <v>0</v>
      </c>
      <c r="L324" s="38">
        <v>0</v>
      </c>
      <c r="M324" s="39">
        <v>3.46</v>
      </c>
      <c r="N324" s="10" t="str">
        <f t="shared" si="45"/>
        <v>W</v>
      </c>
      <c r="O324" s="11">
        <f t="shared" si="46"/>
        <v>45918</v>
      </c>
      <c r="P324" s="12" t="str">
        <f t="shared" si="47"/>
        <v>09</v>
      </c>
      <c r="Q324" s="13" t="str">
        <f>VLOOKUP($B324,Deals_Demo!$H:$N,7,0)</f>
        <v>strategy_08_demo</v>
      </c>
      <c r="R324" s="13" t="str">
        <f t="shared" si="48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49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1"/>
        <v>0.34600000000000003</v>
      </c>
      <c r="Y324" s="13">
        <f t="shared" si="52"/>
        <v>0.69200000000000006</v>
      </c>
      <c r="Z324" s="13">
        <f t="shared" si="53"/>
        <v>1.038</v>
      </c>
      <c r="AA324" s="13">
        <f t="shared" si="50"/>
        <v>3.46</v>
      </c>
    </row>
    <row r="325" spans="1:27" x14ac:dyDescent="0.25">
      <c r="A325" s="40">
        <v>45918.391412037039</v>
      </c>
      <c r="B325" s="41">
        <v>443249321</v>
      </c>
      <c r="C325" s="42" t="s">
        <v>36</v>
      </c>
      <c r="D325" s="42" t="s">
        <v>39</v>
      </c>
      <c r="E325" s="42" t="s">
        <v>38</v>
      </c>
      <c r="F325" s="43">
        <v>3636.49</v>
      </c>
      <c r="G325" s="43">
        <v>3636.26</v>
      </c>
      <c r="H325" s="43">
        <v>3633.51</v>
      </c>
      <c r="I325" s="42" t="s">
        <v>507</v>
      </c>
      <c r="J325" s="43">
        <v>3636.3</v>
      </c>
      <c r="K325" s="43">
        <v>0</v>
      </c>
      <c r="L325" s="43">
        <v>0</v>
      </c>
      <c r="M325" s="44">
        <v>0.19</v>
      </c>
      <c r="N325" s="10" t="str">
        <f t="shared" ref="N325:N388" si="54">IF(M325&gt;0,"W",IF(M325&lt;0,"L","BE"))</f>
        <v>W</v>
      </c>
      <c r="O325" s="11">
        <f t="shared" ref="O325:O388" si="55">INT(LEFT(A325,10))</f>
        <v>45918</v>
      </c>
      <c r="P325" s="12" t="str">
        <f t="shared" ref="P325:P388" si="56">TEXT(A325,"hh")</f>
        <v>09</v>
      </c>
      <c r="Q325" s="13" t="str">
        <f>VLOOKUP($B325,Deals_Demo!$H:$N,7,0)</f>
        <v>strategy_10_demo</v>
      </c>
      <c r="R325" s="13" t="str">
        <f t="shared" ref="R325:R388" si="57">TEXT(O325,"ddd")</f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ref="U325:U388" si="58">TEXT(T325,"yyyy-mm-dd")</f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1"/>
        <v>1.9000000000000003E-2</v>
      </c>
      <c r="Y325" s="13">
        <f t="shared" si="52"/>
        <v>3.8000000000000006E-2</v>
      </c>
      <c r="Z325" s="13">
        <f t="shared" si="53"/>
        <v>5.6999999999999995E-2</v>
      </c>
      <c r="AA325" s="13">
        <f t="shared" ref="AA325:AA388" si="59">IF(M325&lt;2.9,-3,M325)</f>
        <v>-3</v>
      </c>
    </row>
    <row r="326" spans="1:27" x14ac:dyDescent="0.25">
      <c r="A326" s="35">
        <v>45918.391412037039</v>
      </c>
      <c r="B326" s="36">
        <v>443249340</v>
      </c>
      <c r="C326" s="37" t="s">
        <v>36</v>
      </c>
      <c r="D326" s="37" t="s">
        <v>39</v>
      </c>
      <c r="E326" s="37" t="s">
        <v>38</v>
      </c>
      <c r="F326" s="38">
        <v>3636.27</v>
      </c>
      <c r="G326" s="38">
        <v>3636.25</v>
      </c>
      <c r="H326" s="38">
        <v>3632.99</v>
      </c>
      <c r="I326" s="37" t="s">
        <v>507</v>
      </c>
      <c r="J326" s="38">
        <v>3636.3</v>
      </c>
      <c r="K326" s="38">
        <v>0</v>
      </c>
      <c r="L326" s="38">
        <v>0</v>
      </c>
      <c r="M326" s="39">
        <v>-0.03</v>
      </c>
      <c r="N326" s="10" t="str">
        <f t="shared" si="54"/>
        <v>L</v>
      </c>
      <c r="O326" s="11">
        <f t="shared" si="55"/>
        <v>45918</v>
      </c>
      <c r="P326" s="12" t="str">
        <f t="shared" si="56"/>
        <v>09</v>
      </c>
      <c r="Q326" s="13" t="str">
        <f>VLOOKUP($B326,Deals_Demo!$H:$N,7,0)</f>
        <v>strategy_11_demo</v>
      </c>
      <c r="R326" s="13" t="str">
        <f t="shared" si="57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8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1"/>
        <v>-3.0000000000000001E-3</v>
      </c>
      <c r="Y326" s="13">
        <f t="shared" si="52"/>
        <v>-6.0000000000000001E-3</v>
      </c>
      <c r="Z326" s="13">
        <f t="shared" si="53"/>
        <v>-8.9999999999999993E-3</v>
      </c>
      <c r="AA326" s="13">
        <f t="shared" si="59"/>
        <v>-3</v>
      </c>
    </row>
    <row r="327" spans="1:27" x14ac:dyDescent="0.25">
      <c r="A327" s="40">
        <v>45918.391412037039</v>
      </c>
      <c r="B327" s="41">
        <v>443249347</v>
      </c>
      <c r="C327" s="42" t="s">
        <v>36</v>
      </c>
      <c r="D327" s="42" t="s">
        <v>39</v>
      </c>
      <c r="E327" s="42" t="s">
        <v>38</v>
      </c>
      <c r="F327" s="43">
        <v>3636.26</v>
      </c>
      <c r="G327" s="43">
        <v>3636.26</v>
      </c>
      <c r="H327" s="43">
        <v>3633.49</v>
      </c>
      <c r="I327" s="42" t="s">
        <v>507</v>
      </c>
      <c r="J327" s="43">
        <v>3636.3</v>
      </c>
      <c r="K327" s="43">
        <v>0</v>
      </c>
      <c r="L327" s="43">
        <v>0</v>
      </c>
      <c r="M327" s="44">
        <v>-0.04</v>
      </c>
      <c r="N327" s="10" t="str">
        <f t="shared" si="54"/>
        <v>L</v>
      </c>
      <c r="O327" s="11">
        <f t="shared" si="55"/>
        <v>45918</v>
      </c>
      <c r="P327" s="12" t="str">
        <f t="shared" si="56"/>
        <v>09</v>
      </c>
      <c r="Q327" s="13" t="str">
        <f>VLOOKUP($B327,Deals_Demo!$H:$N,7,0)</f>
        <v>strategy_09_demo</v>
      </c>
      <c r="R327" s="13" t="str">
        <f t="shared" si="57"/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si="58"/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1"/>
        <v>-4.0000000000000001E-3</v>
      </c>
      <c r="Y327" s="13">
        <f t="shared" si="52"/>
        <v>-8.0000000000000002E-3</v>
      </c>
      <c r="Z327" s="13">
        <f t="shared" si="53"/>
        <v>-1.2E-2</v>
      </c>
      <c r="AA327" s="13">
        <f t="shared" si="59"/>
        <v>-3</v>
      </c>
    </row>
    <row r="328" spans="1:27" x14ac:dyDescent="0.25">
      <c r="A328" s="35">
        <v>45918.391423611109</v>
      </c>
      <c r="B328" s="36">
        <v>443249350</v>
      </c>
      <c r="C328" s="37" t="s">
        <v>36</v>
      </c>
      <c r="D328" s="37" t="s">
        <v>39</v>
      </c>
      <c r="E328" s="37" t="s">
        <v>38</v>
      </c>
      <c r="F328" s="38">
        <v>3636.18</v>
      </c>
      <c r="G328" s="38">
        <v>3639.49</v>
      </c>
      <c r="H328" s="38">
        <v>3634.99</v>
      </c>
      <c r="I328" s="37" t="s">
        <v>508</v>
      </c>
      <c r="J328" s="38">
        <v>3634.99</v>
      </c>
      <c r="K328" s="38">
        <v>0</v>
      </c>
      <c r="L328" s="38">
        <v>0</v>
      </c>
      <c r="M328" s="39">
        <v>1.19</v>
      </c>
      <c r="N328" s="10" t="str">
        <f t="shared" si="54"/>
        <v>W</v>
      </c>
      <c r="O328" s="11">
        <f t="shared" si="55"/>
        <v>45918</v>
      </c>
      <c r="P328" s="12" t="str">
        <f t="shared" si="56"/>
        <v>09</v>
      </c>
      <c r="Q328" s="13" t="str">
        <f>VLOOKUP($B328,Deals_Demo!$H:$N,7,0)</f>
        <v>strategy_12_demo</v>
      </c>
      <c r="R328" s="13" t="str">
        <f t="shared" si="57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58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1"/>
        <v>0.11899999999999999</v>
      </c>
      <c r="Y328" s="13">
        <f t="shared" si="52"/>
        <v>0.23799999999999999</v>
      </c>
      <c r="Z328" s="13">
        <f t="shared" si="53"/>
        <v>0.35699999999999998</v>
      </c>
      <c r="AA328" s="13">
        <f t="shared" si="59"/>
        <v>-3</v>
      </c>
    </row>
    <row r="329" spans="1:27" x14ac:dyDescent="0.25">
      <c r="A329" s="40">
        <v>45918.392685185187</v>
      </c>
      <c r="B329" s="41">
        <v>443249904</v>
      </c>
      <c r="C329" s="42" t="s">
        <v>36</v>
      </c>
      <c r="D329" s="42" t="s">
        <v>39</v>
      </c>
      <c r="E329" s="42" t="s">
        <v>38</v>
      </c>
      <c r="F329" s="43">
        <v>3636.78</v>
      </c>
      <c r="G329" s="43">
        <v>3639.78</v>
      </c>
      <c r="H329" s="43">
        <v>3635.28</v>
      </c>
      <c r="I329" s="42" t="s">
        <v>509</v>
      </c>
      <c r="J329" s="43">
        <v>3639.82</v>
      </c>
      <c r="K329" s="43">
        <v>0</v>
      </c>
      <c r="L329" s="43">
        <v>0</v>
      </c>
      <c r="M329" s="44">
        <v>-3.04</v>
      </c>
      <c r="N329" s="10" t="str">
        <f t="shared" si="54"/>
        <v>L</v>
      </c>
      <c r="O329" s="11">
        <f t="shared" si="55"/>
        <v>45918</v>
      </c>
      <c r="P329" s="12" t="str">
        <f t="shared" si="56"/>
        <v>09</v>
      </c>
      <c r="Q329" s="13" t="str">
        <f>VLOOKUP($B329,Deals_Demo!$H:$N,7,0)</f>
        <v>strategy_12_demo</v>
      </c>
      <c r="R329" s="13" t="str">
        <f t="shared" si="57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58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1"/>
        <v>-0.30400000000000005</v>
      </c>
      <c r="Y329" s="13">
        <f t="shared" si="52"/>
        <v>-0.6080000000000001</v>
      </c>
      <c r="Z329" s="13">
        <f t="shared" si="53"/>
        <v>-0.91199999999999992</v>
      </c>
      <c r="AA329" s="13">
        <f t="shared" si="59"/>
        <v>-3</v>
      </c>
    </row>
    <row r="330" spans="1:27" x14ac:dyDescent="0.25">
      <c r="A330" s="35">
        <v>45918.392685185187</v>
      </c>
      <c r="B330" s="36">
        <v>443249906</v>
      </c>
      <c r="C330" s="37" t="s">
        <v>36</v>
      </c>
      <c r="D330" s="37" t="s">
        <v>39</v>
      </c>
      <c r="E330" s="37" t="s">
        <v>38</v>
      </c>
      <c r="F330" s="38">
        <v>3636.78</v>
      </c>
      <c r="G330" s="38">
        <v>3639.78</v>
      </c>
      <c r="H330" s="38">
        <v>3633.78</v>
      </c>
      <c r="I330" s="37" t="s">
        <v>509</v>
      </c>
      <c r="J330" s="38">
        <v>3639.82</v>
      </c>
      <c r="K330" s="38">
        <v>0</v>
      </c>
      <c r="L330" s="38">
        <v>0</v>
      </c>
      <c r="M330" s="39">
        <v>-3.04</v>
      </c>
      <c r="N330" s="10" t="str">
        <f t="shared" si="54"/>
        <v>L</v>
      </c>
      <c r="O330" s="11">
        <f t="shared" si="55"/>
        <v>45918</v>
      </c>
      <c r="P330" s="12" t="str">
        <f t="shared" si="56"/>
        <v>09</v>
      </c>
      <c r="Q330" s="13" t="str">
        <f>VLOOKUP($B330,Deals_Demo!$H:$N,7,0)</f>
        <v>strategy_09_demo</v>
      </c>
      <c r="R330" s="13" t="str">
        <f t="shared" si="57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58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1"/>
        <v>-0.30400000000000005</v>
      </c>
      <c r="Y330" s="13">
        <f t="shared" si="52"/>
        <v>-0.6080000000000001</v>
      </c>
      <c r="Z330" s="13">
        <f t="shared" si="53"/>
        <v>-0.91199999999999992</v>
      </c>
      <c r="AA330" s="13">
        <f t="shared" si="59"/>
        <v>-3</v>
      </c>
    </row>
    <row r="331" spans="1:27" x14ac:dyDescent="0.25">
      <c r="A331" s="40">
        <v>45918.392685185187</v>
      </c>
      <c r="B331" s="41">
        <v>443249908</v>
      </c>
      <c r="C331" s="42" t="s">
        <v>36</v>
      </c>
      <c r="D331" s="42" t="s">
        <v>39</v>
      </c>
      <c r="E331" s="42" t="s">
        <v>38</v>
      </c>
      <c r="F331" s="43">
        <v>3636.78</v>
      </c>
      <c r="G331" s="43">
        <v>3639.78</v>
      </c>
      <c r="H331" s="43">
        <v>3633.28</v>
      </c>
      <c r="I331" s="42" t="s">
        <v>509</v>
      </c>
      <c r="J331" s="43">
        <v>3639.82</v>
      </c>
      <c r="K331" s="43">
        <v>0</v>
      </c>
      <c r="L331" s="43">
        <v>0</v>
      </c>
      <c r="M331" s="44">
        <v>-3.04</v>
      </c>
      <c r="N331" s="10" t="str">
        <f t="shared" si="54"/>
        <v>L</v>
      </c>
      <c r="O331" s="11">
        <f t="shared" si="55"/>
        <v>45918</v>
      </c>
      <c r="P331" s="12" t="str">
        <f t="shared" si="56"/>
        <v>09</v>
      </c>
      <c r="Q331" s="13" t="str">
        <f>VLOOKUP($B331,Deals_Demo!$H:$N,7,0)</f>
        <v>strategy_11_demo</v>
      </c>
      <c r="R331" s="13" t="str">
        <f t="shared" si="57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58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1"/>
        <v>-0.30400000000000005</v>
      </c>
      <c r="Y331" s="13">
        <f t="shared" si="52"/>
        <v>-0.6080000000000001</v>
      </c>
      <c r="Z331" s="13">
        <f t="shared" si="53"/>
        <v>-0.91199999999999992</v>
      </c>
      <c r="AA331" s="13">
        <f t="shared" si="59"/>
        <v>-3</v>
      </c>
    </row>
    <row r="332" spans="1:27" x14ac:dyDescent="0.25">
      <c r="A332" s="35">
        <v>45918.392696759256</v>
      </c>
      <c r="B332" s="36">
        <v>443249909</v>
      </c>
      <c r="C332" s="37" t="s">
        <v>36</v>
      </c>
      <c r="D332" s="37" t="s">
        <v>39</v>
      </c>
      <c r="E332" s="37" t="s">
        <v>38</v>
      </c>
      <c r="F332" s="38">
        <v>3636.77</v>
      </c>
      <c r="G332" s="38">
        <v>3639.28</v>
      </c>
      <c r="H332" s="38">
        <v>3633.78</v>
      </c>
      <c r="I332" s="37" t="s">
        <v>510</v>
      </c>
      <c r="J332" s="38">
        <v>3639.28</v>
      </c>
      <c r="K332" s="38">
        <v>0</v>
      </c>
      <c r="L332" s="38">
        <v>0</v>
      </c>
      <c r="M332" s="39">
        <v>-2.5099999999999998</v>
      </c>
      <c r="N332" s="10" t="str">
        <f t="shared" si="54"/>
        <v>L</v>
      </c>
      <c r="O332" s="11">
        <f t="shared" si="55"/>
        <v>45918</v>
      </c>
      <c r="P332" s="12" t="str">
        <f t="shared" si="56"/>
        <v>09</v>
      </c>
      <c r="Q332" s="13" t="str">
        <f>VLOOKUP($B332,Deals_Demo!$H:$N,7,0)</f>
        <v>strategy_10_demo</v>
      </c>
      <c r="R332" s="13" t="str">
        <f t="shared" si="57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58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1"/>
        <v>-0.251</v>
      </c>
      <c r="Y332" s="13">
        <f t="shared" si="52"/>
        <v>-0.502</v>
      </c>
      <c r="Z332" s="13">
        <f t="shared" si="53"/>
        <v>-0.75299999999999989</v>
      </c>
      <c r="AA332" s="13">
        <f t="shared" si="59"/>
        <v>-3</v>
      </c>
    </row>
    <row r="333" spans="1:27" x14ac:dyDescent="0.25">
      <c r="A333" s="40">
        <v>45918.394305555557</v>
      </c>
      <c r="B333" s="41">
        <v>443250898</v>
      </c>
      <c r="C333" s="42" t="s">
        <v>36</v>
      </c>
      <c r="D333" s="42" t="s">
        <v>39</v>
      </c>
      <c r="E333" s="42" t="s">
        <v>38</v>
      </c>
      <c r="F333" s="43">
        <v>3636.91</v>
      </c>
      <c r="G333" s="43">
        <v>3639.93</v>
      </c>
      <c r="H333" s="43">
        <v>3633.43</v>
      </c>
      <c r="I333" s="42" t="s">
        <v>511</v>
      </c>
      <c r="J333" s="43">
        <v>3640.01</v>
      </c>
      <c r="K333" s="43">
        <v>0</v>
      </c>
      <c r="L333" s="43">
        <v>0</v>
      </c>
      <c r="M333" s="44">
        <v>-3.1</v>
      </c>
      <c r="N333" s="10" t="str">
        <f t="shared" si="54"/>
        <v>L</v>
      </c>
      <c r="O333" s="11">
        <f t="shared" si="55"/>
        <v>45918</v>
      </c>
      <c r="P333" s="12" t="str">
        <f t="shared" si="56"/>
        <v>09</v>
      </c>
      <c r="Q333" s="13" t="str">
        <f>VLOOKUP($B333,Deals_Demo!$H:$N,7,0)</f>
        <v>strategy_13_demo</v>
      </c>
      <c r="R333" s="13" t="str">
        <f t="shared" si="57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58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1"/>
        <v>-0.31000000000000005</v>
      </c>
      <c r="Y333" s="13">
        <f t="shared" si="52"/>
        <v>-0.62000000000000011</v>
      </c>
      <c r="Z333" s="13">
        <f t="shared" si="53"/>
        <v>-0.92999999999999994</v>
      </c>
      <c r="AA333" s="13">
        <f t="shared" si="59"/>
        <v>-3</v>
      </c>
    </row>
    <row r="334" spans="1:27" x14ac:dyDescent="0.25">
      <c r="A334" s="35">
        <v>45918.394305555557</v>
      </c>
      <c r="B334" s="36">
        <v>443250902</v>
      </c>
      <c r="C334" s="37" t="s">
        <v>36</v>
      </c>
      <c r="D334" s="37" t="s">
        <v>39</v>
      </c>
      <c r="E334" s="37" t="s">
        <v>38</v>
      </c>
      <c r="F334" s="38">
        <v>3636.87</v>
      </c>
      <c r="G334" s="38">
        <v>3639.91</v>
      </c>
      <c r="H334" s="38">
        <v>3633.41</v>
      </c>
      <c r="I334" s="37" t="s">
        <v>511</v>
      </c>
      <c r="J334" s="38">
        <v>3640.01</v>
      </c>
      <c r="K334" s="38">
        <v>0</v>
      </c>
      <c r="L334" s="38">
        <v>0</v>
      </c>
      <c r="M334" s="39">
        <v>-3.14</v>
      </c>
      <c r="N334" s="10" t="str">
        <f t="shared" si="54"/>
        <v>L</v>
      </c>
      <c r="O334" s="11">
        <f t="shared" si="55"/>
        <v>45918</v>
      </c>
      <c r="P334" s="12" t="str">
        <f t="shared" si="56"/>
        <v>09</v>
      </c>
      <c r="Q334" s="13" t="str">
        <f>VLOOKUP($B334,Deals_Demo!$H:$N,7,0)</f>
        <v>strategy_08_demo</v>
      </c>
      <c r="R334" s="13" t="str">
        <f t="shared" si="57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58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1"/>
        <v>-0.31400000000000006</v>
      </c>
      <c r="Y334" s="13">
        <f t="shared" si="52"/>
        <v>-0.62800000000000011</v>
      </c>
      <c r="Z334" s="13">
        <f t="shared" si="53"/>
        <v>-0.94199999999999995</v>
      </c>
      <c r="AA334" s="13">
        <f t="shared" si="59"/>
        <v>-3</v>
      </c>
    </row>
    <row r="335" spans="1:27" x14ac:dyDescent="0.25">
      <c r="A335" s="40">
        <v>45918.400092592594</v>
      </c>
      <c r="B335" s="41">
        <v>443253656</v>
      </c>
      <c r="C335" s="42" t="s">
        <v>36</v>
      </c>
      <c r="D335" s="42" t="s">
        <v>39</v>
      </c>
      <c r="E335" s="42" t="s">
        <v>38</v>
      </c>
      <c r="F335" s="43">
        <v>3637.76</v>
      </c>
      <c r="G335" s="43">
        <v>3640.76</v>
      </c>
      <c r="H335" s="43">
        <v>3634.26</v>
      </c>
      <c r="I335" s="42" t="s">
        <v>512</v>
      </c>
      <c r="J335" s="43">
        <v>3640.79</v>
      </c>
      <c r="K335" s="43">
        <v>0</v>
      </c>
      <c r="L335" s="43">
        <v>0</v>
      </c>
      <c r="M335" s="44">
        <v>-3.03</v>
      </c>
      <c r="N335" s="10" t="str">
        <f t="shared" si="54"/>
        <v>L</v>
      </c>
      <c r="O335" s="11">
        <f t="shared" si="55"/>
        <v>45918</v>
      </c>
      <c r="P335" s="12" t="str">
        <f t="shared" si="56"/>
        <v>09</v>
      </c>
      <c r="Q335" s="13" t="str">
        <f>VLOOKUP($B335,Deals_Demo!$H:$N,7,0)</f>
        <v>strategy_08_demo</v>
      </c>
      <c r="R335" s="13" t="str">
        <f t="shared" si="57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58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1"/>
        <v>-0.30299999999999999</v>
      </c>
      <c r="Y335" s="13">
        <f t="shared" si="52"/>
        <v>-0.60599999999999998</v>
      </c>
      <c r="Z335" s="13">
        <f t="shared" si="53"/>
        <v>-0.90899999999999992</v>
      </c>
      <c r="AA335" s="13">
        <f t="shared" si="59"/>
        <v>-3</v>
      </c>
    </row>
    <row r="336" spans="1:27" x14ac:dyDescent="0.25">
      <c r="A336" s="35">
        <v>45918.400092592594</v>
      </c>
      <c r="B336" s="36">
        <v>443253657</v>
      </c>
      <c r="C336" s="37" t="s">
        <v>36</v>
      </c>
      <c r="D336" s="37" t="s">
        <v>39</v>
      </c>
      <c r="E336" s="37" t="s">
        <v>38</v>
      </c>
      <c r="F336" s="38">
        <v>3637.81</v>
      </c>
      <c r="G336" s="38">
        <v>3640.76</v>
      </c>
      <c r="H336" s="38">
        <v>3634.26</v>
      </c>
      <c r="I336" s="37" t="s">
        <v>512</v>
      </c>
      <c r="J336" s="38">
        <v>3640.79</v>
      </c>
      <c r="K336" s="38">
        <v>0</v>
      </c>
      <c r="L336" s="38">
        <v>0</v>
      </c>
      <c r="M336" s="39">
        <v>-2.98</v>
      </c>
      <c r="N336" s="10" t="str">
        <f t="shared" si="54"/>
        <v>L</v>
      </c>
      <c r="O336" s="11">
        <f t="shared" si="55"/>
        <v>45918</v>
      </c>
      <c r="P336" s="12" t="str">
        <f t="shared" si="56"/>
        <v>09</v>
      </c>
      <c r="Q336" s="13" t="str">
        <f>VLOOKUP($B336,Deals_Demo!$H:$N,7,0)</f>
        <v>strategy_13_demo</v>
      </c>
      <c r="R336" s="13" t="str">
        <f t="shared" si="57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58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1"/>
        <v>-0.29799999999999999</v>
      </c>
      <c r="Y336" s="13">
        <f t="shared" si="52"/>
        <v>-0.59599999999999997</v>
      </c>
      <c r="Z336" s="13">
        <f t="shared" si="53"/>
        <v>-0.89400000000000002</v>
      </c>
      <c r="AA336" s="13">
        <f t="shared" si="59"/>
        <v>-3</v>
      </c>
    </row>
    <row r="337" spans="1:27" x14ac:dyDescent="0.25">
      <c r="A337" s="40">
        <v>45918.404953703706</v>
      </c>
      <c r="B337" s="41">
        <v>443256031</v>
      </c>
      <c r="C337" s="42" t="s">
        <v>36</v>
      </c>
      <c r="D337" s="42" t="s">
        <v>39</v>
      </c>
      <c r="E337" s="42" t="s">
        <v>38</v>
      </c>
      <c r="F337" s="43">
        <v>3636.65</v>
      </c>
      <c r="G337" s="43">
        <v>3639.64</v>
      </c>
      <c r="H337" s="43">
        <v>3635.14</v>
      </c>
      <c r="I337" s="42" t="s">
        <v>513</v>
      </c>
      <c r="J337" s="43">
        <v>3639.7</v>
      </c>
      <c r="K337" s="43">
        <v>0</v>
      </c>
      <c r="L337" s="43">
        <v>0</v>
      </c>
      <c r="M337" s="44">
        <v>-3.05</v>
      </c>
      <c r="N337" s="10" t="str">
        <f t="shared" si="54"/>
        <v>L</v>
      </c>
      <c r="O337" s="11">
        <f t="shared" si="55"/>
        <v>45918</v>
      </c>
      <c r="P337" s="12" t="str">
        <f t="shared" si="56"/>
        <v>09</v>
      </c>
      <c r="Q337" s="13" t="str">
        <f>VLOOKUP($B337,Deals_Demo!$H:$N,7,0)</f>
        <v>strategy_12_demo</v>
      </c>
      <c r="R337" s="13" t="str">
        <f t="shared" si="57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58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1"/>
        <v>-0.30499999999999999</v>
      </c>
      <c r="Y337" s="13">
        <f t="shared" si="52"/>
        <v>-0.61</v>
      </c>
      <c r="Z337" s="13">
        <f t="shared" si="53"/>
        <v>-0.91499999999999992</v>
      </c>
      <c r="AA337" s="13">
        <f t="shared" si="59"/>
        <v>-3</v>
      </c>
    </row>
    <row r="338" spans="1:27" x14ac:dyDescent="0.25">
      <c r="A338" s="35">
        <v>45918.404953703706</v>
      </c>
      <c r="B338" s="36">
        <v>443256033</v>
      </c>
      <c r="C338" s="37" t="s">
        <v>36</v>
      </c>
      <c r="D338" s="37" t="s">
        <v>39</v>
      </c>
      <c r="E338" s="37" t="s">
        <v>38</v>
      </c>
      <c r="F338" s="38">
        <v>3636.65</v>
      </c>
      <c r="G338" s="38">
        <v>3639.65</v>
      </c>
      <c r="H338" s="38">
        <v>3633.15</v>
      </c>
      <c r="I338" s="37" t="s">
        <v>513</v>
      </c>
      <c r="J338" s="38">
        <v>3639.7</v>
      </c>
      <c r="K338" s="38">
        <v>0</v>
      </c>
      <c r="L338" s="38">
        <v>0</v>
      </c>
      <c r="M338" s="39">
        <v>-3.05</v>
      </c>
      <c r="N338" s="10" t="str">
        <f t="shared" si="54"/>
        <v>L</v>
      </c>
      <c r="O338" s="11">
        <f t="shared" si="55"/>
        <v>45918</v>
      </c>
      <c r="P338" s="12" t="str">
        <f t="shared" si="56"/>
        <v>09</v>
      </c>
      <c r="Q338" s="13" t="str">
        <f>VLOOKUP($B338,Deals_Demo!$H:$N,7,0)</f>
        <v>strategy_11_demo</v>
      </c>
      <c r="R338" s="13" t="str">
        <f t="shared" si="57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58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1"/>
        <v>-0.30499999999999999</v>
      </c>
      <c r="Y338" s="13">
        <f t="shared" si="52"/>
        <v>-0.61</v>
      </c>
      <c r="Z338" s="13">
        <f t="shared" si="53"/>
        <v>-0.91499999999999992</v>
      </c>
      <c r="AA338" s="13">
        <f t="shared" si="59"/>
        <v>-3</v>
      </c>
    </row>
    <row r="339" spans="1:27" x14ac:dyDescent="0.25">
      <c r="A339" s="40">
        <v>45918.404953703706</v>
      </c>
      <c r="B339" s="41">
        <v>443256034</v>
      </c>
      <c r="C339" s="42" t="s">
        <v>36</v>
      </c>
      <c r="D339" s="42" t="s">
        <v>39</v>
      </c>
      <c r="E339" s="42" t="s">
        <v>38</v>
      </c>
      <c r="F339" s="43">
        <v>3636.65</v>
      </c>
      <c r="G339" s="43">
        <v>3639.65</v>
      </c>
      <c r="H339" s="43">
        <v>3633.65</v>
      </c>
      <c r="I339" s="42" t="s">
        <v>513</v>
      </c>
      <c r="J339" s="43">
        <v>3639.7</v>
      </c>
      <c r="K339" s="43">
        <v>0</v>
      </c>
      <c r="L339" s="43">
        <v>0</v>
      </c>
      <c r="M339" s="44">
        <v>-3.05</v>
      </c>
      <c r="N339" s="10" t="str">
        <f t="shared" si="54"/>
        <v>L</v>
      </c>
      <c r="O339" s="11">
        <f t="shared" si="55"/>
        <v>45918</v>
      </c>
      <c r="P339" s="12" t="str">
        <f t="shared" si="56"/>
        <v>09</v>
      </c>
      <c r="Q339" s="13" t="str">
        <f>VLOOKUP($B339,Deals_Demo!$H:$N,7,0)</f>
        <v>strategy_09_demo</v>
      </c>
      <c r="R339" s="13" t="str">
        <f t="shared" si="57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58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1"/>
        <v>-0.30499999999999999</v>
      </c>
      <c r="Y339" s="13">
        <f t="shared" si="52"/>
        <v>-0.61</v>
      </c>
      <c r="Z339" s="13">
        <f t="shared" si="53"/>
        <v>-0.91499999999999992</v>
      </c>
      <c r="AA339" s="13">
        <f t="shared" si="59"/>
        <v>-3</v>
      </c>
    </row>
    <row r="340" spans="1:27" x14ac:dyDescent="0.25">
      <c r="A340" s="35">
        <v>45918.404953703706</v>
      </c>
      <c r="B340" s="36">
        <v>443256035</v>
      </c>
      <c r="C340" s="37" t="s">
        <v>36</v>
      </c>
      <c r="D340" s="37" t="s">
        <v>39</v>
      </c>
      <c r="E340" s="37" t="s">
        <v>38</v>
      </c>
      <c r="F340" s="38">
        <v>3636.65</v>
      </c>
      <c r="G340" s="38">
        <v>3639.15</v>
      </c>
      <c r="H340" s="38">
        <v>3633.65</v>
      </c>
      <c r="I340" s="37" t="s">
        <v>514</v>
      </c>
      <c r="J340" s="38">
        <v>3639.24</v>
      </c>
      <c r="K340" s="38">
        <v>0</v>
      </c>
      <c r="L340" s="38">
        <v>0</v>
      </c>
      <c r="M340" s="39">
        <v>-2.59</v>
      </c>
      <c r="N340" s="10" t="str">
        <f t="shared" si="54"/>
        <v>L</v>
      </c>
      <c r="O340" s="11">
        <f t="shared" si="55"/>
        <v>45918</v>
      </c>
      <c r="P340" s="12" t="str">
        <f t="shared" si="56"/>
        <v>09</v>
      </c>
      <c r="Q340" s="13" t="str">
        <f>VLOOKUP($B340,Deals_Demo!$H:$N,7,0)</f>
        <v>strategy_10_demo</v>
      </c>
      <c r="R340" s="13" t="str">
        <f t="shared" si="57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58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1"/>
        <v>-0.25900000000000001</v>
      </c>
      <c r="Y340" s="13">
        <f t="shared" si="52"/>
        <v>-0.51800000000000002</v>
      </c>
      <c r="Z340" s="13">
        <f t="shared" si="53"/>
        <v>-0.77699999999999991</v>
      </c>
      <c r="AA340" s="13">
        <f t="shared" si="59"/>
        <v>-3</v>
      </c>
    </row>
    <row r="341" spans="1:27" x14ac:dyDescent="0.25">
      <c r="A341" s="40">
        <v>45918.43273148148</v>
      </c>
      <c r="B341" s="41">
        <v>443276227</v>
      </c>
      <c r="C341" s="42" t="s">
        <v>36</v>
      </c>
      <c r="D341" s="42" t="s">
        <v>37</v>
      </c>
      <c r="E341" s="42" t="s">
        <v>38</v>
      </c>
      <c r="F341" s="43">
        <v>3647.42</v>
      </c>
      <c r="G341" s="43">
        <v>3644.93</v>
      </c>
      <c r="H341" s="43">
        <v>3650.43</v>
      </c>
      <c r="I341" s="42" t="s">
        <v>515</v>
      </c>
      <c r="J341" s="43">
        <v>3650.54</v>
      </c>
      <c r="K341" s="43">
        <v>0</v>
      </c>
      <c r="L341" s="43">
        <v>0</v>
      </c>
      <c r="M341" s="44">
        <v>3.12</v>
      </c>
      <c r="N341" s="10" t="str">
        <f t="shared" si="54"/>
        <v>W</v>
      </c>
      <c r="O341" s="11">
        <f t="shared" si="55"/>
        <v>45918</v>
      </c>
      <c r="P341" s="12" t="str">
        <f t="shared" si="56"/>
        <v>10</v>
      </c>
      <c r="Q341" s="13" t="str">
        <f>VLOOKUP($B341,Deals_Demo!$H:$N,7,0)</f>
        <v>strategy_10_demo</v>
      </c>
      <c r="R341" s="13" t="str">
        <f t="shared" si="57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58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1"/>
        <v>0.31200000000000006</v>
      </c>
      <c r="Y341" s="13">
        <f t="shared" si="52"/>
        <v>0.62400000000000011</v>
      </c>
      <c r="Z341" s="13">
        <f t="shared" si="53"/>
        <v>0.93599999999999994</v>
      </c>
      <c r="AA341" s="13">
        <f t="shared" si="59"/>
        <v>3.12</v>
      </c>
    </row>
    <row r="342" spans="1:27" x14ac:dyDescent="0.25">
      <c r="A342" s="35">
        <v>45918.43273148148</v>
      </c>
      <c r="B342" s="36">
        <v>443276228</v>
      </c>
      <c r="C342" s="37" t="s">
        <v>36</v>
      </c>
      <c r="D342" s="37" t="s">
        <v>37</v>
      </c>
      <c r="E342" s="37" t="s">
        <v>38</v>
      </c>
      <c r="F342" s="38">
        <v>3647.45</v>
      </c>
      <c r="G342" s="38">
        <v>3644.42</v>
      </c>
      <c r="H342" s="38">
        <v>3650.92</v>
      </c>
      <c r="I342" s="37" t="s">
        <v>516</v>
      </c>
      <c r="J342" s="38">
        <v>3651.04</v>
      </c>
      <c r="K342" s="38">
        <v>0</v>
      </c>
      <c r="L342" s="38">
        <v>0</v>
      </c>
      <c r="M342" s="39">
        <v>3.59</v>
      </c>
      <c r="N342" s="10" t="str">
        <f t="shared" si="54"/>
        <v>W</v>
      </c>
      <c r="O342" s="11">
        <f t="shared" si="55"/>
        <v>45918</v>
      </c>
      <c r="P342" s="12" t="str">
        <f t="shared" si="56"/>
        <v>10</v>
      </c>
      <c r="Q342" s="13" t="str">
        <f>VLOOKUP($B342,Deals_Demo!$H:$N,7,0)</f>
        <v>strategy_11_demo</v>
      </c>
      <c r="R342" s="13" t="str">
        <f t="shared" si="57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58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1"/>
        <v>0.35899999999999999</v>
      </c>
      <c r="Y342" s="13">
        <f t="shared" si="52"/>
        <v>0.71799999999999997</v>
      </c>
      <c r="Z342" s="13">
        <f t="shared" si="53"/>
        <v>1.077</v>
      </c>
      <c r="AA342" s="13">
        <f t="shared" si="59"/>
        <v>3.59</v>
      </c>
    </row>
    <row r="343" spans="1:27" x14ac:dyDescent="0.25">
      <c r="A343" s="40">
        <v>45918.43273148148</v>
      </c>
      <c r="B343" s="41">
        <v>443276231</v>
      </c>
      <c r="C343" s="42" t="s">
        <v>36</v>
      </c>
      <c r="D343" s="42" t="s">
        <v>37</v>
      </c>
      <c r="E343" s="42" t="s">
        <v>38</v>
      </c>
      <c r="F343" s="43">
        <v>3647.53</v>
      </c>
      <c r="G343" s="43">
        <v>3644.42</v>
      </c>
      <c r="H343" s="43">
        <v>3650.42</v>
      </c>
      <c r="I343" s="42" t="s">
        <v>515</v>
      </c>
      <c r="J343" s="43">
        <v>3650.54</v>
      </c>
      <c r="K343" s="43">
        <v>0</v>
      </c>
      <c r="L343" s="43">
        <v>0</v>
      </c>
      <c r="M343" s="44">
        <v>3.01</v>
      </c>
      <c r="N343" s="10" t="str">
        <f t="shared" si="54"/>
        <v>W</v>
      </c>
      <c r="O343" s="11">
        <f t="shared" si="55"/>
        <v>45918</v>
      </c>
      <c r="P343" s="12" t="str">
        <f t="shared" si="56"/>
        <v>10</v>
      </c>
      <c r="Q343" s="13" t="str">
        <f>VLOOKUP($B343,Deals_Demo!$H:$N,7,0)</f>
        <v>strategy_09_demo</v>
      </c>
      <c r="R343" s="13" t="str">
        <f t="shared" si="57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58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1"/>
        <v>0.30099999999999999</v>
      </c>
      <c r="Y343" s="13">
        <f t="shared" si="52"/>
        <v>0.60199999999999998</v>
      </c>
      <c r="Z343" s="13">
        <f t="shared" si="53"/>
        <v>0.90299999999999991</v>
      </c>
      <c r="AA343" s="13">
        <f t="shared" si="59"/>
        <v>3.01</v>
      </c>
    </row>
    <row r="344" spans="1:27" x14ac:dyDescent="0.25">
      <c r="A344" s="35">
        <v>45918.43273148148</v>
      </c>
      <c r="B344" s="36">
        <v>443276233</v>
      </c>
      <c r="C344" s="37" t="s">
        <v>36</v>
      </c>
      <c r="D344" s="37" t="s">
        <v>37</v>
      </c>
      <c r="E344" s="37" t="s">
        <v>38</v>
      </c>
      <c r="F344" s="38">
        <v>3647.76</v>
      </c>
      <c r="G344" s="38">
        <v>3644.42</v>
      </c>
      <c r="H344" s="38">
        <v>3648.92</v>
      </c>
      <c r="I344" s="37" t="s">
        <v>517</v>
      </c>
      <c r="J344" s="38">
        <v>3648.95</v>
      </c>
      <c r="K344" s="38">
        <v>0</v>
      </c>
      <c r="L344" s="38">
        <v>0</v>
      </c>
      <c r="M344" s="39">
        <v>1.19</v>
      </c>
      <c r="N344" s="10" t="str">
        <f t="shared" si="54"/>
        <v>W</v>
      </c>
      <c r="O344" s="11">
        <f t="shared" si="55"/>
        <v>45918</v>
      </c>
      <c r="P344" s="12" t="str">
        <f t="shared" si="56"/>
        <v>10</v>
      </c>
      <c r="Q344" s="13" t="str">
        <f>VLOOKUP($B344,Deals_Demo!$H:$N,7,0)</f>
        <v>strategy_12_demo</v>
      </c>
      <c r="R344" s="13" t="str">
        <f t="shared" si="57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58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1"/>
        <v>0.11899999999999999</v>
      </c>
      <c r="Y344" s="13">
        <f t="shared" si="52"/>
        <v>0.23799999999999999</v>
      </c>
      <c r="Z344" s="13">
        <f t="shared" si="53"/>
        <v>0.35699999999999998</v>
      </c>
      <c r="AA344" s="13">
        <f t="shared" si="59"/>
        <v>-3</v>
      </c>
    </row>
    <row r="345" spans="1:27" x14ac:dyDescent="0.25">
      <c r="A345" s="40">
        <v>45918.441296296296</v>
      </c>
      <c r="B345" s="41">
        <v>443282831</v>
      </c>
      <c r="C345" s="42" t="s">
        <v>36</v>
      </c>
      <c r="D345" s="42" t="s">
        <v>37</v>
      </c>
      <c r="E345" s="42" t="s">
        <v>38</v>
      </c>
      <c r="F345" s="43">
        <v>3650.68</v>
      </c>
      <c r="G345" s="43">
        <v>3647.68</v>
      </c>
      <c r="H345" s="43">
        <v>3652.18</v>
      </c>
      <c r="I345" s="42" t="s">
        <v>518</v>
      </c>
      <c r="J345" s="43">
        <v>3652.21</v>
      </c>
      <c r="K345" s="43">
        <v>0</v>
      </c>
      <c r="L345" s="43">
        <v>0</v>
      </c>
      <c r="M345" s="44">
        <v>1.53</v>
      </c>
      <c r="N345" s="10" t="str">
        <f t="shared" si="54"/>
        <v>W</v>
      </c>
      <c r="O345" s="11">
        <f t="shared" si="55"/>
        <v>45918</v>
      </c>
      <c r="P345" s="12" t="str">
        <f t="shared" si="56"/>
        <v>10</v>
      </c>
      <c r="Q345" s="13" t="str">
        <f>VLOOKUP($B345,Deals_Demo!$H:$N,7,0)</f>
        <v>strategy_12_demo</v>
      </c>
      <c r="R345" s="13" t="str">
        <f t="shared" si="57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58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1"/>
        <v>0.15300000000000002</v>
      </c>
      <c r="Y345" s="13">
        <f t="shared" si="52"/>
        <v>0.30600000000000005</v>
      </c>
      <c r="Z345" s="13">
        <f t="shared" si="53"/>
        <v>0.45899999999999996</v>
      </c>
      <c r="AA345" s="13">
        <f t="shared" si="59"/>
        <v>-3</v>
      </c>
    </row>
    <row r="346" spans="1:27" x14ac:dyDescent="0.25">
      <c r="A346" s="35">
        <v>45918.441296296296</v>
      </c>
      <c r="B346" s="36">
        <v>443282833</v>
      </c>
      <c r="C346" s="37" t="s">
        <v>36</v>
      </c>
      <c r="D346" s="37" t="s">
        <v>37</v>
      </c>
      <c r="E346" s="37" t="s">
        <v>38</v>
      </c>
      <c r="F346" s="38">
        <v>3650.68</v>
      </c>
      <c r="G346" s="38">
        <v>3651.5</v>
      </c>
      <c r="H346" s="38">
        <v>3653.68</v>
      </c>
      <c r="I346" s="37" t="s">
        <v>519</v>
      </c>
      <c r="J346" s="38">
        <v>3653.8</v>
      </c>
      <c r="K346" s="38">
        <v>0</v>
      </c>
      <c r="L346" s="38">
        <v>0</v>
      </c>
      <c r="M346" s="39">
        <v>3.12</v>
      </c>
      <c r="N346" s="10" t="str">
        <f t="shared" si="54"/>
        <v>W</v>
      </c>
      <c r="O346" s="11">
        <f t="shared" si="55"/>
        <v>45918</v>
      </c>
      <c r="P346" s="12" t="str">
        <f t="shared" si="56"/>
        <v>10</v>
      </c>
      <c r="Q346" s="13" t="str">
        <f>VLOOKUP($B346,Deals_Demo!$H:$N,7,0)</f>
        <v>strategy_10_demo</v>
      </c>
      <c r="R346" s="13" t="str">
        <f t="shared" si="57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58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1"/>
        <v>0.31200000000000006</v>
      </c>
      <c r="Y346" s="13">
        <f t="shared" si="52"/>
        <v>0.62400000000000011</v>
      </c>
      <c r="Z346" s="13">
        <f t="shared" si="53"/>
        <v>0.93599999999999994</v>
      </c>
      <c r="AA346" s="13">
        <f t="shared" si="59"/>
        <v>3.12</v>
      </c>
    </row>
    <row r="347" spans="1:27" x14ac:dyDescent="0.25">
      <c r="A347" s="40">
        <v>45918.441296296296</v>
      </c>
      <c r="B347" s="41">
        <v>443282835</v>
      </c>
      <c r="C347" s="42" t="s">
        <v>36</v>
      </c>
      <c r="D347" s="42" t="s">
        <v>37</v>
      </c>
      <c r="E347" s="42" t="s">
        <v>38</v>
      </c>
      <c r="F347" s="43">
        <v>3650.68</v>
      </c>
      <c r="G347" s="43">
        <v>3651.5</v>
      </c>
      <c r="H347" s="43">
        <v>3653.68</v>
      </c>
      <c r="I347" s="42" t="s">
        <v>519</v>
      </c>
      <c r="J347" s="43">
        <v>3653.8</v>
      </c>
      <c r="K347" s="43">
        <v>0</v>
      </c>
      <c r="L347" s="43">
        <v>0</v>
      </c>
      <c r="M347" s="44">
        <v>3.12</v>
      </c>
      <c r="N347" s="10" t="str">
        <f t="shared" si="54"/>
        <v>W</v>
      </c>
      <c r="O347" s="11">
        <f t="shared" si="55"/>
        <v>45918</v>
      </c>
      <c r="P347" s="12" t="str">
        <f t="shared" si="56"/>
        <v>10</v>
      </c>
      <c r="Q347" s="13" t="str">
        <f>VLOOKUP($B347,Deals_Demo!$H:$N,7,0)</f>
        <v>strategy_09_demo</v>
      </c>
      <c r="R347" s="13" t="str">
        <f t="shared" si="57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58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1"/>
        <v>0.31200000000000006</v>
      </c>
      <c r="Y347" s="13">
        <f t="shared" si="52"/>
        <v>0.62400000000000011</v>
      </c>
      <c r="Z347" s="13">
        <f t="shared" si="53"/>
        <v>0.93599999999999994</v>
      </c>
      <c r="AA347" s="13">
        <f t="shared" si="59"/>
        <v>3.12</v>
      </c>
    </row>
    <row r="348" spans="1:27" x14ac:dyDescent="0.25">
      <c r="A348" s="35">
        <v>45918.441296296296</v>
      </c>
      <c r="B348" s="36">
        <v>443282844</v>
      </c>
      <c r="C348" s="37" t="s">
        <v>36</v>
      </c>
      <c r="D348" s="37" t="s">
        <v>37</v>
      </c>
      <c r="E348" s="37" t="s">
        <v>38</v>
      </c>
      <c r="F348" s="38">
        <v>3650.68</v>
      </c>
      <c r="G348" s="38">
        <v>3651.5</v>
      </c>
      <c r="H348" s="38">
        <v>3654.18</v>
      </c>
      <c r="I348" s="37" t="s">
        <v>520</v>
      </c>
      <c r="J348" s="38">
        <v>3654.21</v>
      </c>
      <c r="K348" s="38">
        <v>0</v>
      </c>
      <c r="L348" s="38">
        <v>0</v>
      </c>
      <c r="M348" s="39">
        <v>3.53</v>
      </c>
      <c r="N348" s="10" t="str">
        <f t="shared" si="54"/>
        <v>W</v>
      </c>
      <c r="O348" s="11">
        <f t="shared" si="55"/>
        <v>45918</v>
      </c>
      <c r="P348" s="12" t="str">
        <f t="shared" si="56"/>
        <v>10</v>
      </c>
      <c r="Q348" s="13" t="str">
        <f>VLOOKUP($B348,Deals_Demo!$H:$N,7,0)</f>
        <v>strategy_11_demo</v>
      </c>
      <c r="R348" s="13" t="str">
        <f t="shared" si="57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58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1"/>
        <v>0.35299999999999998</v>
      </c>
      <c r="Y348" s="13">
        <f t="shared" si="52"/>
        <v>0.70599999999999996</v>
      </c>
      <c r="Z348" s="13">
        <f t="shared" si="53"/>
        <v>1.0589999999999999</v>
      </c>
      <c r="AA348" s="13">
        <f t="shared" si="59"/>
        <v>3.53</v>
      </c>
    </row>
    <row r="349" spans="1:27" x14ac:dyDescent="0.25">
      <c r="A349" s="40">
        <v>45918.450208333335</v>
      </c>
      <c r="B349" s="41">
        <v>443289887</v>
      </c>
      <c r="C349" s="42" t="s">
        <v>36</v>
      </c>
      <c r="D349" s="42" t="s">
        <v>37</v>
      </c>
      <c r="E349" s="42" t="s">
        <v>38</v>
      </c>
      <c r="F349" s="43">
        <v>3657.89</v>
      </c>
      <c r="G349" s="43">
        <v>3654.89</v>
      </c>
      <c r="H349" s="43">
        <v>3659.39</v>
      </c>
      <c r="I349" s="42" t="s">
        <v>521</v>
      </c>
      <c r="J349" s="43">
        <v>3659.49</v>
      </c>
      <c r="K349" s="43">
        <v>0</v>
      </c>
      <c r="L349" s="43">
        <v>0</v>
      </c>
      <c r="M349" s="44">
        <v>1.6</v>
      </c>
      <c r="N349" s="10" t="str">
        <f t="shared" si="54"/>
        <v>W</v>
      </c>
      <c r="O349" s="11">
        <f t="shared" si="55"/>
        <v>45918</v>
      </c>
      <c r="P349" s="12" t="str">
        <f t="shared" si="56"/>
        <v>10</v>
      </c>
      <c r="Q349" s="13" t="str">
        <f>VLOOKUP($B349,Deals_Demo!$H:$N,7,0)</f>
        <v>strategy_12_demo</v>
      </c>
      <c r="R349" s="13" t="str">
        <f t="shared" si="57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58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1"/>
        <v>0.16000000000000003</v>
      </c>
      <c r="Y349" s="13">
        <f t="shared" si="52"/>
        <v>0.32000000000000006</v>
      </c>
      <c r="Z349" s="13">
        <f t="shared" si="53"/>
        <v>0.48</v>
      </c>
      <c r="AA349" s="13">
        <f t="shared" si="59"/>
        <v>-3</v>
      </c>
    </row>
    <row r="350" spans="1:27" x14ac:dyDescent="0.25">
      <c r="A350" s="35">
        <v>45918.450208333335</v>
      </c>
      <c r="B350" s="36">
        <v>443289890</v>
      </c>
      <c r="C350" s="37" t="s">
        <v>36</v>
      </c>
      <c r="D350" s="37" t="s">
        <v>37</v>
      </c>
      <c r="E350" s="37" t="s">
        <v>38</v>
      </c>
      <c r="F350" s="38">
        <v>3657.81</v>
      </c>
      <c r="G350" s="38">
        <v>3658.03</v>
      </c>
      <c r="H350" s="38">
        <v>3661.39</v>
      </c>
      <c r="I350" s="37" t="s">
        <v>522</v>
      </c>
      <c r="J350" s="38">
        <v>3657.66</v>
      </c>
      <c r="K350" s="38">
        <v>0</v>
      </c>
      <c r="L350" s="38">
        <v>0</v>
      </c>
      <c r="M350" s="39">
        <v>-0.15</v>
      </c>
      <c r="N350" s="10" t="str">
        <f t="shared" si="54"/>
        <v>L</v>
      </c>
      <c r="O350" s="11">
        <f t="shared" si="55"/>
        <v>45918</v>
      </c>
      <c r="P350" s="12" t="str">
        <f t="shared" si="56"/>
        <v>10</v>
      </c>
      <c r="Q350" s="13" t="str">
        <f>VLOOKUP($B350,Deals_Demo!$H:$N,7,0)</f>
        <v>strategy_11_demo</v>
      </c>
      <c r="R350" s="13" t="str">
        <f t="shared" si="57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58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1"/>
        <v>-1.4999999999999999E-2</v>
      </c>
      <c r="Y350" s="13">
        <f t="shared" si="52"/>
        <v>-0.03</v>
      </c>
      <c r="Z350" s="13">
        <f t="shared" si="53"/>
        <v>-4.4999999999999998E-2</v>
      </c>
      <c r="AA350" s="13">
        <f t="shared" si="59"/>
        <v>-3</v>
      </c>
    </row>
    <row r="351" spans="1:27" x14ac:dyDescent="0.25">
      <c r="A351" s="40">
        <v>45918.450208333335</v>
      </c>
      <c r="B351" s="41">
        <v>443289894</v>
      </c>
      <c r="C351" s="42" t="s">
        <v>36</v>
      </c>
      <c r="D351" s="42" t="s">
        <v>37</v>
      </c>
      <c r="E351" s="42" t="s">
        <v>38</v>
      </c>
      <c r="F351" s="43">
        <v>3657.86</v>
      </c>
      <c r="G351" s="43">
        <v>3658.03</v>
      </c>
      <c r="H351" s="43">
        <v>3660.89</v>
      </c>
      <c r="I351" s="42" t="s">
        <v>522</v>
      </c>
      <c r="J351" s="43">
        <v>3657.66</v>
      </c>
      <c r="K351" s="43">
        <v>0</v>
      </c>
      <c r="L351" s="43">
        <v>0</v>
      </c>
      <c r="M351" s="44">
        <v>-0.2</v>
      </c>
      <c r="N351" s="10" t="str">
        <f t="shared" si="54"/>
        <v>L</v>
      </c>
      <c r="O351" s="11">
        <f t="shared" si="55"/>
        <v>45918</v>
      </c>
      <c r="P351" s="12" t="str">
        <f t="shared" si="56"/>
        <v>10</v>
      </c>
      <c r="Q351" s="13" t="str">
        <f>VLOOKUP($B351,Deals_Demo!$H:$N,7,0)</f>
        <v>strategy_10_demo</v>
      </c>
      <c r="R351" s="13" t="str">
        <f t="shared" si="57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58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1"/>
        <v>-2.0000000000000004E-2</v>
      </c>
      <c r="Y351" s="13">
        <f t="shared" si="52"/>
        <v>-4.0000000000000008E-2</v>
      </c>
      <c r="Z351" s="13">
        <f t="shared" si="53"/>
        <v>-0.06</v>
      </c>
      <c r="AA351" s="13">
        <f t="shared" si="59"/>
        <v>-3</v>
      </c>
    </row>
    <row r="352" spans="1:27" x14ac:dyDescent="0.25">
      <c r="A352" s="35">
        <v>45918.450208333335</v>
      </c>
      <c r="B352" s="36">
        <v>443289896</v>
      </c>
      <c r="C352" s="37" t="s">
        <v>36</v>
      </c>
      <c r="D352" s="37" t="s">
        <v>37</v>
      </c>
      <c r="E352" s="37" t="s">
        <v>38</v>
      </c>
      <c r="F352" s="38">
        <v>3657.84</v>
      </c>
      <c r="G352" s="38">
        <v>3658.03</v>
      </c>
      <c r="H352" s="38">
        <v>3660.89</v>
      </c>
      <c r="I352" s="37" t="s">
        <v>522</v>
      </c>
      <c r="J352" s="38">
        <v>3657.66</v>
      </c>
      <c r="K352" s="38">
        <v>0</v>
      </c>
      <c r="L352" s="38">
        <v>0</v>
      </c>
      <c r="M352" s="39">
        <v>-0.18</v>
      </c>
      <c r="N352" s="10" t="str">
        <f t="shared" si="54"/>
        <v>L</v>
      </c>
      <c r="O352" s="11">
        <f t="shared" si="55"/>
        <v>45918</v>
      </c>
      <c r="P352" s="12" t="str">
        <f t="shared" si="56"/>
        <v>10</v>
      </c>
      <c r="Q352" s="13" t="str">
        <f>VLOOKUP($B352,Deals_Demo!$H:$N,7,0)</f>
        <v>strategy_09_demo</v>
      </c>
      <c r="R352" s="13" t="str">
        <f t="shared" si="57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58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1"/>
        <v>-1.7999999999999999E-2</v>
      </c>
      <c r="Y352" s="13">
        <f t="shared" si="52"/>
        <v>-3.5999999999999997E-2</v>
      </c>
      <c r="Z352" s="13">
        <f t="shared" si="53"/>
        <v>-5.3999999999999999E-2</v>
      </c>
      <c r="AA352" s="13">
        <f t="shared" si="59"/>
        <v>-3</v>
      </c>
    </row>
    <row r="353" spans="1:27" x14ac:dyDescent="0.25">
      <c r="A353" s="40">
        <v>45918.451828703706</v>
      </c>
      <c r="B353" s="41">
        <v>443290682</v>
      </c>
      <c r="C353" s="42" t="s">
        <v>36</v>
      </c>
      <c r="D353" s="42" t="s">
        <v>37</v>
      </c>
      <c r="E353" s="42" t="s">
        <v>38</v>
      </c>
      <c r="F353" s="43">
        <v>3658.58</v>
      </c>
      <c r="G353" s="43">
        <v>3655.58</v>
      </c>
      <c r="H353" s="43">
        <v>3660.08</v>
      </c>
      <c r="I353" s="42" t="s">
        <v>523</v>
      </c>
      <c r="J353" s="43">
        <v>3655.48</v>
      </c>
      <c r="K353" s="43">
        <v>0</v>
      </c>
      <c r="L353" s="43">
        <v>0</v>
      </c>
      <c r="M353" s="44">
        <v>-3.1</v>
      </c>
      <c r="N353" s="10" t="str">
        <f t="shared" si="54"/>
        <v>L</v>
      </c>
      <c r="O353" s="11">
        <f t="shared" si="55"/>
        <v>45918</v>
      </c>
      <c r="P353" s="12" t="str">
        <f t="shared" si="56"/>
        <v>10</v>
      </c>
      <c r="Q353" s="13" t="str">
        <f>VLOOKUP($B353,Deals_Demo!$H:$N,7,0)</f>
        <v>strategy_12_demo</v>
      </c>
      <c r="R353" s="13" t="str">
        <f t="shared" si="57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58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1"/>
        <v>-0.31000000000000005</v>
      </c>
      <c r="Y353" s="13">
        <f t="shared" si="52"/>
        <v>-0.62000000000000011</v>
      </c>
      <c r="Z353" s="13">
        <f t="shared" si="53"/>
        <v>-0.92999999999999994</v>
      </c>
      <c r="AA353" s="13">
        <f t="shared" si="59"/>
        <v>-3</v>
      </c>
    </row>
    <row r="354" spans="1:27" x14ac:dyDescent="0.25">
      <c r="A354" s="35">
        <v>45918.452523148146</v>
      </c>
      <c r="B354" s="36">
        <v>443290925</v>
      </c>
      <c r="C354" s="37" t="s">
        <v>36</v>
      </c>
      <c r="D354" s="37" t="s">
        <v>37</v>
      </c>
      <c r="E354" s="37" t="s">
        <v>38</v>
      </c>
      <c r="F354" s="38">
        <v>3658.41</v>
      </c>
      <c r="G354" s="38">
        <v>3655.36</v>
      </c>
      <c r="H354" s="38">
        <v>3661.86</v>
      </c>
      <c r="I354" s="37" t="s">
        <v>524</v>
      </c>
      <c r="J354" s="38">
        <v>3655.34</v>
      </c>
      <c r="K354" s="38">
        <v>0</v>
      </c>
      <c r="L354" s="38">
        <v>0</v>
      </c>
      <c r="M354" s="39">
        <v>-3.07</v>
      </c>
      <c r="N354" s="10" t="str">
        <f t="shared" si="54"/>
        <v>L</v>
      </c>
      <c r="O354" s="11">
        <f t="shared" si="55"/>
        <v>45918</v>
      </c>
      <c r="P354" s="12" t="str">
        <f t="shared" si="56"/>
        <v>10</v>
      </c>
      <c r="Q354" s="13" t="str">
        <f>VLOOKUP($B354,Deals_Demo!$H:$N,7,0)</f>
        <v>strategy_11_demo</v>
      </c>
      <c r="R354" s="13" t="str">
        <f t="shared" si="57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58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1"/>
        <v>-0.307</v>
      </c>
      <c r="Y354" s="13">
        <f t="shared" si="52"/>
        <v>-0.61399999999999999</v>
      </c>
      <c r="Z354" s="13">
        <f t="shared" si="53"/>
        <v>-0.92099999999999993</v>
      </c>
      <c r="AA354" s="13">
        <f t="shared" si="59"/>
        <v>-3</v>
      </c>
    </row>
    <row r="355" spans="1:27" x14ac:dyDescent="0.25">
      <c r="A355" s="40">
        <v>45918.452523148146</v>
      </c>
      <c r="B355" s="41">
        <v>443290928</v>
      </c>
      <c r="C355" s="42" t="s">
        <v>36</v>
      </c>
      <c r="D355" s="42" t="s">
        <v>37</v>
      </c>
      <c r="E355" s="42" t="s">
        <v>38</v>
      </c>
      <c r="F355" s="43">
        <v>3658.41</v>
      </c>
      <c r="G355" s="43">
        <v>3655.41</v>
      </c>
      <c r="H355" s="43">
        <v>3661.41</v>
      </c>
      <c r="I355" s="42" t="s">
        <v>525</v>
      </c>
      <c r="J355" s="43">
        <v>3655.4</v>
      </c>
      <c r="K355" s="43">
        <v>0</v>
      </c>
      <c r="L355" s="43">
        <v>0</v>
      </c>
      <c r="M355" s="44">
        <v>-3.01</v>
      </c>
      <c r="N355" s="10" t="str">
        <f t="shared" si="54"/>
        <v>L</v>
      </c>
      <c r="O355" s="11">
        <f t="shared" si="55"/>
        <v>45918</v>
      </c>
      <c r="P355" s="12" t="str">
        <f t="shared" si="56"/>
        <v>10</v>
      </c>
      <c r="Q355" s="13" t="str">
        <f>VLOOKUP($B355,Deals_Demo!$H:$N,7,0)</f>
        <v>strategy_09_demo</v>
      </c>
      <c r="R355" s="13" t="str">
        <f t="shared" si="57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58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1"/>
        <v>-0.30099999999999999</v>
      </c>
      <c r="Y355" s="13">
        <f t="shared" si="52"/>
        <v>-0.60199999999999998</v>
      </c>
      <c r="Z355" s="13">
        <f t="shared" si="53"/>
        <v>-0.90299999999999991</v>
      </c>
      <c r="AA355" s="13">
        <f t="shared" si="59"/>
        <v>-3</v>
      </c>
    </row>
    <row r="356" spans="1:27" x14ac:dyDescent="0.25">
      <c r="A356" s="35">
        <v>45918.452523148146</v>
      </c>
      <c r="B356" s="36">
        <v>443290929</v>
      </c>
      <c r="C356" s="37" t="s">
        <v>36</v>
      </c>
      <c r="D356" s="37" t="s">
        <v>37</v>
      </c>
      <c r="E356" s="37" t="s">
        <v>38</v>
      </c>
      <c r="F356" s="38">
        <v>3658.15</v>
      </c>
      <c r="G356" s="38">
        <v>3658.29</v>
      </c>
      <c r="H356" s="38">
        <v>3661.41</v>
      </c>
      <c r="I356" s="37" t="s">
        <v>526</v>
      </c>
      <c r="J356" s="38">
        <v>3658.14</v>
      </c>
      <c r="K356" s="38">
        <v>0</v>
      </c>
      <c r="L356" s="38">
        <v>0</v>
      </c>
      <c r="M356" s="39">
        <v>-0.01</v>
      </c>
      <c r="N356" s="10" t="str">
        <f t="shared" si="54"/>
        <v>L</v>
      </c>
      <c r="O356" s="11">
        <f t="shared" si="55"/>
        <v>45918</v>
      </c>
      <c r="P356" s="12" t="str">
        <f t="shared" si="56"/>
        <v>10</v>
      </c>
      <c r="Q356" s="13" t="str">
        <f>VLOOKUP($B356,Deals_Demo!$H:$N,7,0)</f>
        <v>strategy_10_demo</v>
      </c>
      <c r="R356" s="13" t="str">
        <f t="shared" si="57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58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1"/>
        <v>-1E-3</v>
      </c>
      <c r="Y356" s="13">
        <f t="shared" si="52"/>
        <v>-2E-3</v>
      </c>
      <c r="Z356" s="13">
        <f t="shared" si="53"/>
        <v>-3.0000000000000001E-3</v>
      </c>
      <c r="AA356" s="13">
        <f t="shared" si="59"/>
        <v>-3</v>
      </c>
    </row>
    <row r="357" spans="1:27" x14ac:dyDescent="0.25">
      <c r="A357" s="40">
        <v>45918.455416666664</v>
      </c>
      <c r="B357" s="41">
        <v>443291971</v>
      </c>
      <c r="C357" s="42" t="s">
        <v>36</v>
      </c>
      <c r="D357" s="42" t="s">
        <v>37</v>
      </c>
      <c r="E357" s="42" t="s">
        <v>38</v>
      </c>
      <c r="F357" s="43">
        <v>3658.5</v>
      </c>
      <c r="G357" s="43">
        <v>3656</v>
      </c>
      <c r="H357" s="43">
        <v>3661.5</v>
      </c>
      <c r="I357" s="42" t="s">
        <v>527</v>
      </c>
      <c r="J357" s="43">
        <v>3655.84</v>
      </c>
      <c r="K357" s="43">
        <v>0</v>
      </c>
      <c r="L357" s="43">
        <v>0</v>
      </c>
      <c r="M357" s="44">
        <v>-2.66</v>
      </c>
      <c r="N357" s="10" t="str">
        <f t="shared" si="54"/>
        <v>L</v>
      </c>
      <c r="O357" s="11">
        <f t="shared" si="55"/>
        <v>45918</v>
      </c>
      <c r="P357" s="12" t="str">
        <f t="shared" si="56"/>
        <v>10</v>
      </c>
      <c r="Q357" s="13" t="str">
        <f>VLOOKUP($B357,Deals_Demo!$H:$N,7,0)</f>
        <v>strategy_10_demo</v>
      </c>
      <c r="R357" s="13" t="str">
        <f t="shared" si="57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58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1"/>
        <v>-0.26600000000000001</v>
      </c>
      <c r="Y357" s="13">
        <f t="shared" si="52"/>
        <v>-0.53200000000000003</v>
      </c>
      <c r="Z357" s="13">
        <f t="shared" si="53"/>
        <v>-0.79800000000000004</v>
      </c>
      <c r="AA357" s="13">
        <f t="shared" si="59"/>
        <v>-3</v>
      </c>
    </row>
    <row r="358" spans="1:27" x14ac:dyDescent="0.25">
      <c r="A358" s="35">
        <v>45918.456689814811</v>
      </c>
      <c r="B358" s="36">
        <v>443292671</v>
      </c>
      <c r="C358" s="37" t="s">
        <v>36</v>
      </c>
      <c r="D358" s="37" t="s">
        <v>37</v>
      </c>
      <c r="E358" s="37" t="s">
        <v>38</v>
      </c>
      <c r="F358" s="38">
        <v>3658.04</v>
      </c>
      <c r="G358" s="38">
        <v>3655.04</v>
      </c>
      <c r="H358" s="38">
        <v>3661.54</v>
      </c>
      <c r="I358" s="37" t="s">
        <v>528</v>
      </c>
      <c r="J358" s="38">
        <v>3655</v>
      </c>
      <c r="K358" s="38">
        <v>0</v>
      </c>
      <c r="L358" s="38">
        <v>0</v>
      </c>
      <c r="M358" s="39">
        <v>-3.04</v>
      </c>
      <c r="N358" s="10" t="str">
        <f t="shared" si="54"/>
        <v>L</v>
      </c>
      <c r="O358" s="11">
        <f t="shared" si="55"/>
        <v>45918</v>
      </c>
      <c r="P358" s="12" t="str">
        <f t="shared" si="56"/>
        <v>10</v>
      </c>
      <c r="Q358" s="13" t="str">
        <f>VLOOKUP($B358,Deals_Demo!$H:$N,7,0)</f>
        <v>strategy_08_demo</v>
      </c>
      <c r="R358" s="13" t="str">
        <f t="shared" si="57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58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1"/>
        <v>-0.30400000000000005</v>
      </c>
      <c r="Y358" s="13">
        <f t="shared" si="52"/>
        <v>-0.6080000000000001</v>
      </c>
      <c r="Z358" s="13">
        <f t="shared" si="53"/>
        <v>-0.91199999999999992</v>
      </c>
      <c r="AA358" s="13">
        <f t="shared" si="59"/>
        <v>-3</v>
      </c>
    </row>
    <row r="359" spans="1:27" x14ac:dyDescent="0.25">
      <c r="A359" s="40">
        <v>45918.467453703706</v>
      </c>
      <c r="B359" s="41">
        <v>443298547</v>
      </c>
      <c r="C359" s="42" t="s">
        <v>36</v>
      </c>
      <c r="D359" s="42" t="s">
        <v>39</v>
      </c>
      <c r="E359" s="42" t="s">
        <v>38</v>
      </c>
      <c r="F359" s="43">
        <v>3655.01</v>
      </c>
      <c r="G359" s="43">
        <v>3658.08</v>
      </c>
      <c r="H359" s="43">
        <v>3652.08</v>
      </c>
      <c r="I359" s="42" t="s">
        <v>529</v>
      </c>
      <c r="J359" s="43">
        <v>3658.09</v>
      </c>
      <c r="K359" s="43">
        <v>0</v>
      </c>
      <c r="L359" s="43">
        <v>0</v>
      </c>
      <c r="M359" s="44">
        <v>-3.08</v>
      </c>
      <c r="N359" s="10" t="str">
        <f t="shared" si="54"/>
        <v>L</v>
      </c>
      <c r="O359" s="11">
        <f t="shared" si="55"/>
        <v>45918</v>
      </c>
      <c r="P359" s="12" t="str">
        <f t="shared" si="56"/>
        <v>11</v>
      </c>
      <c r="Q359" s="13" t="str">
        <f>VLOOKUP($B359,Deals_Demo!$H:$N,7,0)</f>
        <v>strategy_09_demo</v>
      </c>
      <c r="R359" s="13" t="str">
        <f t="shared" si="57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58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1"/>
        <v>-0.30800000000000005</v>
      </c>
      <c r="Y359" s="13">
        <f t="shared" si="52"/>
        <v>-0.6160000000000001</v>
      </c>
      <c r="Z359" s="13">
        <f t="shared" si="53"/>
        <v>-0.92399999999999993</v>
      </c>
      <c r="AA359" s="13">
        <f t="shared" si="59"/>
        <v>-3</v>
      </c>
    </row>
    <row r="360" spans="1:27" x14ac:dyDescent="0.25">
      <c r="A360" s="35">
        <v>45918.467453703706</v>
      </c>
      <c r="B360" s="36">
        <v>443298548</v>
      </c>
      <c r="C360" s="37" t="s">
        <v>36</v>
      </c>
      <c r="D360" s="37" t="s">
        <v>39</v>
      </c>
      <c r="E360" s="37" t="s">
        <v>38</v>
      </c>
      <c r="F360" s="38">
        <v>3655.01</v>
      </c>
      <c r="G360" s="38">
        <v>3658.01</v>
      </c>
      <c r="H360" s="38">
        <v>3653.51</v>
      </c>
      <c r="I360" s="37" t="s">
        <v>530</v>
      </c>
      <c r="J360" s="38">
        <v>3658.01</v>
      </c>
      <c r="K360" s="38">
        <v>0</v>
      </c>
      <c r="L360" s="38">
        <v>0</v>
      </c>
      <c r="M360" s="39">
        <v>-3</v>
      </c>
      <c r="N360" s="10" t="str">
        <f t="shared" si="54"/>
        <v>L</v>
      </c>
      <c r="O360" s="11">
        <f t="shared" si="55"/>
        <v>45918</v>
      </c>
      <c r="P360" s="12" t="str">
        <f t="shared" si="56"/>
        <v>11</v>
      </c>
      <c r="Q360" s="13" t="str">
        <f>VLOOKUP($B360,Deals_Demo!$H:$N,7,0)</f>
        <v>strategy_14_demo</v>
      </c>
      <c r="R360" s="13" t="str">
        <f t="shared" si="57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58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1"/>
        <v>-0.30000000000000004</v>
      </c>
      <c r="Y360" s="13">
        <f t="shared" si="52"/>
        <v>-0.60000000000000009</v>
      </c>
      <c r="Z360" s="13">
        <f t="shared" si="53"/>
        <v>-0.89999999999999991</v>
      </c>
      <c r="AA360" s="13">
        <f t="shared" si="59"/>
        <v>-3</v>
      </c>
    </row>
    <row r="361" spans="1:27" x14ac:dyDescent="0.25">
      <c r="A361" s="40">
        <v>45918.467453703706</v>
      </c>
      <c r="B361" s="41">
        <v>443298549</v>
      </c>
      <c r="C361" s="42" t="s">
        <v>36</v>
      </c>
      <c r="D361" s="42" t="s">
        <v>39</v>
      </c>
      <c r="E361" s="42" t="s">
        <v>38</v>
      </c>
      <c r="F361" s="43">
        <v>3655.01</v>
      </c>
      <c r="G361" s="43">
        <v>3658.01</v>
      </c>
      <c r="H361" s="43">
        <v>3653.51</v>
      </c>
      <c r="I361" s="42" t="s">
        <v>530</v>
      </c>
      <c r="J361" s="43">
        <v>3658.01</v>
      </c>
      <c r="K361" s="43">
        <v>0</v>
      </c>
      <c r="L361" s="43">
        <v>0</v>
      </c>
      <c r="M361" s="44">
        <v>-3</v>
      </c>
      <c r="N361" s="10" t="str">
        <f t="shared" si="54"/>
        <v>L</v>
      </c>
      <c r="O361" s="11">
        <f t="shared" si="55"/>
        <v>45918</v>
      </c>
      <c r="P361" s="12" t="str">
        <f t="shared" si="56"/>
        <v>11</v>
      </c>
      <c r="Q361" s="13" t="str">
        <f>VLOOKUP($B361,Deals_Demo!$H:$N,7,0)</f>
        <v>strategy_12_demo</v>
      </c>
      <c r="R361" s="13" t="str">
        <f t="shared" si="57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58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1"/>
        <v>-0.30000000000000004</v>
      </c>
      <c r="Y361" s="13">
        <f t="shared" si="52"/>
        <v>-0.60000000000000009</v>
      </c>
      <c r="Z361" s="13">
        <f t="shared" si="53"/>
        <v>-0.89999999999999991</v>
      </c>
      <c r="AA361" s="13">
        <f t="shared" si="59"/>
        <v>-3</v>
      </c>
    </row>
    <row r="362" spans="1:27" x14ac:dyDescent="0.25">
      <c r="A362" s="35">
        <v>45918.467453703706</v>
      </c>
      <c r="B362" s="36">
        <v>443298551</v>
      </c>
      <c r="C362" s="37" t="s">
        <v>36</v>
      </c>
      <c r="D362" s="37" t="s">
        <v>39</v>
      </c>
      <c r="E362" s="37" t="s">
        <v>38</v>
      </c>
      <c r="F362" s="38">
        <v>3655.01</v>
      </c>
      <c r="G362" s="38">
        <v>3658.01</v>
      </c>
      <c r="H362" s="38">
        <v>3651.51</v>
      </c>
      <c r="I362" s="37" t="s">
        <v>530</v>
      </c>
      <c r="J362" s="38">
        <v>3658.01</v>
      </c>
      <c r="K362" s="38">
        <v>0</v>
      </c>
      <c r="L362" s="38">
        <v>0</v>
      </c>
      <c r="M362" s="39">
        <v>-3</v>
      </c>
      <c r="N362" s="10" t="str">
        <f t="shared" si="54"/>
        <v>L</v>
      </c>
      <c r="O362" s="11">
        <f t="shared" si="55"/>
        <v>45918</v>
      </c>
      <c r="P362" s="12" t="str">
        <f t="shared" si="56"/>
        <v>11</v>
      </c>
      <c r="Q362" s="13" t="str">
        <f>VLOOKUP($B362,Deals_Demo!$H:$N,7,0)</f>
        <v>strategy_11_demo</v>
      </c>
      <c r="R362" s="13" t="str">
        <f t="shared" si="57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58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1"/>
        <v>-0.30000000000000004</v>
      </c>
      <c r="Y362" s="13">
        <f t="shared" si="52"/>
        <v>-0.60000000000000009</v>
      </c>
      <c r="Z362" s="13">
        <f t="shared" si="53"/>
        <v>-0.89999999999999991</v>
      </c>
      <c r="AA362" s="13">
        <f t="shared" si="59"/>
        <v>-3</v>
      </c>
    </row>
    <row r="363" spans="1:27" x14ac:dyDescent="0.25">
      <c r="A363" s="40">
        <v>45918.467465277776</v>
      </c>
      <c r="B363" s="41">
        <v>443298553</v>
      </c>
      <c r="C363" s="42" t="s">
        <v>36</v>
      </c>
      <c r="D363" s="42" t="s">
        <v>39</v>
      </c>
      <c r="E363" s="42" t="s">
        <v>38</v>
      </c>
      <c r="F363" s="43">
        <v>3655</v>
      </c>
      <c r="G363" s="43">
        <v>3657.51</v>
      </c>
      <c r="H363" s="43">
        <v>3652.01</v>
      </c>
      <c r="I363" s="42" t="s">
        <v>531</v>
      </c>
      <c r="J363" s="43">
        <v>3657.52</v>
      </c>
      <c r="K363" s="43">
        <v>0</v>
      </c>
      <c r="L363" s="43">
        <v>0</v>
      </c>
      <c r="M363" s="44">
        <v>-2.52</v>
      </c>
      <c r="N363" s="10" t="str">
        <f t="shared" si="54"/>
        <v>L</v>
      </c>
      <c r="O363" s="11">
        <f t="shared" si="55"/>
        <v>45918</v>
      </c>
      <c r="P363" s="12" t="str">
        <f t="shared" si="56"/>
        <v>11</v>
      </c>
      <c r="Q363" s="13" t="str">
        <f>VLOOKUP($B363,Deals_Demo!$H:$N,7,0)</f>
        <v>strategy_10_demo</v>
      </c>
      <c r="R363" s="13" t="str">
        <f t="shared" si="57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58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1"/>
        <v>-0.252</v>
      </c>
      <c r="Y363" s="13">
        <f t="shared" si="52"/>
        <v>-0.504</v>
      </c>
      <c r="Z363" s="13">
        <f t="shared" si="53"/>
        <v>-0.75600000000000001</v>
      </c>
      <c r="AA363" s="13">
        <f t="shared" si="59"/>
        <v>-3</v>
      </c>
    </row>
    <row r="364" spans="1:27" x14ac:dyDescent="0.25">
      <c r="A364" s="35">
        <v>45918.468831018516</v>
      </c>
      <c r="B364" s="36">
        <v>443299057</v>
      </c>
      <c r="C364" s="37" t="s">
        <v>36</v>
      </c>
      <c r="D364" s="37" t="s">
        <v>37</v>
      </c>
      <c r="E364" s="37" t="s">
        <v>38</v>
      </c>
      <c r="F364" s="38">
        <v>3655.99</v>
      </c>
      <c r="G364" s="38">
        <v>3657.03</v>
      </c>
      <c r="H364" s="38">
        <v>3659.62</v>
      </c>
      <c r="I364" s="37" t="s">
        <v>532</v>
      </c>
      <c r="J364" s="38">
        <v>3659.64</v>
      </c>
      <c r="K364" s="38">
        <v>0</v>
      </c>
      <c r="L364" s="38">
        <v>0</v>
      </c>
      <c r="M364" s="39">
        <v>3.65</v>
      </c>
      <c r="N364" s="10" t="str">
        <f t="shared" si="54"/>
        <v>W</v>
      </c>
      <c r="O364" s="11">
        <f t="shared" si="55"/>
        <v>45918</v>
      </c>
      <c r="P364" s="12" t="str">
        <f t="shared" si="56"/>
        <v>11</v>
      </c>
      <c r="Q364" s="13" t="str">
        <f>VLOOKUP($B364,Deals_Demo!$H:$N,7,0)</f>
        <v>strategy_08_demo</v>
      </c>
      <c r="R364" s="13" t="str">
        <f t="shared" si="57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58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1"/>
        <v>0.36499999999999999</v>
      </c>
      <c r="Y364" s="13">
        <f t="shared" si="52"/>
        <v>0.73</v>
      </c>
      <c r="Z364" s="13">
        <f t="shared" si="53"/>
        <v>1.095</v>
      </c>
      <c r="AA364" s="13">
        <f t="shared" si="59"/>
        <v>3.65</v>
      </c>
    </row>
    <row r="365" spans="1:27" x14ac:dyDescent="0.25">
      <c r="A365" s="40">
        <v>45918.479247685187</v>
      </c>
      <c r="B365" s="41">
        <v>443303443</v>
      </c>
      <c r="C365" s="42" t="s">
        <v>36</v>
      </c>
      <c r="D365" s="42" t="s">
        <v>37</v>
      </c>
      <c r="E365" s="42" t="s">
        <v>38</v>
      </c>
      <c r="F365" s="43">
        <v>3655.99</v>
      </c>
      <c r="G365" s="43">
        <v>3657.03</v>
      </c>
      <c r="H365" s="43">
        <v>3659.55</v>
      </c>
      <c r="I365" s="42" t="s">
        <v>533</v>
      </c>
      <c r="J365" s="43">
        <v>3659.6</v>
      </c>
      <c r="K365" s="43">
        <v>0</v>
      </c>
      <c r="L365" s="43">
        <v>0</v>
      </c>
      <c r="M365" s="44">
        <v>3.61</v>
      </c>
      <c r="N365" s="10" t="str">
        <f t="shared" si="54"/>
        <v>W</v>
      </c>
      <c r="O365" s="11">
        <f t="shared" si="55"/>
        <v>45918</v>
      </c>
      <c r="P365" s="12" t="str">
        <f t="shared" si="56"/>
        <v>11</v>
      </c>
      <c r="Q365" s="13" t="str">
        <f>VLOOKUP($B365,Deals_Demo!$H:$N,7,0)</f>
        <v>strategy_13_demo</v>
      </c>
      <c r="R365" s="13" t="str">
        <f t="shared" si="57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58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1"/>
        <v>0.36099999999999999</v>
      </c>
      <c r="Y365" s="13">
        <f t="shared" si="52"/>
        <v>0.72199999999999998</v>
      </c>
      <c r="Z365" s="13">
        <f t="shared" si="53"/>
        <v>1.083</v>
      </c>
      <c r="AA365" s="13">
        <f t="shared" si="59"/>
        <v>3.61</v>
      </c>
    </row>
    <row r="366" spans="1:27" x14ac:dyDescent="0.25">
      <c r="A366" s="35">
        <v>45918.491168981483</v>
      </c>
      <c r="B366" s="36">
        <v>443309947</v>
      </c>
      <c r="C366" s="37" t="s">
        <v>36</v>
      </c>
      <c r="D366" s="37" t="s">
        <v>37</v>
      </c>
      <c r="E366" s="37" t="s">
        <v>38</v>
      </c>
      <c r="F366" s="38">
        <v>3661.71</v>
      </c>
      <c r="G366" s="38">
        <v>3660.21</v>
      </c>
      <c r="H366" s="38">
        <v>3663.21</v>
      </c>
      <c r="I366" s="37" t="s">
        <v>534</v>
      </c>
      <c r="J366" s="38">
        <v>3663.36</v>
      </c>
      <c r="K366" s="38">
        <v>0</v>
      </c>
      <c r="L366" s="38">
        <v>0</v>
      </c>
      <c r="M366" s="39">
        <v>1.65</v>
      </c>
      <c r="N366" s="10" t="str">
        <f t="shared" si="54"/>
        <v>W</v>
      </c>
      <c r="O366" s="11">
        <f t="shared" si="55"/>
        <v>45918</v>
      </c>
      <c r="P366" s="12" t="str">
        <f t="shared" si="56"/>
        <v>11</v>
      </c>
      <c r="Q366" s="13" t="str">
        <f>VLOOKUP($B366,Deals_Demo!$H:$N,7,0)</f>
        <v>strategy_15_demo</v>
      </c>
      <c r="R366" s="13" t="str">
        <f t="shared" si="57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58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1"/>
        <v>0.16500000000000001</v>
      </c>
      <c r="Y366" s="13">
        <f t="shared" si="52"/>
        <v>0.33</v>
      </c>
      <c r="Z366" s="13">
        <f t="shared" si="53"/>
        <v>0.49499999999999994</v>
      </c>
      <c r="AA366" s="13">
        <f t="shared" si="59"/>
        <v>-3</v>
      </c>
    </row>
    <row r="367" spans="1:27" x14ac:dyDescent="0.25">
      <c r="A367" s="40">
        <v>45918.491180555553</v>
      </c>
      <c r="B367" s="41">
        <v>443309948</v>
      </c>
      <c r="C367" s="42" t="s">
        <v>36</v>
      </c>
      <c r="D367" s="42" t="s">
        <v>37</v>
      </c>
      <c r="E367" s="42" t="s">
        <v>38</v>
      </c>
      <c r="F367" s="43">
        <v>3661.67</v>
      </c>
      <c r="G367" s="43">
        <v>3658.71</v>
      </c>
      <c r="H367" s="43">
        <v>3663.21</v>
      </c>
      <c r="I367" s="42" t="s">
        <v>534</v>
      </c>
      <c r="J367" s="43">
        <v>3663.36</v>
      </c>
      <c r="K367" s="43">
        <v>0</v>
      </c>
      <c r="L367" s="43">
        <v>0</v>
      </c>
      <c r="M367" s="44">
        <v>1.69</v>
      </c>
      <c r="N367" s="10" t="str">
        <f t="shared" si="54"/>
        <v>W</v>
      </c>
      <c r="O367" s="11">
        <f t="shared" si="55"/>
        <v>45918</v>
      </c>
      <c r="P367" s="12" t="str">
        <f t="shared" si="56"/>
        <v>11</v>
      </c>
      <c r="Q367" s="13" t="str">
        <f>VLOOKUP($B367,Deals_Demo!$H:$N,7,0)</f>
        <v>strategy_14_demo</v>
      </c>
      <c r="R367" s="13" t="str">
        <f t="shared" si="57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58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1"/>
        <v>0.16900000000000001</v>
      </c>
      <c r="Y367" s="13">
        <f t="shared" si="52"/>
        <v>0.33800000000000002</v>
      </c>
      <c r="Z367" s="13">
        <f t="shared" si="53"/>
        <v>0.50700000000000001</v>
      </c>
      <c r="AA367" s="13">
        <f t="shared" si="59"/>
        <v>-3</v>
      </c>
    </row>
    <row r="368" spans="1:27" x14ac:dyDescent="0.25">
      <c r="A368" s="35">
        <v>45918.491180555553</v>
      </c>
      <c r="B368" s="36">
        <v>443309950</v>
      </c>
      <c r="C368" s="37" t="s">
        <v>36</v>
      </c>
      <c r="D368" s="37" t="s">
        <v>37</v>
      </c>
      <c r="E368" s="37" t="s">
        <v>38</v>
      </c>
      <c r="F368" s="38">
        <v>3661.67</v>
      </c>
      <c r="G368" s="38">
        <v>3658.71</v>
      </c>
      <c r="H368" s="38">
        <v>3663.21</v>
      </c>
      <c r="I368" s="37" t="s">
        <v>534</v>
      </c>
      <c r="J368" s="38">
        <v>3663.36</v>
      </c>
      <c r="K368" s="38">
        <v>0</v>
      </c>
      <c r="L368" s="38">
        <v>0</v>
      </c>
      <c r="M368" s="39">
        <v>1.69</v>
      </c>
      <c r="N368" s="10" t="str">
        <f t="shared" si="54"/>
        <v>W</v>
      </c>
      <c r="O368" s="11">
        <f t="shared" si="55"/>
        <v>45918</v>
      </c>
      <c r="P368" s="12" t="str">
        <f t="shared" si="56"/>
        <v>11</v>
      </c>
      <c r="Q368" s="13" t="str">
        <f>VLOOKUP($B368,Deals_Demo!$H:$N,7,0)</f>
        <v>strategy_12_demo</v>
      </c>
      <c r="R368" s="13" t="str">
        <f t="shared" si="57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58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1"/>
        <v>0.16900000000000001</v>
      </c>
      <c r="Y368" s="13">
        <f t="shared" si="52"/>
        <v>0.33800000000000002</v>
      </c>
      <c r="Z368" s="13">
        <f t="shared" si="53"/>
        <v>0.50700000000000001</v>
      </c>
      <c r="AA368" s="13">
        <f t="shared" si="59"/>
        <v>-3</v>
      </c>
    </row>
    <row r="369" spans="1:27" x14ac:dyDescent="0.25">
      <c r="A369" s="40">
        <v>45918.491180555553</v>
      </c>
      <c r="B369" s="41">
        <v>443309951</v>
      </c>
      <c r="C369" s="42" t="s">
        <v>36</v>
      </c>
      <c r="D369" s="42" t="s">
        <v>37</v>
      </c>
      <c r="E369" s="42" t="s">
        <v>38</v>
      </c>
      <c r="F369" s="43">
        <v>3661.67</v>
      </c>
      <c r="G369" s="43">
        <v>3662.7</v>
      </c>
      <c r="H369" s="43">
        <v>3664.71</v>
      </c>
      <c r="I369" s="42" t="s">
        <v>535</v>
      </c>
      <c r="J369" s="43">
        <v>3662.69</v>
      </c>
      <c r="K369" s="43">
        <v>0</v>
      </c>
      <c r="L369" s="43">
        <v>0</v>
      </c>
      <c r="M369" s="44">
        <v>1.02</v>
      </c>
      <c r="N369" s="10" t="str">
        <f t="shared" si="54"/>
        <v>W</v>
      </c>
      <c r="O369" s="11">
        <f t="shared" si="55"/>
        <v>45918</v>
      </c>
      <c r="P369" s="12" t="str">
        <f t="shared" si="56"/>
        <v>11</v>
      </c>
      <c r="Q369" s="13" t="str">
        <f>VLOOKUP($B369,Deals_Demo!$H:$N,7,0)</f>
        <v>strategy_09_demo</v>
      </c>
      <c r="R369" s="13" t="str">
        <f t="shared" si="57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58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1"/>
        <v>0.10200000000000001</v>
      </c>
      <c r="Y369" s="13">
        <f t="shared" si="52"/>
        <v>0.20400000000000001</v>
      </c>
      <c r="Z369" s="13">
        <f t="shared" si="53"/>
        <v>0.30599999999999999</v>
      </c>
      <c r="AA369" s="13">
        <f t="shared" si="59"/>
        <v>-3</v>
      </c>
    </row>
    <row r="370" spans="1:27" x14ac:dyDescent="0.25">
      <c r="A370" s="35">
        <v>45918.491180555553</v>
      </c>
      <c r="B370" s="36">
        <v>443309952</v>
      </c>
      <c r="C370" s="37" t="s">
        <v>36</v>
      </c>
      <c r="D370" s="37" t="s">
        <v>37</v>
      </c>
      <c r="E370" s="37" t="s">
        <v>38</v>
      </c>
      <c r="F370" s="38">
        <v>3661.67</v>
      </c>
      <c r="G370" s="38">
        <v>3662.67</v>
      </c>
      <c r="H370" s="38">
        <v>3664.71</v>
      </c>
      <c r="I370" s="37" t="s">
        <v>535</v>
      </c>
      <c r="J370" s="38">
        <v>3662.67</v>
      </c>
      <c r="K370" s="38">
        <v>0</v>
      </c>
      <c r="L370" s="38">
        <v>0</v>
      </c>
      <c r="M370" s="39">
        <v>1</v>
      </c>
      <c r="N370" s="10" t="str">
        <f t="shared" si="54"/>
        <v>W</v>
      </c>
      <c r="O370" s="11">
        <f t="shared" si="55"/>
        <v>45918</v>
      </c>
      <c r="P370" s="12" t="str">
        <f t="shared" si="56"/>
        <v>11</v>
      </c>
      <c r="Q370" s="13" t="str">
        <f>VLOOKUP($B370,Deals_Demo!$H:$N,7,0)</f>
        <v>strategy_10_demo</v>
      </c>
      <c r="R370" s="13" t="str">
        <f t="shared" si="57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58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1"/>
        <v>0.1</v>
      </c>
      <c r="Y370" s="13">
        <f t="shared" si="52"/>
        <v>0.2</v>
      </c>
      <c r="Z370" s="13">
        <f t="shared" si="53"/>
        <v>0.3</v>
      </c>
      <c r="AA370" s="13">
        <f t="shared" si="59"/>
        <v>-3</v>
      </c>
    </row>
    <row r="371" spans="1:27" x14ac:dyDescent="0.25">
      <c r="A371" s="40">
        <v>45918.49119212963</v>
      </c>
      <c r="B371" s="41">
        <v>443309953</v>
      </c>
      <c r="C371" s="42" t="s">
        <v>36</v>
      </c>
      <c r="D371" s="42" t="s">
        <v>37</v>
      </c>
      <c r="E371" s="42" t="s">
        <v>38</v>
      </c>
      <c r="F371" s="43">
        <v>3661.82</v>
      </c>
      <c r="G371" s="43">
        <v>3662.66</v>
      </c>
      <c r="H371" s="43">
        <v>3665.21</v>
      </c>
      <c r="I371" s="42" t="s">
        <v>536</v>
      </c>
      <c r="J371" s="43">
        <v>3662.6</v>
      </c>
      <c r="K371" s="43">
        <v>0</v>
      </c>
      <c r="L371" s="43">
        <v>0</v>
      </c>
      <c r="M371" s="44">
        <v>0.78</v>
      </c>
      <c r="N371" s="10" t="str">
        <f t="shared" si="54"/>
        <v>W</v>
      </c>
      <c r="O371" s="11">
        <f t="shared" si="55"/>
        <v>45918</v>
      </c>
      <c r="P371" s="12" t="str">
        <f t="shared" si="56"/>
        <v>11</v>
      </c>
      <c r="Q371" s="13" t="str">
        <f>VLOOKUP($B371,Deals_Demo!$H:$N,7,0)</f>
        <v>strategy_11_demo</v>
      </c>
      <c r="R371" s="13" t="str">
        <f t="shared" si="57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58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1"/>
        <v>7.8000000000000014E-2</v>
      </c>
      <c r="Y371" s="13">
        <f t="shared" si="52"/>
        <v>0.15600000000000003</v>
      </c>
      <c r="Z371" s="13">
        <f t="shared" si="53"/>
        <v>0.23399999999999999</v>
      </c>
      <c r="AA371" s="13">
        <f t="shared" si="59"/>
        <v>-3</v>
      </c>
    </row>
    <row r="372" spans="1:27" x14ac:dyDescent="0.25">
      <c r="A372" s="35">
        <v>45918.496493055558</v>
      </c>
      <c r="B372" s="36">
        <v>443312086</v>
      </c>
      <c r="C372" s="37" t="s">
        <v>36</v>
      </c>
      <c r="D372" s="37" t="s">
        <v>37</v>
      </c>
      <c r="E372" s="37" t="s">
        <v>38</v>
      </c>
      <c r="F372" s="38">
        <v>3662.97</v>
      </c>
      <c r="G372" s="38">
        <v>3659.96</v>
      </c>
      <c r="H372" s="38">
        <v>3664.46</v>
      </c>
      <c r="I372" s="37" t="s">
        <v>537</v>
      </c>
      <c r="J372" s="38">
        <v>3664.58</v>
      </c>
      <c r="K372" s="38">
        <v>0</v>
      </c>
      <c r="L372" s="38">
        <v>0</v>
      </c>
      <c r="M372" s="39">
        <v>1.61</v>
      </c>
      <c r="N372" s="10" t="str">
        <f t="shared" si="54"/>
        <v>W</v>
      </c>
      <c r="O372" s="11">
        <f t="shared" si="55"/>
        <v>45918</v>
      </c>
      <c r="P372" s="12" t="str">
        <f t="shared" si="56"/>
        <v>11</v>
      </c>
      <c r="Q372" s="13" t="str">
        <f>VLOOKUP($B372,Deals_Demo!$H:$N,7,0)</f>
        <v>strategy_14_demo</v>
      </c>
      <c r="R372" s="13" t="str">
        <f t="shared" si="57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58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1"/>
        <v>0.16100000000000003</v>
      </c>
      <c r="Y372" s="13">
        <f t="shared" si="52"/>
        <v>0.32200000000000006</v>
      </c>
      <c r="Z372" s="13">
        <f t="shared" si="53"/>
        <v>0.48299999999999998</v>
      </c>
      <c r="AA372" s="13">
        <f t="shared" si="59"/>
        <v>-3</v>
      </c>
    </row>
    <row r="373" spans="1:27" x14ac:dyDescent="0.25">
      <c r="A373" s="40">
        <v>45918.496504629627</v>
      </c>
      <c r="B373" s="41">
        <v>443312087</v>
      </c>
      <c r="C373" s="42" t="s">
        <v>36</v>
      </c>
      <c r="D373" s="42" t="s">
        <v>37</v>
      </c>
      <c r="E373" s="42" t="s">
        <v>38</v>
      </c>
      <c r="F373" s="43">
        <v>3662.97</v>
      </c>
      <c r="G373" s="43">
        <v>3659.97</v>
      </c>
      <c r="H373" s="43">
        <v>3664.47</v>
      </c>
      <c r="I373" s="42" t="s">
        <v>537</v>
      </c>
      <c r="J373" s="43">
        <v>3664.58</v>
      </c>
      <c r="K373" s="43">
        <v>0</v>
      </c>
      <c r="L373" s="43">
        <v>0</v>
      </c>
      <c r="M373" s="44">
        <v>1.61</v>
      </c>
      <c r="N373" s="10" t="str">
        <f t="shared" si="54"/>
        <v>W</v>
      </c>
      <c r="O373" s="11">
        <f t="shared" si="55"/>
        <v>45918</v>
      </c>
      <c r="P373" s="12" t="str">
        <f t="shared" si="56"/>
        <v>11</v>
      </c>
      <c r="Q373" s="13" t="str">
        <f>VLOOKUP($B373,Deals_Demo!$H:$N,7,0)</f>
        <v>strategy_12_demo</v>
      </c>
      <c r="R373" s="13" t="str">
        <f t="shared" si="57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58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1"/>
        <v>0.16100000000000003</v>
      </c>
      <c r="Y373" s="13">
        <f t="shared" si="52"/>
        <v>0.32200000000000006</v>
      </c>
      <c r="Z373" s="13">
        <f t="shared" si="53"/>
        <v>0.48299999999999998</v>
      </c>
      <c r="AA373" s="13">
        <f t="shared" si="59"/>
        <v>-3</v>
      </c>
    </row>
    <row r="374" spans="1:27" x14ac:dyDescent="0.25">
      <c r="A374" s="35">
        <v>45918.496504629627</v>
      </c>
      <c r="B374" s="36">
        <v>443312089</v>
      </c>
      <c r="C374" s="37" t="s">
        <v>36</v>
      </c>
      <c r="D374" s="37" t="s">
        <v>37</v>
      </c>
      <c r="E374" s="37" t="s">
        <v>38</v>
      </c>
      <c r="F374" s="38">
        <v>3662.97</v>
      </c>
      <c r="G374" s="38">
        <v>3661.47</v>
      </c>
      <c r="H374" s="38">
        <v>3664.47</v>
      </c>
      <c r="I374" s="37" t="s">
        <v>537</v>
      </c>
      <c r="J374" s="38">
        <v>3664.58</v>
      </c>
      <c r="K374" s="38">
        <v>0</v>
      </c>
      <c r="L374" s="38">
        <v>0</v>
      </c>
      <c r="M374" s="39">
        <v>1.61</v>
      </c>
      <c r="N374" s="10" t="str">
        <f t="shared" si="54"/>
        <v>W</v>
      </c>
      <c r="O374" s="11">
        <f t="shared" si="55"/>
        <v>45918</v>
      </c>
      <c r="P374" s="12" t="str">
        <f t="shared" si="56"/>
        <v>11</v>
      </c>
      <c r="Q374" s="13" t="str">
        <f>VLOOKUP($B374,Deals_Demo!$H:$N,7,0)</f>
        <v>strategy_15_demo</v>
      </c>
      <c r="R374" s="13" t="str">
        <f t="shared" si="57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58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1"/>
        <v>0.16100000000000003</v>
      </c>
      <c r="Y374" s="13">
        <f t="shared" si="52"/>
        <v>0.32200000000000006</v>
      </c>
      <c r="Z374" s="13">
        <f t="shared" si="53"/>
        <v>0.48299999999999998</v>
      </c>
      <c r="AA374" s="13">
        <f t="shared" si="59"/>
        <v>-3</v>
      </c>
    </row>
    <row r="375" spans="1:27" x14ac:dyDescent="0.25">
      <c r="A375" s="40">
        <v>45918.496724537035</v>
      </c>
      <c r="B375" s="41">
        <v>443312195</v>
      </c>
      <c r="C375" s="42" t="s">
        <v>36</v>
      </c>
      <c r="D375" s="42" t="s">
        <v>37</v>
      </c>
      <c r="E375" s="42" t="s">
        <v>38</v>
      </c>
      <c r="F375" s="43">
        <v>3663.17</v>
      </c>
      <c r="G375" s="43">
        <v>3664.87</v>
      </c>
      <c r="H375" s="43">
        <v>3666.17</v>
      </c>
      <c r="I375" s="42" t="s">
        <v>538</v>
      </c>
      <c r="J375" s="43">
        <v>3666.2</v>
      </c>
      <c r="K375" s="43">
        <v>0</v>
      </c>
      <c r="L375" s="43">
        <v>0</v>
      </c>
      <c r="M375" s="44">
        <v>3.03</v>
      </c>
      <c r="N375" s="10" t="str">
        <f t="shared" si="54"/>
        <v>W</v>
      </c>
      <c r="O375" s="11">
        <f t="shared" si="55"/>
        <v>45918</v>
      </c>
      <c r="P375" s="12" t="str">
        <f t="shared" si="56"/>
        <v>11</v>
      </c>
      <c r="Q375" s="13" t="str">
        <f>VLOOKUP($B375,Deals_Demo!$H:$N,7,0)</f>
        <v>strategy_10_demo</v>
      </c>
      <c r="R375" s="13" t="str">
        <f t="shared" si="57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58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1"/>
        <v>0.30299999999999999</v>
      </c>
      <c r="Y375" s="13">
        <f t="shared" si="52"/>
        <v>0.60599999999999998</v>
      </c>
      <c r="Z375" s="13">
        <f t="shared" si="53"/>
        <v>0.90899999999999992</v>
      </c>
      <c r="AA375" s="13">
        <f t="shared" si="59"/>
        <v>3.03</v>
      </c>
    </row>
    <row r="376" spans="1:27" x14ac:dyDescent="0.25">
      <c r="A376" s="35">
        <v>45918.496736111112</v>
      </c>
      <c r="B376" s="36">
        <v>443312200</v>
      </c>
      <c r="C376" s="37" t="s">
        <v>36</v>
      </c>
      <c r="D376" s="37" t="s">
        <v>37</v>
      </c>
      <c r="E376" s="37" t="s">
        <v>38</v>
      </c>
      <c r="F376" s="38">
        <v>3663.18</v>
      </c>
      <c r="G376" s="38">
        <v>3664.85</v>
      </c>
      <c r="H376" s="38">
        <v>3666.17</v>
      </c>
      <c r="I376" s="37" t="s">
        <v>538</v>
      </c>
      <c r="J376" s="38">
        <v>3666.2</v>
      </c>
      <c r="K376" s="38">
        <v>0</v>
      </c>
      <c r="L376" s="38">
        <v>0</v>
      </c>
      <c r="M376" s="39">
        <v>3.02</v>
      </c>
      <c r="N376" s="10" t="str">
        <f t="shared" si="54"/>
        <v>W</v>
      </c>
      <c r="O376" s="11">
        <f t="shared" si="55"/>
        <v>45918</v>
      </c>
      <c r="P376" s="12" t="str">
        <f t="shared" si="56"/>
        <v>11</v>
      </c>
      <c r="Q376" s="13" t="str">
        <f>VLOOKUP($B376,Deals_Demo!$H:$N,7,0)</f>
        <v>strategy_09_demo</v>
      </c>
      <c r="R376" s="13" t="str">
        <f t="shared" si="57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58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1"/>
        <v>0.30200000000000005</v>
      </c>
      <c r="Y376" s="13">
        <f t="shared" si="52"/>
        <v>0.60400000000000009</v>
      </c>
      <c r="Z376" s="13">
        <f t="shared" si="53"/>
        <v>0.90599999999999992</v>
      </c>
      <c r="AA376" s="13">
        <f t="shared" si="59"/>
        <v>3.02</v>
      </c>
    </row>
    <row r="377" spans="1:27" x14ac:dyDescent="0.25">
      <c r="A377" s="40">
        <v>45918.496736111112</v>
      </c>
      <c r="B377" s="41">
        <v>443312203</v>
      </c>
      <c r="C377" s="42" t="s">
        <v>36</v>
      </c>
      <c r="D377" s="42" t="s">
        <v>37</v>
      </c>
      <c r="E377" s="42" t="s">
        <v>38</v>
      </c>
      <c r="F377" s="43">
        <v>3663.18</v>
      </c>
      <c r="G377" s="43">
        <v>3665.31</v>
      </c>
      <c r="H377" s="43">
        <v>3666.67</v>
      </c>
      <c r="I377" s="42" t="s">
        <v>539</v>
      </c>
      <c r="J377" s="43">
        <v>3666.67</v>
      </c>
      <c r="K377" s="43">
        <v>0</v>
      </c>
      <c r="L377" s="43">
        <v>0</v>
      </c>
      <c r="M377" s="44">
        <v>3.49</v>
      </c>
      <c r="N377" s="10" t="str">
        <f t="shared" si="54"/>
        <v>W</v>
      </c>
      <c r="O377" s="11">
        <f t="shared" si="55"/>
        <v>45918</v>
      </c>
      <c r="P377" s="12" t="str">
        <f t="shared" si="56"/>
        <v>11</v>
      </c>
      <c r="Q377" s="13" t="str">
        <f>VLOOKUP($B377,Deals_Demo!$H:$N,7,0)</f>
        <v>strategy_11_demo</v>
      </c>
      <c r="R377" s="13" t="str">
        <f t="shared" si="57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58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1"/>
        <v>0.34900000000000003</v>
      </c>
      <c r="Y377" s="13">
        <f t="shared" si="52"/>
        <v>0.69800000000000006</v>
      </c>
      <c r="Z377" s="13">
        <f t="shared" si="53"/>
        <v>1.0469999999999999</v>
      </c>
      <c r="AA377" s="13">
        <f t="shared" si="59"/>
        <v>3.49</v>
      </c>
    </row>
    <row r="378" spans="1:27" x14ac:dyDescent="0.25">
      <c r="A378" s="35">
        <v>45918.5003125</v>
      </c>
      <c r="B378" s="36">
        <v>443314101</v>
      </c>
      <c r="C378" s="37" t="s">
        <v>36</v>
      </c>
      <c r="D378" s="37" t="s">
        <v>37</v>
      </c>
      <c r="E378" s="37" t="s">
        <v>38</v>
      </c>
      <c r="F378" s="38">
        <v>3665.17</v>
      </c>
      <c r="G378" s="38">
        <v>3661.92</v>
      </c>
      <c r="H378" s="38">
        <v>3666.42</v>
      </c>
      <c r="I378" s="37" t="s">
        <v>540</v>
      </c>
      <c r="J378" s="38">
        <v>3666.57</v>
      </c>
      <c r="K378" s="38">
        <v>0</v>
      </c>
      <c r="L378" s="38">
        <v>0</v>
      </c>
      <c r="M378" s="39">
        <v>1.4</v>
      </c>
      <c r="N378" s="10" t="str">
        <f t="shared" si="54"/>
        <v>W</v>
      </c>
      <c r="O378" s="11">
        <f t="shared" si="55"/>
        <v>45918</v>
      </c>
      <c r="P378" s="12" t="str">
        <f t="shared" si="56"/>
        <v>12</v>
      </c>
      <c r="Q378" s="13" t="str">
        <f>VLOOKUP($B378,Deals_Demo!$H:$N,7,0)</f>
        <v>strategy_12_demo</v>
      </c>
      <c r="R378" s="13" t="str">
        <f t="shared" si="57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58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1"/>
        <v>0.13999999999999999</v>
      </c>
      <c r="Y378" s="13">
        <f t="shared" si="52"/>
        <v>0.27999999999999997</v>
      </c>
      <c r="Z378" s="13">
        <f t="shared" si="53"/>
        <v>0.42</v>
      </c>
      <c r="AA378" s="13">
        <f t="shared" si="59"/>
        <v>-3</v>
      </c>
    </row>
    <row r="379" spans="1:27" x14ac:dyDescent="0.25">
      <c r="A379" s="40">
        <v>45918.500324074077</v>
      </c>
      <c r="B379" s="41">
        <v>443314103</v>
      </c>
      <c r="C379" s="42" t="s">
        <v>36</v>
      </c>
      <c r="D379" s="42" t="s">
        <v>37</v>
      </c>
      <c r="E379" s="42" t="s">
        <v>38</v>
      </c>
      <c r="F379" s="43">
        <v>3665.1</v>
      </c>
      <c r="G379" s="43">
        <v>3665.22</v>
      </c>
      <c r="H379" s="43">
        <v>3666.67</v>
      </c>
      <c r="I379" s="42" t="s">
        <v>539</v>
      </c>
      <c r="J379" s="43">
        <v>3666.67</v>
      </c>
      <c r="K379" s="43">
        <v>0</v>
      </c>
      <c r="L379" s="43">
        <v>0</v>
      </c>
      <c r="M379" s="44">
        <v>1.57</v>
      </c>
      <c r="N379" s="10" t="str">
        <f t="shared" si="54"/>
        <v>W</v>
      </c>
      <c r="O379" s="11">
        <f t="shared" si="55"/>
        <v>45918</v>
      </c>
      <c r="P379" s="12" t="str">
        <f t="shared" si="56"/>
        <v>12</v>
      </c>
      <c r="Q379" s="13" t="str">
        <f>VLOOKUP($B379,Deals_Demo!$H:$N,7,0)</f>
        <v>strategy_14_demo</v>
      </c>
      <c r="R379" s="13" t="str">
        <f t="shared" si="57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58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1"/>
        <v>0.15700000000000003</v>
      </c>
      <c r="Y379" s="13">
        <f t="shared" si="52"/>
        <v>0.31400000000000006</v>
      </c>
      <c r="Z379" s="13">
        <f t="shared" si="53"/>
        <v>0.47099999999999997</v>
      </c>
      <c r="AA379" s="13">
        <f t="shared" si="59"/>
        <v>-3</v>
      </c>
    </row>
    <row r="380" spans="1:27" x14ac:dyDescent="0.25">
      <c r="A380" s="35">
        <v>45918.500324074077</v>
      </c>
      <c r="B380" s="36">
        <v>443314107</v>
      </c>
      <c r="C380" s="37" t="s">
        <v>36</v>
      </c>
      <c r="D380" s="37" t="s">
        <v>37</v>
      </c>
      <c r="E380" s="37" t="s">
        <v>38</v>
      </c>
      <c r="F380" s="38">
        <v>3665.11</v>
      </c>
      <c r="G380" s="38">
        <v>3665.34</v>
      </c>
      <c r="H380" s="38">
        <v>3666.67</v>
      </c>
      <c r="I380" s="37" t="s">
        <v>539</v>
      </c>
      <c r="J380" s="38">
        <v>3666.67</v>
      </c>
      <c r="K380" s="38">
        <v>0</v>
      </c>
      <c r="L380" s="38">
        <v>0</v>
      </c>
      <c r="M380" s="39">
        <v>1.56</v>
      </c>
      <c r="N380" s="10" t="str">
        <f t="shared" si="54"/>
        <v>W</v>
      </c>
      <c r="O380" s="11">
        <f t="shared" si="55"/>
        <v>45918</v>
      </c>
      <c r="P380" s="12" t="str">
        <f t="shared" si="56"/>
        <v>12</v>
      </c>
      <c r="Q380" s="13" t="str">
        <f>VLOOKUP($B380,Deals_Demo!$H:$N,7,0)</f>
        <v>strategy_15_demo</v>
      </c>
      <c r="R380" s="13" t="str">
        <f t="shared" si="57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58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1"/>
        <v>0.15600000000000003</v>
      </c>
      <c r="Y380" s="13">
        <f t="shared" si="52"/>
        <v>0.31200000000000006</v>
      </c>
      <c r="Z380" s="13">
        <f t="shared" si="53"/>
        <v>0.46799999999999997</v>
      </c>
      <c r="AA380" s="13">
        <f t="shared" si="59"/>
        <v>-3</v>
      </c>
    </row>
    <row r="381" spans="1:27" x14ac:dyDescent="0.25">
      <c r="A381" s="40">
        <v>45918.503668981481</v>
      </c>
      <c r="B381" s="41">
        <v>443315632</v>
      </c>
      <c r="C381" s="42" t="s">
        <v>36</v>
      </c>
      <c r="D381" s="42" t="s">
        <v>37</v>
      </c>
      <c r="E381" s="42" t="s">
        <v>38</v>
      </c>
      <c r="F381" s="43">
        <v>3665.54</v>
      </c>
      <c r="G381" s="43">
        <v>3665.96</v>
      </c>
      <c r="H381" s="43">
        <v>3668.54</v>
      </c>
      <c r="I381" s="42" t="s">
        <v>541</v>
      </c>
      <c r="J381" s="43">
        <v>3665.92</v>
      </c>
      <c r="K381" s="43">
        <v>0</v>
      </c>
      <c r="L381" s="43">
        <v>0</v>
      </c>
      <c r="M381" s="44">
        <v>0.38</v>
      </c>
      <c r="N381" s="10" t="str">
        <f t="shared" si="54"/>
        <v>W</v>
      </c>
      <c r="O381" s="11">
        <f t="shared" si="55"/>
        <v>45918</v>
      </c>
      <c r="P381" s="12" t="str">
        <f t="shared" si="56"/>
        <v>12</v>
      </c>
      <c r="Q381" s="13" t="str">
        <f>VLOOKUP($B381,Deals_Demo!$H:$N,7,0)</f>
        <v>strategy_09_demo</v>
      </c>
      <c r="R381" s="13" t="str">
        <f t="shared" si="57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58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1"/>
        <v>3.8000000000000006E-2</v>
      </c>
      <c r="Y381" s="13">
        <f t="shared" si="52"/>
        <v>7.6000000000000012E-2</v>
      </c>
      <c r="Z381" s="13">
        <f t="shared" si="53"/>
        <v>0.11399999999999999</v>
      </c>
      <c r="AA381" s="13">
        <f t="shared" si="59"/>
        <v>-3</v>
      </c>
    </row>
    <row r="382" spans="1:27" x14ac:dyDescent="0.25">
      <c r="A382" s="35">
        <v>45918.503680555557</v>
      </c>
      <c r="B382" s="36">
        <v>443315635</v>
      </c>
      <c r="C382" s="37" t="s">
        <v>36</v>
      </c>
      <c r="D382" s="37" t="s">
        <v>37</v>
      </c>
      <c r="E382" s="37" t="s">
        <v>38</v>
      </c>
      <c r="F382" s="38">
        <v>3665.54</v>
      </c>
      <c r="G382" s="38">
        <v>3665.98</v>
      </c>
      <c r="H382" s="38">
        <v>3668.54</v>
      </c>
      <c r="I382" s="37" t="s">
        <v>541</v>
      </c>
      <c r="J382" s="38">
        <v>3665.92</v>
      </c>
      <c r="K382" s="38">
        <v>0</v>
      </c>
      <c r="L382" s="38">
        <v>0</v>
      </c>
      <c r="M382" s="39">
        <v>0.38</v>
      </c>
      <c r="N382" s="10" t="str">
        <f t="shared" si="54"/>
        <v>W</v>
      </c>
      <c r="O382" s="11">
        <f t="shared" si="55"/>
        <v>45918</v>
      </c>
      <c r="P382" s="12" t="str">
        <f t="shared" si="56"/>
        <v>12</v>
      </c>
      <c r="Q382" s="13" t="str">
        <f>VLOOKUP($B382,Deals_Demo!$H:$N,7,0)</f>
        <v>strategy_10_demo</v>
      </c>
      <c r="R382" s="13" t="str">
        <f t="shared" si="57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58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1"/>
        <v>3.8000000000000006E-2</v>
      </c>
      <c r="Y382" s="13">
        <f t="shared" si="52"/>
        <v>7.6000000000000012E-2</v>
      </c>
      <c r="Z382" s="13">
        <f t="shared" si="53"/>
        <v>0.11399999999999999</v>
      </c>
      <c r="AA382" s="13">
        <f t="shared" si="59"/>
        <v>-3</v>
      </c>
    </row>
    <row r="383" spans="1:27" x14ac:dyDescent="0.25">
      <c r="A383" s="40">
        <v>45918.503680555557</v>
      </c>
      <c r="B383" s="41">
        <v>443315637</v>
      </c>
      <c r="C383" s="42" t="s">
        <v>36</v>
      </c>
      <c r="D383" s="42" t="s">
        <v>37</v>
      </c>
      <c r="E383" s="42" t="s">
        <v>38</v>
      </c>
      <c r="F383" s="43">
        <v>3665.51</v>
      </c>
      <c r="G383" s="43">
        <v>3662.54</v>
      </c>
      <c r="H383" s="43">
        <v>3667.04</v>
      </c>
      <c r="I383" s="42" t="s">
        <v>542</v>
      </c>
      <c r="J383" s="43">
        <v>3667.07</v>
      </c>
      <c r="K383" s="43">
        <v>0</v>
      </c>
      <c r="L383" s="43">
        <v>0</v>
      </c>
      <c r="M383" s="44">
        <v>1.56</v>
      </c>
      <c r="N383" s="10" t="str">
        <f t="shared" si="54"/>
        <v>W</v>
      </c>
      <c r="O383" s="11">
        <f t="shared" si="55"/>
        <v>45918</v>
      </c>
      <c r="P383" s="12" t="str">
        <f t="shared" si="56"/>
        <v>12</v>
      </c>
      <c r="Q383" s="13" t="str">
        <f>VLOOKUP($B383,Deals_Demo!$H:$N,7,0)</f>
        <v>strategy_12_demo</v>
      </c>
      <c r="R383" s="13" t="str">
        <f t="shared" si="57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58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1"/>
        <v>0.15600000000000003</v>
      </c>
      <c r="Y383" s="13">
        <f t="shared" si="52"/>
        <v>0.31200000000000006</v>
      </c>
      <c r="Z383" s="13">
        <f t="shared" si="53"/>
        <v>0.46799999999999997</v>
      </c>
      <c r="AA383" s="13">
        <f t="shared" si="59"/>
        <v>-3</v>
      </c>
    </row>
    <row r="384" spans="1:27" x14ac:dyDescent="0.25">
      <c r="A384" s="35">
        <v>45918.504942129628</v>
      </c>
      <c r="B384" s="36">
        <v>443316623</v>
      </c>
      <c r="C384" s="37" t="s">
        <v>36</v>
      </c>
      <c r="D384" s="37" t="s">
        <v>37</v>
      </c>
      <c r="E384" s="37" t="s">
        <v>38</v>
      </c>
      <c r="F384" s="38">
        <v>3666.45</v>
      </c>
      <c r="G384" s="38">
        <v>3666.24</v>
      </c>
      <c r="H384" s="38">
        <v>3668.01</v>
      </c>
      <c r="I384" s="37" t="s">
        <v>543</v>
      </c>
      <c r="J384" s="38">
        <v>3668.04</v>
      </c>
      <c r="K384" s="38">
        <v>0</v>
      </c>
      <c r="L384" s="38">
        <v>0</v>
      </c>
      <c r="M384" s="39">
        <v>1.59</v>
      </c>
      <c r="N384" s="10" t="str">
        <f t="shared" si="54"/>
        <v>W</v>
      </c>
      <c r="O384" s="11">
        <f t="shared" si="55"/>
        <v>45918</v>
      </c>
      <c r="P384" s="12" t="str">
        <f t="shared" si="56"/>
        <v>12</v>
      </c>
      <c r="Q384" s="13" t="str">
        <f>VLOOKUP($B384,Deals_Demo!$H:$N,7,0)</f>
        <v>strategy_14_demo</v>
      </c>
      <c r="R384" s="13" t="str">
        <f t="shared" si="57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58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1"/>
        <v>0.15900000000000003</v>
      </c>
      <c r="Y384" s="13">
        <f t="shared" si="52"/>
        <v>0.31800000000000006</v>
      </c>
      <c r="Z384" s="13">
        <f t="shared" si="53"/>
        <v>0.47699999999999998</v>
      </c>
      <c r="AA384" s="13">
        <f t="shared" si="59"/>
        <v>-3</v>
      </c>
    </row>
    <row r="385" spans="1:27" x14ac:dyDescent="0.25">
      <c r="A385" s="40">
        <v>45918.504953703705</v>
      </c>
      <c r="B385" s="41">
        <v>443316624</v>
      </c>
      <c r="C385" s="42" t="s">
        <v>36</v>
      </c>
      <c r="D385" s="42" t="s">
        <v>37</v>
      </c>
      <c r="E385" s="42" t="s">
        <v>38</v>
      </c>
      <c r="F385" s="43">
        <v>3666.44</v>
      </c>
      <c r="G385" s="43">
        <v>3664.95</v>
      </c>
      <c r="H385" s="43">
        <v>3667.95</v>
      </c>
      <c r="I385" s="42" t="s">
        <v>544</v>
      </c>
      <c r="J385" s="43">
        <v>3667.99</v>
      </c>
      <c r="K385" s="43">
        <v>0</v>
      </c>
      <c r="L385" s="43">
        <v>0</v>
      </c>
      <c r="M385" s="44">
        <v>1.55</v>
      </c>
      <c r="N385" s="10" t="str">
        <f t="shared" si="54"/>
        <v>W</v>
      </c>
      <c r="O385" s="11">
        <f t="shared" si="55"/>
        <v>45918</v>
      </c>
      <c r="P385" s="12" t="str">
        <f t="shared" si="56"/>
        <v>12</v>
      </c>
      <c r="Q385" s="13" t="str">
        <f>VLOOKUP($B385,Deals_Demo!$H:$N,7,0)</f>
        <v>strategy_15_demo</v>
      </c>
      <c r="R385" s="13" t="str">
        <f t="shared" si="57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58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1"/>
        <v>0.15500000000000003</v>
      </c>
      <c r="Y385" s="13">
        <f t="shared" si="52"/>
        <v>0.31000000000000005</v>
      </c>
      <c r="Z385" s="13">
        <f t="shared" si="53"/>
        <v>0.46499999999999997</v>
      </c>
      <c r="AA385" s="13">
        <f t="shared" si="59"/>
        <v>-3</v>
      </c>
    </row>
    <row r="386" spans="1:27" x14ac:dyDescent="0.25">
      <c r="A386" s="35">
        <v>45918.504953703705</v>
      </c>
      <c r="B386" s="36">
        <v>443316625</v>
      </c>
      <c r="C386" s="37" t="s">
        <v>36</v>
      </c>
      <c r="D386" s="37" t="s">
        <v>37</v>
      </c>
      <c r="E386" s="37" t="s">
        <v>38</v>
      </c>
      <c r="F386" s="38">
        <v>3666.56</v>
      </c>
      <c r="G386" s="38">
        <v>3663.45</v>
      </c>
      <c r="H386" s="38">
        <v>3667.95</v>
      </c>
      <c r="I386" s="37" t="s">
        <v>544</v>
      </c>
      <c r="J386" s="38">
        <v>3667.99</v>
      </c>
      <c r="K386" s="38">
        <v>0</v>
      </c>
      <c r="L386" s="38">
        <v>0</v>
      </c>
      <c r="M386" s="39">
        <v>1.43</v>
      </c>
      <c r="N386" s="10" t="str">
        <f t="shared" si="54"/>
        <v>W</v>
      </c>
      <c r="O386" s="11">
        <f t="shared" si="55"/>
        <v>45918</v>
      </c>
      <c r="P386" s="12" t="str">
        <f t="shared" si="56"/>
        <v>12</v>
      </c>
      <c r="Q386" s="13" t="str">
        <f>VLOOKUP($B386,Deals_Demo!$H:$N,7,0)</f>
        <v>strategy_12_demo</v>
      </c>
      <c r="R386" s="13" t="str">
        <f t="shared" si="57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58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1"/>
        <v>0.14299999999999999</v>
      </c>
      <c r="Y386" s="13">
        <f t="shared" si="52"/>
        <v>0.28599999999999998</v>
      </c>
      <c r="Z386" s="13">
        <f t="shared" si="53"/>
        <v>0.42899999999999999</v>
      </c>
      <c r="AA386" s="13">
        <f t="shared" si="59"/>
        <v>-3</v>
      </c>
    </row>
    <row r="387" spans="1:27" x14ac:dyDescent="0.25">
      <c r="A387" s="40">
        <v>45918.504953703705</v>
      </c>
      <c r="B387" s="41">
        <v>443316626</v>
      </c>
      <c r="C387" s="42" t="s">
        <v>36</v>
      </c>
      <c r="D387" s="42" t="s">
        <v>37</v>
      </c>
      <c r="E387" s="42" t="s">
        <v>38</v>
      </c>
      <c r="F387" s="43">
        <v>3666.54</v>
      </c>
      <c r="G387" s="43">
        <v>3667.56</v>
      </c>
      <c r="H387" s="43">
        <v>3669.95</v>
      </c>
      <c r="I387" s="42" t="s">
        <v>545</v>
      </c>
      <c r="J387" s="43">
        <v>3667.29</v>
      </c>
      <c r="K387" s="43">
        <v>0</v>
      </c>
      <c r="L387" s="43">
        <v>0</v>
      </c>
      <c r="M387" s="44">
        <v>0.75</v>
      </c>
      <c r="N387" s="10" t="str">
        <f t="shared" si="54"/>
        <v>W</v>
      </c>
      <c r="O387" s="11">
        <f t="shared" si="55"/>
        <v>45918</v>
      </c>
      <c r="P387" s="12" t="str">
        <f t="shared" si="56"/>
        <v>12</v>
      </c>
      <c r="Q387" s="13" t="str">
        <f>VLOOKUP($B387,Deals_Demo!$H:$N,7,0)</f>
        <v>strategy_11_demo</v>
      </c>
      <c r="R387" s="13" t="str">
        <f t="shared" si="57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58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40" si="60">$M387*0.1</f>
        <v>7.5000000000000011E-2</v>
      </c>
      <c r="Y387" s="13">
        <f t="shared" ref="Y387:Y440" si="61">$M387*0.2</f>
        <v>0.15000000000000002</v>
      </c>
      <c r="Z387" s="13">
        <f t="shared" ref="Z387:Z440" si="62">$M387*0.3</f>
        <v>0.22499999999999998</v>
      </c>
      <c r="AA387" s="13">
        <f t="shared" si="59"/>
        <v>-3</v>
      </c>
    </row>
    <row r="388" spans="1:27" x14ac:dyDescent="0.25">
      <c r="A388" s="35">
        <v>45918.505173611113</v>
      </c>
      <c r="B388" s="36">
        <v>443316703</v>
      </c>
      <c r="C388" s="37" t="s">
        <v>36</v>
      </c>
      <c r="D388" s="37" t="s">
        <v>37</v>
      </c>
      <c r="E388" s="37" t="s">
        <v>38</v>
      </c>
      <c r="F388" s="38">
        <v>3666.2</v>
      </c>
      <c r="G388" s="38">
        <v>3666.95</v>
      </c>
      <c r="H388" s="38">
        <v>3669.14</v>
      </c>
      <c r="I388" s="37" t="s">
        <v>546</v>
      </c>
      <c r="J388" s="38">
        <v>3669.14</v>
      </c>
      <c r="K388" s="38">
        <v>0</v>
      </c>
      <c r="L388" s="38">
        <v>0</v>
      </c>
      <c r="M388" s="39">
        <v>2.94</v>
      </c>
      <c r="N388" s="10" t="str">
        <f t="shared" si="54"/>
        <v>W</v>
      </c>
      <c r="O388" s="11">
        <f t="shared" si="55"/>
        <v>45918</v>
      </c>
      <c r="P388" s="12" t="str">
        <f t="shared" si="56"/>
        <v>12</v>
      </c>
      <c r="Q388" s="13" t="str">
        <f>VLOOKUP($B388,Deals_Demo!$H:$N,7,0)</f>
        <v>strategy_09_demo</v>
      </c>
      <c r="R388" s="13" t="str">
        <f t="shared" si="57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58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0"/>
        <v>0.29399999999999998</v>
      </c>
      <c r="Y388" s="13">
        <f t="shared" si="61"/>
        <v>0.58799999999999997</v>
      </c>
      <c r="Z388" s="13">
        <f t="shared" si="62"/>
        <v>0.88200000000000001</v>
      </c>
      <c r="AA388" s="13">
        <f t="shared" si="59"/>
        <v>2.94</v>
      </c>
    </row>
    <row r="389" spans="1:27" x14ac:dyDescent="0.25">
      <c r="A389" s="40">
        <v>45918.505185185182</v>
      </c>
      <c r="B389" s="41">
        <v>443316704</v>
      </c>
      <c r="C389" s="42" t="s">
        <v>36</v>
      </c>
      <c r="D389" s="42" t="s">
        <v>37</v>
      </c>
      <c r="E389" s="42" t="s">
        <v>38</v>
      </c>
      <c r="F389" s="43">
        <v>3666.21</v>
      </c>
      <c r="G389" s="43">
        <v>3666.95</v>
      </c>
      <c r="H389" s="43">
        <v>3669.2</v>
      </c>
      <c r="I389" s="42" t="s">
        <v>547</v>
      </c>
      <c r="J389" s="43">
        <v>3669.21</v>
      </c>
      <c r="K389" s="43">
        <v>0</v>
      </c>
      <c r="L389" s="43">
        <v>0</v>
      </c>
      <c r="M389" s="44">
        <v>3</v>
      </c>
      <c r="N389" s="10" t="str">
        <f t="shared" ref="N389:N440" si="63">IF(M389&gt;0,"W",IF(M389&lt;0,"L","BE"))</f>
        <v>W</v>
      </c>
      <c r="O389" s="11">
        <f t="shared" ref="O389:O440" si="64">INT(LEFT(A389,10))</f>
        <v>45918</v>
      </c>
      <c r="P389" s="12" t="str">
        <f t="shared" ref="P389:P440" si="65">TEXT(A389,"hh")</f>
        <v>12</v>
      </c>
      <c r="Q389" s="13" t="str">
        <f>VLOOKUP($B389,Deals_Demo!$H:$N,7,0)</f>
        <v>strategy_10_demo</v>
      </c>
      <c r="R389" s="13" t="str">
        <f t="shared" ref="R389:R440" si="66">TEXT(O389,"ddd")</f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ref="U389:U440" si="67">TEXT(T389,"yyyy-mm-dd")</f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0"/>
        <v>0.30000000000000004</v>
      </c>
      <c r="Y389" s="13">
        <f t="shared" si="61"/>
        <v>0.60000000000000009</v>
      </c>
      <c r="Z389" s="13">
        <f t="shared" si="62"/>
        <v>0.89999999999999991</v>
      </c>
      <c r="AA389" s="13">
        <f t="shared" ref="AA389:AA440" si="68">IF(M389&lt;2.9,-3,M389)</f>
        <v>3</v>
      </c>
    </row>
    <row r="390" spans="1:27" x14ac:dyDescent="0.25">
      <c r="A390" s="35">
        <v>45918.509687500002</v>
      </c>
      <c r="B390" s="36">
        <v>443318833</v>
      </c>
      <c r="C390" s="37" t="s">
        <v>36</v>
      </c>
      <c r="D390" s="37" t="s">
        <v>37</v>
      </c>
      <c r="E390" s="37" t="s">
        <v>38</v>
      </c>
      <c r="F390" s="38">
        <v>3668.14</v>
      </c>
      <c r="G390" s="38">
        <v>3665.14</v>
      </c>
      <c r="H390" s="38">
        <v>3669.64</v>
      </c>
      <c r="I390" s="37" t="s">
        <v>548</v>
      </c>
      <c r="J390" s="38">
        <v>3669.65</v>
      </c>
      <c r="K390" s="38">
        <v>0</v>
      </c>
      <c r="L390" s="38">
        <v>0</v>
      </c>
      <c r="M390" s="39">
        <v>1.51</v>
      </c>
      <c r="N390" s="10" t="str">
        <f t="shared" si="63"/>
        <v>W</v>
      </c>
      <c r="O390" s="11">
        <f t="shared" si="64"/>
        <v>45918</v>
      </c>
      <c r="P390" s="12" t="str">
        <f t="shared" si="65"/>
        <v>12</v>
      </c>
      <c r="Q390" s="13" t="str">
        <f>VLOOKUP($B390,Deals_Demo!$H:$N,7,0)</f>
        <v>strategy_14_demo</v>
      </c>
      <c r="R390" s="13" t="str">
        <f t="shared" si="66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7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0"/>
        <v>0.15100000000000002</v>
      </c>
      <c r="Y390" s="13">
        <f t="shared" si="61"/>
        <v>0.30200000000000005</v>
      </c>
      <c r="Z390" s="13">
        <f t="shared" si="62"/>
        <v>0.45299999999999996</v>
      </c>
      <c r="AA390" s="13">
        <f t="shared" si="68"/>
        <v>-3</v>
      </c>
    </row>
    <row r="391" spans="1:27" x14ac:dyDescent="0.25">
      <c r="A391" s="40">
        <v>45918.509699074071</v>
      </c>
      <c r="B391" s="41">
        <v>443318834</v>
      </c>
      <c r="C391" s="42" t="s">
        <v>36</v>
      </c>
      <c r="D391" s="42" t="s">
        <v>37</v>
      </c>
      <c r="E391" s="42" t="s">
        <v>38</v>
      </c>
      <c r="F391" s="43">
        <v>3668.14</v>
      </c>
      <c r="G391" s="43">
        <v>3668.36</v>
      </c>
      <c r="H391" s="43">
        <v>3671.14</v>
      </c>
      <c r="I391" s="42" t="s">
        <v>549</v>
      </c>
      <c r="J391" s="43">
        <v>3671.14</v>
      </c>
      <c r="K391" s="43">
        <v>0</v>
      </c>
      <c r="L391" s="43">
        <v>0</v>
      </c>
      <c r="M391" s="44">
        <v>3</v>
      </c>
      <c r="N391" s="10" t="str">
        <f t="shared" si="63"/>
        <v>W</v>
      </c>
      <c r="O391" s="11">
        <f t="shared" si="64"/>
        <v>45918</v>
      </c>
      <c r="P391" s="12" t="str">
        <f t="shared" si="65"/>
        <v>12</v>
      </c>
      <c r="Q391" s="13" t="str">
        <f>VLOOKUP($B391,Deals_Demo!$H:$N,7,0)</f>
        <v>strategy_09_demo</v>
      </c>
      <c r="R391" s="13" t="str">
        <f t="shared" si="66"/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si="67"/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0"/>
        <v>0.30000000000000004</v>
      </c>
      <c r="Y391" s="13">
        <f t="shared" si="61"/>
        <v>0.60000000000000009</v>
      </c>
      <c r="Z391" s="13">
        <f t="shared" si="62"/>
        <v>0.89999999999999991</v>
      </c>
      <c r="AA391" s="13">
        <f t="shared" si="68"/>
        <v>3</v>
      </c>
    </row>
    <row r="392" spans="1:27" x14ac:dyDescent="0.25">
      <c r="A392" s="35">
        <v>45918.509699074071</v>
      </c>
      <c r="B392" s="36">
        <v>443318835</v>
      </c>
      <c r="C392" s="37" t="s">
        <v>36</v>
      </c>
      <c r="D392" s="37" t="s">
        <v>37</v>
      </c>
      <c r="E392" s="37" t="s">
        <v>38</v>
      </c>
      <c r="F392" s="38">
        <v>3668.14</v>
      </c>
      <c r="G392" s="38">
        <v>3666.64</v>
      </c>
      <c r="H392" s="38">
        <v>3669.64</v>
      </c>
      <c r="I392" s="37" t="s">
        <v>550</v>
      </c>
      <c r="J392" s="38">
        <v>3666.61</v>
      </c>
      <c r="K392" s="38">
        <v>0</v>
      </c>
      <c r="L392" s="38">
        <v>0</v>
      </c>
      <c r="M392" s="39">
        <v>-1.53</v>
      </c>
      <c r="N392" s="10" t="str">
        <f t="shared" si="63"/>
        <v>L</v>
      </c>
      <c r="O392" s="11">
        <f t="shared" si="64"/>
        <v>45918</v>
      </c>
      <c r="P392" s="12" t="str">
        <f t="shared" si="65"/>
        <v>12</v>
      </c>
      <c r="Q392" s="13" t="str">
        <f>VLOOKUP($B392,Deals_Demo!$H:$N,7,0)</f>
        <v>strategy_15_demo</v>
      </c>
      <c r="R392" s="13" t="str">
        <f t="shared" si="66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67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0"/>
        <v>-0.15300000000000002</v>
      </c>
      <c r="Y392" s="13">
        <f t="shared" si="61"/>
        <v>-0.30600000000000005</v>
      </c>
      <c r="Z392" s="13">
        <f t="shared" si="62"/>
        <v>-0.45899999999999996</v>
      </c>
      <c r="AA392" s="13">
        <f t="shared" si="68"/>
        <v>-3</v>
      </c>
    </row>
    <row r="393" spans="1:27" x14ac:dyDescent="0.25">
      <c r="A393" s="40">
        <v>45918.509699074071</v>
      </c>
      <c r="B393" s="41">
        <v>443318836</v>
      </c>
      <c r="C393" s="42" t="s">
        <v>36</v>
      </c>
      <c r="D393" s="42" t="s">
        <v>37</v>
      </c>
      <c r="E393" s="42" t="s">
        <v>38</v>
      </c>
      <c r="F393" s="43">
        <v>3668.14</v>
      </c>
      <c r="G393" s="43">
        <v>3668.91</v>
      </c>
      <c r="H393" s="43">
        <v>3671.14</v>
      </c>
      <c r="I393" s="42" t="s">
        <v>549</v>
      </c>
      <c r="J393" s="43">
        <v>3671.14</v>
      </c>
      <c r="K393" s="43">
        <v>0</v>
      </c>
      <c r="L393" s="43">
        <v>0</v>
      </c>
      <c r="M393" s="44">
        <v>3</v>
      </c>
      <c r="N393" s="10" t="str">
        <f t="shared" si="63"/>
        <v>W</v>
      </c>
      <c r="O393" s="11">
        <f t="shared" si="64"/>
        <v>45918</v>
      </c>
      <c r="P393" s="12" t="str">
        <f t="shared" si="65"/>
        <v>12</v>
      </c>
      <c r="Q393" s="13" t="str">
        <f>VLOOKUP($B393,Deals_Demo!$H:$N,7,0)</f>
        <v>strategy_10_demo</v>
      </c>
      <c r="R393" s="13" t="str">
        <f t="shared" si="66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67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0"/>
        <v>0.30000000000000004</v>
      </c>
      <c r="Y393" s="13">
        <f t="shared" si="61"/>
        <v>0.60000000000000009</v>
      </c>
      <c r="Z393" s="13">
        <f t="shared" si="62"/>
        <v>0.89999999999999991</v>
      </c>
      <c r="AA393" s="13">
        <f t="shared" si="68"/>
        <v>3</v>
      </c>
    </row>
    <row r="394" spans="1:27" x14ac:dyDescent="0.25">
      <c r="A394" s="35">
        <v>45918.509699074071</v>
      </c>
      <c r="B394" s="36">
        <v>443318837</v>
      </c>
      <c r="C394" s="37" t="s">
        <v>36</v>
      </c>
      <c r="D394" s="37" t="s">
        <v>37</v>
      </c>
      <c r="E394" s="37" t="s">
        <v>38</v>
      </c>
      <c r="F394" s="38">
        <v>3668.14</v>
      </c>
      <c r="G394" s="38">
        <v>3665.14</v>
      </c>
      <c r="H394" s="38">
        <v>3669.64</v>
      </c>
      <c r="I394" s="37" t="s">
        <v>548</v>
      </c>
      <c r="J394" s="38">
        <v>3669.65</v>
      </c>
      <c r="K394" s="38">
        <v>0</v>
      </c>
      <c r="L394" s="38">
        <v>0</v>
      </c>
      <c r="M394" s="39">
        <v>1.51</v>
      </c>
      <c r="N394" s="10" t="str">
        <f t="shared" si="63"/>
        <v>W</v>
      </c>
      <c r="O394" s="11">
        <f t="shared" si="64"/>
        <v>45918</v>
      </c>
      <c r="P394" s="12" t="str">
        <f t="shared" si="65"/>
        <v>12</v>
      </c>
      <c r="Q394" s="13" t="str">
        <f>VLOOKUP($B394,Deals_Demo!$H:$N,7,0)</f>
        <v>strategy_12_demo</v>
      </c>
      <c r="R394" s="13" t="str">
        <f t="shared" si="66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67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0"/>
        <v>0.15100000000000002</v>
      </c>
      <c r="Y394" s="13">
        <f t="shared" si="61"/>
        <v>0.30200000000000005</v>
      </c>
      <c r="Z394" s="13">
        <f t="shared" si="62"/>
        <v>0.45299999999999996</v>
      </c>
      <c r="AA394" s="13">
        <f t="shared" si="68"/>
        <v>-3</v>
      </c>
    </row>
    <row r="395" spans="1:27" x14ac:dyDescent="0.25">
      <c r="A395" s="40">
        <v>45918.510266203702</v>
      </c>
      <c r="B395" s="41">
        <v>443319361</v>
      </c>
      <c r="C395" s="42" t="s">
        <v>36</v>
      </c>
      <c r="D395" s="42" t="s">
        <v>37</v>
      </c>
      <c r="E395" s="42" t="s">
        <v>38</v>
      </c>
      <c r="F395" s="43">
        <v>3667.23</v>
      </c>
      <c r="G395" s="43">
        <v>3664.17</v>
      </c>
      <c r="H395" s="43">
        <v>3670.67</v>
      </c>
      <c r="I395" s="42" t="s">
        <v>551</v>
      </c>
      <c r="J395" s="43">
        <v>3670.67</v>
      </c>
      <c r="K395" s="43">
        <v>0</v>
      </c>
      <c r="L395" s="43">
        <v>0</v>
      </c>
      <c r="M395" s="44">
        <v>3.44</v>
      </c>
      <c r="N395" s="10" t="str">
        <f t="shared" si="63"/>
        <v>W</v>
      </c>
      <c r="O395" s="11">
        <f t="shared" si="64"/>
        <v>45918</v>
      </c>
      <c r="P395" s="12" t="str">
        <f t="shared" si="65"/>
        <v>12</v>
      </c>
      <c r="Q395" s="13" t="str">
        <f>VLOOKUP($B395,Deals_Demo!$H:$N,7,0)</f>
        <v>strategy_07_demo</v>
      </c>
      <c r="R395" s="13" t="str">
        <f t="shared" si="66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67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0"/>
        <v>0.34400000000000003</v>
      </c>
      <c r="Y395" s="13">
        <f t="shared" si="61"/>
        <v>0.68800000000000006</v>
      </c>
      <c r="Z395" s="13">
        <f t="shared" si="62"/>
        <v>1.032</v>
      </c>
      <c r="AA395" s="13">
        <f t="shared" si="68"/>
        <v>3.44</v>
      </c>
    </row>
    <row r="396" spans="1:27" x14ac:dyDescent="0.25">
      <c r="A396" s="35">
        <v>45918.510277777779</v>
      </c>
      <c r="B396" s="36">
        <v>443319364</v>
      </c>
      <c r="C396" s="37" t="s">
        <v>36</v>
      </c>
      <c r="D396" s="37" t="s">
        <v>37</v>
      </c>
      <c r="E396" s="37" t="s">
        <v>38</v>
      </c>
      <c r="F396" s="38">
        <v>3667.21</v>
      </c>
      <c r="G396" s="38">
        <v>3664.23</v>
      </c>
      <c r="H396" s="38">
        <v>3670.73</v>
      </c>
      <c r="I396" s="37" t="s">
        <v>551</v>
      </c>
      <c r="J396" s="38">
        <v>3670.76</v>
      </c>
      <c r="K396" s="38">
        <v>0</v>
      </c>
      <c r="L396" s="38">
        <v>0</v>
      </c>
      <c r="M396" s="39">
        <v>3.55</v>
      </c>
      <c r="N396" s="10" t="str">
        <f t="shared" si="63"/>
        <v>W</v>
      </c>
      <c r="O396" s="11">
        <f t="shared" si="64"/>
        <v>45918</v>
      </c>
      <c r="P396" s="12" t="str">
        <f t="shared" si="65"/>
        <v>12</v>
      </c>
      <c r="Q396" s="13" t="str">
        <f>VLOOKUP($B396,Deals_Demo!$H:$N,7,0)</f>
        <v>strategy_13_demo</v>
      </c>
      <c r="R396" s="13" t="str">
        <f t="shared" si="66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67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0"/>
        <v>0.35499999999999998</v>
      </c>
      <c r="Y396" s="13">
        <f t="shared" si="61"/>
        <v>0.71</v>
      </c>
      <c r="Z396" s="13">
        <f t="shared" si="62"/>
        <v>1.0649999999999999</v>
      </c>
      <c r="AA396" s="13">
        <f t="shared" si="68"/>
        <v>3.55</v>
      </c>
    </row>
    <row r="397" spans="1:27" x14ac:dyDescent="0.25">
      <c r="A397" s="40">
        <v>45918.510277777779</v>
      </c>
      <c r="B397" s="41">
        <v>443319367</v>
      </c>
      <c r="C397" s="42" t="s">
        <v>36</v>
      </c>
      <c r="D397" s="42" t="s">
        <v>37</v>
      </c>
      <c r="E397" s="42" t="s">
        <v>38</v>
      </c>
      <c r="F397" s="43">
        <v>3667.21</v>
      </c>
      <c r="G397" s="43">
        <v>3664.23</v>
      </c>
      <c r="H397" s="43">
        <v>3670.73</v>
      </c>
      <c r="I397" s="42" t="s">
        <v>551</v>
      </c>
      <c r="J397" s="43">
        <v>3670.76</v>
      </c>
      <c r="K397" s="43">
        <v>0</v>
      </c>
      <c r="L397" s="43">
        <v>0</v>
      </c>
      <c r="M397" s="44">
        <v>3.55</v>
      </c>
      <c r="N397" s="10" t="str">
        <f t="shared" si="63"/>
        <v>W</v>
      </c>
      <c r="O397" s="11">
        <f t="shared" si="64"/>
        <v>45918</v>
      </c>
      <c r="P397" s="12" t="str">
        <f t="shared" si="65"/>
        <v>12</v>
      </c>
      <c r="Q397" s="13" t="str">
        <f>VLOOKUP($B397,Deals_Demo!$H:$N,7,0)</f>
        <v>strategy_08_demo</v>
      </c>
      <c r="R397" s="13" t="str">
        <f t="shared" si="66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67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0"/>
        <v>0.35499999999999998</v>
      </c>
      <c r="Y397" s="13">
        <f t="shared" si="61"/>
        <v>0.71</v>
      </c>
      <c r="Z397" s="13">
        <f t="shared" si="62"/>
        <v>1.0649999999999999</v>
      </c>
      <c r="AA397" s="13">
        <f t="shared" si="68"/>
        <v>3.55</v>
      </c>
    </row>
    <row r="398" spans="1:27" x14ac:dyDescent="0.25">
      <c r="A398" s="35">
        <v>45918.510381944441</v>
      </c>
      <c r="B398" s="36">
        <v>443319488</v>
      </c>
      <c r="C398" s="37" t="s">
        <v>36</v>
      </c>
      <c r="D398" s="37" t="s">
        <v>37</v>
      </c>
      <c r="E398" s="37" t="s">
        <v>38</v>
      </c>
      <c r="F398" s="38">
        <v>3667.73</v>
      </c>
      <c r="G398" s="38">
        <v>3668.35</v>
      </c>
      <c r="H398" s="38">
        <v>3671.26</v>
      </c>
      <c r="I398" s="37" t="s">
        <v>552</v>
      </c>
      <c r="J398" s="38">
        <v>3671.26</v>
      </c>
      <c r="K398" s="38">
        <v>0</v>
      </c>
      <c r="L398" s="38">
        <v>0</v>
      </c>
      <c r="M398" s="39">
        <v>3.53</v>
      </c>
      <c r="N398" s="10" t="str">
        <f t="shared" si="63"/>
        <v>W</v>
      </c>
      <c r="O398" s="11">
        <f t="shared" si="64"/>
        <v>45918</v>
      </c>
      <c r="P398" s="12" t="str">
        <f t="shared" si="65"/>
        <v>12</v>
      </c>
      <c r="Q398" s="13" t="str">
        <f>VLOOKUP($B398,Deals_Demo!$H:$N,7,0)</f>
        <v>strategy_11_demo</v>
      </c>
      <c r="R398" s="13" t="str">
        <f t="shared" si="66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67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0"/>
        <v>0.35299999999999998</v>
      </c>
      <c r="Y398" s="13">
        <f t="shared" si="61"/>
        <v>0.70599999999999996</v>
      </c>
      <c r="Z398" s="13">
        <f t="shared" si="62"/>
        <v>1.0589999999999999</v>
      </c>
      <c r="AA398" s="13">
        <f t="shared" si="68"/>
        <v>3.53</v>
      </c>
    </row>
    <row r="399" spans="1:27" x14ac:dyDescent="0.25">
      <c r="A399" s="40">
        <v>45918.520451388889</v>
      </c>
      <c r="B399" s="41">
        <v>443324265</v>
      </c>
      <c r="C399" s="42" t="s">
        <v>36</v>
      </c>
      <c r="D399" s="42" t="s">
        <v>37</v>
      </c>
      <c r="E399" s="42" t="s">
        <v>38</v>
      </c>
      <c r="F399" s="43">
        <v>3671.48</v>
      </c>
      <c r="G399" s="43">
        <v>3671.32</v>
      </c>
      <c r="H399" s="43">
        <v>3674.48</v>
      </c>
      <c r="I399" s="42" t="s">
        <v>553</v>
      </c>
      <c r="J399" s="43">
        <v>3671.25</v>
      </c>
      <c r="K399" s="43">
        <v>0</v>
      </c>
      <c r="L399" s="43">
        <v>0</v>
      </c>
      <c r="M399" s="44">
        <v>-0.23</v>
      </c>
      <c r="N399" s="10" t="str">
        <f t="shared" si="63"/>
        <v>L</v>
      </c>
      <c r="O399" s="11">
        <f t="shared" si="64"/>
        <v>45918</v>
      </c>
      <c r="P399" s="12" t="str">
        <f t="shared" si="65"/>
        <v>12</v>
      </c>
      <c r="Q399" s="13" t="str">
        <f>VLOOKUP($B399,Deals_Demo!$H:$N,7,0)</f>
        <v>strategy_09_demo</v>
      </c>
      <c r="R399" s="13" t="str">
        <f t="shared" si="66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67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0"/>
        <v>-2.3000000000000003E-2</v>
      </c>
      <c r="Y399" s="13">
        <f t="shared" si="61"/>
        <v>-4.6000000000000006E-2</v>
      </c>
      <c r="Z399" s="13">
        <f t="shared" si="62"/>
        <v>-6.9000000000000006E-2</v>
      </c>
      <c r="AA399" s="13">
        <f t="shared" si="68"/>
        <v>-3</v>
      </c>
    </row>
    <row r="400" spans="1:27" x14ac:dyDescent="0.25">
      <c r="A400" s="35">
        <v>45918.520462962966</v>
      </c>
      <c r="B400" s="36">
        <v>443324267</v>
      </c>
      <c r="C400" s="37" t="s">
        <v>36</v>
      </c>
      <c r="D400" s="37" t="s">
        <v>37</v>
      </c>
      <c r="E400" s="37" t="s">
        <v>38</v>
      </c>
      <c r="F400" s="38">
        <v>3671.48</v>
      </c>
      <c r="G400" s="38">
        <v>3668.48</v>
      </c>
      <c r="H400" s="38">
        <v>3672.98</v>
      </c>
      <c r="I400" s="37" t="s">
        <v>554</v>
      </c>
      <c r="J400" s="38">
        <v>3668.46</v>
      </c>
      <c r="K400" s="38">
        <v>0</v>
      </c>
      <c r="L400" s="38">
        <v>0</v>
      </c>
      <c r="M400" s="39">
        <v>-3.02</v>
      </c>
      <c r="N400" s="10" t="str">
        <f t="shared" si="63"/>
        <v>L</v>
      </c>
      <c r="O400" s="11">
        <f t="shared" si="64"/>
        <v>45918</v>
      </c>
      <c r="P400" s="12" t="str">
        <f t="shared" si="65"/>
        <v>12</v>
      </c>
      <c r="Q400" s="13" t="str">
        <f>VLOOKUP($B400,Deals_Demo!$H:$N,7,0)</f>
        <v>strategy_12_demo</v>
      </c>
      <c r="R400" s="13" t="str">
        <f t="shared" si="66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67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0"/>
        <v>-0.30200000000000005</v>
      </c>
      <c r="Y400" s="13">
        <f t="shared" si="61"/>
        <v>-0.60400000000000009</v>
      </c>
      <c r="Z400" s="13">
        <f t="shared" si="62"/>
        <v>-0.90599999999999992</v>
      </c>
      <c r="AA400" s="13">
        <f t="shared" si="68"/>
        <v>-3</v>
      </c>
    </row>
    <row r="401" spans="1:27" x14ac:dyDescent="0.25">
      <c r="A401" s="40">
        <v>45918.520462962966</v>
      </c>
      <c r="B401" s="41">
        <v>443324268</v>
      </c>
      <c r="C401" s="42" t="s">
        <v>36</v>
      </c>
      <c r="D401" s="42" t="s">
        <v>37</v>
      </c>
      <c r="E401" s="42" t="s">
        <v>38</v>
      </c>
      <c r="F401" s="43">
        <v>3671.48</v>
      </c>
      <c r="G401" s="43">
        <v>3668.48</v>
      </c>
      <c r="H401" s="43">
        <v>3672.98</v>
      </c>
      <c r="I401" s="42" t="s">
        <v>554</v>
      </c>
      <c r="J401" s="43">
        <v>3668.46</v>
      </c>
      <c r="K401" s="43">
        <v>0</v>
      </c>
      <c r="L401" s="43">
        <v>0</v>
      </c>
      <c r="M401" s="44">
        <v>-3.02</v>
      </c>
      <c r="N401" s="10" t="str">
        <f t="shared" si="63"/>
        <v>L</v>
      </c>
      <c r="O401" s="11">
        <f t="shared" si="64"/>
        <v>45918</v>
      </c>
      <c r="P401" s="12" t="str">
        <f t="shared" si="65"/>
        <v>12</v>
      </c>
      <c r="Q401" s="13" t="str">
        <f>VLOOKUP($B401,Deals_Demo!$H:$N,7,0)</f>
        <v>strategy_14_demo</v>
      </c>
      <c r="R401" s="13" t="str">
        <f t="shared" si="66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67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0"/>
        <v>-0.30200000000000005</v>
      </c>
      <c r="Y401" s="13">
        <f t="shared" si="61"/>
        <v>-0.60400000000000009</v>
      </c>
      <c r="Z401" s="13">
        <f t="shared" si="62"/>
        <v>-0.90599999999999992</v>
      </c>
      <c r="AA401" s="13">
        <f t="shared" si="68"/>
        <v>-3</v>
      </c>
    </row>
    <row r="402" spans="1:27" x14ac:dyDescent="0.25">
      <c r="A402" s="35">
        <v>45918.520462962966</v>
      </c>
      <c r="B402" s="36">
        <v>443324269</v>
      </c>
      <c r="C402" s="37" t="s">
        <v>36</v>
      </c>
      <c r="D402" s="37" t="s">
        <v>37</v>
      </c>
      <c r="E402" s="37" t="s">
        <v>38</v>
      </c>
      <c r="F402" s="38">
        <v>3671.48</v>
      </c>
      <c r="G402" s="38">
        <v>3669.98</v>
      </c>
      <c r="H402" s="38">
        <v>3672.98</v>
      </c>
      <c r="I402" s="37" t="s">
        <v>555</v>
      </c>
      <c r="J402" s="38">
        <v>3669.95</v>
      </c>
      <c r="K402" s="38">
        <v>0</v>
      </c>
      <c r="L402" s="38">
        <v>0</v>
      </c>
      <c r="M402" s="39">
        <v>-1.53</v>
      </c>
      <c r="N402" s="10" t="str">
        <f t="shared" si="63"/>
        <v>L</v>
      </c>
      <c r="O402" s="11">
        <f t="shared" si="64"/>
        <v>45918</v>
      </c>
      <c r="P402" s="12" t="str">
        <f t="shared" si="65"/>
        <v>12</v>
      </c>
      <c r="Q402" s="13" t="str">
        <f>VLOOKUP($B402,Deals_Demo!$H:$N,7,0)</f>
        <v>strategy_15_demo</v>
      </c>
      <c r="R402" s="13" t="str">
        <f t="shared" si="66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67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0"/>
        <v>-0.15300000000000002</v>
      </c>
      <c r="Y402" s="13">
        <f t="shared" si="61"/>
        <v>-0.30600000000000005</v>
      </c>
      <c r="Z402" s="13">
        <f t="shared" si="62"/>
        <v>-0.45899999999999996</v>
      </c>
      <c r="AA402" s="13">
        <f t="shared" si="68"/>
        <v>-3</v>
      </c>
    </row>
    <row r="403" spans="1:27" x14ac:dyDescent="0.25">
      <c r="A403" s="40">
        <v>45918.520462962966</v>
      </c>
      <c r="B403" s="41">
        <v>443324270</v>
      </c>
      <c r="C403" s="42" t="s">
        <v>36</v>
      </c>
      <c r="D403" s="42" t="s">
        <v>37</v>
      </c>
      <c r="E403" s="42" t="s">
        <v>38</v>
      </c>
      <c r="F403" s="43">
        <v>3671.48</v>
      </c>
      <c r="G403" s="43">
        <v>3671.32</v>
      </c>
      <c r="H403" s="43">
        <v>3674.98</v>
      </c>
      <c r="I403" s="42" t="s">
        <v>553</v>
      </c>
      <c r="J403" s="43">
        <v>3671.25</v>
      </c>
      <c r="K403" s="43">
        <v>0</v>
      </c>
      <c r="L403" s="43">
        <v>0</v>
      </c>
      <c r="M403" s="44">
        <v>-0.23</v>
      </c>
      <c r="N403" s="10" t="str">
        <f t="shared" si="63"/>
        <v>L</v>
      </c>
      <c r="O403" s="11">
        <f t="shared" si="64"/>
        <v>45918</v>
      </c>
      <c r="P403" s="12" t="str">
        <f t="shared" si="65"/>
        <v>12</v>
      </c>
      <c r="Q403" s="13" t="str">
        <f>VLOOKUP($B403,Deals_Demo!$H:$N,7,0)</f>
        <v>strategy_11_demo</v>
      </c>
      <c r="R403" s="13" t="str">
        <f t="shared" si="66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67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0"/>
        <v>-2.3000000000000003E-2</v>
      </c>
      <c r="Y403" s="13">
        <f t="shared" si="61"/>
        <v>-4.6000000000000006E-2</v>
      </c>
      <c r="Z403" s="13">
        <f t="shared" si="62"/>
        <v>-6.9000000000000006E-2</v>
      </c>
      <c r="AA403" s="13">
        <f t="shared" si="68"/>
        <v>-3</v>
      </c>
    </row>
    <row r="404" spans="1:27" x14ac:dyDescent="0.25">
      <c r="A404" s="35">
        <v>45918.520474537036</v>
      </c>
      <c r="B404" s="36">
        <v>443324272</v>
      </c>
      <c r="C404" s="37" t="s">
        <v>36</v>
      </c>
      <c r="D404" s="37" t="s">
        <v>37</v>
      </c>
      <c r="E404" s="37" t="s">
        <v>38</v>
      </c>
      <c r="F404" s="38">
        <v>3671.48</v>
      </c>
      <c r="G404" s="38">
        <v>3668.98</v>
      </c>
      <c r="H404" s="38">
        <v>3674.48</v>
      </c>
      <c r="I404" s="37" t="s">
        <v>556</v>
      </c>
      <c r="J404" s="38">
        <v>3668.84</v>
      </c>
      <c r="K404" s="38">
        <v>0</v>
      </c>
      <c r="L404" s="38">
        <v>0</v>
      </c>
      <c r="M404" s="39">
        <v>-2.64</v>
      </c>
      <c r="N404" s="10" t="str">
        <f t="shared" si="63"/>
        <v>L</v>
      </c>
      <c r="O404" s="11">
        <f t="shared" si="64"/>
        <v>45918</v>
      </c>
      <c r="P404" s="12" t="str">
        <f t="shared" si="65"/>
        <v>12</v>
      </c>
      <c r="Q404" s="13" t="str">
        <f>VLOOKUP($B404,Deals_Demo!$H:$N,7,0)</f>
        <v>strategy_10_demo</v>
      </c>
      <c r="R404" s="13" t="str">
        <f t="shared" si="66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67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0"/>
        <v>-0.26400000000000001</v>
      </c>
      <c r="Y404" s="13">
        <f t="shared" si="61"/>
        <v>-0.52800000000000002</v>
      </c>
      <c r="Z404" s="13">
        <f t="shared" si="62"/>
        <v>-0.79200000000000004</v>
      </c>
      <c r="AA404" s="13">
        <f t="shared" si="68"/>
        <v>-3</v>
      </c>
    </row>
    <row r="405" spans="1:27" x14ac:dyDescent="0.25">
      <c r="A405" s="40">
        <v>45918.523113425923</v>
      </c>
      <c r="B405" s="41">
        <v>443325377</v>
      </c>
      <c r="C405" s="42" t="s">
        <v>36</v>
      </c>
      <c r="D405" s="42" t="s">
        <v>37</v>
      </c>
      <c r="E405" s="42" t="s">
        <v>38</v>
      </c>
      <c r="F405" s="43">
        <v>3671.11</v>
      </c>
      <c r="G405" s="43">
        <v>3668.12</v>
      </c>
      <c r="H405" s="43">
        <v>3674.62</v>
      </c>
      <c r="I405" s="42" t="s">
        <v>557</v>
      </c>
      <c r="J405" s="43">
        <v>3668.05</v>
      </c>
      <c r="K405" s="43">
        <v>0</v>
      </c>
      <c r="L405" s="43">
        <v>0</v>
      </c>
      <c r="M405" s="44">
        <v>-3.06</v>
      </c>
      <c r="N405" s="10" t="str">
        <f t="shared" si="63"/>
        <v>L</v>
      </c>
      <c r="O405" s="11">
        <f t="shared" si="64"/>
        <v>45918</v>
      </c>
      <c r="P405" s="12" t="str">
        <f t="shared" si="65"/>
        <v>12</v>
      </c>
      <c r="Q405" s="13" t="str">
        <f>VLOOKUP($B405,Deals_Demo!$H:$N,7,0)</f>
        <v>strategy_08_demo</v>
      </c>
      <c r="R405" s="13" t="str">
        <f t="shared" si="66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67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0"/>
        <v>-0.30600000000000005</v>
      </c>
      <c r="Y405" s="13">
        <f t="shared" si="61"/>
        <v>-0.6120000000000001</v>
      </c>
      <c r="Z405" s="13">
        <f t="shared" si="62"/>
        <v>-0.91799999999999993</v>
      </c>
      <c r="AA405" s="13">
        <f t="shared" si="68"/>
        <v>-3</v>
      </c>
    </row>
    <row r="406" spans="1:27" x14ac:dyDescent="0.25">
      <c r="A406" s="35">
        <v>45918.523125</v>
      </c>
      <c r="B406" s="36">
        <v>443325378</v>
      </c>
      <c r="C406" s="37" t="s">
        <v>36</v>
      </c>
      <c r="D406" s="37" t="s">
        <v>37</v>
      </c>
      <c r="E406" s="37" t="s">
        <v>38</v>
      </c>
      <c r="F406" s="38">
        <v>3671.11</v>
      </c>
      <c r="G406" s="38">
        <v>3668.11</v>
      </c>
      <c r="H406" s="38">
        <v>3674.61</v>
      </c>
      <c r="I406" s="37" t="s">
        <v>557</v>
      </c>
      <c r="J406" s="38">
        <v>3668.05</v>
      </c>
      <c r="K406" s="38">
        <v>0</v>
      </c>
      <c r="L406" s="38">
        <v>0</v>
      </c>
      <c r="M406" s="39">
        <v>-3.06</v>
      </c>
      <c r="N406" s="10" t="str">
        <f t="shared" si="63"/>
        <v>L</v>
      </c>
      <c r="O406" s="11">
        <f t="shared" si="64"/>
        <v>45918</v>
      </c>
      <c r="P406" s="12" t="str">
        <f t="shared" si="65"/>
        <v>12</v>
      </c>
      <c r="Q406" s="13" t="str">
        <f>VLOOKUP($B406,Deals_Demo!$H:$N,7,0)</f>
        <v>strategy_07_demo</v>
      </c>
      <c r="R406" s="13" t="str">
        <f t="shared" si="66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67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0"/>
        <v>-0.30600000000000005</v>
      </c>
      <c r="Y406" s="13">
        <f t="shared" si="61"/>
        <v>-0.6120000000000001</v>
      </c>
      <c r="Z406" s="13">
        <f t="shared" si="62"/>
        <v>-0.91799999999999993</v>
      </c>
      <c r="AA406" s="13">
        <f t="shared" si="68"/>
        <v>-3</v>
      </c>
    </row>
    <row r="407" spans="1:27" x14ac:dyDescent="0.25">
      <c r="A407" s="40">
        <v>45918.523125</v>
      </c>
      <c r="B407" s="41">
        <v>443325380</v>
      </c>
      <c r="C407" s="42" t="s">
        <v>36</v>
      </c>
      <c r="D407" s="42" t="s">
        <v>37</v>
      </c>
      <c r="E407" s="42" t="s">
        <v>38</v>
      </c>
      <c r="F407" s="43">
        <v>3671.11</v>
      </c>
      <c r="G407" s="43">
        <v>3668.11</v>
      </c>
      <c r="H407" s="43">
        <v>3674.61</v>
      </c>
      <c r="I407" s="42" t="s">
        <v>557</v>
      </c>
      <c r="J407" s="43">
        <v>3668.05</v>
      </c>
      <c r="K407" s="43">
        <v>0</v>
      </c>
      <c r="L407" s="43">
        <v>0</v>
      </c>
      <c r="M407" s="44">
        <v>-3.06</v>
      </c>
      <c r="N407" s="10" t="str">
        <f t="shared" si="63"/>
        <v>L</v>
      </c>
      <c r="O407" s="11">
        <f t="shared" si="64"/>
        <v>45918</v>
      </c>
      <c r="P407" s="12" t="str">
        <f t="shared" si="65"/>
        <v>12</v>
      </c>
      <c r="Q407" s="13" t="str">
        <f>VLOOKUP($B407,Deals_Demo!$H:$N,7,0)</f>
        <v>strategy_13_demo</v>
      </c>
      <c r="R407" s="13" t="str">
        <f t="shared" si="66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67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0"/>
        <v>-0.30600000000000005</v>
      </c>
      <c r="Y407" s="13">
        <f t="shared" si="61"/>
        <v>-0.6120000000000001</v>
      </c>
      <c r="Z407" s="13">
        <f t="shared" si="62"/>
        <v>-0.91799999999999993</v>
      </c>
      <c r="AA407" s="13">
        <f t="shared" si="68"/>
        <v>-3</v>
      </c>
    </row>
    <row r="408" spans="1:27" x14ac:dyDescent="0.25">
      <c r="A408" s="35">
        <v>45918.523692129631</v>
      </c>
      <c r="B408" s="36">
        <v>443325590</v>
      </c>
      <c r="C408" s="37" t="s">
        <v>36</v>
      </c>
      <c r="D408" s="37" t="s">
        <v>37</v>
      </c>
      <c r="E408" s="37" t="s">
        <v>38</v>
      </c>
      <c r="F408" s="38">
        <v>3671.52</v>
      </c>
      <c r="G408" s="38">
        <v>3668.52</v>
      </c>
      <c r="H408" s="38">
        <v>3674.52</v>
      </c>
      <c r="I408" s="37" t="s">
        <v>558</v>
      </c>
      <c r="J408" s="38">
        <v>3668.52</v>
      </c>
      <c r="K408" s="38">
        <v>0</v>
      </c>
      <c r="L408" s="38">
        <v>0</v>
      </c>
      <c r="M408" s="39">
        <v>-3</v>
      </c>
      <c r="N408" s="10" t="str">
        <f t="shared" si="63"/>
        <v>L</v>
      </c>
      <c r="O408" s="11">
        <f t="shared" si="64"/>
        <v>45918</v>
      </c>
      <c r="P408" s="12" t="str">
        <f t="shared" si="65"/>
        <v>12</v>
      </c>
      <c r="Q408" s="13" t="str">
        <f>VLOOKUP($B408,Deals_Demo!$H:$N,7,0)</f>
        <v>strategy_09_demo</v>
      </c>
      <c r="R408" s="13" t="str">
        <f t="shared" si="66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67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0"/>
        <v>-0.30000000000000004</v>
      </c>
      <c r="Y408" s="13">
        <f t="shared" si="61"/>
        <v>-0.60000000000000009</v>
      </c>
      <c r="Z408" s="13">
        <f t="shared" si="62"/>
        <v>-0.89999999999999991</v>
      </c>
      <c r="AA408" s="13">
        <f t="shared" si="68"/>
        <v>-3</v>
      </c>
    </row>
    <row r="409" spans="1:27" x14ac:dyDescent="0.25">
      <c r="A409" s="40">
        <v>45918.5237037037</v>
      </c>
      <c r="B409" s="41">
        <v>443325592</v>
      </c>
      <c r="C409" s="42" t="s">
        <v>36</v>
      </c>
      <c r="D409" s="42" t="s">
        <v>37</v>
      </c>
      <c r="E409" s="42" t="s">
        <v>38</v>
      </c>
      <c r="F409" s="43">
        <v>3671.52</v>
      </c>
      <c r="G409" s="43">
        <v>3668.52</v>
      </c>
      <c r="H409" s="43">
        <v>3675.02</v>
      </c>
      <c r="I409" s="42" t="s">
        <v>558</v>
      </c>
      <c r="J409" s="43">
        <v>3668.52</v>
      </c>
      <c r="K409" s="43">
        <v>0</v>
      </c>
      <c r="L409" s="43">
        <v>0</v>
      </c>
      <c r="M409" s="44">
        <v>-3</v>
      </c>
      <c r="N409" s="10" t="str">
        <f t="shared" si="63"/>
        <v>L</v>
      </c>
      <c r="O409" s="11">
        <f t="shared" si="64"/>
        <v>45918</v>
      </c>
      <c r="P409" s="12" t="str">
        <f t="shared" si="65"/>
        <v>12</v>
      </c>
      <c r="Q409" s="13" t="str">
        <f>VLOOKUP($B409,Deals_Demo!$H:$N,7,0)</f>
        <v>strategy_11_demo</v>
      </c>
      <c r="R409" s="13" t="str">
        <f t="shared" si="66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67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0"/>
        <v>-0.30000000000000004</v>
      </c>
      <c r="Y409" s="13">
        <f t="shared" si="61"/>
        <v>-0.60000000000000009</v>
      </c>
      <c r="Z409" s="13">
        <f t="shared" si="62"/>
        <v>-0.89999999999999991</v>
      </c>
      <c r="AA409" s="13">
        <f t="shared" si="68"/>
        <v>-3</v>
      </c>
    </row>
    <row r="410" spans="1:27" x14ac:dyDescent="0.25">
      <c r="A410" s="35">
        <v>45918.544641203705</v>
      </c>
      <c r="B410" s="36">
        <v>443333033</v>
      </c>
      <c r="C410" s="37" t="s">
        <v>36</v>
      </c>
      <c r="D410" s="37" t="s">
        <v>37</v>
      </c>
      <c r="E410" s="37" t="s">
        <v>38</v>
      </c>
      <c r="F410" s="38">
        <v>3672.19</v>
      </c>
      <c r="G410" s="38">
        <v>3670.69</v>
      </c>
      <c r="H410" s="38">
        <v>3673.69</v>
      </c>
      <c r="I410" s="37" t="s">
        <v>559</v>
      </c>
      <c r="J410" s="38">
        <v>3670.63</v>
      </c>
      <c r="K410" s="38">
        <v>0</v>
      </c>
      <c r="L410" s="38">
        <v>0</v>
      </c>
      <c r="M410" s="39">
        <v>-1.56</v>
      </c>
      <c r="N410" s="10" t="str">
        <f t="shared" si="63"/>
        <v>L</v>
      </c>
      <c r="O410" s="11">
        <f t="shared" si="64"/>
        <v>45918</v>
      </c>
      <c r="P410" s="12" t="str">
        <f t="shared" si="65"/>
        <v>13</v>
      </c>
      <c r="Q410" s="13" t="str">
        <f>VLOOKUP($B410,Deals_Demo!$H:$N,7,0)</f>
        <v>strategy_15_demo</v>
      </c>
      <c r="R410" s="13" t="str">
        <f t="shared" si="66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67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0"/>
        <v>-0.15600000000000003</v>
      </c>
      <c r="Y410" s="13">
        <f t="shared" si="61"/>
        <v>-0.31200000000000006</v>
      </c>
      <c r="Z410" s="13">
        <f t="shared" si="62"/>
        <v>-0.46799999999999997</v>
      </c>
      <c r="AA410" s="13">
        <f t="shared" si="68"/>
        <v>-3</v>
      </c>
    </row>
    <row r="411" spans="1:27" x14ac:dyDescent="0.25">
      <c r="A411" s="40">
        <v>45918.550081018519</v>
      </c>
      <c r="B411" s="41">
        <v>443335228</v>
      </c>
      <c r="C411" s="42" t="s">
        <v>36</v>
      </c>
      <c r="D411" s="42" t="s">
        <v>39</v>
      </c>
      <c r="E411" s="42" t="s">
        <v>38</v>
      </c>
      <c r="F411" s="43">
        <v>3669.89</v>
      </c>
      <c r="G411" s="43">
        <v>3669.65</v>
      </c>
      <c r="H411" s="43">
        <v>3668.39</v>
      </c>
      <c r="I411" s="42" t="s">
        <v>560</v>
      </c>
      <c r="J411" s="43">
        <v>3668.37</v>
      </c>
      <c r="K411" s="43">
        <v>0</v>
      </c>
      <c r="L411" s="43">
        <v>0</v>
      </c>
      <c r="M411" s="44">
        <v>1.52</v>
      </c>
      <c r="N411" s="10" t="str">
        <f t="shared" si="63"/>
        <v>W</v>
      </c>
      <c r="O411" s="11">
        <f t="shared" si="64"/>
        <v>45918</v>
      </c>
      <c r="P411" s="12" t="str">
        <f t="shared" si="65"/>
        <v>13</v>
      </c>
      <c r="Q411" s="13" t="str">
        <f>VLOOKUP($B411,Deals_Demo!$H:$N,7,0)</f>
        <v>strategy_14_demo</v>
      </c>
      <c r="R411" s="13" t="str">
        <f t="shared" si="66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67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0"/>
        <v>0.15200000000000002</v>
      </c>
      <c r="Y411" s="13">
        <f t="shared" si="61"/>
        <v>0.30400000000000005</v>
      </c>
      <c r="Z411" s="13">
        <f t="shared" si="62"/>
        <v>0.45599999999999996</v>
      </c>
      <c r="AA411" s="13">
        <f t="shared" si="68"/>
        <v>-3</v>
      </c>
    </row>
    <row r="412" spans="1:27" x14ac:dyDescent="0.25">
      <c r="A412" s="35">
        <v>45918.550081018519</v>
      </c>
      <c r="B412" s="36">
        <v>443335230</v>
      </c>
      <c r="C412" s="37" t="s">
        <v>36</v>
      </c>
      <c r="D412" s="37" t="s">
        <v>39</v>
      </c>
      <c r="E412" s="37" t="s">
        <v>38</v>
      </c>
      <c r="F412" s="38">
        <v>3669.89</v>
      </c>
      <c r="G412" s="38">
        <v>3667.93</v>
      </c>
      <c r="H412" s="38">
        <v>3666.39</v>
      </c>
      <c r="I412" s="37" t="s">
        <v>561</v>
      </c>
      <c r="J412" s="38">
        <v>3666.34</v>
      </c>
      <c r="K412" s="38">
        <v>0</v>
      </c>
      <c r="L412" s="38">
        <v>0</v>
      </c>
      <c r="M412" s="39">
        <v>3.55</v>
      </c>
      <c r="N412" s="10" t="str">
        <f t="shared" si="63"/>
        <v>W</v>
      </c>
      <c r="O412" s="11">
        <f t="shared" si="64"/>
        <v>45918</v>
      </c>
      <c r="P412" s="12" t="str">
        <f t="shared" si="65"/>
        <v>13</v>
      </c>
      <c r="Q412" s="13" t="str">
        <f>VLOOKUP($B412,Deals_Demo!$H:$N,7,0)</f>
        <v>strategy_11_demo</v>
      </c>
      <c r="R412" s="13" t="str">
        <f t="shared" si="66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67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0"/>
        <v>0.35499999999999998</v>
      </c>
      <c r="Y412" s="13">
        <f t="shared" si="61"/>
        <v>0.71</v>
      </c>
      <c r="Z412" s="13">
        <f t="shared" si="62"/>
        <v>1.0649999999999999</v>
      </c>
      <c r="AA412" s="13">
        <f t="shared" si="68"/>
        <v>3.55</v>
      </c>
    </row>
    <row r="413" spans="1:27" x14ac:dyDescent="0.25">
      <c r="A413" s="40">
        <v>45918.550092592595</v>
      </c>
      <c r="B413" s="41">
        <v>443335232</v>
      </c>
      <c r="C413" s="42" t="s">
        <v>36</v>
      </c>
      <c r="D413" s="42" t="s">
        <v>39</v>
      </c>
      <c r="E413" s="42" t="s">
        <v>38</v>
      </c>
      <c r="F413" s="43">
        <v>3669.88</v>
      </c>
      <c r="G413" s="43">
        <v>3669.65</v>
      </c>
      <c r="H413" s="43">
        <v>3668.39</v>
      </c>
      <c r="I413" s="42" t="s">
        <v>560</v>
      </c>
      <c r="J413" s="43">
        <v>3668.37</v>
      </c>
      <c r="K413" s="43">
        <v>0</v>
      </c>
      <c r="L413" s="43">
        <v>0</v>
      </c>
      <c r="M413" s="44">
        <v>1.51</v>
      </c>
      <c r="N413" s="10" t="str">
        <f t="shared" si="63"/>
        <v>W</v>
      </c>
      <c r="O413" s="11">
        <f t="shared" si="64"/>
        <v>45918</v>
      </c>
      <c r="P413" s="12" t="str">
        <f t="shared" si="65"/>
        <v>13</v>
      </c>
      <c r="Q413" s="13" t="str">
        <f>VLOOKUP($B413,Deals_Demo!$H:$N,7,0)</f>
        <v>strategy_12_demo</v>
      </c>
      <c r="R413" s="13" t="str">
        <f t="shared" si="66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67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0"/>
        <v>0.15100000000000002</v>
      </c>
      <c r="Y413" s="13">
        <f t="shared" si="61"/>
        <v>0.30200000000000005</v>
      </c>
      <c r="Z413" s="13">
        <f t="shared" si="62"/>
        <v>0.45299999999999996</v>
      </c>
      <c r="AA413" s="13">
        <f t="shared" si="68"/>
        <v>-3</v>
      </c>
    </row>
    <row r="414" spans="1:27" x14ac:dyDescent="0.25">
      <c r="A414" s="35">
        <v>45918.550092592595</v>
      </c>
      <c r="B414" s="36">
        <v>443335234</v>
      </c>
      <c r="C414" s="37" t="s">
        <v>36</v>
      </c>
      <c r="D414" s="37" t="s">
        <v>39</v>
      </c>
      <c r="E414" s="37" t="s">
        <v>38</v>
      </c>
      <c r="F414" s="38">
        <v>3669.85</v>
      </c>
      <c r="G414" s="38">
        <v>3668.37</v>
      </c>
      <c r="H414" s="38">
        <v>3666.89</v>
      </c>
      <c r="I414" s="37" t="s">
        <v>562</v>
      </c>
      <c r="J414" s="38">
        <v>3666.78</v>
      </c>
      <c r="K414" s="38">
        <v>0</v>
      </c>
      <c r="L414" s="38">
        <v>0</v>
      </c>
      <c r="M414" s="39">
        <v>3.07</v>
      </c>
      <c r="N414" s="10" t="str">
        <f t="shared" si="63"/>
        <v>W</v>
      </c>
      <c r="O414" s="11">
        <f t="shared" si="64"/>
        <v>45918</v>
      </c>
      <c r="P414" s="12" t="str">
        <f t="shared" si="65"/>
        <v>13</v>
      </c>
      <c r="Q414" s="13" t="str">
        <f>VLOOKUP($B414,Deals_Demo!$H:$N,7,0)</f>
        <v>strategy_10_demo</v>
      </c>
      <c r="R414" s="13" t="str">
        <f t="shared" si="66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67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0"/>
        <v>0.307</v>
      </c>
      <c r="Y414" s="13">
        <f t="shared" si="61"/>
        <v>0.61399999999999999</v>
      </c>
      <c r="Z414" s="13">
        <f t="shared" si="62"/>
        <v>0.92099999999999993</v>
      </c>
      <c r="AA414" s="13">
        <f t="shared" si="68"/>
        <v>3.07</v>
      </c>
    </row>
    <row r="415" spans="1:27" x14ac:dyDescent="0.25">
      <c r="A415" s="40">
        <v>45918.550092592595</v>
      </c>
      <c r="B415" s="41">
        <v>443335235</v>
      </c>
      <c r="C415" s="42" t="s">
        <v>36</v>
      </c>
      <c r="D415" s="42" t="s">
        <v>39</v>
      </c>
      <c r="E415" s="42" t="s">
        <v>38</v>
      </c>
      <c r="F415" s="43">
        <v>3669.85</v>
      </c>
      <c r="G415" s="43">
        <v>3668.37</v>
      </c>
      <c r="H415" s="43">
        <v>3666.89</v>
      </c>
      <c r="I415" s="42" t="s">
        <v>562</v>
      </c>
      <c r="J415" s="43">
        <v>3666.78</v>
      </c>
      <c r="K415" s="43">
        <v>0</v>
      </c>
      <c r="L415" s="43">
        <v>0</v>
      </c>
      <c r="M415" s="44">
        <v>3.07</v>
      </c>
      <c r="N415" s="10" t="str">
        <f t="shared" si="63"/>
        <v>W</v>
      </c>
      <c r="O415" s="11">
        <f t="shared" si="64"/>
        <v>45918</v>
      </c>
      <c r="P415" s="12" t="str">
        <f t="shared" si="65"/>
        <v>13</v>
      </c>
      <c r="Q415" s="13" t="str">
        <f>VLOOKUP($B415,Deals_Demo!$H:$N,7,0)</f>
        <v>strategy_09_demo</v>
      </c>
      <c r="R415" s="13" t="str">
        <f t="shared" si="66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67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0"/>
        <v>0.307</v>
      </c>
      <c r="Y415" s="13">
        <f t="shared" si="61"/>
        <v>0.61399999999999999</v>
      </c>
      <c r="Z415" s="13">
        <f t="shared" si="62"/>
        <v>0.92099999999999993</v>
      </c>
      <c r="AA415" s="13">
        <f t="shared" si="68"/>
        <v>3.07</v>
      </c>
    </row>
    <row r="416" spans="1:27" x14ac:dyDescent="0.25">
      <c r="A416" s="35">
        <v>45918.550092592595</v>
      </c>
      <c r="B416" s="36">
        <v>443335238</v>
      </c>
      <c r="C416" s="37" t="s">
        <v>36</v>
      </c>
      <c r="D416" s="37" t="s">
        <v>39</v>
      </c>
      <c r="E416" s="37" t="s">
        <v>38</v>
      </c>
      <c r="F416" s="38">
        <v>3669.85</v>
      </c>
      <c r="G416" s="38">
        <v>3669.65</v>
      </c>
      <c r="H416" s="38">
        <v>3668.39</v>
      </c>
      <c r="I416" s="37" t="s">
        <v>560</v>
      </c>
      <c r="J416" s="38">
        <v>3668.37</v>
      </c>
      <c r="K416" s="38">
        <v>0</v>
      </c>
      <c r="L416" s="38">
        <v>0</v>
      </c>
      <c r="M416" s="39">
        <v>1.48</v>
      </c>
      <c r="N416" s="10" t="str">
        <f t="shared" si="63"/>
        <v>W</v>
      </c>
      <c r="O416" s="11">
        <f t="shared" si="64"/>
        <v>45918</v>
      </c>
      <c r="P416" s="12" t="str">
        <f t="shared" si="65"/>
        <v>13</v>
      </c>
      <c r="Q416" s="13" t="str">
        <f>VLOOKUP($B416,Deals_Demo!$H:$N,7,0)</f>
        <v>strategy_15_demo</v>
      </c>
      <c r="R416" s="13" t="str">
        <f t="shared" si="66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67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0"/>
        <v>0.14799999999999999</v>
      </c>
      <c r="Y416" s="13">
        <f t="shared" si="61"/>
        <v>0.29599999999999999</v>
      </c>
      <c r="Z416" s="13">
        <f t="shared" si="62"/>
        <v>0.44400000000000001</v>
      </c>
      <c r="AA416" s="13">
        <f t="shared" si="68"/>
        <v>-3</v>
      </c>
    </row>
    <row r="417" spans="1:27" x14ac:dyDescent="0.25">
      <c r="A417" s="40">
        <v>45918.555752314816</v>
      </c>
      <c r="B417" s="41">
        <v>443337877</v>
      </c>
      <c r="C417" s="42" t="s">
        <v>36</v>
      </c>
      <c r="D417" s="42" t="s">
        <v>39</v>
      </c>
      <c r="E417" s="42" t="s">
        <v>38</v>
      </c>
      <c r="F417" s="43">
        <v>3666.51</v>
      </c>
      <c r="G417" s="43">
        <v>3669.5</v>
      </c>
      <c r="H417" s="43">
        <v>3665</v>
      </c>
      <c r="I417" s="42" t="s">
        <v>563</v>
      </c>
      <c r="J417" s="43">
        <v>3669.53</v>
      </c>
      <c r="K417" s="43">
        <v>0</v>
      </c>
      <c r="L417" s="43">
        <v>0</v>
      </c>
      <c r="M417" s="44">
        <v>-3.02</v>
      </c>
      <c r="N417" s="10" t="str">
        <f t="shared" si="63"/>
        <v>L</v>
      </c>
      <c r="O417" s="11">
        <f t="shared" si="64"/>
        <v>45918</v>
      </c>
      <c r="P417" s="12" t="str">
        <f t="shared" si="65"/>
        <v>13</v>
      </c>
      <c r="Q417" s="13" t="str">
        <f>VLOOKUP($B417,Deals_Demo!$H:$N,7,0)</f>
        <v>strategy_12_demo</v>
      </c>
      <c r="R417" s="13" t="str">
        <f t="shared" si="66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67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0"/>
        <v>-0.30200000000000005</v>
      </c>
      <c r="Y417" s="13">
        <f t="shared" si="61"/>
        <v>-0.60400000000000009</v>
      </c>
      <c r="Z417" s="13">
        <f t="shared" si="62"/>
        <v>-0.90599999999999992</v>
      </c>
      <c r="AA417" s="13">
        <f t="shared" si="68"/>
        <v>-3</v>
      </c>
    </row>
    <row r="418" spans="1:27" x14ac:dyDescent="0.25">
      <c r="A418" s="35">
        <v>45918.555752314816</v>
      </c>
      <c r="B418" s="36">
        <v>443337880</v>
      </c>
      <c r="C418" s="37" t="s">
        <v>36</v>
      </c>
      <c r="D418" s="37" t="s">
        <v>39</v>
      </c>
      <c r="E418" s="37" t="s">
        <v>38</v>
      </c>
      <c r="F418" s="38">
        <v>3666.51</v>
      </c>
      <c r="G418" s="38">
        <v>3668.01</v>
      </c>
      <c r="H418" s="38">
        <v>3665.01</v>
      </c>
      <c r="I418" s="37" t="s">
        <v>564</v>
      </c>
      <c r="J418" s="38">
        <v>3668.02</v>
      </c>
      <c r="K418" s="38">
        <v>0</v>
      </c>
      <c r="L418" s="38">
        <v>0</v>
      </c>
      <c r="M418" s="39">
        <v>-1.51</v>
      </c>
      <c r="N418" s="10" t="str">
        <f t="shared" si="63"/>
        <v>L</v>
      </c>
      <c r="O418" s="11">
        <f t="shared" si="64"/>
        <v>45918</v>
      </c>
      <c r="P418" s="12" t="str">
        <f t="shared" si="65"/>
        <v>13</v>
      </c>
      <c r="Q418" s="13" t="str">
        <f>VLOOKUP($B418,Deals_Demo!$H:$N,7,0)</f>
        <v>strategy_15_demo</v>
      </c>
      <c r="R418" s="13" t="str">
        <f t="shared" si="66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67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0"/>
        <v>-0.15100000000000002</v>
      </c>
      <c r="Y418" s="13">
        <f t="shared" si="61"/>
        <v>-0.30200000000000005</v>
      </c>
      <c r="Z418" s="13">
        <f t="shared" si="62"/>
        <v>-0.45299999999999996</v>
      </c>
      <c r="AA418" s="13">
        <f t="shared" si="68"/>
        <v>-3</v>
      </c>
    </row>
    <row r="419" spans="1:27" x14ac:dyDescent="0.25">
      <c r="A419" s="40">
        <v>45918.555763888886</v>
      </c>
      <c r="B419" s="41">
        <v>443337884</v>
      </c>
      <c r="C419" s="42" t="s">
        <v>36</v>
      </c>
      <c r="D419" s="42" t="s">
        <v>39</v>
      </c>
      <c r="E419" s="42" t="s">
        <v>38</v>
      </c>
      <c r="F419" s="43">
        <v>3666.51</v>
      </c>
      <c r="G419" s="43">
        <v>3669.51</v>
      </c>
      <c r="H419" s="43">
        <v>3665.01</v>
      </c>
      <c r="I419" s="42" t="s">
        <v>563</v>
      </c>
      <c r="J419" s="43">
        <v>3669.53</v>
      </c>
      <c r="K419" s="43">
        <v>0</v>
      </c>
      <c r="L419" s="43">
        <v>0</v>
      </c>
      <c r="M419" s="44">
        <v>-3.02</v>
      </c>
      <c r="N419" s="10" t="str">
        <f t="shared" si="63"/>
        <v>L</v>
      </c>
      <c r="O419" s="11">
        <f t="shared" si="64"/>
        <v>45918</v>
      </c>
      <c r="P419" s="12" t="str">
        <f t="shared" si="65"/>
        <v>13</v>
      </c>
      <c r="Q419" s="13" t="str">
        <f>VLOOKUP($B419,Deals_Demo!$H:$N,7,0)</f>
        <v>strategy_14_demo</v>
      </c>
      <c r="R419" s="13" t="str">
        <f t="shared" si="66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67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0"/>
        <v>-0.30200000000000005</v>
      </c>
      <c r="Y419" s="13">
        <f t="shared" si="61"/>
        <v>-0.60400000000000009</v>
      </c>
      <c r="Z419" s="13">
        <f t="shared" si="62"/>
        <v>-0.90599999999999992</v>
      </c>
      <c r="AA419" s="13">
        <f t="shared" si="68"/>
        <v>-3</v>
      </c>
    </row>
    <row r="420" spans="1:27" x14ac:dyDescent="0.25">
      <c r="A420" s="35">
        <v>45918.555763888886</v>
      </c>
      <c r="B420" s="36">
        <v>443337886</v>
      </c>
      <c r="C420" s="37" t="s">
        <v>36</v>
      </c>
      <c r="D420" s="37" t="s">
        <v>39</v>
      </c>
      <c r="E420" s="37" t="s">
        <v>38</v>
      </c>
      <c r="F420" s="38">
        <v>3666.52</v>
      </c>
      <c r="G420" s="38">
        <v>3669.51</v>
      </c>
      <c r="H420" s="38">
        <v>3663.51</v>
      </c>
      <c r="I420" s="37" t="s">
        <v>563</v>
      </c>
      <c r="J420" s="38">
        <v>3669.53</v>
      </c>
      <c r="K420" s="38">
        <v>0</v>
      </c>
      <c r="L420" s="38">
        <v>0</v>
      </c>
      <c r="M420" s="39">
        <v>-3.01</v>
      </c>
      <c r="N420" s="10" t="str">
        <f t="shared" si="63"/>
        <v>L</v>
      </c>
      <c r="O420" s="11">
        <f t="shared" si="64"/>
        <v>45918</v>
      </c>
      <c r="P420" s="12" t="str">
        <f t="shared" si="65"/>
        <v>13</v>
      </c>
      <c r="Q420" s="13" t="str">
        <f>VLOOKUP($B420,Deals_Demo!$H:$N,7,0)</f>
        <v>strategy_09_demo</v>
      </c>
      <c r="R420" s="13" t="str">
        <f t="shared" si="66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67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0"/>
        <v>-0.30099999999999999</v>
      </c>
      <c r="Y420" s="13">
        <f t="shared" si="61"/>
        <v>-0.60199999999999998</v>
      </c>
      <c r="Z420" s="13">
        <f t="shared" si="62"/>
        <v>-0.90299999999999991</v>
      </c>
      <c r="AA420" s="13">
        <f t="shared" si="68"/>
        <v>-3</v>
      </c>
    </row>
    <row r="421" spans="1:27" x14ac:dyDescent="0.25">
      <c r="A421" s="40">
        <v>45918.555763888886</v>
      </c>
      <c r="B421" s="41">
        <v>443337912</v>
      </c>
      <c r="C421" s="42" t="s">
        <v>36</v>
      </c>
      <c r="D421" s="42" t="s">
        <v>39</v>
      </c>
      <c r="E421" s="42" t="s">
        <v>38</v>
      </c>
      <c r="F421" s="43">
        <v>3666.52</v>
      </c>
      <c r="G421" s="43">
        <v>3669.51</v>
      </c>
      <c r="H421" s="43">
        <v>3663.01</v>
      </c>
      <c r="I421" s="42" t="s">
        <v>563</v>
      </c>
      <c r="J421" s="43">
        <v>3669.53</v>
      </c>
      <c r="K421" s="43">
        <v>0</v>
      </c>
      <c r="L421" s="43">
        <v>0</v>
      </c>
      <c r="M421" s="44">
        <v>-3.01</v>
      </c>
      <c r="N421" s="10" t="str">
        <f t="shared" si="63"/>
        <v>L</v>
      </c>
      <c r="O421" s="11">
        <f t="shared" si="64"/>
        <v>45918</v>
      </c>
      <c r="P421" s="12" t="str">
        <f t="shared" si="65"/>
        <v>13</v>
      </c>
      <c r="Q421" s="13" t="str">
        <f>VLOOKUP($B421,Deals_Demo!$H:$N,7,0)</f>
        <v>strategy_11_demo</v>
      </c>
      <c r="R421" s="13" t="str">
        <f t="shared" si="66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67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0"/>
        <v>-0.30099999999999999</v>
      </c>
      <c r="Y421" s="13">
        <f t="shared" si="61"/>
        <v>-0.60199999999999998</v>
      </c>
      <c r="Z421" s="13">
        <f t="shared" si="62"/>
        <v>-0.90299999999999991</v>
      </c>
      <c r="AA421" s="13">
        <f t="shared" si="68"/>
        <v>-3</v>
      </c>
    </row>
    <row r="422" spans="1:27" x14ac:dyDescent="0.25">
      <c r="A422" s="35">
        <v>45918.555763888886</v>
      </c>
      <c r="B422" s="36">
        <v>443337926</v>
      </c>
      <c r="C422" s="37" t="s">
        <v>36</v>
      </c>
      <c r="D422" s="37" t="s">
        <v>39</v>
      </c>
      <c r="E422" s="37" t="s">
        <v>38</v>
      </c>
      <c r="F422" s="38">
        <v>3666.52</v>
      </c>
      <c r="G422" s="38">
        <v>3669.01</v>
      </c>
      <c r="H422" s="38">
        <v>3663.51</v>
      </c>
      <c r="I422" s="37" t="s">
        <v>565</v>
      </c>
      <c r="J422" s="38">
        <v>3669.01</v>
      </c>
      <c r="K422" s="38">
        <v>0</v>
      </c>
      <c r="L422" s="38">
        <v>0</v>
      </c>
      <c r="M422" s="39">
        <v>-2.4900000000000002</v>
      </c>
      <c r="N422" s="10" t="str">
        <f t="shared" si="63"/>
        <v>L</v>
      </c>
      <c r="O422" s="11">
        <f t="shared" si="64"/>
        <v>45918</v>
      </c>
      <c r="P422" s="12" t="str">
        <f t="shared" si="65"/>
        <v>13</v>
      </c>
      <c r="Q422" s="13" t="str">
        <f>VLOOKUP($B422,Deals_Demo!$H:$N,7,0)</f>
        <v>strategy_10_demo</v>
      </c>
      <c r="R422" s="13" t="str">
        <f t="shared" si="66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67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0"/>
        <v>-0.24900000000000003</v>
      </c>
      <c r="Y422" s="13">
        <f t="shared" si="61"/>
        <v>-0.49800000000000005</v>
      </c>
      <c r="Z422" s="13">
        <f t="shared" si="62"/>
        <v>-0.747</v>
      </c>
      <c r="AA422" s="13">
        <f t="shared" si="68"/>
        <v>-3</v>
      </c>
    </row>
    <row r="423" spans="1:27" x14ac:dyDescent="0.25">
      <c r="A423" s="40">
        <v>45918.569756944446</v>
      </c>
      <c r="B423" s="41">
        <v>443345743</v>
      </c>
      <c r="C423" s="42" t="s">
        <v>36</v>
      </c>
      <c r="D423" s="42" t="s">
        <v>39</v>
      </c>
      <c r="E423" s="42" t="s">
        <v>38</v>
      </c>
      <c r="F423" s="43">
        <v>3667.2</v>
      </c>
      <c r="G423" s="43">
        <v>3670.2</v>
      </c>
      <c r="H423" s="43">
        <v>3665.7</v>
      </c>
      <c r="I423" s="42" t="s">
        <v>566</v>
      </c>
      <c r="J423" s="43">
        <v>3670.23</v>
      </c>
      <c r="K423" s="43">
        <v>0</v>
      </c>
      <c r="L423" s="43">
        <v>0</v>
      </c>
      <c r="M423" s="44">
        <v>-3.03</v>
      </c>
      <c r="N423" s="10" t="str">
        <f t="shared" si="63"/>
        <v>L</v>
      </c>
      <c r="O423" s="11">
        <f t="shared" si="64"/>
        <v>45918</v>
      </c>
      <c r="P423" s="12" t="str">
        <f t="shared" si="65"/>
        <v>13</v>
      </c>
      <c r="Q423" s="13" t="str">
        <f>VLOOKUP($B423,Deals_Demo!$H:$N,7,0)</f>
        <v>strategy_12_demo</v>
      </c>
      <c r="R423" s="13" t="str">
        <f t="shared" si="66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67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0"/>
        <v>-0.30299999999999999</v>
      </c>
      <c r="Y423" s="13">
        <f t="shared" si="61"/>
        <v>-0.60599999999999998</v>
      </c>
      <c r="Z423" s="13">
        <f t="shared" si="62"/>
        <v>-0.90899999999999992</v>
      </c>
      <c r="AA423" s="13">
        <f t="shared" si="68"/>
        <v>-3</v>
      </c>
    </row>
    <row r="424" spans="1:27" x14ac:dyDescent="0.25">
      <c r="A424" s="35">
        <v>45918.569756944446</v>
      </c>
      <c r="B424" s="36">
        <v>443345744</v>
      </c>
      <c r="C424" s="37" t="s">
        <v>36</v>
      </c>
      <c r="D424" s="37" t="s">
        <v>39</v>
      </c>
      <c r="E424" s="37" t="s">
        <v>38</v>
      </c>
      <c r="F424" s="38">
        <v>3667.2</v>
      </c>
      <c r="G424" s="38">
        <v>3670.2</v>
      </c>
      <c r="H424" s="38">
        <v>3664.2</v>
      </c>
      <c r="I424" s="37" t="s">
        <v>566</v>
      </c>
      <c r="J424" s="38">
        <v>3670.23</v>
      </c>
      <c r="K424" s="38">
        <v>0</v>
      </c>
      <c r="L424" s="38">
        <v>0</v>
      </c>
      <c r="M424" s="39">
        <v>-3.03</v>
      </c>
      <c r="N424" s="10" t="str">
        <f t="shared" si="63"/>
        <v>L</v>
      </c>
      <c r="O424" s="11">
        <f t="shared" si="64"/>
        <v>45918</v>
      </c>
      <c r="P424" s="12" t="str">
        <f t="shared" si="65"/>
        <v>13</v>
      </c>
      <c r="Q424" s="13" t="str">
        <f>VLOOKUP($B424,Deals_Demo!$H:$N,7,0)</f>
        <v>strategy_09_demo</v>
      </c>
      <c r="R424" s="13" t="str">
        <f t="shared" si="66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67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0"/>
        <v>-0.30299999999999999</v>
      </c>
      <c r="Y424" s="13">
        <f t="shared" si="61"/>
        <v>-0.60599999999999998</v>
      </c>
      <c r="Z424" s="13">
        <f t="shared" si="62"/>
        <v>-0.90899999999999992</v>
      </c>
      <c r="AA424" s="13">
        <f t="shared" si="68"/>
        <v>-3</v>
      </c>
    </row>
    <row r="425" spans="1:27" x14ac:dyDescent="0.25">
      <c r="A425" s="40">
        <v>45918.569768518515</v>
      </c>
      <c r="B425" s="41">
        <v>443345746</v>
      </c>
      <c r="C425" s="42" t="s">
        <v>36</v>
      </c>
      <c r="D425" s="42" t="s">
        <v>39</v>
      </c>
      <c r="E425" s="42" t="s">
        <v>38</v>
      </c>
      <c r="F425" s="43">
        <v>3667.15</v>
      </c>
      <c r="G425" s="43">
        <v>3669.7</v>
      </c>
      <c r="H425" s="43">
        <v>3664.2</v>
      </c>
      <c r="I425" s="42" t="s">
        <v>567</v>
      </c>
      <c r="J425" s="43">
        <v>3669.72</v>
      </c>
      <c r="K425" s="43">
        <v>0</v>
      </c>
      <c r="L425" s="43">
        <v>0</v>
      </c>
      <c r="M425" s="44">
        <v>-2.57</v>
      </c>
      <c r="N425" s="10" t="str">
        <f t="shared" si="63"/>
        <v>L</v>
      </c>
      <c r="O425" s="11">
        <f t="shared" si="64"/>
        <v>45918</v>
      </c>
      <c r="P425" s="12" t="str">
        <f t="shared" si="65"/>
        <v>13</v>
      </c>
      <c r="Q425" s="13" t="str">
        <f>VLOOKUP($B425,Deals_Demo!$H:$N,7,0)</f>
        <v>strategy_10_demo</v>
      </c>
      <c r="R425" s="13" t="str">
        <f t="shared" si="66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67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0"/>
        <v>-0.25700000000000001</v>
      </c>
      <c r="Y425" s="13">
        <f t="shared" si="61"/>
        <v>-0.51400000000000001</v>
      </c>
      <c r="Z425" s="13">
        <f t="shared" si="62"/>
        <v>-0.77099999999999991</v>
      </c>
      <c r="AA425" s="13">
        <f t="shared" si="68"/>
        <v>-3</v>
      </c>
    </row>
    <row r="426" spans="1:27" x14ac:dyDescent="0.25">
      <c r="A426" s="35">
        <v>45918.569768518515</v>
      </c>
      <c r="B426" s="36">
        <v>443345749</v>
      </c>
      <c r="C426" s="37" t="s">
        <v>36</v>
      </c>
      <c r="D426" s="37" t="s">
        <v>39</v>
      </c>
      <c r="E426" s="37" t="s">
        <v>38</v>
      </c>
      <c r="F426" s="38">
        <v>3667.12</v>
      </c>
      <c r="G426" s="38">
        <v>3670.2</v>
      </c>
      <c r="H426" s="38">
        <v>3663.7</v>
      </c>
      <c r="I426" s="37" t="s">
        <v>566</v>
      </c>
      <c r="J426" s="38">
        <v>3670.23</v>
      </c>
      <c r="K426" s="38">
        <v>0</v>
      </c>
      <c r="L426" s="38">
        <v>0</v>
      </c>
      <c r="M426" s="39">
        <v>-3.11</v>
      </c>
      <c r="N426" s="10" t="str">
        <f t="shared" si="63"/>
        <v>L</v>
      </c>
      <c r="O426" s="11">
        <f t="shared" si="64"/>
        <v>45918</v>
      </c>
      <c r="P426" s="12" t="str">
        <f t="shared" si="65"/>
        <v>13</v>
      </c>
      <c r="Q426" s="13" t="str">
        <f>VLOOKUP($B426,Deals_Demo!$H:$N,7,0)</f>
        <v>strategy_11_demo</v>
      </c>
      <c r="R426" s="13" t="str">
        <f t="shared" si="66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67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0"/>
        <v>-0.311</v>
      </c>
      <c r="Y426" s="13">
        <f t="shared" si="61"/>
        <v>-0.622</v>
      </c>
      <c r="Z426" s="13">
        <f t="shared" si="62"/>
        <v>-0.93299999999999994</v>
      </c>
      <c r="AA426" s="13">
        <f t="shared" si="68"/>
        <v>-3</v>
      </c>
    </row>
    <row r="427" spans="1:27" x14ac:dyDescent="0.25">
      <c r="A427" s="40">
        <v>45918.574502314812</v>
      </c>
      <c r="B427" s="41">
        <v>443347406</v>
      </c>
      <c r="C427" s="42" t="s">
        <v>36</v>
      </c>
      <c r="D427" s="42" t="s">
        <v>39</v>
      </c>
      <c r="E427" s="42" t="s">
        <v>38</v>
      </c>
      <c r="F427" s="43">
        <v>3666.23</v>
      </c>
      <c r="G427" s="43">
        <v>3667.72</v>
      </c>
      <c r="H427" s="43">
        <v>3664.72</v>
      </c>
      <c r="I427" s="42" t="s">
        <v>568</v>
      </c>
      <c r="J427" s="43">
        <v>3667.75</v>
      </c>
      <c r="K427" s="43">
        <v>0</v>
      </c>
      <c r="L427" s="43">
        <v>0</v>
      </c>
      <c r="M427" s="44">
        <v>-1.52</v>
      </c>
      <c r="N427" s="10" t="str">
        <f t="shared" si="63"/>
        <v>L</v>
      </c>
      <c r="O427" s="11">
        <f t="shared" si="64"/>
        <v>45918</v>
      </c>
      <c r="P427" s="12" t="str">
        <f t="shared" si="65"/>
        <v>13</v>
      </c>
      <c r="Q427" s="13" t="str">
        <f>VLOOKUP($B427,Deals_Demo!$H:$N,7,0)</f>
        <v>strategy_15_demo</v>
      </c>
      <c r="R427" s="13" t="str">
        <f t="shared" si="66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67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0"/>
        <v>-0.15200000000000002</v>
      </c>
      <c r="Y427" s="13">
        <f t="shared" si="61"/>
        <v>-0.30400000000000005</v>
      </c>
      <c r="Z427" s="13">
        <f t="shared" si="62"/>
        <v>-0.45599999999999996</v>
      </c>
      <c r="AA427" s="13">
        <f t="shared" si="68"/>
        <v>-3</v>
      </c>
    </row>
    <row r="428" spans="1:27" x14ac:dyDescent="0.25">
      <c r="A428" s="35">
        <v>45918.574502314812</v>
      </c>
      <c r="B428" s="36">
        <v>443347408</v>
      </c>
      <c r="C428" s="37" t="s">
        <v>36</v>
      </c>
      <c r="D428" s="37" t="s">
        <v>39</v>
      </c>
      <c r="E428" s="37" t="s">
        <v>38</v>
      </c>
      <c r="F428" s="38">
        <v>3666.23</v>
      </c>
      <c r="G428" s="38">
        <v>3669.23</v>
      </c>
      <c r="H428" s="38">
        <v>3664.73</v>
      </c>
      <c r="I428" s="37" t="s">
        <v>569</v>
      </c>
      <c r="J428" s="38">
        <v>3669.25</v>
      </c>
      <c r="K428" s="38">
        <v>0</v>
      </c>
      <c r="L428" s="38">
        <v>0</v>
      </c>
      <c r="M428" s="39">
        <v>-3.02</v>
      </c>
      <c r="N428" s="10" t="str">
        <f t="shared" si="63"/>
        <v>L</v>
      </c>
      <c r="O428" s="11">
        <f t="shared" si="64"/>
        <v>45918</v>
      </c>
      <c r="P428" s="12" t="str">
        <f t="shared" si="65"/>
        <v>13</v>
      </c>
      <c r="Q428" s="13" t="str">
        <f>VLOOKUP($B428,Deals_Demo!$H:$N,7,0)</f>
        <v>strategy_14_demo</v>
      </c>
      <c r="R428" s="13" t="str">
        <f t="shared" si="66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67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0"/>
        <v>-0.30200000000000005</v>
      </c>
      <c r="Y428" s="13">
        <f t="shared" si="61"/>
        <v>-0.60400000000000009</v>
      </c>
      <c r="Z428" s="13">
        <f t="shared" si="62"/>
        <v>-0.90599999999999992</v>
      </c>
      <c r="AA428" s="13">
        <f t="shared" si="68"/>
        <v>-3</v>
      </c>
    </row>
    <row r="429" spans="1:27" x14ac:dyDescent="0.25">
      <c r="A429" s="40">
        <v>45918.598807870374</v>
      </c>
      <c r="B429" s="41">
        <v>443356771</v>
      </c>
      <c r="C429" s="42" t="s">
        <v>36</v>
      </c>
      <c r="D429" s="42" t="s">
        <v>37</v>
      </c>
      <c r="E429" s="42" t="s">
        <v>38</v>
      </c>
      <c r="F429" s="43">
        <v>3669.85</v>
      </c>
      <c r="G429" s="43">
        <v>3666.89</v>
      </c>
      <c r="H429" s="43">
        <v>3671.39</v>
      </c>
      <c r="I429" s="42" t="s">
        <v>570</v>
      </c>
      <c r="J429" s="43">
        <v>3666.89</v>
      </c>
      <c r="K429" s="43">
        <v>0</v>
      </c>
      <c r="L429" s="43">
        <v>0</v>
      </c>
      <c r="M429" s="44">
        <v>-2.96</v>
      </c>
      <c r="N429" s="10" t="str">
        <f t="shared" si="63"/>
        <v>L</v>
      </c>
      <c r="O429" s="11">
        <f t="shared" si="64"/>
        <v>45918</v>
      </c>
      <c r="P429" s="12" t="str">
        <f t="shared" si="65"/>
        <v>14</v>
      </c>
      <c r="Q429" s="13" t="str">
        <f>VLOOKUP($B429,Deals_Demo!$H:$N,7,0)</f>
        <v>strategy_12_demo</v>
      </c>
      <c r="R429" s="13" t="str">
        <f t="shared" si="66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67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0"/>
        <v>-0.29599999999999999</v>
      </c>
      <c r="Y429" s="13">
        <f t="shared" si="61"/>
        <v>-0.59199999999999997</v>
      </c>
      <c r="Z429" s="13">
        <f t="shared" si="62"/>
        <v>-0.88800000000000001</v>
      </c>
      <c r="AA429" s="13">
        <f t="shared" si="68"/>
        <v>-3</v>
      </c>
    </row>
    <row r="430" spans="1:27" x14ac:dyDescent="0.25">
      <c r="A430" s="35">
        <v>45918.598807870374</v>
      </c>
      <c r="B430" s="36">
        <v>443356772</v>
      </c>
      <c r="C430" s="37" t="s">
        <v>36</v>
      </c>
      <c r="D430" s="37" t="s">
        <v>37</v>
      </c>
      <c r="E430" s="37" t="s">
        <v>38</v>
      </c>
      <c r="F430" s="38">
        <v>3669.84</v>
      </c>
      <c r="G430" s="38">
        <v>3668.35</v>
      </c>
      <c r="H430" s="38">
        <v>3671.35</v>
      </c>
      <c r="I430" s="37" t="s">
        <v>571</v>
      </c>
      <c r="J430" s="38">
        <v>3668.27</v>
      </c>
      <c r="K430" s="38">
        <v>0</v>
      </c>
      <c r="L430" s="38">
        <v>0</v>
      </c>
      <c r="M430" s="39">
        <v>-1.57</v>
      </c>
      <c r="N430" s="10" t="str">
        <f t="shared" si="63"/>
        <v>L</v>
      </c>
      <c r="O430" s="11">
        <f t="shared" si="64"/>
        <v>45918</v>
      </c>
      <c r="P430" s="12" t="str">
        <f t="shared" si="65"/>
        <v>14</v>
      </c>
      <c r="Q430" s="13" t="str">
        <f>VLOOKUP($B430,Deals_Demo!$H:$N,7,0)</f>
        <v>strategy_15_demo</v>
      </c>
      <c r="R430" s="13" t="str">
        <f t="shared" si="66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67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0"/>
        <v>-0.15700000000000003</v>
      </c>
      <c r="Y430" s="13">
        <f t="shared" si="61"/>
        <v>-0.31400000000000006</v>
      </c>
      <c r="Z430" s="13">
        <f t="shared" si="62"/>
        <v>-0.47099999999999997</v>
      </c>
      <c r="AA430" s="13">
        <f t="shared" si="68"/>
        <v>-3</v>
      </c>
    </row>
    <row r="431" spans="1:27" x14ac:dyDescent="0.25">
      <c r="A431" s="40">
        <v>45918.598807870374</v>
      </c>
      <c r="B431" s="41">
        <v>443356773</v>
      </c>
      <c r="C431" s="42" t="s">
        <v>36</v>
      </c>
      <c r="D431" s="42" t="s">
        <v>37</v>
      </c>
      <c r="E431" s="42" t="s">
        <v>38</v>
      </c>
      <c r="F431" s="43">
        <v>3669.84</v>
      </c>
      <c r="G431" s="43">
        <v>3666.85</v>
      </c>
      <c r="H431" s="43">
        <v>3671.35</v>
      </c>
      <c r="I431" s="42" t="s">
        <v>572</v>
      </c>
      <c r="J431" s="43">
        <v>3666.85</v>
      </c>
      <c r="K431" s="43">
        <v>0</v>
      </c>
      <c r="L431" s="43">
        <v>0</v>
      </c>
      <c r="M431" s="44">
        <v>-2.99</v>
      </c>
      <c r="N431" s="10" t="str">
        <f t="shared" si="63"/>
        <v>L</v>
      </c>
      <c r="O431" s="11">
        <f t="shared" si="64"/>
        <v>45918</v>
      </c>
      <c r="P431" s="12" t="str">
        <f t="shared" si="65"/>
        <v>14</v>
      </c>
      <c r="Q431" s="13" t="str">
        <f>VLOOKUP($B431,Deals_Demo!$H:$N,7,0)</f>
        <v>strategy_14_demo</v>
      </c>
      <c r="R431" s="13" t="str">
        <f t="shared" si="66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67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0"/>
        <v>-0.29900000000000004</v>
      </c>
      <c r="Y431" s="13">
        <f t="shared" si="61"/>
        <v>-0.59800000000000009</v>
      </c>
      <c r="Z431" s="13">
        <f t="shared" si="62"/>
        <v>-0.89700000000000002</v>
      </c>
      <c r="AA431" s="13">
        <f t="shared" si="68"/>
        <v>-3</v>
      </c>
    </row>
    <row r="432" spans="1:27" x14ac:dyDescent="0.25">
      <c r="A432" s="35">
        <v>45918.598819444444</v>
      </c>
      <c r="B432" s="36">
        <v>443356774</v>
      </c>
      <c r="C432" s="37" t="s">
        <v>36</v>
      </c>
      <c r="D432" s="37" t="s">
        <v>37</v>
      </c>
      <c r="E432" s="37" t="s">
        <v>38</v>
      </c>
      <c r="F432" s="38">
        <v>3669.87</v>
      </c>
      <c r="G432" s="38">
        <v>3667.35</v>
      </c>
      <c r="H432" s="38">
        <v>3672.85</v>
      </c>
      <c r="I432" s="37" t="s">
        <v>573</v>
      </c>
      <c r="J432" s="38">
        <v>3667.34</v>
      </c>
      <c r="K432" s="38">
        <v>0</v>
      </c>
      <c r="L432" s="38">
        <v>0</v>
      </c>
      <c r="M432" s="39">
        <v>-2.5299999999999998</v>
      </c>
      <c r="N432" s="10" t="str">
        <f t="shared" si="63"/>
        <v>L</v>
      </c>
      <c r="O432" s="11">
        <f t="shared" si="64"/>
        <v>45918</v>
      </c>
      <c r="P432" s="12" t="str">
        <f t="shared" si="65"/>
        <v>14</v>
      </c>
      <c r="Q432" s="13" t="str">
        <f>VLOOKUP($B432,Deals_Demo!$H:$N,7,0)</f>
        <v>strategy_10_demo</v>
      </c>
      <c r="R432" s="13" t="str">
        <f t="shared" si="66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67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0"/>
        <v>-0.253</v>
      </c>
      <c r="Y432" s="13">
        <f t="shared" si="61"/>
        <v>-0.50600000000000001</v>
      </c>
      <c r="Z432" s="13">
        <f t="shared" si="62"/>
        <v>-0.7589999999999999</v>
      </c>
      <c r="AA432" s="13">
        <f t="shared" si="68"/>
        <v>-3</v>
      </c>
    </row>
    <row r="433" spans="1:27" x14ac:dyDescent="0.25">
      <c r="A433" s="40">
        <v>45918.598819444444</v>
      </c>
      <c r="B433" s="41">
        <v>443356775</v>
      </c>
      <c r="C433" s="42" t="s">
        <v>36</v>
      </c>
      <c r="D433" s="42" t="s">
        <v>37</v>
      </c>
      <c r="E433" s="42" t="s">
        <v>38</v>
      </c>
      <c r="F433" s="43">
        <v>3669.87</v>
      </c>
      <c r="G433" s="43">
        <v>3666.85</v>
      </c>
      <c r="H433" s="43">
        <v>3673.35</v>
      </c>
      <c r="I433" s="42" t="s">
        <v>572</v>
      </c>
      <c r="J433" s="43">
        <v>3666.85</v>
      </c>
      <c r="K433" s="43">
        <v>0</v>
      </c>
      <c r="L433" s="43">
        <v>0</v>
      </c>
      <c r="M433" s="44">
        <v>-3.02</v>
      </c>
      <c r="N433" s="10" t="str">
        <f t="shared" si="63"/>
        <v>L</v>
      </c>
      <c r="O433" s="11">
        <f t="shared" si="64"/>
        <v>45918</v>
      </c>
      <c r="P433" s="12" t="str">
        <f t="shared" si="65"/>
        <v>14</v>
      </c>
      <c r="Q433" s="13" t="str">
        <f>VLOOKUP($B433,Deals_Demo!$H:$N,7,0)</f>
        <v>strategy_11_demo</v>
      </c>
      <c r="R433" s="13" t="str">
        <f t="shared" si="66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67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0"/>
        <v>-0.30200000000000005</v>
      </c>
      <c r="Y433" s="13">
        <f t="shared" si="61"/>
        <v>-0.60400000000000009</v>
      </c>
      <c r="Z433" s="13">
        <f t="shared" si="62"/>
        <v>-0.90599999999999992</v>
      </c>
      <c r="AA433" s="13">
        <f t="shared" si="68"/>
        <v>-3</v>
      </c>
    </row>
    <row r="434" spans="1:27" x14ac:dyDescent="0.25">
      <c r="A434" s="35">
        <v>45918.598819444444</v>
      </c>
      <c r="B434" s="36">
        <v>443356777</v>
      </c>
      <c r="C434" s="37" t="s">
        <v>36</v>
      </c>
      <c r="D434" s="37" t="s">
        <v>37</v>
      </c>
      <c r="E434" s="37" t="s">
        <v>38</v>
      </c>
      <c r="F434" s="38">
        <v>3669.87</v>
      </c>
      <c r="G434" s="38">
        <v>3666.85</v>
      </c>
      <c r="H434" s="38">
        <v>3672.85</v>
      </c>
      <c r="I434" s="37" t="s">
        <v>572</v>
      </c>
      <c r="J434" s="38">
        <v>3666.85</v>
      </c>
      <c r="K434" s="38">
        <v>0</v>
      </c>
      <c r="L434" s="38">
        <v>0</v>
      </c>
      <c r="M434" s="39">
        <v>-3.02</v>
      </c>
      <c r="N434" s="10" t="str">
        <f t="shared" si="63"/>
        <v>L</v>
      </c>
      <c r="O434" s="11">
        <f t="shared" si="64"/>
        <v>45918</v>
      </c>
      <c r="P434" s="12" t="str">
        <f t="shared" si="65"/>
        <v>14</v>
      </c>
      <c r="Q434" s="13" t="str">
        <f>VLOOKUP($B434,Deals_Demo!$H:$N,7,0)</f>
        <v>strategy_09_demo</v>
      </c>
      <c r="R434" s="13" t="str">
        <f t="shared" si="66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67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0"/>
        <v>-0.30200000000000005</v>
      </c>
      <c r="Y434" s="13">
        <f t="shared" si="61"/>
        <v>-0.60400000000000009</v>
      </c>
      <c r="Z434" s="13">
        <f t="shared" si="62"/>
        <v>-0.90599999999999992</v>
      </c>
      <c r="AA434" s="13">
        <f t="shared" si="68"/>
        <v>-3</v>
      </c>
    </row>
    <row r="435" spans="1:27" x14ac:dyDescent="0.25">
      <c r="A435" s="40">
        <v>45918.607719907406</v>
      </c>
      <c r="B435" s="41">
        <v>443361991</v>
      </c>
      <c r="C435" s="42" t="s">
        <v>36</v>
      </c>
      <c r="D435" s="42" t="s">
        <v>39</v>
      </c>
      <c r="E435" s="42" t="s">
        <v>38</v>
      </c>
      <c r="F435" s="43">
        <v>3665.73</v>
      </c>
      <c r="G435" s="43">
        <v>3668.51</v>
      </c>
      <c r="H435" s="43">
        <v>3664.01</v>
      </c>
      <c r="I435" s="42" t="s">
        <v>574</v>
      </c>
      <c r="J435" s="43">
        <v>3668.56</v>
      </c>
      <c r="K435" s="43">
        <v>0</v>
      </c>
      <c r="L435" s="43">
        <v>0</v>
      </c>
      <c r="M435" s="44">
        <v>-2.83</v>
      </c>
      <c r="N435" s="10" t="str">
        <f t="shared" si="63"/>
        <v>L</v>
      </c>
      <c r="O435" s="11">
        <f t="shared" si="64"/>
        <v>45918</v>
      </c>
      <c r="P435" s="12" t="str">
        <f t="shared" si="65"/>
        <v>14</v>
      </c>
      <c r="Q435" s="13" t="str">
        <f>VLOOKUP($B435,Deals_Demo!$H:$N,7,0)</f>
        <v>strategy_12_demo</v>
      </c>
      <c r="R435" s="13" t="str">
        <f t="shared" si="66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67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0"/>
        <v>-0.28300000000000003</v>
      </c>
      <c r="Y435" s="13">
        <f t="shared" si="61"/>
        <v>-0.56600000000000006</v>
      </c>
      <c r="Z435" s="13">
        <f t="shared" si="62"/>
        <v>-0.84899999999999998</v>
      </c>
      <c r="AA435" s="13">
        <f t="shared" si="68"/>
        <v>-3</v>
      </c>
    </row>
    <row r="436" spans="1:27" x14ac:dyDescent="0.25">
      <c r="A436" s="35">
        <v>45918.607719907406</v>
      </c>
      <c r="B436" s="36">
        <v>443361994</v>
      </c>
      <c r="C436" s="37" t="s">
        <v>36</v>
      </c>
      <c r="D436" s="37" t="s">
        <v>39</v>
      </c>
      <c r="E436" s="37" t="s">
        <v>38</v>
      </c>
      <c r="F436" s="38">
        <v>3665.71</v>
      </c>
      <c r="G436" s="38">
        <v>3667.23</v>
      </c>
      <c r="H436" s="38">
        <v>3664.23</v>
      </c>
      <c r="I436" s="37" t="s">
        <v>575</v>
      </c>
      <c r="J436" s="38">
        <v>3667.25</v>
      </c>
      <c r="K436" s="38">
        <v>0</v>
      </c>
      <c r="L436" s="38">
        <v>0</v>
      </c>
      <c r="M436" s="39">
        <v>-1.54</v>
      </c>
      <c r="N436" s="10" t="str">
        <f t="shared" si="63"/>
        <v>L</v>
      </c>
      <c r="O436" s="11">
        <f t="shared" si="64"/>
        <v>45918</v>
      </c>
      <c r="P436" s="12" t="str">
        <f t="shared" si="65"/>
        <v>14</v>
      </c>
      <c r="Q436" s="13" t="str">
        <f>VLOOKUP($B436,Deals_Demo!$H:$N,7,0)</f>
        <v>strategy_15_demo</v>
      </c>
      <c r="R436" s="13" t="str">
        <f t="shared" si="66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67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0"/>
        <v>-0.15400000000000003</v>
      </c>
      <c r="Y436" s="13">
        <f t="shared" si="61"/>
        <v>-0.30800000000000005</v>
      </c>
      <c r="Z436" s="13">
        <f t="shared" si="62"/>
        <v>-0.46199999999999997</v>
      </c>
      <c r="AA436" s="13">
        <f t="shared" si="68"/>
        <v>-3</v>
      </c>
    </row>
    <row r="437" spans="1:27" x14ac:dyDescent="0.25">
      <c r="A437" s="40">
        <v>45918.607719907406</v>
      </c>
      <c r="B437" s="41">
        <v>443361997</v>
      </c>
      <c r="C437" s="42" t="s">
        <v>36</v>
      </c>
      <c r="D437" s="42" t="s">
        <v>39</v>
      </c>
      <c r="E437" s="42" t="s">
        <v>38</v>
      </c>
      <c r="F437" s="43">
        <v>3665.79</v>
      </c>
      <c r="G437" s="43">
        <v>3668.73</v>
      </c>
      <c r="H437" s="43">
        <v>3664.23</v>
      </c>
      <c r="I437" s="42" t="s">
        <v>576</v>
      </c>
      <c r="J437" s="43">
        <v>3668.78</v>
      </c>
      <c r="K437" s="43">
        <v>0</v>
      </c>
      <c r="L437" s="43">
        <v>0</v>
      </c>
      <c r="M437" s="44">
        <v>-2.99</v>
      </c>
      <c r="N437" s="10" t="str">
        <f t="shared" si="63"/>
        <v>L</v>
      </c>
      <c r="O437" s="11">
        <f t="shared" si="64"/>
        <v>45918</v>
      </c>
      <c r="P437" s="12" t="str">
        <f t="shared" si="65"/>
        <v>14</v>
      </c>
      <c r="Q437" s="13" t="str">
        <f>VLOOKUP($B437,Deals_Demo!$H:$N,7,0)</f>
        <v>strategy_14_demo</v>
      </c>
      <c r="R437" s="13" t="str">
        <f t="shared" si="66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67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0"/>
        <v>-0.29900000000000004</v>
      </c>
      <c r="Y437" s="13">
        <f t="shared" si="61"/>
        <v>-0.59800000000000009</v>
      </c>
      <c r="Z437" s="13">
        <f t="shared" si="62"/>
        <v>-0.89700000000000002</v>
      </c>
      <c r="AA437" s="13">
        <f t="shared" si="68"/>
        <v>-3</v>
      </c>
    </row>
    <row r="438" spans="1:27" x14ac:dyDescent="0.25">
      <c r="A438" s="35">
        <v>45918.607731481483</v>
      </c>
      <c r="B438" s="36">
        <v>443361999</v>
      </c>
      <c r="C438" s="37" t="s">
        <v>36</v>
      </c>
      <c r="D438" s="37" t="s">
        <v>39</v>
      </c>
      <c r="E438" s="37" t="s">
        <v>38</v>
      </c>
      <c r="F438" s="38">
        <v>3665.84</v>
      </c>
      <c r="G438" s="38">
        <v>3668.73</v>
      </c>
      <c r="H438" s="38">
        <v>3662.73</v>
      </c>
      <c r="I438" s="37" t="s">
        <v>576</v>
      </c>
      <c r="J438" s="38">
        <v>3668.78</v>
      </c>
      <c r="K438" s="38">
        <v>0</v>
      </c>
      <c r="L438" s="38">
        <v>0</v>
      </c>
      <c r="M438" s="39">
        <v>-2.94</v>
      </c>
      <c r="N438" s="10" t="str">
        <f t="shared" si="63"/>
        <v>L</v>
      </c>
      <c r="O438" s="11">
        <f t="shared" si="64"/>
        <v>45918</v>
      </c>
      <c r="P438" s="12" t="str">
        <f t="shared" si="65"/>
        <v>14</v>
      </c>
      <c r="Q438" s="13" t="str">
        <f>VLOOKUP($B438,Deals_Demo!$H:$N,7,0)</f>
        <v>strategy_09_demo</v>
      </c>
      <c r="R438" s="13" t="str">
        <f t="shared" si="66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67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0"/>
        <v>-0.29399999999999998</v>
      </c>
      <c r="Y438" s="13">
        <f t="shared" si="61"/>
        <v>-0.58799999999999997</v>
      </c>
      <c r="Z438" s="13">
        <f t="shared" si="62"/>
        <v>-0.88200000000000001</v>
      </c>
      <c r="AA438" s="13">
        <f t="shared" si="68"/>
        <v>-3</v>
      </c>
    </row>
    <row r="439" spans="1:27" x14ac:dyDescent="0.25">
      <c r="A439" s="40">
        <v>45918.607731481483</v>
      </c>
      <c r="B439" s="41">
        <v>443362001</v>
      </c>
      <c r="C439" s="42" t="s">
        <v>36</v>
      </c>
      <c r="D439" s="42" t="s">
        <v>39</v>
      </c>
      <c r="E439" s="42" t="s">
        <v>38</v>
      </c>
      <c r="F439" s="43">
        <v>3665.83</v>
      </c>
      <c r="G439" s="43">
        <v>3668.23</v>
      </c>
      <c r="H439" s="43">
        <v>3662.73</v>
      </c>
      <c r="I439" s="42" t="s">
        <v>577</v>
      </c>
      <c r="J439" s="43">
        <v>3668.28</v>
      </c>
      <c r="K439" s="43">
        <v>0</v>
      </c>
      <c r="L439" s="43">
        <v>0</v>
      </c>
      <c r="M439" s="44">
        <v>-2.4500000000000002</v>
      </c>
      <c r="N439" s="10" t="str">
        <f t="shared" si="63"/>
        <v>L</v>
      </c>
      <c r="O439" s="11">
        <f t="shared" si="64"/>
        <v>45918</v>
      </c>
      <c r="P439" s="12" t="str">
        <f t="shared" si="65"/>
        <v>14</v>
      </c>
      <c r="Q439" s="13" t="str">
        <f>VLOOKUP($B439,Deals_Demo!$H:$N,7,0)</f>
        <v>strategy_10_demo</v>
      </c>
      <c r="R439" s="13" t="str">
        <f t="shared" si="66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67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0"/>
        <v>-0.24500000000000002</v>
      </c>
      <c r="Y439" s="13">
        <f t="shared" si="61"/>
        <v>-0.49000000000000005</v>
      </c>
      <c r="Z439" s="13">
        <f t="shared" si="62"/>
        <v>-0.73499999999999999</v>
      </c>
      <c r="AA439" s="13">
        <f t="shared" si="68"/>
        <v>-3</v>
      </c>
    </row>
    <row r="440" spans="1:27" x14ac:dyDescent="0.25">
      <c r="A440" s="35">
        <v>45918.607731481483</v>
      </c>
      <c r="B440" s="36">
        <v>443362005</v>
      </c>
      <c r="C440" s="37" t="s">
        <v>36</v>
      </c>
      <c r="D440" s="37" t="s">
        <v>39</v>
      </c>
      <c r="E440" s="37" t="s">
        <v>38</v>
      </c>
      <c r="F440" s="38">
        <v>3665.84</v>
      </c>
      <c r="G440" s="38">
        <v>3668.73</v>
      </c>
      <c r="H440" s="38">
        <v>3662.23</v>
      </c>
      <c r="I440" s="37" t="s">
        <v>576</v>
      </c>
      <c r="J440" s="38">
        <v>3668.78</v>
      </c>
      <c r="K440" s="38">
        <v>0</v>
      </c>
      <c r="L440" s="38">
        <v>0</v>
      </c>
      <c r="M440" s="39">
        <v>-2.94</v>
      </c>
      <c r="N440" s="10" t="str">
        <f t="shared" si="63"/>
        <v>L</v>
      </c>
      <c r="O440" s="11">
        <f t="shared" si="64"/>
        <v>45918</v>
      </c>
      <c r="P440" s="12" t="str">
        <f t="shared" si="65"/>
        <v>14</v>
      </c>
      <c r="Q440" s="13" t="str">
        <f>VLOOKUP($B440,Deals_Demo!$H:$N,7,0)</f>
        <v>strategy_11_demo</v>
      </c>
      <c r="R440" s="13" t="str">
        <f t="shared" si="66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67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0"/>
        <v>-0.29399999999999998</v>
      </c>
      <c r="Y440" s="13">
        <f t="shared" si="61"/>
        <v>-0.58799999999999997</v>
      </c>
      <c r="Z440" s="13">
        <f t="shared" si="62"/>
        <v>-0.88200000000000001</v>
      </c>
      <c r="AA440" s="13">
        <f t="shared" si="68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879"/>
  <sheetViews>
    <sheetView showGridLines="0" topLeftCell="A525" workbookViewId="0">
      <selection activeCell="O879" sqref="O525:T87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4" width="9.140625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66" si="0">A3</f>
        <v>45917.666180555556</v>
      </c>
      <c r="P3" s="19">
        <f t="shared" ref="P3:P66" si="1">O3+(5/24)</f>
        <v>45917.874513888892</v>
      </c>
      <c r="Q3" s="20" t="str">
        <f t="shared" ref="Q3:Q66" si="2">TEXT(P3,"dd/mm/yyyy")</f>
        <v>17/09/2025</v>
      </c>
      <c r="R3" s="13" t="str">
        <f t="shared" ref="R3:R66" si="3">TEXT(P3,"hh")</f>
        <v>20</v>
      </c>
      <c r="S3" s="13" t="str">
        <f t="shared" ref="S3:S66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40">
        <v>45918.281712962962</v>
      </c>
      <c r="B526" s="41">
        <v>443991176</v>
      </c>
      <c r="C526" s="42" t="s">
        <v>36</v>
      </c>
      <c r="D526" s="42" t="s">
        <v>37</v>
      </c>
      <c r="E526" s="42" t="s">
        <v>47</v>
      </c>
      <c r="F526" s="42" t="s">
        <v>38</v>
      </c>
      <c r="G526" s="43">
        <v>3661.36</v>
      </c>
      <c r="H526" s="41">
        <v>443201804</v>
      </c>
      <c r="I526" s="44">
        <v>0</v>
      </c>
      <c r="J526" s="43">
        <v>0</v>
      </c>
      <c r="K526" s="43">
        <v>0</v>
      </c>
      <c r="L526" s="43">
        <v>0.61</v>
      </c>
      <c r="M526" s="43">
        <v>10017.540000000001</v>
      </c>
      <c r="N526" s="45" t="s">
        <v>578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35">
        <v>45918.281712962962</v>
      </c>
      <c r="B527" s="36">
        <v>443991177</v>
      </c>
      <c r="C527" s="37" t="s">
        <v>36</v>
      </c>
      <c r="D527" s="37" t="s">
        <v>37</v>
      </c>
      <c r="E527" s="37" t="s">
        <v>47</v>
      </c>
      <c r="F527" s="37" t="s">
        <v>38</v>
      </c>
      <c r="G527" s="38">
        <v>3661.36</v>
      </c>
      <c r="H527" s="36">
        <v>443201805</v>
      </c>
      <c r="I527" s="39">
        <v>0</v>
      </c>
      <c r="J527" s="38">
        <v>0</v>
      </c>
      <c r="K527" s="38">
        <v>0</v>
      </c>
      <c r="L527" s="38">
        <v>0.61</v>
      </c>
      <c r="M527" s="38">
        <v>10018.15</v>
      </c>
      <c r="N527" s="46" t="s">
        <v>578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40">
        <v>45918.281712962962</v>
      </c>
      <c r="B528" s="41">
        <v>443991178</v>
      </c>
      <c r="C528" s="42" t="s">
        <v>36</v>
      </c>
      <c r="D528" s="42" t="s">
        <v>37</v>
      </c>
      <c r="E528" s="42" t="s">
        <v>47</v>
      </c>
      <c r="F528" s="42" t="s">
        <v>38</v>
      </c>
      <c r="G528" s="43">
        <v>3661.36</v>
      </c>
      <c r="H528" s="41">
        <v>443201806</v>
      </c>
      <c r="I528" s="44">
        <v>0</v>
      </c>
      <c r="J528" s="43">
        <v>0</v>
      </c>
      <c r="K528" s="43">
        <v>0</v>
      </c>
      <c r="L528" s="43">
        <v>0.61</v>
      </c>
      <c r="M528" s="43">
        <v>10018.76</v>
      </c>
      <c r="N528" s="45" t="s">
        <v>578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35">
        <v>45918.281712962962</v>
      </c>
      <c r="B529" s="36">
        <v>443991179</v>
      </c>
      <c r="C529" s="37" t="s">
        <v>36</v>
      </c>
      <c r="D529" s="37" t="s">
        <v>37</v>
      </c>
      <c r="E529" s="37" t="s">
        <v>47</v>
      </c>
      <c r="F529" s="37" t="s">
        <v>38</v>
      </c>
      <c r="G529" s="38">
        <v>3661.36</v>
      </c>
      <c r="H529" s="36">
        <v>443201807</v>
      </c>
      <c r="I529" s="39">
        <v>0</v>
      </c>
      <c r="J529" s="38">
        <v>0</v>
      </c>
      <c r="K529" s="38">
        <v>0</v>
      </c>
      <c r="L529" s="38">
        <v>0.61</v>
      </c>
      <c r="M529" s="38">
        <v>10019.370000000001</v>
      </c>
      <c r="N529" s="46" t="s">
        <v>578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40">
        <v>45918.281921296293</v>
      </c>
      <c r="B530" s="41">
        <v>443991227</v>
      </c>
      <c r="C530" s="42" t="s">
        <v>36</v>
      </c>
      <c r="D530" s="42" t="s">
        <v>39</v>
      </c>
      <c r="E530" s="42" t="s">
        <v>46</v>
      </c>
      <c r="F530" s="42" t="s">
        <v>38</v>
      </c>
      <c r="G530" s="43">
        <v>3660.95</v>
      </c>
      <c r="H530" s="41">
        <v>443201861</v>
      </c>
      <c r="I530" s="44">
        <v>0</v>
      </c>
      <c r="J530" s="43">
        <v>0</v>
      </c>
      <c r="K530" s="43">
        <v>0</v>
      </c>
      <c r="L530" s="43">
        <v>0</v>
      </c>
      <c r="M530" s="43">
        <v>10019.370000000001</v>
      </c>
      <c r="N530" s="45" t="s">
        <v>150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35">
        <v>45918.281921296293</v>
      </c>
      <c r="B531" s="36">
        <v>443991228</v>
      </c>
      <c r="C531" s="37" t="s">
        <v>36</v>
      </c>
      <c r="D531" s="37" t="s">
        <v>39</v>
      </c>
      <c r="E531" s="37" t="s">
        <v>46</v>
      </c>
      <c r="F531" s="37" t="s">
        <v>38</v>
      </c>
      <c r="G531" s="38">
        <v>3661.03</v>
      </c>
      <c r="H531" s="36">
        <v>443201862</v>
      </c>
      <c r="I531" s="39">
        <v>0</v>
      </c>
      <c r="J531" s="38">
        <v>0</v>
      </c>
      <c r="K531" s="38">
        <v>0</v>
      </c>
      <c r="L531" s="38">
        <v>0</v>
      </c>
      <c r="M531" s="38">
        <v>10019.370000000001</v>
      </c>
      <c r="N531" s="46" t="s">
        <v>53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40">
        <v>45918.28193287037</v>
      </c>
      <c r="B532" s="41">
        <v>443991229</v>
      </c>
      <c r="C532" s="42" t="s">
        <v>36</v>
      </c>
      <c r="D532" s="42" t="s">
        <v>39</v>
      </c>
      <c r="E532" s="42" t="s">
        <v>46</v>
      </c>
      <c r="F532" s="42" t="s">
        <v>38</v>
      </c>
      <c r="G532" s="43">
        <v>3661.03</v>
      </c>
      <c r="H532" s="41">
        <v>443201863</v>
      </c>
      <c r="I532" s="44">
        <v>0</v>
      </c>
      <c r="J532" s="43">
        <v>0</v>
      </c>
      <c r="K532" s="43">
        <v>0</v>
      </c>
      <c r="L532" s="43">
        <v>0</v>
      </c>
      <c r="M532" s="43">
        <v>10019.370000000001</v>
      </c>
      <c r="N532" s="45" t="s">
        <v>48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35">
        <v>45918.28193287037</v>
      </c>
      <c r="B533" s="36">
        <v>443991230</v>
      </c>
      <c r="C533" s="37" t="s">
        <v>36</v>
      </c>
      <c r="D533" s="37" t="s">
        <v>39</v>
      </c>
      <c r="E533" s="37" t="s">
        <v>46</v>
      </c>
      <c r="F533" s="37" t="s">
        <v>38</v>
      </c>
      <c r="G533" s="38">
        <v>3661.03</v>
      </c>
      <c r="H533" s="36">
        <v>443201864</v>
      </c>
      <c r="I533" s="39">
        <v>0</v>
      </c>
      <c r="J533" s="38">
        <v>0</v>
      </c>
      <c r="K533" s="38">
        <v>0</v>
      </c>
      <c r="L533" s="38">
        <v>0</v>
      </c>
      <c r="M533" s="38">
        <v>10019.370000000001</v>
      </c>
      <c r="N533" s="46" t="s">
        <v>49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40">
        <v>45918.283009259256</v>
      </c>
      <c r="B534" s="41">
        <v>443991584</v>
      </c>
      <c r="C534" s="42" t="s">
        <v>36</v>
      </c>
      <c r="D534" s="42" t="s">
        <v>39</v>
      </c>
      <c r="E534" s="42" t="s">
        <v>47</v>
      </c>
      <c r="F534" s="42" t="s">
        <v>38</v>
      </c>
      <c r="G534" s="43">
        <v>3660.03</v>
      </c>
      <c r="H534" s="41">
        <v>443202203</v>
      </c>
      <c r="I534" s="44">
        <v>0</v>
      </c>
      <c r="J534" s="43">
        <v>0</v>
      </c>
      <c r="K534" s="43">
        <v>0</v>
      </c>
      <c r="L534" s="43">
        <v>-3</v>
      </c>
      <c r="M534" s="43">
        <v>10016.370000000001</v>
      </c>
      <c r="N534" s="45" t="s">
        <v>579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35">
        <v>45918.283229166664</v>
      </c>
      <c r="B535" s="36">
        <v>443991605</v>
      </c>
      <c r="C535" s="37" t="s">
        <v>36</v>
      </c>
      <c r="D535" s="37" t="s">
        <v>39</v>
      </c>
      <c r="E535" s="37" t="s">
        <v>47</v>
      </c>
      <c r="F535" s="37" t="s">
        <v>38</v>
      </c>
      <c r="G535" s="38">
        <v>3659.91</v>
      </c>
      <c r="H535" s="36">
        <v>443202222</v>
      </c>
      <c r="I535" s="39">
        <v>0</v>
      </c>
      <c r="J535" s="38">
        <v>0</v>
      </c>
      <c r="K535" s="38">
        <v>0</v>
      </c>
      <c r="L535" s="38">
        <v>-3.12</v>
      </c>
      <c r="M535" s="38">
        <v>10013.25</v>
      </c>
      <c r="N535" s="46" t="s">
        <v>580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40">
        <v>45918.287106481483</v>
      </c>
      <c r="B536" s="41">
        <v>443992244</v>
      </c>
      <c r="C536" s="42" t="s">
        <v>36</v>
      </c>
      <c r="D536" s="42" t="s">
        <v>37</v>
      </c>
      <c r="E536" s="42" t="s">
        <v>47</v>
      </c>
      <c r="F536" s="42" t="s">
        <v>38</v>
      </c>
      <c r="G536" s="43">
        <v>3659.45</v>
      </c>
      <c r="H536" s="41">
        <v>443202845</v>
      </c>
      <c r="I536" s="44">
        <v>0</v>
      </c>
      <c r="J536" s="43">
        <v>0</v>
      </c>
      <c r="K536" s="43">
        <v>0</v>
      </c>
      <c r="L536" s="43">
        <v>1.5</v>
      </c>
      <c r="M536" s="43">
        <v>10014.75</v>
      </c>
      <c r="N536" s="45" t="s">
        <v>581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35">
        <v>45918.287824074076</v>
      </c>
      <c r="B537" s="36">
        <v>443992308</v>
      </c>
      <c r="C537" s="37" t="s">
        <v>36</v>
      </c>
      <c r="D537" s="37" t="s">
        <v>39</v>
      </c>
      <c r="E537" s="37" t="s">
        <v>46</v>
      </c>
      <c r="F537" s="37" t="s">
        <v>38</v>
      </c>
      <c r="G537" s="38">
        <v>3659.49</v>
      </c>
      <c r="H537" s="36">
        <v>443202901</v>
      </c>
      <c r="I537" s="39">
        <v>0</v>
      </c>
      <c r="J537" s="38">
        <v>0</v>
      </c>
      <c r="K537" s="38">
        <v>0</v>
      </c>
      <c r="L537" s="38">
        <v>0</v>
      </c>
      <c r="M537" s="38">
        <v>10014.75</v>
      </c>
      <c r="N537" s="46" t="s">
        <v>150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40">
        <v>45918.293275462966</v>
      </c>
      <c r="B538" s="41">
        <v>443993588</v>
      </c>
      <c r="C538" s="42" t="s">
        <v>36</v>
      </c>
      <c r="D538" s="42" t="s">
        <v>37</v>
      </c>
      <c r="E538" s="42" t="s">
        <v>47</v>
      </c>
      <c r="F538" s="42" t="s">
        <v>38</v>
      </c>
      <c r="G538" s="43">
        <v>3657.93</v>
      </c>
      <c r="H538" s="41">
        <v>443204128</v>
      </c>
      <c r="I538" s="44">
        <v>0</v>
      </c>
      <c r="J538" s="43">
        <v>0</v>
      </c>
      <c r="K538" s="43">
        <v>0</v>
      </c>
      <c r="L538" s="43">
        <v>3.1</v>
      </c>
      <c r="M538" s="43">
        <v>10017.85</v>
      </c>
      <c r="N538" s="45" t="s">
        <v>582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35">
        <v>45918.293275462966</v>
      </c>
      <c r="B539" s="36">
        <v>443993589</v>
      </c>
      <c r="C539" s="37" t="s">
        <v>36</v>
      </c>
      <c r="D539" s="37" t="s">
        <v>37</v>
      </c>
      <c r="E539" s="37" t="s">
        <v>47</v>
      </c>
      <c r="F539" s="37" t="s">
        <v>38</v>
      </c>
      <c r="G539" s="38">
        <v>3657.93</v>
      </c>
      <c r="H539" s="36">
        <v>443204129</v>
      </c>
      <c r="I539" s="39">
        <v>0</v>
      </c>
      <c r="J539" s="38">
        <v>0</v>
      </c>
      <c r="K539" s="38">
        <v>0</v>
      </c>
      <c r="L539" s="38">
        <v>3.1</v>
      </c>
      <c r="M539" s="38">
        <v>10020.950000000001</v>
      </c>
      <c r="N539" s="46" t="s">
        <v>582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40">
        <v>45918.293275462966</v>
      </c>
      <c r="B540" s="41">
        <v>443993590</v>
      </c>
      <c r="C540" s="42" t="s">
        <v>36</v>
      </c>
      <c r="D540" s="42" t="s">
        <v>37</v>
      </c>
      <c r="E540" s="42" t="s">
        <v>47</v>
      </c>
      <c r="F540" s="42" t="s">
        <v>38</v>
      </c>
      <c r="G540" s="43">
        <v>3657.93</v>
      </c>
      <c r="H540" s="41">
        <v>443204130</v>
      </c>
      <c r="I540" s="44">
        <v>0</v>
      </c>
      <c r="J540" s="43">
        <v>0</v>
      </c>
      <c r="K540" s="43">
        <v>0</v>
      </c>
      <c r="L540" s="43">
        <v>1.56</v>
      </c>
      <c r="M540" s="43">
        <v>10022.51</v>
      </c>
      <c r="N540" s="45" t="s">
        <v>583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35">
        <v>45918.293796296297</v>
      </c>
      <c r="B541" s="36">
        <v>443993737</v>
      </c>
      <c r="C541" s="37" t="s">
        <v>36</v>
      </c>
      <c r="D541" s="37" t="s">
        <v>37</v>
      </c>
      <c r="E541" s="37" t="s">
        <v>47</v>
      </c>
      <c r="F541" s="37" t="s">
        <v>38</v>
      </c>
      <c r="G541" s="38">
        <v>3657.43</v>
      </c>
      <c r="H541" s="36">
        <v>443204272</v>
      </c>
      <c r="I541" s="39">
        <v>0</v>
      </c>
      <c r="J541" s="38">
        <v>0</v>
      </c>
      <c r="K541" s="38">
        <v>0</v>
      </c>
      <c r="L541" s="38">
        <v>3.6</v>
      </c>
      <c r="M541" s="38">
        <v>10026.11</v>
      </c>
      <c r="N541" s="46" t="s">
        <v>584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40">
        <v>45918.296157407407</v>
      </c>
      <c r="B542" s="41">
        <v>443994533</v>
      </c>
      <c r="C542" s="42" t="s">
        <v>36</v>
      </c>
      <c r="D542" s="42" t="s">
        <v>39</v>
      </c>
      <c r="E542" s="42" t="s">
        <v>46</v>
      </c>
      <c r="F542" s="42" t="s">
        <v>38</v>
      </c>
      <c r="G542" s="43">
        <v>3657.87</v>
      </c>
      <c r="H542" s="41">
        <v>443205050</v>
      </c>
      <c r="I542" s="44">
        <v>0</v>
      </c>
      <c r="J542" s="43">
        <v>0</v>
      </c>
      <c r="K542" s="43">
        <v>0</v>
      </c>
      <c r="L542" s="43">
        <v>0</v>
      </c>
      <c r="M542" s="43">
        <v>10026.11</v>
      </c>
      <c r="N542" s="45" t="s">
        <v>53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35">
        <v>45918.296157407407</v>
      </c>
      <c r="B543" s="36">
        <v>443994534</v>
      </c>
      <c r="C543" s="37" t="s">
        <v>36</v>
      </c>
      <c r="D543" s="37" t="s">
        <v>39</v>
      </c>
      <c r="E543" s="37" t="s">
        <v>46</v>
      </c>
      <c r="F543" s="37" t="s">
        <v>38</v>
      </c>
      <c r="G543" s="38">
        <v>3657.83</v>
      </c>
      <c r="H543" s="36">
        <v>443205051</v>
      </c>
      <c r="I543" s="39">
        <v>0</v>
      </c>
      <c r="J543" s="38">
        <v>0</v>
      </c>
      <c r="K543" s="38">
        <v>0</v>
      </c>
      <c r="L543" s="38">
        <v>0</v>
      </c>
      <c r="M543" s="38">
        <v>10026.11</v>
      </c>
      <c r="N543" s="46" t="s">
        <v>49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40">
        <v>45918.296168981484</v>
      </c>
      <c r="B544" s="41">
        <v>443994535</v>
      </c>
      <c r="C544" s="42" t="s">
        <v>36</v>
      </c>
      <c r="D544" s="42" t="s">
        <v>39</v>
      </c>
      <c r="E544" s="42" t="s">
        <v>46</v>
      </c>
      <c r="F544" s="42" t="s">
        <v>38</v>
      </c>
      <c r="G544" s="43">
        <v>3657.81</v>
      </c>
      <c r="H544" s="41">
        <v>443205052</v>
      </c>
      <c r="I544" s="44">
        <v>0</v>
      </c>
      <c r="J544" s="43">
        <v>0</v>
      </c>
      <c r="K544" s="43">
        <v>0</v>
      </c>
      <c r="L544" s="43">
        <v>0</v>
      </c>
      <c r="M544" s="43">
        <v>10026.11</v>
      </c>
      <c r="N544" s="45" t="s">
        <v>150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35">
        <v>45918.296168981484</v>
      </c>
      <c r="B545" s="36">
        <v>443994537</v>
      </c>
      <c r="C545" s="37" t="s">
        <v>36</v>
      </c>
      <c r="D545" s="37" t="s">
        <v>39</v>
      </c>
      <c r="E545" s="37" t="s">
        <v>46</v>
      </c>
      <c r="F545" s="37" t="s">
        <v>38</v>
      </c>
      <c r="G545" s="38">
        <v>3657.81</v>
      </c>
      <c r="H545" s="36">
        <v>443205054</v>
      </c>
      <c r="I545" s="39">
        <v>0</v>
      </c>
      <c r="J545" s="38">
        <v>0</v>
      </c>
      <c r="K545" s="38">
        <v>0</v>
      </c>
      <c r="L545" s="38">
        <v>0</v>
      </c>
      <c r="M545" s="38">
        <v>10026.11</v>
      </c>
      <c r="N545" s="46" t="s">
        <v>48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40">
        <v>45918.296620370369</v>
      </c>
      <c r="B546" s="41">
        <v>443994582</v>
      </c>
      <c r="C546" s="42" t="s">
        <v>36</v>
      </c>
      <c r="D546" s="42" t="s">
        <v>39</v>
      </c>
      <c r="E546" s="42" t="s">
        <v>46</v>
      </c>
      <c r="F546" s="42" t="s">
        <v>38</v>
      </c>
      <c r="G546" s="43">
        <v>3658</v>
      </c>
      <c r="H546" s="41">
        <v>443205097</v>
      </c>
      <c r="I546" s="44">
        <v>0</v>
      </c>
      <c r="J546" s="43">
        <v>0</v>
      </c>
      <c r="K546" s="43">
        <v>0</v>
      </c>
      <c r="L546" s="43">
        <v>0</v>
      </c>
      <c r="M546" s="43">
        <v>10026.11</v>
      </c>
      <c r="N546" s="45" t="s">
        <v>268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35">
        <v>45918.296620370369</v>
      </c>
      <c r="B547" s="36">
        <v>443994583</v>
      </c>
      <c r="C547" s="37" t="s">
        <v>36</v>
      </c>
      <c r="D547" s="37" t="s">
        <v>39</v>
      </c>
      <c r="E547" s="37" t="s">
        <v>46</v>
      </c>
      <c r="F547" s="37" t="s">
        <v>38</v>
      </c>
      <c r="G547" s="38">
        <v>3657.97</v>
      </c>
      <c r="H547" s="36">
        <v>443205098</v>
      </c>
      <c r="I547" s="39">
        <v>0</v>
      </c>
      <c r="J547" s="38">
        <v>0</v>
      </c>
      <c r="K547" s="38">
        <v>0</v>
      </c>
      <c r="L547" s="38">
        <v>0</v>
      </c>
      <c r="M547" s="38">
        <v>10026.11</v>
      </c>
      <c r="N547" s="46" t="s">
        <v>395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40">
        <v>45918.298587962963</v>
      </c>
      <c r="B548" s="41">
        <v>443994918</v>
      </c>
      <c r="C548" s="42" t="s">
        <v>36</v>
      </c>
      <c r="D548" s="42" t="s">
        <v>39</v>
      </c>
      <c r="E548" s="42" t="s">
        <v>46</v>
      </c>
      <c r="F548" s="42" t="s">
        <v>38</v>
      </c>
      <c r="G548" s="43">
        <v>3658.79</v>
      </c>
      <c r="H548" s="41">
        <v>443205423</v>
      </c>
      <c r="I548" s="44">
        <v>0</v>
      </c>
      <c r="J548" s="43">
        <v>0</v>
      </c>
      <c r="K548" s="43">
        <v>0</v>
      </c>
      <c r="L548" s="43">
        <v>0</v>
      </c>
      <c r="M548" s="43">
        <v>10026.11</v>
      </c>
      <c r="N548" s="45" t="s">
        <v>125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35">
        <v>45918.29859953704</v>
      </c>
      <c r="B549" s="36">
        <v>443994919</v>
      </c>
      <c r="C549" s="37" t="s">
        <v>36</v>
      </c>
      <c r="D549" s="37" t="s">
        <v>39</v>
      </c>
      <c r="E549" s="37" t="s">
        <v>46</v>
      </c>
      <c r="F549" s="37" t="s">
        <v>38</v>
      </c>
      <c r="G549" s="38">
        <v>3658.79</v>
      </c>
      <c r="H549" s="36">
        <v>443205424</v>
      </c>
      <c r="I549" s="39">
        <v>0</v>
      </c>
      <c r="J549" s="38">
        <v>0</v>
      </c>
      <c r="K549" s="38">
        <v>0</v>
      </c>
      <c r="L549" s="38">
        <v>0</v>
      </c>
      <c r="M549" s="38">
        <v>10026.11</v>
      </c>
      <c r="N549" s="46" t="s">
        <v>124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40">
        <v>45918.298622685186</v>
      </c>
      <c r="B550" s="41">
        <v>443994922</v>
      </c>
      <c r="C550" s="42" t="s">
        <v>36</v>
      </c>
      <c r="D550" s="42" t="s">
        <v>39</v>
      </c>
      <c r="E550" s="42" t="s">
        <v>46</v>
      </c>
      <c r="F550" s="42" t="s">
        <v>38</v>
      </c>
      <c r="G550" s="43">
        <v>3658.74</v>
      </c>
      <c r="H550" s="41">
        <v>443205427</v>
      </c>
      <c r="I550" s="44">
        <v>0</v>
      </c>
      <c r="J550" s="43">
        <v>0</v>
      </c>
      <c r="K550" s="43">
        <v>0</v>
      </c>
      <c r="L550" s="43">
        <v>0</v>
      </c>
      <c r="M550" s="43">
        <v>10026.11</v>
      </c>
      <c r="N550" s="45" t="s">
        <v>123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35">
        <v>45918.315613425926</v>
      </c>
      <c r="B551" s="36">
        <v>443997513</v>
      </c>
      <c r="C551" s="37" t="s">
        <v>36</v>
      </c>
      <c r="D551" s="37" t="s">
        <v>37</v>
      </c>
      <c r="E551" s="37" t="s">
        <v>47</v>
      </c>
      <c r="F551" s="37" t="s">
        <v>38</v>
      </c>
      <c r="G551" s="38">
        <v>3656.3</v>
      </c>
      <c r="H551" s="36">
        <v>443207898</v>
      </c>
      <c r="I551" s="39">
        <v>0</v>
      </c>
      <c r="J551" s="38">
        <v>0</v>
      </c>
      <c r="K551" s="38">
        <v>0</v>
      </c>
      <c r="L551" s="38">
        <v>1.51</v>
      </c>
      <c r="M551" s="38">
        <v>10027.620000000001</v>
      </c>
      <c r="N551" s="46" t="s">
        <v>585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40">
        <v>45918.318611111114</v>
      </c>
      <c r="B552" s="41">
        <v>443998251</v>
      </c>
      <c r="C552" s="42" t="s">
        <v>36</v>
      </c>
      <c r="D552" s="42" t="s">
        <v>39</v>
      </c>
      <c r="E552" s="42" t="s">
        <v>46</v>
      </c>
      <c r="F552" s="42" t="s">
        <v>38</v>
      </c>
      <c r="G552" s="43">
        <v>3656.29</v>
      </c>
      <c r="H552" s="41">
        <v>443208612</v>
      </c>
      <c r="I552" s="44">
        <v>0</v>
      </c>
      <c r="J552" s="43">
        <v>0</v>
      </c>
      <c r="K552" s="43">
        <v>0</v>
      </c>
      <c r="L552" s="43">
        <v>0</v>
      </c>
      <c r="M552" s="43">
        <v>10027.620000000001</v>
      </c>
      <c r="N552" s="45" t="s">
        <v>150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35">
        <v>45918.319976851853</v>
      </c>
      <c r="B553" s="36">
        <v>443998813</v>
      </c>
      <c r="C553" s="37" t="s">
        <v>36</v>
      </c>
      <c r="D553" s="37" t="s">
        <v>37</v>
      </c>
      <c r="E553" s="37" t="s">
        <v>47</v>
      </c>
      <c r="F553" s="37" t="s">
        <v>38</v>
      </c>
      <c r="G553" s="38">
        <v>3656.61</v>
      </c>
      <c r="H553" s="36">
        <v>443209172</v>
      </c>
      <c r="I553" s="39">
        <v>0</v>
      </c>
      <c r="J553" s="38">
        <v>0</v>
      </c>
      <c r="K553" s="38">
        <v>0</v>
      </c>
      <c r="L553" s="38">
        <v>1.26</v>
      </c>
      <c r="M553" s="38">
        <v>10028.879999999999</v>
      </c>
      <c r="N553" s="46" t="s">
        <v>586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40">
        <v>45918.319976851853</v>
      </c>
      <c r="B554" s="41">
        <v>443998814</v>
      </c>
      <c r="C554" s="42" t="s">
        <v>36</v>
      </c>
      <c r="D554" s="42" t="s">
        <v>37</v>
      </c>
      <c r="E554" s="42" t="s">
        <v>47</v>
      </c>
      <c r="F554" s="42" t="s">
        <v>38</v>
      </c>
      <c r="G554" s="43">
        <v>3656.61</v>
      </c>
      <c r="H554" s="41">
        <v>443209173</v>
      </c>
      <c r="I554" s="44">
        <v>0</v>
      </c>
      <c r="J554" s="43">
        <v>0</v>
      </c>
      <c r="K554" s="43">
        <v>0</v>
      </c>
      <c r="L554" s="43">
        <v>1.22</v>
      </c>
      <c r="M554" s="43">
        <v>10030.1</v>
      </c>
      <c r="N554" s="45" t="s">
        <v>586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35">
        <v>45918.319976851853</v>
      </c>
      <c r="B555" s="36">
        <v>443998815</v>
      </c>
      <c r="C555" s="37" t="s">
        <v>36</v>
      </c>
      <c r="D555" s="37" t="s">
        <v>37</v>
      </c>
      <c r="E555" s="37" t="s">
        <v>47</v>
      </c>
      <c r="F555" s="37" t="s">
        <v>38</v>
      </c>
      <c r="G555" s="38">
        <v>3656.61</v>
      </c>
      <c r="H555" s="36">
        <v>443209174</v>
      </c>
      <c r="I555" s="39">
        <v>0</v>
      </c>
      <c r="J555" s="38">
        <v>0</v>
      </c>
      <c r="K555" s="38">
        <v>0</v>
      </c>
      <c r="L555" s="38">
        <v>1.2</v>
      </c>
      <c r="M555" s="38">
        <v>10031.299999999999</v>
      </c>
      <c r="N555" s="46" t="s">
        <v>586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40">
        <v>45918.32</v>
      </c>
      <c r="B556" s="41">
        <v>443998819</v>
      </c>
      <c r="C556" s="42" t="s">
        <v>36</v>
      </c>
      <c r="D556" s="42" t="s">
        <v>39</v>
      </c>
      <c r="E556" s="42" t="s">
        <v>46</v>
      </c>
      <c r="F556" s="42" t="s">
        <v>38</v>
      </c>
      <c r="G556" s="43">
        <v>3656.23</v>
      </c>
      <c r="H556" s="41">
        <v>443209177</v>
      </c>
      <c r="I556" s="44">
        <v>0</v>
      </c>
      <c r="J556" s="43">
        <v>0</v>
      </c>
      <c r="K556" s="43">
        <v>0</v>
      </c>
      <c r="L556" s="43">
        <v>0</v>
      </c>
      <c r="M556" s="43">
        <v>10031.299999999999</v>
      </c>
      <c r="N556" s="45" t="s">
        <v>53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35">
        <v>45918.32</v>
      </c>
      <c r="B557" s="36">
        <v>443998820</v>
      </c>
      <c r="C557" s="37" t="s">
        <v>36</v>
      </c>
      <c r="D557" s="37" t="s">
        <v>39</v>
      </c>
      <c r="E557" s="37" t="s">
        <v>46</v>
      </c>
      <c r="F557" s="37" t="s">
        <v>38</v>
      </c>
      <c r="G557" s="38">
        <v>3656.23</v>
      </c>
      <c r="H557" s="36">
        <v>443209178</v>
      </c>
      <c r="I557" s="39">
        <v>0</v>
      </c>
      <c r="J557" s="38">
        <v>0</v>
      </c>
      <c r="K557" s="38">
        <v>0</v>
      </c>
      <c r="L557" s="38">
        <v>0</v>
      </c>
      <c r="M557" s="38">
        <v>10031.299999999999</v>
      </c>
      <c r="N557" s="46" t="s">
        <v>49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40">
        <v>45918.320011574076</v>
      </c>
      <c r="B558" s="41">
        <v>443998821</v>
      </c>
      <c r="C558" s="42" t="s">
        <v>36</v>
      </c>
      <c r="D558" s="42" t="s">
        <v>39</v>
      </c>
      <c r="E558" s="42" t="s">
        <v>46</v>
      </c>
      <c r="F558" s="42" t="s">
        <v>38</v>
      </c>
      <c r="G558" s="43">
        <v>3656.23</v>
      </c>
      <c r="H558" s="41">
        <v>443209179</v>
      </c>
      <c r="I558" s="44">
        <v>0</v>
      </c>
      <c r="J558" s="43">
        <v>0</v>
      </c>
      <c r="K558" s="43">
        <v>0</v>
      </c>
      <c r="L558" s="43">
        <v>0</v>
      </c>
      <c r="M558" s="43">
        <v>10031.299999999999</v>
      </c>
      <c r="N558" s="45" t="s">
        <v>48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35">
        <v>45918.320798611108</v>
      </c>
      <c r="B559" s="36">
        <v>443999025</v>
      </c>
      <c r="C559" s="37" t="s">
        <v>36</v>
      </c>
      <c r="D559" s="37" t="s">
        <v>37</v>
      </c>
      <c r="E559" s="37" t="s">
        <v>47</v>
      </c>
      <c r="F559" s="37" t="s">
        <v>38</v>
      </c>
      <c r="G559" s="38">
        <v>3657.55</v>
      </c>
      <c r="H559" s="36">
        <v>443209379</v>
      </c>
      <c r="I559" s="39">
        <v>0</v>
      </c>
      <c r="J559" s="38">
        <v>0</v>
      </c>
      <c r="K559" s="38">
        <v>0</v>
      </c>
      <c r="L559" s="38">
        <v>1.24</v>
      </c>
      <c r="M559" s="38">
        <v>10032.540000000001</v>
      </c>
      <c r="N559" s="46" t="s">
        <v>587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40">
        <v>45918.320798611108</v>
      </c>
      <c r="B560" s="41">
        <v>443999026</v>
      </c>
      <c r="C560" s="42" t="s">
        <v>36</v>
      </c>
      <c r="D560" s="42" t="s">
        <v>37</v>
      </c>
      <c r="E560" s="42" t="s">
        <v>47</v>
      </c>
      <c r="F560" s="42" t="s">
        <v>38</v>
      </c>
      <c r="G560" s="43">
        <v>3657.55</v>
      </c>
      <c r="H560" s="41">
        <v>443209380</v>
      </c>
      <c r="I560" s="44">
        <v>0</v>
      </c>
      <c r="J560" s="43">
        <v>0</v>
      </c>
      <c r="K560" s="43">
        <v>0</v>
      </c>
      <c r="L560" s="43">
        <v>1.24</v>
      </c>
      <c r="M560" s="43">
        <v>10033.780000000001</v>
      </c>
      <c r="N560" s="45" t="s">
        <v>587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35">
        <v>45918.320821759262</v>
      </c>
      <c r="B561" s="36">
        <v>443999034</v>
      </c>
      <c r="C561" s="37" t="s">
        <v>36</v>
      </c>
      <c r="D561" s="37" t="s">
        <v>39</v>
      </c>
      <c r="E561" s="37" t="s">
        <v>46</v>
      </c>
      <c r="F561" s="37" t="s">
        <v>38</v>
      </c>
      <c r="G561" s="38">
        <v>3657.33</v>
      </c>
      <c r="H561" s="36">
        <v>443209388</v>
      </c>
      <c r="I561" s="39">
        <v>0</v>
      </c>
      <c r="J561" s="38">
        <v>0</v>
      </c>
      <c r="K561" s="38">
        <v>0</v>
      </c>
      <c r="L561" s="38">
        <v>0</v>
      </c>
      <c r="M561" s="38">
        <v>10033.780000000001</v>
      </c>
      <c r="N561" s="46" t="s">
        <v>125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40">
        <v>45918.320821759262</v>
      </c>
      <c r="B562" s="41">
        <v>443999036</v>
      </c>
      <c r="C562" s="42" t="s">
        <v>36</v>
      </c>
      <c r="D562" s="42" t="s">
        <v>39</v>
      </c>
      <c r="E562" s="42" t="s">
        <v>46</v>
      </c>
      <c r="F562" s="42" t="s">
        <v>38</v>
      </c>
      <c r="G562" s="43">
        <v>3657.27</v>
      </c>
      <c r="H562" s="41">
        <v>443209390</v>
      </c>
      <c r="I562" s="44">
        <v>0</v>
      </c>
      <c r="J562" s="43">
        <v>0</v>
      </c>
      <c r="K562" s="43">
        <v>0</v>
      </c>
      <c r="L562" s="43">
        <v>0</v>
      </c>
      <c r="M562" s="43">
        <v>10033.780000000001</v>
      </c>
      <c r="N562" s="45" t="s">
        <v>124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35">
        <v>45918.326666666668</v>
      </c>
      <c r="B563" s="36">
        <v>444000594</v>
      </c>
      <c r="C563" s="37" t="s">
        <v>36</v>
      </c>
      <c r="D563" s="37" t="s">
        <v>37</v>
      </c>
      <c r="E563" s="37" t="s">
        <v>47</v>
      </c>
      <c r="F563" s="37" t="s">
        <v>38</v>
      </c>
      <c r="G563" s="38">
        <v>3657.01</v>
      </c>
      <c r="H563" s="36">
        <v>443210912</v>
      </c>
      <c r="I563" s="39">
        <v>0</v>
      </c>
      <c r="J563" s="38">
        <v>0</v>
      </c>
      <c r="K563" s="38">
        <v>0</v>
      </c>
      <c r="L563" s="38">
        <v>1.73</v>
      </c>
      <c r="M563" s="38">
        <v>10035.51</v>
      </c>
      <c r="N563" s="46" t="s">
        <v>588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40">
        <v>45918.327060185184</v>
      </c>
      <c r="B564" s="41">
        <v>444000641</v>
      </c>
      <c r="C564" s="42" t="s">
        <v>36</v>
      </c>
      <c r="D564" s="42" t="s">
        <v>39</v>
      </c>
      <c r="E564" s="42" t="s">
        <v>46</v>
      </c>
      <c r="F564" s="42" t="s">
        <v>38</v>
      </c>
      <c r="G564" s="43">
        <v>3656.79</v>
      </c>
      <c r="H564" s="41">
        <v>443210955</v>
      </c>
      <c r="I564" s="44">
        <v>0</v>
      </c>
      <c r="J564" s="43">
        <v>0</v>
      </c>
      <c r="K564" s="43">
        <v>0</v>
      </c>
      <c r="L564" s="43">
        <v>0</v>
      </c>
      <c r="M564" s="43">
        <v>10035.51</v>
      </c>
      <c r="N564" s="45" t="s">
        <v>123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35">
        <v>45918.33153935185</v>
      </c>
      <c r="B565" s="36">
        <v>444002046</v>
      </c>
      <c r="C565" s="37" t="s">
        <v>36</v>
      </c>
      <c r="D565" s="37" t="s">
        <v>37</v>
      </c>
      <c r="E565" s="37" t="s">
        <v>47</v>
      </c>
      <c r="F565" s="37" t="s">
        <v>38</v>
      </c>
      <c r="G565" s="38">
        <v>3654.73</v>
      </c>
      <c r="H565" s="36">
        <v>443212316</v>
      </c>
      <c r="I565" s="39">
        <v>0</v>
      </c>
      <c r="J565" s="38">
        <v>0</v>
      </c>
      <c r="K565" s="38">
        <v>0</v>
      </c>
      <c r="L565" s="38">
        <v>1.56</v>
      </c>
      <c r="M565" s="38">
        <v>10037.07</v>
      </c>
      <c r="N565" s="46" t="s">
        <v>589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40">
        <v>45918.331608796296</v>
      </c>
      <c r="B566" s="41">
        <v>444002118</v>
      </c>
      <c r="C566" s="42" t="s">
        <v>36</v>
      </c>
      <c r="D566" s="42" t="s">
        <v>37</v>
      </c>
      <c r="E566" s="42" t="s">
        <v>47</v>
      </c>
      <c r="F566" s="42" t="s">
        <v>38</v>
      </c>
      <c r="G566" s="43">
        <v>3654.49</v>
      </c>
      <c r="H566" s="41">
        <v>443212380</v>
      </c>
      <c r="I566" s="44">
        <v>0</v>
      </c>
      <c r="J566" s="43">
        <v>0</v>
      </c>
      <c r="K566" s="43">
        <v>0</v>
      </c>
      <c r="L566" s="43">
        <v>3.51</v>
      </c>
      <c r="M566" s="43">
        <v>10040.58</v>
      </c>
      <c r="N566" s="45" t="s">
        <v>590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35">
        <v>45918.331608796296</v>
      </c>
      <c r="B567" s="36">
        <v>444002119</v>
      </c>
      <c r="C567" s="37" t="s">
        <v>36</v>
      </c>
      <c r="D567" s="37" t="s">
        <v>37</v>
      </c>
      <c r="E567" s="37" t="s">
        <v>47</v>
      </c>
      <c r="F567" s="37" t="s">
        <v>38</v>
      </c>
      <c r="G567" s="38">
        <v>3654.49</v>
      </c>
      <c r="H567" s="36">
        <v>443212381</v>
      </c>
      <c r="I567" s="39">
        <v>0</v>
      </c>
      <c r="J567" s="38">
        <v>0</v>
      </c>
      <c r="K567" s="38">
        <v>0</v>
      </c>
      <c r="L567" s="38">
        <v>3.48</v>
      </c>
      <c r="M567" s="38">
        <v>10044.06</v>
      </c>
      <c r="N567" s="46" t="s">
        <v>590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40">
        <v>45918.334675925929</v>
      </c>
      <c r="B568" s="41">
        <v>444003059</v>
      </c>
      <c r="C568" s="42" t="s">
        <v>36</v>
      </c>
      <c r="D568" s="42" t="s">
        <v>37</v>
      </c>
      <c r="E568" s="42" t="s">
        <v>47</v>
      </c>
      <c r="F568" s="42" t="s">
        <v>38</v>
      </c>
      <c r="G568" s="43">
        <v>3653.17</v>
      </c>
      <c r="H568" s="41">
        <v>443213322</v>
      </c>
      <c r="I568" s="44">
        <v>0</v>
      </c>
      <c r="J568" s="43">
        <v>0</v>
      </c>
      <c r="K568" s="43">
        <v>0</v>
      </c>
      <c r="L568" s="43">
        <v>3.06</v>
      </c>
      <c r="M568" s="43">
        <v>10047.120000000001</v>
      </c>
      <c r="N568" s="45" t="s">
        <v>591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35">
        <v>45918.334675925929</v>
      </c>
      <c r="B569" s="36">
        <v>444003060</v>
      </c>
      <c r="C569" s="37" t="s">
        <v>36</v>
      </c>
      <c r="D569" s="37" t="s">
        <v>37</v>
      </c>
      <c r="E569" s="37" t="s">
        <v>47</v>
      </c>
      <c r="F569" s="37" t="s">
        <v>38</v>
      </c>
      <c r="G569" s="38">
        <v>3653.17</v>
      </c>
      <c r="H569" s="36">
        <v>443213323</v>
      </c>
      <c r="I569" s="39">
        <v>0</v>
      </c>
      <c r="J569" s="38">
        <v>0</v>
      </c>
      <c r="K569" s="38">
        <v>0</v>
      </c>
      <c r="L569" s="38">
        <v>3.06</v>
      </c>
      <c r="M569" s="38">
        <v>10050.18</v>
      </c>
      <c r="N569" s="46" t="s">
        <v>591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40">
        <v>45918.335509259261</v>
      </c>
      <c r="B570" s="41">
        <v>444003218</v>
      </c>
      <c r="C570" s="42" t="s">
        <v>36</v>
      </c>
      <c r="D570" s="42" t="s">
        <v>39</v>
      </c>
      <c r="E570" s="42" t="s">
        <v>46</v>
      </c>
      <c r="F570" s="42" t="s">
        <v>38</v>
      </c>
      <c r="G570" s="43">
        <v>3653.88</v>
      </c>
      <c r="H570" s="41">
        <v>443213475</v>
      </c>
      <c r="I570" s="44">
        <v>0</v>
      </c>
      <c r="J570" s="43">
        <v>0</v>
      </c>
      <c r="K570" s="43">
        <v>0</v>
      </c>
      <c r="L570" s="43">
        <v>0</v>
      </c>
      <c r="M570" s="43">
        <v>10050.18</v>
      </c>
      <c r="N570" s="45" t="s">
        <v>150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35">
        <v>45918.335509259261</v>
      </c>
      <c r="B571" s="36">
        <v>444003220</v>
      </c>
      <c r="C571" s="37" t="s">
        <v>36</v>
      </c>
      <c r="D571" s="37" t="s">
        <v>39</v>
      </c>
      <c r="E571" s="37" t="s">
        <v>46</v>
      </c>
      <c r="F571" s="37" t="s">
        <v>38</v>
      </c>
      <c r="G571" s="38">
        <v>3653.88</v>
      </c>
      <c r="H571" s="36">
        <v>443213477</v>
      </c>
      <c r="I571" s="39">
        <v>0</v>
      </c>
      <c r="J571" s="38">
        <v>0</v>
      </c>
      <c r="K571" s="38">
        <v>0</v>
      </c>
      <c r="L571" s="38">
        <v>0</v>
      </c>
      <c r="M571" s="38">
        <v>10050.18</v>
      </c>
      <c r="N571" s="46" t="s">
        <v>48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40">
        <v>45918.335509259261</v>
      </c>
      <c r="B572" s="41">
        <v>444003221</v>
      </c>
      <c r="C572" s="42" t="s">
        <v>36</v>
      </c>
      <c r="D572" s="42" t="s">
        <v>39</v>
      </c>
      <c r="E572" s="42" t="s">
        <v>46</v>
      </c>
      <c r="F572" s="42" t="s">
        <v>38</v>
      </c>
      <c r="G572" s="43">
        <v>3653.88</v>
      </c>
      <c r="H572" s="41">
        <v>443213478</v>
      </c>
      <c r="I572" s="44">
        <v>0</v>
      </c>
      <c r="J572" s="43">
        <v>0</v>
      </c>
      <c r="K572" s="43">
        <v>0</v>
      </c>
      <c r="L572" s="43">
        <v>0</v>
      </c>
      <c r="M572" s="43">
        <v>10050.18</v>
      </c>
      <c r="N572" s="45" t="s">
        <v>49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35">
        <v>45918.335555555554</v>
      </c>
      <c r="B573" s="36">
        <v>444003254</v>
      </c>
      <c r="C573" s="37" t="s">
        <v>36</v>
      </c>
      <c r="D573" s="37" t="s">
        <v>37</v>
      </c>
      <c r="E573" s="37" t="s">
        <v>47</v>
      </c>
      <c r="F573" s="37" t="s">
        <v>38</v>
      </c>
      <c r="G573" s="38">
        <v>3654.2</v>
      </c>
      <c r="H573" s="36">
        <v>443213511</v>
      </c>
      <c r="I573" s="39">
        <v>0</v>
      </c>
      <c r="J573" s="38">
        <v>0</v>
      </c>
      <c r="K573" s="38">
        <v>0</v>
      </c>
      <c r="L573" s="38">
        <v>2.0299999999999998</v>
      </c>
      <c r="M573" s="38">
        <v>10052.209999999999</v>
      </c>
      <c r="N573" s="46" t="s">
        <v>592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40">
        <v>45918.335625</v>
      </c>
      <c r="B574" s="41">
        <v>444003472</v>
      </c>
      <c r="C574" s="42" t="s">
        <v>36</v>
      </c>
      <c r="D574" s="42" t="s">
        <v>39</v>
      </c>
      <c r="E574" s="42" t="s">
        <v>46</v>
      </c>
      <c r="F574" s="42" t="s">
        <v>38</v>
      </c>
      <c r="G574" s="43">
        <v>3653.88</v>
      </c>
      <c r="H574" s="41">
        <v>443213728</v>
      </c>
      <c r="I574" s="44">
        <v>0</v>
      </c>
      <c r="J574" s="43">
        <v>0</v>
      </c>
      <c r="K574" s="43">
        <v>0</v>
      </c>
      <c r="L574" s="43">
        <v>0</v>
      </c>
      <c r="M574" s="43">
        <v>10052.209999999999</v>
      </c>
      <c r="N574" s="45" t="s">
        <v>53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35">
        <v>45918.336782407408</v>
      </c>
      <c r="B575" s="36">
        <v>444003578</v>
      </c>
      <c r="C575" s="37" t="s">
        <v>36</v>
      </c>
      <c r="D575" s="37" t="s">
        <v>39</v>
      </c>
      <c r="E575" s="37" t="s">
        <v>46</v>
      </c>
      <c r="F575" s="37" t="s">
        <v>38</v>
      </c>
      <c r="G575" s="38">
        <v>3653.99</v>
      </c>
      <c r="H575" s="36">
        <v>443213829</v>
      </c>
      <c r="I575" s="39">
        <v>0</v>
      </c>
      <c r="J575" s="38">
        <v>0</v>
      </c>
      <c r="K575" s="38">
        <v>0</v>
      </c>
      <c r="L575" s="38">
        <v>0</v>
      </c>
      <c r="M575" s="38">
        <v>10052.209999999999</v>
      </c>
      <c r="N575" s="46" t="s">
        <v>395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40">
        <v>45918.336782407408</v>
      </c>
      <c r="B576" s="41">
        <v>444003579</v>
      </c>
      <c r="C576" s="42" t="s">
        <v>36</v>
      </c>
      <c r="D576" s="42" t="s">
        <v>39</v>
      </c>
      <c r="E576" s="42" t="s">
        <v>46</v>
      </c>
      <c r="F576" s="42" t="s">
        <v>38</v>
      </c>
      <c r="G576" s="43">
        <v>3654</v>
      </c>
      <c r="H576" s="41">
        <v>443213830</v>
      </c>
      <c r="I576" s="44">
        <v>0</v>
      </c>
      <c r="J576" s="43">
        <v>0</v>
      </c>
      <c r="K576" s="43">
        <v>0</v>
      </c>
      <c r="L576" s="43">
        <v>0</v>
      </c>
      <c r="M576" s="43">
        <v>10052.209999999999</v>
      </c>
      <c r="N576" s="45" t="s">
        <v>268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35">
        <v>45918.337013888886</v>
      </c>
      <c r="B577" s="36">
        <v>444003688</v>
      </c>
      <c r="C577" s="37" t="s">
        <v>36</v>
      </c>
      <c r="D577" s="37" t="s">
        <v>37</v>
      </c>
      <c r="E577" s="37" t="s">
        <v>47</v>
      </c>
      <c r="F577" s="37" t="s">
        <v>38</v>
      </c>
      <c r="G577" s="38">
        <v>3654.57</v>
      </c>
      <c r="H577" s="36">
        <v>443213938</v>
      </c>
      <c r="I577" s="39">
        <v>0</v>
      </c>
      <c r="J577" s="38">
        <v>0</v>
      </c>
      <c r="K577" s="38">
        <v>0</v>
      </c>
      <c r="L577" s="38">
        <v>2.76</v>
      </c>
      <c r="M577" s="38">
        <v>10054.969999999999</v>
      </c>
      <c r="N577" s="46" t="s">
        <v>593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40">
        <v>45918.337013888886</v>
      </c>
      <c r="B578" s="41">
        <v>444003689</v>
      </c>
      <c r="C578" s="42" t="s">
        <v>36</v>
      </c>
      <c r="D578" s="42" t="s">
        <v>37</v>
      </c>
      <c r="E578" s="42" t="s">
        <v>47</v>
      </c>
      <c r="F578" s="42" t="s">
        <v>38</v>
      </c>
      <c r="G578" s="43">
        <v>3654.65</v>
      </c>
      <c r="H578" s="41">
        <v>443213939</v>
      </c>
      <c r="I578" s="44">
        <v>0</v>
      </c>
      <c r="J578" s="43">
        <v>0</v>
      </c>
      <c r="K578" s="43">
        <v>0</v>
      </c>
      <c r="L578" s="43">
        <v>2.62</v>
      </c>
      <c r="M578" s="43">
        <v>10057.59</v>
      </c>
      <c r="N578" s="45" t="s">
        <v>594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35">
        <v>45918.337013888886</v>
      </c>
      <c r="B579" s="36">
        <v>444003691</v>
      </c>
      <c r="C579" s="37" t="s">
        <v>36</v>
      </c>
      <c r="D579" s="37" t="s">
        <v>37</v>
      </c>
      <c r="E579" s="37" t="s">
        <v>47</v>
      </c>
      <c r="F579" s="37" t="s">
        <v>38</v>
      </c>
      <c r="G579" s="38">
        <v>3654.75</v>
      </c>
      <c r="H579" s="36">
        <v>443213941</v>
      </c>
      <c r="I579" s="39">
        <v>0</v>
      </c>
      <c r="J579" s="38">
        <v>0</v>
      </c>
      <c r="K579" s="38">
        <v>0</v>
      </c>
      <c r="L579" s="38">
        <v>2.04</v>
      </c>
      <c r="M579" s="38">
        <v>10059.629999999999</v>
      </c>
      <c r="N579" s="46" t="s">
        <v>431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40">
        <v>45918.341666666667</v>
      </c>
      <c r="B580" s="41">
        <v>444004921</v>
      </c>
      <c r="C580" s="42" t="s">
        <v>36</v>
      </c>
      <c r="D580" s="42" t="s">
        <v>37</v>
      </c>
      <c r="E580" s="42" t="s">
        <v>47</v>
      </c>
      <c r="F580" s="42" t="s">
        <v>38</v>
      </c>
      <c r="G580" s="43">
        <v>3652.23</v>
      </c>
      <c r="H580" s="41">
        <v>443215221</v>
      </c>
      <c r="I580" s="44">
        <v>0</v>
      </c>
      <c r="J580" s="43">
        <v>0</v>
      </c>
      <c r="K580" s="43">
        <v>0</v>
      </c>
      <c r="L580" s="43">
        <v>1.65</v>
      </c>
      <c r="M580" s="43">
        <v>10061.280000000001</v>
      </c>
      <c r="N580" s="45" t="s">
        <v>595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35">
        <v>45918.342650462961</v>
      </c>
      <c r="B581" s="36">
        <v>444005305</v>
      </c>
      <c r="C581" s="37" t="s">
        <v>36</v>
      </c>
      <c r="D581" s="37" t="s">
        <v>37</v>
      </c>
      <c r="E581" s="37" t="s">
        <v>47</v>
      </c>
      <c r="F581" s="37" t="s">
        <v>38</v>
      </c>
      <c r="G581" s="38">
        <v>3653.02</v>
      </c>
      <c r="H581" s="36">
        <v>443215662</v>
      </c>
      <c r="I581" s="39">
        <v>0</v>
      </c>
      <c r="J581" s="38">
        <v>0</v>
      </c>
      <c r="K581" s="38">
        <v>0</v>
      </c>
      <c r="L581" s="38">
        <v>0.86</v>
      </c>
      <c r="M581" s="38">
        <v>10062.14</v>
      </c>
      <c r="N581" s="46" t="s">
        <v>596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40">
        <v>45918.342650462961</v>
      </c>
      <c r="B582" s="41">
        <v>444005306</v>
      </c>
      <c r="C582" s="42" t="s">
        <v>36</v>
      </c>
      <c r="D582" s="42" t="s">
        <v>37</v>
      </c>
      <c r="E582" s="42" t="s">
        <v>47</v>
      </c>
      <c r="F582" s="42" t="s">
        <v>38</v>
      </c>
      <c r="G582" s="43">
        <v>3653.02</v>
      </c>
      <c r="H582" s="41">
        <v>443215663</v>
      </c>
      <c r="I582" s="44">
        <v>0</v>
      </c>
      <c r="J582" s="43">
        <v>0</v>
      </c>
      <c r="K582" s="43">
        <v>0</v>
      </c>
      <c r="L582" s="43">
        <v>0.86</v>
      </c>
      <c r="M582" s="43">
        <v>10063</v>
      </c>
      <c r="N582" s="45" t="s">
        <v>260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35">
        <v>45918.342650462961</v>
      </c>
      <c r="B583" s="36">
        <v>444005307</v>
      </c>
      <c r="C583" s="37" t="s">
        <v>36</v>
      </c>
      <c r="D583" s="37" t="s">
        <v>37</v>
      </c>
      <c r="E583" s="37" t="s">
        <v>47</v>
      </c>
      <c r="F583" s="37" t="s">
        <v>38</v>
      </c>
      <c r="G583" s="38">
        <v>3653.02</v>
      </c>
      <c r="H583" s="36">
        <v>443215664</v>
      </c>
      <c r="I583" s="39">
        <v>0</v>
      </c>
      <c r="J583" s="38">
        <v>0</v>
      </c>
      <c r="K583" s="38">
        <v>0</v>
      </c>
      <c r="L583" s="38">
        <v>0.86</v>
      </c>
      <c r="M583" s="38">
        <v>10063.86</v>
      </c>
      <c r="N583" s="46" t="s">
        <v>596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40">
        <v>45918.342685185184</v>
      </c>
      <c r="B584" s="41">
        <v>444005320</v>
      </c>
      <c r="C584" s="42" t="s">
        <v>36</v>
      </c>
      <c r="D584" s="42" t="s">
        <v>39</v>
      </c>
      <c r="E584" s="42" t="s">
        <v>46</v>
      </c>
      <c r="F584" s="42" t="s">
        <v>38</v>
      </c>
      <c r="G584" s="43">
        <v>3652.63</v>
      </c>
      <c r="H584" s="41">
        <v>443215676</v>
      </c>
      <c r="I584" s="44">
        <v>0</v>
      </c>
      <c r="J584" s="43">
        <v>0</v>
      </c>
      <c r="K584" s="43">
        <v>0</v>
      </c>
      <c r="L584" s="43">
        <v>0</v>
      </c>
      <c r="M584" s="43">
        <v>10063.86</v>
      </c>
      <c r="N584" s="45" t="s">
        <v>49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35">
        <v>45918.342685185184</v>
      </c>
      <c r="B585" s="36">
        <v>444005322</v>
      </c>
      <c r="C585" s="37" t="s">
        <v>36</v>
      </c>
      <c r="D585" s="37" t="s">
        <v>39</v>
      </c>
      <c r="E585" s="37" t="s">
        <v>46</v>
      </c>
      <c r="F585" s="37" t="s">
        <v>38</v>
      </c>
      <c r="G585" s="38">
        <v>3652.6</v>
      </c>
      <c r="H585" s="36">
        <v>443215678</v>
      </c>
      <c r="I585" s="39">
        <v>0</v>
      </c>
      <c r="J585" s="38">
        <v>0</v>
      </c>
      <c r="K585" s="38">
        <v>0</v>
      </c>
      <c r="L585" s="38">
        <v>0</v>
      </c>
      <c r="M585" s="38">
        <v>10063.86</v>
      </c>
      <c r="N585" s="46" t="s">
        <v>53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40">
        <v>45918.342685185184</v>
      </c>
      <c r="B586" s="41">
        <v>444005323</v>
      </c>
      <c r="C586" s="42" t="s">
        <v>36</v>
      </c>
      <c r="D586" s="42" t="s">
        <v>39</v>
      </c>
      <c r="E586" s="42" t="s">
        <v>46</v>
      </c>
      <c r="F586" s="42" t="s">
        <v>38</v>
      </c>
      <c r="G586" s="43">
        <v>3652.6</v>
      </c>
      <c r="H586" s="41">
        <v>443215679</v>
      </c>
      <c r="I586" s="44">
        <v>0</v>
      </c>
      <c r="J586" s="43">
        <v>0</v>
      </c>
      <c r="K586" s="43">
        <v>0</v>
      </c>
      <c r="L586" s="43">
        <v>0</v>
      </c>
      <c r="M586" s="43">
        <v>10063.86</v>
      </c>
      <c r="N586" s="45" t="s">
        <v>150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35">
        <v>45918.34269675926</v>
      </c>
      <c r="B587" s="36">
        <v>444005324</v>
      </c>
      <c r="C587" s="37" t="s">
        <v>36</v>
      </c>
      <c r="D587" s="37" t="s">
        <v>39</v>
      </c>
      <c r="E587" s="37" t="s">
        <v>46</v>
      </c>
      <c r="F587" s="37" t="s">
        <v>38</v>
      </c>
      <c r="G587" s="38">
        <v>3652.56</v>
      </c>
      <c r="H587" s="36">
        <v>443215680</v>
      </c>
      <c r="I587" s="39">
        <v>0</v>
      </c>
      <c r="J587" s="38">
        <v>0</v>
      </c>
      <c r="K587" s="38">
        <v>0</v>
      </c>
      <c r="L587" s="38">
        <v>0</v>
      </c>
      <c r="M587" s="38">
        <v>10063.86</v>
      </c>
      <c r="N587" s="46" t="s">
        <v>48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40">
        <v>45918.342916666668</v>
      </c>
      <c r="B588" s="41">
        <v>444005430</v>
      </c>
      <c r="C588" s="42" t="s">
        <v>36</v>
      </c>
      <c r="D588" s="42" t="s">
        <v>37</v>
      </c>
      <c r="E588" s="42" t="s">
        <v>47</v>
      </c>
      <c r="F588" s="42" t="s">
        <v>38</v>
      </c>
      <c r="G588" s="43">
        <v>3655.33</v>
      </c>
      <c r="H588" s="41">
        <v>443215791</v>
      </c>
      <c r="I588" s="44">
        <v>0</v>
      </c>
      <c r="J588" s="43">
        <v>0</v>
      </c>
      <c r="K588" s="43">
        <v>0</v>
      </c>
      <c r="L588" s="43">
        <v>-2.7</v>
      </c>
      <c r="M588" s="43">
        <v>10061.16</v>
      </c>
      <c r="N588" s="45" t="s">
        <v>597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35">
        <v>45918.342928240738</v>
      </c>
      <c r="B589" s="36">
        <v>444005502</v>
      </c>
      <c r="C589" s="37" t="s">
        <v>36</v>
      </c>
      <c r="D589" s="37" t="s">
        <v>37</v>
      </c>
      <c r="E589" s="37" t="s">
        <v>47</v>
      </c>
      <c r="F589" s="37" t="s">
        <v>38</v>
      </c>
      <c r="G589" s="38">
        <v>3655.63</v>
      </c>
      <c r="H589" s="36">
        <v>443215861</v>
      </c>
      <c r="I589" s="39">
        <v>0</v>
      </c>
      <c r="J589" s="38">
        <v>0</v>
      </c>
      <c r="K589" s="38">
        <v>0</v>
      </c>
      <c r="L589" s="38">
        <v>-3.03</v>
      </c>
      <c r="M589" s="38">
        <v>10058.129999999999</v>
      </c>
      <c r="N589" s="46" t="s">
        <v>598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40">
        <v>45918.342928240738</v>
      </c>
      <c r="B590" s="41">
        <v>444005503</v>
      </c>
      <c r="C590" s="42" t="s">
        <v>36</v>
      </c>
      <c r="D590" s="42" t="s">
        <v>37</v>
      </c>
      <c r="E590" s="42" t="s">
        <v>47</v>
      </c>
      <c r="F590" s="42" t="s">
        <v>38</v>
      </c>
      <c r="G590" s="43">
        <v>3655.63</v>
      </c>
      <c r="H590" s="41">
        <v>443215862</v>
      </c>
      <c r="I590" s="44">
        <v>0</v>
      </c>
      <c r="J590" s="43">
        <v>0</v>
      </c>
      <c r="K590" s="43">
        <v>0</v>
      </c>
      <c r="L590" s="43">
        <v>-3.03</v>
      </c>
      <c r="M590" s="43">
        <v>10055.1</v>
      </c>
      <c r="N590" s="45" t="s">
        <v>598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35">
        <v>45918.342928240738</v>
      </c>
      <c r="B591" s="36">
        <v>444005504</v>
      </c>
      <c r="C591" s="37" t="s">
        <v>36</v>
      </c>
      <c r="D591" s="37" t="s">
        <v>37</v>
      </c>
      <c r="E591" s="37" t="s">
        <v>47</v>
      </c>
      <c r="F591" s="37" t="s">
        <v>38</v>
      </c>
      <c r="G591" s="38">
        <v>3655.63</v>
      </c>
      <c r="H591" s="36">
        <v>443215863</v>
      </c>
      <c r="I591" s="39">
        <v>0</v>
      </c>
      <c r="J591" s="38">
        <v>0</v>
      </c>
      <c r="K591" s="38">
        <v>0</v>
      </c>
      <c r="L591" s="38">
        <v>-3.07</v>
      </c>
      <c r="M591" s="38">
        <v>10052.030000000001</v>
      </c>
      <c r="N591" s="46" t="s">
        <v>599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40">
        <v>45918.347407407404</v>
      </c>
      <c r="B592" s="41">
        <v>444007332</v>
      </c>
      <c r="C592" s="42" t="s">
        <v>36</v>
      </c>
      <c r="D592" s="42" t="s">
        <v>37</v>
      </c>
      <c r="E592" s="42" t="s">
        <v>47</v>
      </c>
      <c r="F592" s="42" t="s">
        <v>38</v>
      </c>
      <c r="G592" s="43">
        <v>3657</v>
      </c>
      <c r="H592" s="41">
        <v>443217682</v>
      </c>
      <c r="I592" s="44">
        <v>0</v>
      </c>
      <c r="J592" s="43">
        <v>0</v>
      </c>
      <c r="K592" s="43">
        <v>0</v>
      </c>
      <c r="L592" s="43">
        <v>-3.01</v>
      </c>
      <c r="M592" s="43">
        <v>10049.02</v>
      </c>
      <c r="N592" s="45" t="s">
        <v>600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35">
        <v>45918.347407407404</v>
      </c>
      <c r="B593" s="36">
        <v>444007333</v>
      </c>
      <c r="C593" s="37" t="s">
        <v>36</v>
      </c>
      <c r="D593" s="37" t="s">
        <v>37</v>
      </c>
      <c r="E593" s="37" t="s">
        <v>47</v>
      </c>
      <c r="F593" s="37" t="s">
        <v>38</v>
      </c>
      <c r="G593" s="38">
        <v>3657</v>
      </c>
      <c r="H593" s="36">
        <v>443217683</v>
      </c>
      <c r="I593" s="39">
        <v>0</v>
      </c>
      <c r="J593" s="38">
        <v>0</v>
      </c>
      <c r="K593" s="38">
        <v>0</v>
      </c>
      <c r="L593" s="38">
        <v>-3</v>
      </c>
      <c r="M593" s="38">
        <v>10046.02</v>
      </c>
      <c r="N593" s="46" t="s">
        <v>600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40">
        <v>45918.353564814817</v>
      </c>
      <c r="B594" s="41">
        <v>444009079</v>
      </c>
      <c r="C594" s="42" t="s">
        <v>36</v>
      </c>
      <c r="D594" s="42" t="s">
        <v>37</v>
      </c>
      <c r="E594" s="42" t="s">
        <v>46</v>
      </c>
      <c r="F594" s="42" t="s">
        <v>38</v>
      </c>
      <c r="G594" s="43">
        <v>3657.87</v>
      </c>
      <c r="H594" s="41">
        <v>443219391</v>
      </c>
      <c r="I594" s="44">
        <v>0</v>
      </c>
      <c r="J594" s="43">
        <v>0</v>
      </c>
      <c r="K594" s="43">
        <v>0</v>
      </c>
      <c r="L594" s="43">
        <v>0</v>
      </c>
      <c r="M594" s="43">
        <v>10046.02</v>
      </c>
      <c r="N594" s="45" t="s">
        <v>150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35">
        <v>45918.353564814817</v>
      </c>
      <c r="B595" s="36">
        <v>444009080</v>
      </c>
      <c r="C595" s="37" t="s">
        <v>36</v>
      </c>
      <c r="D595" s="37" t="s">
        <v>37</v>
      </c>
      <c r="E595" s="37" t="s">
        <v>46</v>
      </c>
      <c r="F595" s="37" t="s">
        <v>38</v>
      </c>
      <c r="G595" s="38">
        <v>3657.84</v>
      </c>
      <c r="H595" s="36">
        <v>443219392</v>
      </c>
      <c r="I595" s="39">
        <v>0</v>
      </c>
      <c r="J595" s="38">
        <v>0</v>
      </c>
      <c r="K595" s="38">
        <v>0</v>
      </c>
      <c r="L595" s="38">
        <v>0</v>
      </c>
      <c r="M595" s="38">
        <v>10046.02</v>
      </c>
      <c r="N595" s="46" t="s">
        <v>49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40">
        <v>45918.353564814817</v>
      </c>
      <c r="B596" s="41">
        <v>444009083</v>
      </c>
      <c r="C596" s="42" t="s">
        <v>36</v>
      </c>
      <c r="D596" s="42" t="s">
        <v>37</v>
      </c>
      <c r="E596" s="42" t="s">
        <v>46</v>
      </c>
      <c r="F596" s="42" t="s">
        <v>38</v>
      </c>
      <c r="G596" s="43">
        <v>3657.84</v>
      </c>
      <c r="H596" s="41">
        <v>443219395</v>
      </c>
      <c r="I596" s="44">
        <v>0</v>
      </c>
      <c r="J596" s="43">
        <v>0</v>
      </c>
      <c r="K596" s="43">
        <v>0</v>
      </c>
      <c r="L596" s="43">
        <v>0</v>
      </c>
      <c r="M596" s="43">
        <v>10046.02</v>
      </c>
      <c r="N596" s="45" t="s">
        <v>53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35">
        <v>45918.353576388887</v>
      </c>
      <c r="B597" s="36">
        <v>444009087</v>
      </c>
      <c r="C597" s="37" t="s">
        <v>36</v>
      </c>
      <c r="D597" s="37" t="s">
        <v>37</v>
      </c>
      <c r="E597" s="37" t="s">
        <v>46</v>
      </c>
      <c r="F597" s="37" t="s">
        <v>38</v>
      </c>
      <c r="G597" s="38">
        <v>3657.87</v>
      </c>
      <c r="H597" s="36">
        <v>443219399</v>
      </c>
      <c r="I597" s="39">
        <v>0</v>
      </c>
      <c r="J597" s="38">
        <v>0</v>
      </c>
      <c r="K597" s="38">
        <v>0</v>
      </c>
      <c r="L597" s="38">
        <v>0</v>
      </c>
      <c r="M597" s="38">
        <v>10046.02</v>
      </c>
      <c r="N597" s="46" t="s">
        <v>48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40">
        <v>45918.358495370368</v>
      </c>
      <c r="B598" s="41">
        <v>444010874</v>
      </c>
      <c r="C598" s="42" t="s">
        <v>36</v>
      </c>
      <c r="D598" s="42" t="s">
        <v>39</v>
      </c>
      <c r="E598" s="42" t="s">
        <v>47</v>
      </c>
      <c r="F598" s="42" t="s">
        <v>38</v>
      </c>
      <c r="G598" s="43">
        <v>3655.36</v>
      </c>
      <c r="H598" s="41">
        <v>443221165</v>
      </c>
      <c r="I598" s="44">
        <v>0</v>
      </c>
      <c r="J598" s="43">
        <v>0</v>
      </c>
      <c r="K598" s="43">
        <v>0</v>
      </c>
      <c r="L598" s="43">
        <v>-2.48</v>
      </c>
      <c r="M598" s="43">
        <v>10043.540000000001</v>
      </c>
      <c r="N598" s="45" t="s">
        <v>601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35">
        <v>45918.36010416667</v>
      </c>
      <c r="B599" s="36">
        <v>444011551</v>
      </c>
      <c r="C599" s="37" t="s">
        <v>36</v>
      </c>
      <c r="D599" s="37" t="s">
        <v>39</v>
      </c>
      <c r="E599" s="37" t="s">
        <v>47</v>
      </c>
      <c r="F599" s="37" t="s">
        <v>38</v>
      </c>
      <c r="G599" s="38">
        <v>3654.88</v>
      </c>
      <c r="H599" s="36">
        <v>443221822</v>
      </c>
      <c r="I599" s="39">
        <v>0</v>
      </c>
      <c r="J599" s="38">
        <v>0</v>
      </c>
      <c r="K599" s="38">
        <v>0</v>
      </c>
      <c r="L599" s="38">
        <v>-2.99</v>
      </c>
      <c r="M599" s="38">
        <v>10040.549999999999</v>
      </c>
      <c r="N599" s="46" t="s">
        <v>602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40">
        <v>45918.360115740739</v>
      </c>
      <c r="B600" s="41">
        <v>444011587</v>
      </c>
      <c r="C600" s="42" t="s">
        <v>36</v>
      </c>
      <c r="D600" s="42" t="s">
        <v>39</v>
      </c>
      <c r="E600" s="42" t="s">
        <v>47</v>
      </c>
      <c r="F600" s="42" t="s">
        <v>38</v>
      </c>
      <c r="G600" s="43">
        <v>3654.87</v>
      </c>
      <c r="H600" s="41">
        <v>443221858</v>
      </c>
      <c r="I600" s="44">
        <v>0</v>
      </c>
      <c r="J600" s="43">
        <v>0</v>
      </c>
      <c r="K600" s="43">
        <v>0</v>
      </c>
      <c r="L600" s="43">
        <v>-2.97</v>
      </c>
      <c r="M600" s="43">
        <v>10037.58</v>
      </c>
      <c r="N600" s="45" t="s">
        <v>603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35">
        <v>45918.360115740739</v>
      </c>
      <c r="B601" s="36">
        <v>444011589</v>
      </c>
      <c r="C601" s="37" t="s">
        <v>36</v>
      </c>
      <c r="D601" s="37" t="s">
        <v>39</v>
      </c>
      <c r="E601" s="37" t="s">
        <v>47</v>
      </c>
      <c r="F601" s="37" t="s">
        <v>38</v>
      </c>
      <c r="G601" s="38">
        <v>3654.87</v>
      </c>
      <c r="H601" s="36">
        <v>443221859</v>
      </c>
      <c r="I601" s="39">
        <v>0</v>
      </c>
      <c r="J601" s="38">
        <v>0</v>
      </c>
      <c r="K601" s="38">
        <v>0</v>
      </c>
      <c r="L601" s="38">
        <v>-3</v>
      </c>
      <c r="M601" s="38">
        <v>10034.58</v>
      </c>
      <c r="N601" s="46" t="s">
        <v>603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40">
        <v>45918.363981481481</v>
      </c>
      <c r="B602" s="41">
        <v>444014296</v>
      </c>
      <c r="C602" s="42" t="s">
        <v>36</v>
      </c>
      <c r="D602" s="42" t="s">
        <v>39</v>
      </c>
      <c r="E602" s="42" t="s">
        <v>46</v>
      </c>
      <c r="F602" s="42" t="s">
        <v>38</v>
      </c>
      <c r="G602" s="43">
        <v>3653.51</v>
      </c>
      <c r="H602" s="41">
        <v>443224528</v>
      </c>
      <c r="I602" s="44">
        <v>0</v>
      </c>
      <c r="J602" s="43">
        <v>0</v>
      </c>
      <c r="K602" s="43">
        <v>0</v>
      </c>
      <c r="L602" s="43">
        <v>0</v>
      </c>
      <c r="M602" s="43">
        <v>10034.58</v>
      </c>
      <c r="N602" s="45" t="s">
        <v>49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35">
        <v>45918.363981481481</v>
      </c>
      <c r="B603" s="36">
        <v>444014297</v>
      </c>
      <c r="C603" s="37" t="s">
        <v>36</v>
      </c>
      <c r="D603" s="37" t="s">
        <v>39</v>
      </c>
      <c r="E603" s="37" t="s">
        <v>46</v>
      </c>
      <c r="F603" s="37" t="s">
        <v>38</v>
      </c>
      <c r="G603" s="38">
        <v>3653.51</v>
      </c>
      <c r="H603" s="36">
        <v>443224529</v>
      </c>
      <c r="I603" s="39">
        <v>0</v>
      </c>
      <c r="J603" s="38">
        <v>0</v>
      </c>
      <c r="K603" s="38">
        <v>0</v>
      </c>
      <c r="L603" s="38">
        <v>0</v>
      </c>
      <c r="M603" s="38">
        <v>10034.58</v>
      </c>
      <c r="N603" s="46" t="s">
        <v>53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40">
        <v>45918.363981481481</v>
      </c>
      <c r="B604" s="41">
        <v>444014299</v>
      </c>
      <c r="C604" s="42" t="s">
        <v>36</v>
      </c>
      <c r="D604" s="42" t="s">
        <v>39</v>
      </c>
      <c r="E604" s="42" t="s">
        <v>46</v>
      </c>
      <c r="F604" s="42" t="s">
        <v>38</v>
      </c>
      <c r="G604" s="43">
        <v>3653.51</v>
      </c>
      <c r="H604" s="41">
        <v>443224531</v>
      </c>
      <c r="I604" s="44">
        <v>0</v>
      </c>
      <c r="J604" s="43">
        <v>0</v>
      </c>
      <c r="K604" s="43">
        <v>0</v>
      </c>
      <c r="L604" s="43">
        <v>0</v>
      </c>
      <c r="M604" s="43">
        <v>10034.58</v>
      </c>
      <c r="N604" s="45" t="s">
        <v>150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35">
        <v>45918.363993055558</v>
      </c>
      <c r="B605" s="36">
        <v>444014300</v>
      </c>
      <c r="C605" s="37" t="s">
        <v>36</v>
      </c>
      <c r="D605" s="37" t="s">
        <v>39</v>
      </c>
      <c r="E605" s="37" t="s">
        <v>46</v>
      </c>
      <c r="F605" s="37" t="s">
        <v>38</v>
      </c>
      <c r="G605" s="38">
        <v>3653.5</v>
      </c>
      <c r="H605" s="36">
        <v>443224532</v>
      </c>
      <c r="I605" s="39">
        <v>0</v>
      </c>
      <c r="J605" s="38">
        <v>0</v>
      </c>
      <c r="K605" s="38">
        <v>0</v>
      </c>
      <c r="L605" s="38">
        <v>0</v>
      </c>
      <c r="M605" s="38">
        <v>10034.58</v>
      </c>
      <c r="N605" s="46" t="s">
        <v>48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40">
        <v>45918.369293981479</v>
      </c>
      <c r="B606" s="41">
        <v>444016411</v>
      </c>
      <c r="C606" s="42" t="s">
        <v>36</v>
      </c>
      <c r="D606" s="42" t="s">
        <v>37</v>
      </c>
      <c r="E606" s="42" t="s">
        <v>47</v>
      </c>
      <c r="F606" s="42" t="s">
        <v>38</v>
      </c>
      <c r="G606" s="43">
        <v>3653.2</v>
      </c>
      <c r="H606" s="41">
        <v>443226585</v>
      </c>
      <c r="I606" s="44">
        <v>0</v>
      </c>
      <c r="J606" s="43">
        <v>0</v>
      </c>
      <c r="K606" s="43">
        <v>0</v>
      </c>
      <c r="L606" s="43">
        <v>0.31</v>
      </c>
      <c r="M606" s="43">
        <v>10034.89</v>
      </c>
      <c r="N606" s="45" t="s">
        <v>604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35">
        <v>45918.369293981479</v>
      </c>
      <c r="B607" s="36">
        <v>444016412</v>
      </c>
      <c r="C607" s="37" t="s">
        <v>36</v>
      </c>
      <c r="D607" s="37" t="s">
        <v>37</v>
      </c>
      <c r="E607" s="37" t="s">
        <v>47</v>
      </c>
      <c r="F607" s="37" t="s">
        <v>38</v>
      </c>
      <c r="G607" s="38">
        <v>3653.2</v>
      </c>
      <c r="H607" s="36">
        <v>443226586</v>
      </c>
      <c r="I607" s="39">
        <v>0</v>
      </c>
      <c r="J607" s="38">
        <v>0</v>
      </c>
      <c r="K607" s="38">
        <v>0</v>
      </c>
      <c r="L607" s="38">
        <v>0.31</v>
      </c>
      <c r="M607" s="38">
        <v>10035.200000000001</v>
      </c>
      <c r="N607" s="46" t="s">
        <v>604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40">
        <v>45918.369293981479</v>
      </c>
      <c r="B608" s="41">
        <v>444016413</v>
      </c>
      <c r="C608" s="42" t="s">
        <v>36</v>
      </c>
      <c r="D608" s="42" t="s">
        <v>37</v>
      </c>
      <c r="E608" s="42" t="s">
        <v>47</v>
      </c>
      <c r="F608" s="42" t="s">
        <v>38</v>
      </c>
      <c r="G608" s="43">
        <v>3653.2</v>
      </c>
      <c r="H608" s="41">
        <v>443226587</v>
      </c>
      <c r="I608" s="44">
        <v>0</v>
      </c>
      <c r="J608" s="43">
        <v>0</v>
      </c>
      <c r="K608" s="43">
        <v>0</v>
      </c>
      <c r="L608" s="43">
        <v>0.31</v>
      </c>
      <c r="M608" s="43">
        <v>10035.51</v>
      </c>
      <c r="N608" s="45" t="s">
        <v>604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35">
        <v>45918.369293981479</v>
      </c>
      <c r="B609" s="36">
        <v>444016414</v>
      </c>
      <c r="C609" s="37" t="s">
        <v>36</v>
      </c>
      <c r="D609" s="37" t="s">
        <v>37</v>
      </c>
      <c r="E609" s="37" t="s">
        <v>47</v>
      </c>
      <c r="F609" s="37" t="s">
        <v>38</v>
      </c>
      <c r="G609" s="38">
        <v>3653.2</v>
      </c>
      <c r="H609" s="36">
        <v>443226588</v>
      </c>
      <c r="I609" s="39">
        <v>0</v>
      </c>
      <c r="J609" s="38">
        <v>0</v>
      </c>
      <c r="K609" s="38">
        <v>0</v>
      </c>
      <c r="L609" s="38">
        <v>0.3</v>
      </c>
      <c r="M609" s="38">
        <v>10035.81</v>
      </c>
      <c r="N609" s="46" t="s">
        <v>604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40">
        <v>45918.369305555556</v>
      </c>
      <c r="B610" s="41">
        <v>444016419</v>
      </c>
      <c r="C610" s="42" t="s">
        <v>36</v>
      </c>
      <c r="D610" s="42" t="s">
        <v>39</v>
      </c>
      <c r="E610" s="42" t="s">
        <v>46</v>
      </c>
      <c r="F610" s="42" t="s">
        <v>38</v>
      </c>
      <c r="G610" s="43">
        <v>3653.2</v>
      </c>
      <c r="H610" s="41">
        <v>443226592</v>
      </c>
      <c r="I610" s="44">
        <v>0</v>
      </c>
      <c r="J610" s="43">
        <v>0</v>
      </c>
      <c r="K610" s="43">
        <v>0</v>
      </c>
      <c r="L610" s="43">
        <v>0</v>
      </c>
      <c r="M610" s="43">
        <v>10035.81</v>
      </c>
      <c r="N610" s="45" t="s">
        <v>150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35">
        <v>45918.369305555556</v>
      </c>
      <c r="B611" s="36">
        <v>444016421</v>
      </c>
      <c r="C611" s="37" t="s">
        <v>36</v>
      </c>
      <c r="D611" s="37" t="s">
        <v>39</v>
      </c>
      <c r="E611" s="37" t="s">
        <v>46</v>
      </c>
      <c r="F611" s="37" t="s">
        <v>38</v>
      </c>
      <c r="G611" s="38">
        <v>3652.86</v>
      </c>
      <c r="H611" s="36">
        <v>443226594</v>
      </c>
      <c r="I611" s="39">
        <v>0</v>
      </c>
      <c r="J611" s="38">
        <v>0</v>
      </c>
      <c r="K611" s="38">
        <v>0</v>
      </c>
      <c r="L611" s="38">
        <v>0</v>
      </c>
      <c r="M611" s="38">
        <v>10035.81</v>
      </c>
      <c r="N611" s="46" t="s">
        <v>49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40">
        <v>45918.369305555556</v>
      </c>
      <c r="B612" s="41">
        <v>444016422</v>
      </c>
      <c r="C612" s="42" t="s">
        <v>36</v>
      </c>
      <c r="D612" s="42" t="s">
        <v>39</v>
      </c>
      <c r="E612" s="42" t="s">
        <v>46</v>
      </c>
      <c r="F612" s="42" t="s">
        <v>38</v>
      </c>
      <c r="G612" s="43">
        <v>3652.96</v>
      </c>
      <c r="H612" s="41">
        <v>443226595</v>
      </c>
      <c r="I612" s="44">
        <v>0</v>
      </c>
      <c r="J612" s="43">
        <v>0</v>
      </c>
      <c r="K612" s="43">
        <v>0</v>
      </c>
      <c r="L612" s="43">
        <v>0</v>
      </c>
      <c r="M612" s="43">
        <v>10035.81</v>
      </c>
      <c r="N612" s="45" t="s">
        <v>53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35">
        <v>45918.369317129633</v>
      </c>
      <c r="B613" s="36">
        <v>444016423</v>
      </c>
      <c r="C613" s="37" t="s">
        <v>36</v>
      </c>
      <c r="D613" s="37" t="s">
        <v>39</v>
      </c>
      <c r="E613" s="37" t="s">
        <v>46</v>
      </c>
      <c r="F613" s="37" t="s">
        <v>38</v>
      </c>
      <c r="G613" s="38">
        <v>3652.95</v>
      </c>
      <c r="H613" s="36">
        <v>443226596</v>
      </c>
      <c r="I613" s="39">
        <v>0</v>
      </c>
      <c r="J613" s="38">
        <v>0</v>
      </c>
      <c r="K613" s="38">
        <v>0</v>
      </c>
      <c r="L613" s="38">
        <v>0</v>
      </c>
      <c r="M613" s="38">
        <v>10035.81</v>
      </c>
      <c r="N613" s="46" t="s">
        <v>48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40">
        <v>45918.371180555558</v>
      </c>
      <c r="B614" s="41">
        <v>444018045</v>
      </c>
      <c r="C614" s="42" t="s">
        <v>36</v>
      </c>
      <c r="D614" s="42" t="s">
        <v>37</v>
      </c>
      <c r="E614" s="42" t="s">
        <v>47</v>
      </c>
      <c r="F614" s="42" t="s">
        <v>38</v>
      </c>
      <c r="G614" s="43">
        <v>3651.21</v>
      </c>
      <c r="H614" s="41">
        <v>443228169</v>
      </c>
      <c r="I614" s="44">
        <v>0</v>
      </c>
      <c r="J614" s="43">
        <v>0</v>
      </c>
      <c r="K614" s="43">
        <v>0</v>
      </c>
      <c r="L614" s="43">
        <v>1.99</v>
      </c>
      <c r="M614" s="43">
        <v>10037.799999999999</v>
      </c>
      <c r="N614" s="45" t="s">
        <v>605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35">
        <v>45918.37127314815</v>
      </c>
      <c r="B615" s="36">
        <v>444018645</v>
      </c>
      <c r="C615" s="37" t="s">
        <v>36</v>
      </c>
      <c r="D615" s="37" t="s">
        <v>37</v>
      </c>
      <c r="E615" s="37" t="s">
        <v>47</v>
      </c>
      <c r="F615" s="37" t="s">
        <v>38</v>
      </c>
      <c r="G615" s="38">
        <v>3649.86</v>
      </c>
      <c r="H615" s="36">
        <v>443228749</v>
      </c>
      <c r="I615" s="39">
        <v>0</v>
      </c>
      <c r="J615" s="38">
        <v>0</v>
      </c>
      <c r="K615" s="38">
        <v>0</v>
      </c>
      <c r="L615" s="38">
        <v>3</v>
      </c>
      <c r="M615" s="38">
        <v>10040.799999999999</v>
      </c>
      <c r="N615" s="46" t="s">
        <v>606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40">
        <v>45918.37127314815</v>
      </c>
      <c r="B616" s="41">
        <v>444018648</v>
      </c>
      <c r="C616" s="42" t="s">
        <v>36</v>
      </c>
      <c r="D616" s="42" t="s">
        <v>37</v>
      </c>
      <c r="E616" s="42" t="s">
        <v>47</v>
      </c>
      <c r="F616" s="42" t="s">
        <v>38</v>
      </c>
      <c r="G616" s="43">
        <v>3649.86</v>
      </c>
      <c r="H616" s="41">
        <v>443228751</v>
      </c>
      <c r="I616" s="44">
        <v>0</v>
      </c>
      <c r="J616" s="43">
        <v>0</v>
      </c>
      <c r="K616" s="43">
        <v>0</v>
      </c>
      <c r="L616" s="43">
        <v>3.09</v>
      </c>
      <c r="M616" s="43">
        <v>10043.89</v>
      </c>
      <c r="N616" s="45" t="s">
        <v>606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35">
        <v>45918.372106481482</v>
      </c>
      <c r="B617" s="36">
        <v>444019631</v>
      </c>
      <c r="C617" s="37" t="s">
        <v>36</v>
      </c>
      <c r="D617" s="37" t="s">
        <v>37</v>
      </c>
      <c r="E617" s="37" t="s">
        <v>47</v>
      </c>
      <c r="F617" s="37" t="s">
        <v>38</v>
      </c>
      <c r="G617" s="38">
        <v>3652.04</v>
      </c>
      <c r="H617" s="36">
        <v>443229694</v>
      </c>
      <c r="I617" s="39">
        <v>0</v>
      </c>
      <c r="J617" s="38">
        <v>0</v>
      </c>
      <c r="K617" s="38">
        <v>0</v>
      </c>
      <c r="L617" s="38">
        <v>0.92</v>
      </c>
      <c r="M617" s="38">
        <v>10044.81</v>
      </c>
      <c r="N617" s="46" t="s">
        <v>607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40">
        <v>45918.372314814813</v>
      </c>
      <c r="B618" s="41">
        <v>444019674</v>
      </c>
      <c r="C618" s="42" t="s">
        <v>36</v>
      </c>
      <c r="D618" s="42" t="s">
        <v>39</v>
      </c>
      <c r="E618" s="42" t="s">
        <v>46</v>
      </c>
      <c r="F618" s="42" t="s">
        <v>38</v>
      </c>
      <c r="G618" s="43">
        <v>3651.79</v>
      </c>
      <c r="H618" s="41">
        <v>443229730</v>
      </c>
      <c r="I618" s="44">
        <v>0</v>
      </c>
      <c r="J618" s="43">
        <v>0</v>
      </c>
      <c r="K618" s="43">
        <v>0</v>
      </c>
      <c r="L618" s="43">
        <v>0</v>
      </c>
      <c r="M618" s="43">
        <v>10044.81</v>
      </c>
      <c r="N618" s="45" t="s">
        <v>150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35">
        <v>45918.372314814813</v>
      </c>
      <c r="B619" s="36">
        <v>444019675</v>
      </c>
      <c r="C619" s="37" t="s">
        <v>36</v>
      </c>
      <c r="D619" s="37" t="s">
        <v>39</v>
      </c>
      <c r="E619" s="37" t="s">
        <v>46</v>
      </c>
      <c r="F619" s="37" t="s">
        <v>38</v>
      </c>
      <c r="G619" s="38">
        <v>3651.79</v>
      </c>
      <c r="H619" s="36">
        <v>443229731</v>
      </c>
      <c r="I619" s="39">
        <v>0</v>
      </c>
      <c r="J619" s="38">
        <v>0</v>
      </c>
      <c r="K619" s="38">
        <v>0</v>
      </c>
      <c r="L619" s="38">
        <v>0</v>
      </c>
      <c r="M619" s="38">
        <v>10044.81</v>
      </c>
      <c r="N619" s="46" t="s">
        <v>48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40">
        <v>45918.372314814813</v>
      </c>
      <c r="B620" s="41">
        <v>444019676</v>
      </c>
      <c r="C620" s="42" t="s">
        <v>36</v>
      </c>
      <c r="D620" s="42" t="s">
        <v>39</v>
      </c>
      <c r="E620" s="42" t="s">
        <v>46</v>
      </c>
      <c r="F620" s="42" t="s">
        <v>38</v>
      </c>
      <c r="G620" s="43">
        <v>3651.79</v>
      </c>
      <c r="H620" s="41">
        <v>443229732</v>
      </c>
      <c r="I620" s="44">
        <v>0</v>
      </c>
      <c r="J620" s="43">
        <v>0</v>
      </c>
      <c r="K620" s="43">
        <v>0</v>
      </c>
      <c r="L620" s="43">
        <v>0</v>
      </c>
      <c r="M620" s="43">
        <v>10044.81</v>
      </c>
      <c r="N620" s="45" t="s">
        <v>49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35">
        <v>45918.37232638889</v>
      </c>
      <c r="B621" s="36">
        <v>444019677</v>
      </c>
      <c r="C621" s="37" t="s">
        <v>36</v>
      </c>
      <c r="D621" s="37" t="s">
        <v>39</v>
      </c>
      <c r="E621" s="37" t="s">
        <v>46</v>
      </c>
      <c r="F621" s="37" t="s">
        <v>38</v>
      </c>
      <c r="G621" s="38">
        <v>3651.71</v>
      </c>
      <c r="H621" s="36">
        <v>443229733</v>
      </c>
      <c r="I621" s="39">
        <v>0</v>
      </c>
      <c r="J621" s="38">
        <v>0</v>
      </c>
      <c r="K621" s="38">
        <v>0</v>
      </c>
      <c r="L621" s="38">
        <v>0</v>
      </c>
      <c r="M621" s="38">
        <v>10044.81</v>
      </c>
      <c r="N621" s="46" t="s">
        <v>53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40">
        <v>45918.375949074078</v>
      </c>
      <c r="B622" s="41">
        <v>444022098</v>
      </c>
      <c r="C622" s="42" t="s">
        <v>36</v>
      </c>
      <c r="D622" s="42" t="s">
        <v>37</v>
      </c>
      <c r="E622" s="42" t="s">
        <v>47</v>
      </c>
      <c r="F622" s="42" t="s">
        <v>38</v>
      </c>
      <c r="G622" s="43">
        <v>3650.27</v>
      </c>
      <c r="H622" s="41">
        <v>443232180</v>
      </c>
      <c r="I622" s="44">
        <v>0</v>
      </c>
      <c r="J622" s="43">
        <v>0</v>
      </c>
      <c r="K622" s="43">
        <v>0</v>
      </c>
      <c r="L622" s="43">
        <v>1.52</v>
      </c>
      <c r="M622" s="43">
        <v>10046.33</v>
      </c>
      <c r="N622" s="45" t="s">
        <v>608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35">
        <v>45918.377372685187</v>
      </c>
      <c r="B623" s="36">
        <v>444023463</v>
      </c>
      <c r="C623" s="37" t="s">
        <v>36</v>
      </c>
      <c r="D623" s="37" t="s">
        <v>37</v>
      </c>
      <c r="E623" s="37" t="s">
        <v>47</v>
      </c>
      <c r="F623" s="37" t="s">
        <v>38</v>
      </c>
      <c r="G623" s="38">
        <v>3648.78</v>
      </c>
      <c r="H623" s="36">
        <v>443233632</v>
      </c>
      <c r="I623" s="39">
        <v>0</v>
      </c>
      <c r="J623" s="38">
        <v>0</v>
      </c>
      <c r="K623" s="38">
        <v>0</v>
      </c>
      <c r="L623" s="38">
        <v>3.01</v>
      </c>
      <c r="M623" s="38">
        <v>10049.34</v>
      </c>
      <c r="N623" s="46" t="s">
        <v>609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40">
        <v>45918.377372685187</v>
      </c>
      <c r="B624" s="41">
        <v>444023465</v>
      </c>
      <c r="C624" s="42" t="s">
        <v>36</v>
      </c>
      <c r="D624" s="42" t="s">
        <v>37</v>
      </c>
      <c r="E624" s="42" t="s">
        <v>47</v>
      </c>
      <c r="F624" s="42" t="s">
        <v>38</v>
      </c>
      <c r="G624" s="43">
        <v>3648.78</v>
      </c>
      <c r="H624" s="41">
        <v>443233633</v>
      </c>
      <c r="I624" s="44">
        <v>0</v>
      </c>
      <c r="J624" s="43">
        <v>0</v>
      </c>
      <c r="K624" s="43">
        <v>0</v>
      </c>
      <c r="L624" s="43">
        <v>3.01</v>
      </c>
      <c r="M624" s="43">
        <v>10052.35</v>
      </c>
      <c r="N624" s="45" t="s">
        <v>609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35">
        <v>45918.377395833333</v>
      </c>
      <c r="B625" s="36">
        <v>444023648</v>
      </c>
      <c r="C625" s="37" t="s">
        <v>36</v>
      </c>
      <c r="D625" s="37" t="s">
        <v>37</v>
      </c>
      <c r="E625" s="37" t="s">
        <v>47</v>
      </c>
      <c r="F625" s="37" t="s">
        <v>38</v>
      </c>
      <c r="G625" s="38">
        <v>3648.23</v>
      </c>
      <c r="H625" s="36">
        <v>443233818</v>
      </c>
      <c r="I625" s="39">
        <v>0</v>
      </c>
      <c r="J625" s="38">
        <v>0</v>
      </c>
      <c r="K625" s="38">
        <v>0</v>
      </c>
      <c r="L625" s="38">
        <v>3.48</v>
      </c>
      <c r="M625" s="38">
        <v>10055.83</v>
      </c>
      <c r="N625" s="46" t="s">
        <v>610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40">
        <v>45918.386203703703</v>
      </c>
      <c r="B626" s="41">
        <v>444036283</v>
      </c>
      <c r="C626" s="42" t="s">
        <v>36</v>
      </c>
      <c r="D626" s="42" t="s">
        <v>39</v>
      </c>
      <c r="E626" s="42" t="s">
        <v>46</v>
      </c>
      <c r="F626" s="42" t="s">
        <v>38</v>
      </c>
      <c r="G626" s="43">
        <v>3637.97</v>
      </c>
      <c r="H626" s="41">
        <v>443246235</v>
      </c>
      <c r="I626" s="44">
        <v>0</v>
      </c>
      <c r="J626" s="43">
        <v>0</v>
      </c>
      <c r="K626" s="43">
        <v>0</v>
      </c>
      <c r="L626" s="43">
        <v>0</v>
      </c>
      <c r="M626" s="43">
        <v>10055.83</v>
      </c>
      <c r="N626" s="45" t="s">
        <v>53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35">
        <v>45918.386203703703</v>
      </c>
      <c r="B627" s="36">
        <v>444036287</v>
      </c>
      <c r="C627" s="37" t="s">
        <v>36</v>
      </c>
      <c r="D627" s="37" t="s">
        <v>39</v>
      </c>
      <c r="E627" s="37" t="s">
        <v>46</v>
      </c>
      <c r="F627" s="37" t="s">
        <v>38</v>
      </c>
      <c r="G627" s="38">
        <v>3638.03</v>
      </c>
      <c r="H627" s="36">
        <v>443246239</v>
      </c>
      <c r="I627" s="39">
        <v>0</v>
      </c>
      <c r="J627" s="38">
        <v>0</v>
      </c>
      <c r="K627" s="38">
        <v>0</v>
      </c>
      <c r="L627" s="38">
        <v>0</v>
      </c>
      <c r="M627" s="38">
        <v>10055.83</v>
      </c>
      <c r="N627" s="46" t="s">
        <v>49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40">
        <v>45918.386203703703</v>
      </c>
      <c r="B628" s="41">
        <v>444036289</v>
      </c>
      <c r="C628" s="42" t="s">
        <v>36</v>
      </c>
      <c r="D628" s="42" t="s">
        <v>39</v>
      </c>
      <c r="E628" s="42" t="s">
        <v>46</v>
      </c>
      <c r="F628" s="42" t="s">
        <v>38</v>
      </c>
      <c r="G628" s="43">
        <v>3638.01</v>
      </c>
      <c r="H628" s="41">
        <v>443246241</v>
      </c>
      <c r="I628" s="44">
        <v>0</v>
      </c>
      <c r="J628" s="43">
        <v>0</v>
      </c>
      <c r="K628" s="43">
        <v>0</v>
      </c>
      <c r="L628" s="43">
        <v>0</v>
      </c>
      <c r="M628" s="43">
        <v>10055.83</v>
      </c>
      <c r="N628" s="45" t="s">
        <v>48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35">
        <v>45918.38621527778</v>
      </c>
      <c r="B629" s="36">
        <v>444036291</v>
      </c>
      <c r="C629" s="37" t="s">
        <v>36</v>
      </c>
      <c r="D629" s="37" t="s">
        <v>39</v>
      </c>
      <c r="E629" s="37" t="s">
        <v>46</v>
      </c>
      <c r="F629" s="37" t="s">
        <v>38</v>
      </c>
      <c r="G629" s="38">
        <v>3638.03</v>
      </c>
      <c r="H629" s="36">
        <v>443246243</v>
      </c>
      <c r="I629" s="39">
        <v>0</v>
      </c>
      <c r="J629" s="38">
        <v>0</v>
      </c>
      <c r="K629" s="38">
        <v>0</v>
      </c>
      <c r="L629" s="38">
        <v>0</v>
      </c>
      <c r="M629" s="38">
        <v>10055.83</v>
      </c>
      <c r="N629" s="46" t="s">
        <v>150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40">
        <v>45918.387233796297</v>
      </c>
      <c r="B630" s="41">
        <v>444036971</v>
      </c>
      <c r="C630" s="42" t="s">
        <v>36</v>
      </c>
      <c r="D630" s="42" t="s">
        <v>37</v>
      </c>
      <c r="E630" s="42" t="s">
        <v>47</v>
      </c>
      <c r="F630" s="42" t="s">
        <v>38</v>
      </c>
      <c r="G630" s="43">
        <v>3636.4</v>
      </c>
      <c r="H630" s="41">
        <v>443246918</v>
      </c>
      <c r="I630" s="44">
        <v>0</v>
      </c>
      <c r="J630" s="43">
        <v>0</v>
      </c>
      <c r="K630" s="43">
        <v>0</v>
      </c>
      <c r="L630" s="43">
        <v>1.63</v>
      </c>
      <c r="M630" s="43">
        <v>10057.459999999999</v>
      </c>
      <c r="N630" s="45" t="s">
        <v>611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35">
        <v>45918.38789351852</v>
      </c>
      <c r="B631" s="36">
        <v>444037485</v>
      </c>
      <c r="C631" s="37" t="s">
        <v>36</v>
      </c>
      <c r="D631" s="37" t="s">
        <v>37</v>
      </c>
      <c r="E631" s="37" t="s">
        <v>47</v>
      </c>
      <c r="F631" s="37" t="s">
        <v>38</v>
      </c>
      <c r="G631" s="38">
        <v>3637.33</v>
      </c>
      <c r="H631" s="36">
        <v>443247425</v>
      </c>
      <c r="I631" s="39">
        <v>0</v>
      </c>
      <c r="J631" s="38">
        <v>0</v>
      </c>
      <c r="K631" s="38">
        <v>0</v>
      </c>
      <c r="L631" s="38">
        <v>0.7</v>
      </c>
      <c r="M631" s="38">
        <v>10058.16</v>
      </c>
      <c r="N631" s="46" t="s">
        <v>612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40">
        <v>45918.38789351852</v>
      </c>
      <c r="B632" s="41">
        <v>444037488</v>
      </c>
      <c r="C632" s="42" t="s">
        <v>36</v>
      </c>
      <c r="D632" s="42" t="s">
        <v>37</v>
      </c>
      <c r="E632" s="42" t="s">
        <v>47</v>
      </c>
      <c r="F632" s="42" t="s">
        <v>38</v>
      </c>
      <c r="G632" s="43">
        <v>3637.34</v>
      </c>
      <c r="H632" s="41">
        <v>443247428</v>
      </c>
      <c r="I632" s="44">
        <v>0</v>
      </c>
      <c r="J632" s="43">
        <v>0</v>
      </c>
      <c r="K632" s="43">
        <v>0</v>
      </c>
      <c r="L632" s="43">
        <v>0.67</v>
      </c>
      <c r="M632" s="43">
        <v>10058.83</v>
      </c>
      <c r="N632" s="45" t="s">
        <v>613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35">
        <v>45918.38789351852</v>
      </c>
      <c r="B633" s="36">
        <v>444037491</v>
      </c>
      <c r="C633" s="37" t="s">
        <v>36</v>
      </c>
      <c r="D633" s="37" t="s">
        <v>37</v>
      </c>
      <c r="E633" s="37" t="s">
        <v>47</v>
      </c>
      <c r="F633" s="37" t="s">
        <v>38</v>
      </c>
      <c r="G633" s="38">
        <v>3637.63</v>
      </c>
      <c r="H633" s="36">
        <v>443247431</v>
      </c>
      <c r="I633" s="39">
        <v>0</v>
      </c>
      <c r="J633" s="38">
        <v>0</v>
      </c>
      <c r="K633" s="38">
        <v>0</v>
      </c>
      <c r="L633" s="38">
        <v>0.34</v>
      </c>
      <c r="M633" s="38">
        <v>10059.17</v>
      </c>
      <c r="N633" s="46" t="s">
        <v>614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40">
        <v>45918.387939814813</v>
      </c>
      <c r="B634" s="41">
        <v>444037529</v>
      </c>
      <c r="C634" s="42" t="s">
        <v>36</v>
      </c>
      <c r="D634" s="42" t="s">
        <v>39</v>
      </c>
      <c r="E634" s="42" t="s">
        <v>46</v>
      </c>
      <c r="F634" s="42" t="s">
        <v>38</v>
      </c>
      <c r="G634" s="43">
        <v>3637.71</v>
      </c>
      <c r="H634" s="41">
        <v>443247469</v>
      </c>
      <c r="I634" s="44">
        <v>0</v>
      </c>
      <c r="J634" s="43">
        <v>0</v>
      </c>
      <c r="K634" s="43">
        <v>0</v>
      </c>
      <c r="L634" s="43">
        <v>0</v>
      </c>
      <c r="M634" s="43">
        <v>10059.17</v>
      </c>
      <c r="N634" s="45" t="s">
        <v>48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35">
        <v>45918.387939814813</v>
      </c>
      <c r="B635" s="36">
        <v>444037530</v>
      </c>
      <c r="C635" s="37" t="s">
        <v>36</v>
      </c>
      <c r="D635" s="37" t="s">
        <v>39</v>
      </c>
      <c r="E635" s="37" t="s">
        <v>46</v>
      </c>
      <c r="F635" s="37" t="s">
        <v>38</v>
      </c>
      <c r="G635" s="38">
        <v>3637.72</v>
      </c>
      <c r="H635" s="36">
        <v>443247470</v>
      </c>
      <c r="I635" s="39">
        <v>0</v>
      </c>
      <c r="J635" s="38">
        <v>0</v>
      </c>
      <c r="K635" s="38">
        <v>0</v>
      </c>
      <c r="L635" s="38">
        <v>0</v>
      </c>
      <c r="M635" s="38">
        <v>10059.17</v>
      </c>
      <c r="N635" s="46" t="s">
        <v>53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40">
        <v>45918.387939814813</v>
      </c>
      <c r="B636" s="41">
        <v>444037531</v>
      </c>
      <c r="C636" s="42" t="s">
        <v>36</v>
      </c>
      <c r="D636" s="42" t="s">
        <v>39</v>
      </c>
      <c r="E636" s="42" t="s">
        <v>46</v>
      </c>
      <c r="F636" s="42" t="s">
        <v>38</v>
      </c>
      <c r="G636" s="43">
        <v>3637.73</v>
      </c>
      <c r="H636" s="41">
        <v>443247471</v>
      </c>
      <c r="I636" s="44">
        <v>0</v>
      </c>
      <c r="J636" s="43">
        <v>0</v>
      </c>
      <c r="K636" s="43">
        <v>0</v>
      </c>
      <c r="L636" s="43">
        <v>0</v>
      </c>
      <c r="M636" s="43">
        <v>10059.17</v>
      </c>
      <c r="N636" s="45" t="s">
        <v>150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35">
        <v>45918.38795138889</v>
      </c>
      <c r="B637" s="36">
        <v>444037532</v>
      </c>
      <c r="C637" s="37" t="s">
        <v>36</v>
      </c>
      <c r="D637" s="37" t="s">
        <v>39</v>
      </c>
      <c r="E637" s="37" t="s">
        <v>46</v>
      </c>
      <c r="F637" s="37" t="s">
        <v>38</v>
      </c>
      <c r="G637" s="38">
        <v>3637.67</v>
      </c>
      <c r="H637" s="36">
        <v>443247472</v>
      </c>
      <c r="I637" s="39">
        <v>0</v>
      </c>
      <c r="J637" s="38">
        <v>0</v>
      </c>
      <c r="K637" s="38">
        <v>0</v>
      </c>
      <c r="L637" s="38">
        <v>0</v>
      </c>
      <c r="M637" s="38">
        <v>10059.17</v>
      </c>
      <c r="N637" s="46" t="s">
        <v>49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40">
        <v>45918.38826388889</v>
      </c>
      <c r="B638" s="41">
        <v>444037610</v>
      </c>
      <c r="C638" s="42" t="s">
        <v>36</v>
      </c>
      <c r="D638" s="42" t="s">
        <v>37</v>
      </c>
      <c r="E638" s="42" t="s">
        <v>47</v>
      </c>
      <c r="F638" s="42" t="s">
        <v>38</v>
      </c>
      <c r="G638" s="43">
        <v>3636.21</v>
      </c>
      <c r="H638" s="41">
        <v>443247549</v>
      </c>
      <c r="I638" s="44">
        <v>0</v>
      </c>
      <c r="J638" s="43">
        <v>0</v>
      </c>
      <c r="K638" s="43">
        <v>0</v>
      </c>
      <c r="L638" s="43">
        <v>1.52</v>
      </c>
      <c r="M638" s="43">
        <v>10060.69</v>
      </c>
      <c r="N638" s="45" t="s">
        <v>615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35">
        <v>45918.388749999998</v>
      </c>
      <c r="B639" s="36">
        <v>444037742</v>
      </c>
      <c r="C639" s="37" t="s">
        <v>36</v>
      </c>
      <c r="D639" s="37" t="s">
        <v>39</v>
      </c>
      <c r="E639" s="37" t="s">
        <v>46</v>
      </c>
      <c r="F639" s="37" t="s">
        <v>38</v>
      </c>
      <c r="G639" s="38">
        <v>3637.52</v>
      </c>
      <c r="H639" s="36">
        <v>443247692</v>
      </c>
      <c r="I639" s="39">
        <v>0</v>
      </c>
      <c r="J639" s="38">
        <v>0</v>
      </c>
      <c r="K639" s="38">
        <v>0</v>
      </c>
      <c r="L639" s="38">
        <v>0</v>
      </c>
      <c r="M639" s="38">
        <v>10060.69</v>
      </c>
      <c r="N639" s="46" t="s">
        <v>150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40">
        <v>45918.389097222222</v>
      </c>
      <c r="B640" s="41">
        <v>444037860</v>
      </c>
      <c r="C640" s="42" t="s">
        <v>36</v>
      </c>
      <c r="D640" s="42" t="s">
        <v>39</v>
      </c>
      <c r="E640" s="42" t="s">
        <v>46</v>
      </c>
      <c r="F640" s="42" t="s">
        <v>38</v>
      </c>
      <c r="G640" s="43">
        <v>3638.61</v>
      </c>
      <c r="H640" s="41">
        <v>443247808</v>
      </c>
      <c r="I640" s="44">
        <v>0</v>
      </c>
      <c r="J640" s="43">
        <v>0</v>
      </c>
      <c r="K640" s="43">
        <v>0</v>
      </c>
      <c r="L640" s="43">
        <v>0</v>
      </c>
      <c r="M640" s="43">
        <v>10060.69</v>
      </c>
      <c r="N640" s="45" t="s">
        <v>616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35">
        <v>45918.389097222222</v>
      </c>
      <c r="B641" s="36">
        <v>444037862</v>
      </c>
      <c r="C641" s="37" t="s">
        <v>36</v>
      </c>
      <c r="D641" s="37" t="s">
        <v>39</v>
      </c>
      <c r="E641" s="37" t="s">
        <v>46</v>
      </c>
      <c r="F641" s="37" t="s">
        <v>38</v>
      </c>
      <c r="G641" s="38">
        <v>3638.54</v>
      </c>
      <c r="H641" s="36">
        <v>443247810</v>
      </c>
      <c r="I641" s="39">
        <v>0</v>
      </c>
      <c r="J641" s="38">
        <v>0</v>
      </c>
      <c r="K641" s="38">
        <v>0</v>
      </c>
      <c r="L641" s="38">
        <v>0</v>
      </c>
      <c r="M641" s="38">
        <v>10060.69</v>
      </c>
      <c r="N641" s="46" t="s">
        <v>268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40">
        <v>45918.390625</v>
      </c>
      <c r="B642" s="41">
        <v>444038703</v>
      </c>
      <c r="C642" s="42" t="s">
        <v>36</v>
      </c>
      <c r="D642" s="42" t="s">
        <v>37</v>
      </c>
      <c r="E642" s="42" t="s">
        <v>47</v>
      </c>
      <c r="F642" s="42" t="s">
        <v>38</v>
      </c>
      <c r="G642" s="43">
        <v>3635.79</v>
      </c>
      <c r="H642" s="41">
        <v>443248651</v>
      </c>
      <c r="I642" s="44">
        <v>0</v>
      </c>
      <c r="J642" s="43">
        <v>0</v>
      </c>
      <c r="K642" s="43">
        <v>0</v>
      </c>
      <c r="L642" s="43">
        <v>1.73</v>
      </c>
      <c r="M642" s="43">
        <v>10062.42</v>
      </c>
      <c r="N642" s="45" t="s">
        <v>617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35">
        <v>45918.390914351854</v>
      </c>
      <c r="B643" s="36">
        <v>444039006</v>
      </c>
      <c r="C643" s="37" t="s">
        <v>36</v>
      </c>
      <c r="D643" s="37" t="s">
        <v>37</v>
      </c>
      <c r="E643" s="37" t="s">
        <v>47</v>
      </c>
      <c r="F643" s="37" t="s">
        <v>38</v>
      </c>
      <c r="G643" s="38">
        <v>3635.13</v>
      </c>
      <c r="H643" s="36">
        <v>443248954</v>
      </c>
      <c r="I643" s="39">
        <v>0</v>
      </c>
      <c r="J643" s="38">
        <v>0</v>
      </c>
      <c r="K643" s="38">
        <v>0</v>
      </c>
      <c r="L643" s="38">
        <v>3.48</v>
      </c>
      <c r="M643" s="38">
        <v>10065.9</v>
      </c>
      <c r="N643" s="46" t="s">
        <v>618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40">
        <v>45918.391006944446</v>
      </c>
      <c r="B644" s="41">
        <v>444039161</v>
      </c>
      <c r="C644" s="42" t="s">
        <v>36</v>
      </c>
      <c r="D644" s="42" t="s">
        <v>37</v>
      </c>
      <c r="E644" s="42" t="s">
        <v>47</v>
      </c>
      <c r="F644" s="42" t="s">
        <v>38</v>
      </c>
      <c r="G644" s="43">
        <v>3635.08</v>
      </c>
      <c r="H644" s="41">
        <v>443249106</v>
      </c>
      <c r="I644" s="44">
        <v>0</v>
      </c>
      <c r="J644" s="43">
        <v>0</v>
      </c>
      <c r="K644" s="43">
        <v>0</v>
      </c>
      <c r="L644" s="43">
        <v>3.46</v>
      </c>
      <c r="M644" s="43">
        <v>10069.36</v>
      </c>
      <c r="N644" s="45" t="s">
        <v>619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35">
        <v>45918.391041666669</v>
      </c>
      <c r="B645" s="36">
        <v>444039228</v>
      </c>
      <c r="C645" s="37" t="s">
        <v>36</v>
      </c>
      <c r="D645" s="37" t="s">
        <v>37</v>
      </c>
      <c r="E645" s="37" t="s">
        <v>47</v>
      </c>
      <c r="F645" s="37" t="s">
        <v>38</v>
      </c>
      <c r="G645" s="38">
        <v>3634.66</v>
      </c>
      <c r="H645" s="36">
        <v>443249171</v>
      </c>
      <c r="I645" s="39">
        <v>0</v>
      </c>
      <c r="J645" s="38">
        <v>0</v>
      </c>
      <c r="K645" s="38">
        <v>0</v>
      </c>
      <c r="L645" s="38">
        <v>3.05</v>
      </c>
      <c r="M645" s="38">
        <v>10072.41</v>
      </c>
      <c r="N645" s="46" t="s">
        <v>620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40">
        <v>45918.391041666669</v>
      </c>
      <c r="B646" s="41">
        <v>444039230</v>
      </c>
      <c r="C646" s="42" t="s">
        <v>36</v>
      </c>
      <c r="D646" s="42" t="s">
        <v>37</v>
      </c>
      <c r="E646" s="42" t="s">
        <v>47</v>
      </c>
      <c r="F646" s="42" t="s">
        <v>38</v>
      </c>
      <c r="G646" s="43">
        <v>3634.66</v>
      </c>
      <c r="H646" s="41">
        <v>443249173</v>
      </c>
      <c r="I646" s="44">
        <v>0</v>
      </c>
      <c r="J646" s="43">
        <v>0</v>
      </c>
      <c r="K646" s="43">
        <v>0</v>
      </c>
      <c r="L646" s="43">
        <v>3.01</v>
      </c>
      <c r="M646" s="43">
        <v>10075.42</v>
      </c>
      <c r="N646" s="45" t="s">
        <v>620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35">
        <v>45918.391377314816</v>
      </c>
      <c r="B647" s="36">
        <v>444039376</v>
      </c>
      <c r="C647" s="37" t="s">
        <v>36</v>
      </c>
      <c r="D647" s="37" t="s">
        <v>37</v>
      </c>
      <c r="E647" s="37" t="s">
        <v>47</v>
      </c>
      <c r="F647" s="37" t="s">
        <v>38</v>
      </c>
      <c r="G647" s="38">
        <v>3636.79</v>
      </c>
      <c r="H647" s="36">
        <v>443249317</v>
      </c>
      <c r="I647" s="39">
        <v>0</v>
      </c>
      <c r="J647" s="38">
        <v>0</v>
      </c>
      <c r="K647" s="38">
        <v>0</v>
      </c>
      <c r="L647" s="38">
        <v>0.93</v>
      </c>
      <c r="M647" s="38">
        <v>10076.35</v>
      </c>
      <c r="N647" s="46" t="s">
        <v>621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40">
        <v>45918.391412037039</v>
      </c>
      <c r="B648" s="41">
        <v>444039380</v>
      </c>
      <c r="C648" s="42" t="s">
        <v>36</v>
      </c>
      <c r="D648" s="42" t="s">
        <v>39</v>
      </c>
      <c r="E648" s="42" t="s">
        <v>46</v>
      </c>
      <c r="F648" s="42" t="s">
        <v>38</v>
      </c>
      <c r="G648" s="43">
        <v>3636.49</v>
      </c>
      <c r="H648" s="41">
        <v>443249321</v>
      </c>
      <c r="I648" s="44">
        <v>0</v>
      </c>
      <c r="J648" s="43">
        <v>0</v>
      </c>
      <c r="K648" s="43">
        <v>0</v>
      </c>
      <c r="L648" s="43">
        <v>0</v>
      </c>
      <c r="M648" s="43">
        <v>10076.35</v>
      </c>
      <c r="N648" s="45" t="s">
        <v>49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35">
        <v>45918.391412037039</v>
      </c>
      <c r="B649" s="36">
        <v>444039398</v>
      </c>
      <c r="C649" s="37" t="s">
        <v>36</v>
      </c>
      <c r="D649" s="37" t="s">
        <v>39</v>
      </c>
      <c r="E649" s="37" t="s">
        <v>46</v>
      </c>
      <c r="F649" s="37" t="s">
        <v>38</v>
      </c>
      <c r="G649" s="38">
        <v>3636.27</v>
      </c>
      <c r="H649" s="36">
        <v>443249340</v>
      </c>
      <c r="I649" s="39">
        <v>0</v>
      </c>
      <c r="J649" s="38">
        <v>0</v>
      </c>
      <c r="K649" s="38">
        <v>0</v>
      </c>
      <c r="L649" s="38">
        <v>0</v>
      </c>
      <c r="M649" s="38">
        <v>10076.35</v>
      </c>
      <c r="N649" s="46" t="s">
        <v>53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40">
        <v>45918.391412037039</v>
      </c>
      <c r="B650" s="41">
        <v>444039406</v>
      </c>
      <c r="C650" s="42" t="s">
        <v>36</v>
      </c>
      <c r="D650" s="42" t="s">
        <v>39</v>
      </c>
      <c r="E650" s="42" t="s">
        <v>46</v>
      </c>
      <c r="F650" s="42" t="s">
        <v>38</v>
      </c>
      <c r="G650" s="43">
        <v>3636.26</v>
      </c>
      <c r="H650" s="41">
        <v>443249347</v>
      </c>
      <c r="I650" s="44">
        <v>0</v>
      </c>
      <c r="J650" s="43">
        <v>0</v>
      </c>
      <c r="K650" s="43">
        <v>0</v>
      </c>
      <c r="L650" s="43">
        <v>0</v>
      </c>
      <c r="M650" s="43">
        <v>10076.35</v>
      </c>
      <c r="N650" s="45" t="s">
        <v>48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35">
        <v>45918.391423611109</v>
      </c>
      <c r="B651" s="36">
        <v>444039409</v>
      </c>
      <c r="C651" s="37" t="s">
        <v>36</v>
      </c>
      <c r="D651" s="37" t="s">
        <v>39</v>
      </c>
      <c r="E651" s="37" t="s">
        <v>46</v>
      </c>
      <c r="F651" s="37" t="s">
        <v>38</v>
      </c>
      <c r="G651" s="38">
        <v>3636.18</v>
      </c>
      <c r="H651" s="36">
        <v>443249350</v>
      </c>
      <c r="I651" s="39">
        <v>0</v>
      </c>
      <c r="J651" s="38">
        <v>0</v>
      </c>
      <c r="K651" s="38">
        <v>0</v>
      </c>
      <c r="L651" s="38">
        <v>0</v>
      </c>
      <c r="M651" s="38">
        <v>10076.35</v>
      </c>
      <c r="N651" s="46" t="s">
        <v>150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40">
        <v>45918.391736111109</v>
      </c>
      <c r="B652" s="41">
        <v>444039625</v>
      </c>
      <c r="C652" s="42" t="s">
        <v>36</v>
      </c>
      <c r="D652" s="42" t="s">
        <v>37</v>
      </c>
      <c r="E652" s="42" t="s">
        <v>47</v>
      </c>
      <c r="F652" s="42" t="s">
        <v>38</v>
      </c>
      <c r="G652" s="43">
        <v>3634.99</v>
      </c>
      <c r="H652" s="41">
        <v>443249565</v>
      </c>
      <c r="I652" s="44">
        <v>0</v>
      </c>
      <c r="J652" s="43">
        <v>0</v>
      </c>
      <c r="K652" s="43">
        <v>0</v>
      </c>
      <c r="L652" s="43">
        <v>1.19</v>
      </c>
      <c r="M652" s="43">
        <v>10077.540000000001</v>
      </c>
      <c r="N652" s="45" t="s">
        <v>622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35">
        <v>45918.392245370371</v>
      </c>
      <c r="B653" s="36">
        <v>444039772</v>
      </c>
      <c r="C653" s="37" t="s">
        <v>36</v>
      </c>
      <c r="D653" s="37" t="s">
        <v>37</v>
      </c>
      <c r="E653" s="37" t="s">
        <v>47</v>
      </c>
      <c r="F653" s="37" t="s">
        <v>38</v>
      </c>
      <c r="G653" s="38">
        <v>3636.3</v>
      </c>
      <c r="H653" s="36">
        <v>443249704</v>
      </c>
      <c r="I653" s="39">
        <v>0</v>
      </c>
      <c r="J653" s="38">
        <v>0</v>
      </c>
      <c r="K653" s="38">
        <v>0</v>
      </c>
      <c r="L653" s="38">
        <v>0.19</v>
      </c>
      <c r="M653" s="38">
        <v>10077.73</v>
      </c>
      <c r="N653" s="46" t="s">
        <v>623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40">
        <v>45918.392245370371</v>
      </c>
      <c r="B654" s="41">
        <v>444039773</v>
      </c>
      <c r="C654" s="42" t="s">
        <v>36</v>
      </c>
      <c r="D654" s="42" t="s">
        <v>37</v>
      </c>
      <c r="E654" s="42" t="s">
        <v>47</v>
      </c>
      <c r="F654" s="42" t="s">
        <v>38</v>
      </c>
      <c r="G654" s="43">
        <v>3636.3</v>
      </c>
      <c r="H654" s="41">
        <v>443249705</v>
      </c>
      <c r="I654" s="44">
        <v>0</v>
      </c>
      <c r="J654" s="43">
        <v>0</v>
      </c>
      <c r="K654" s="43">
        <v>0</v>
      </c>
      <c r="L654" s="43">
        <v>-0.03</v>
      </c>
      <c r="M654" s="43">
        <v>10077.700000000001</v>
      </c>
      <c r="N654" s="45" t="s">
        <v>624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35">
        <v>45918.392245370371</v>
      </c>
      <c r="B655" s="36">
        <v>444039774</v>
      </c>
      <c r="C655" s="37" t="s">
        <v>36</v>
      </c>
      <c r="D655" s="37" t="s">
        <v>37</v>
      </c>
      <c r="E655" s="37" t="s">
        <v>47</v>
      </c>
      <c r="F655" s="37" t="s">
        <v>38</v>
      </c>
      <c r="G655" s="38">
        <v>3636.3</v>
      </c>
      <c r="H655" s="36">
        <v>443249706</v>
      </c>
      <c r="I655" s="39">
        <v>0</v>
      </c>
      <c r="J655" s="38">
        <v>0</v>
      </c>
      <c r="K655" s="38">
        <v>0</v>
      </c>
      <c r="L655" s="38">
        <v>-0.04</v>
      </c>
      <c r="M655" s="38">
        <v>10077.66</v>
      </c>
      <c r="N655" s="46" t="s">
        <v>623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40">
        <v>45918.392685185187</v>
      </c>
      <c r="B656" s="41">
        <v>444039966</v>
      </c>
      <c r="C656" s="42" t="s">
        <v>36</v>
      </c>
      <c r="D656" s="42" t="s">
        <v>39</v>
      </c>
      <c r="E656" s="42" t="s">
        <v>46</v>
      </c>
      <c r="F656" s="42" t="s">
        <v>38</v>
      </c>
      <c r="G656" s="43">
        <v>3636.78</v>
      </c>
      <c r="H656" s="41">
        <v>443249904</v>
      </c>
      <c r="I656" s="44">
        <v>0</v>
      </c>
      <c r="J656" s="43">
        <v>0</v>
      </c>
      <c r="K656" s="43">
        <v>0</v>
      </c>
      <c r="L656" s="43">
        <v>0</v>
      </c>
      <c r="M656" s="43">
        <v>10077.66</v>
      </c>
      <c r="N656" s="45" t="s">
        <v>150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35">
        <v>45918.392685185187</v>
      </c>
      <c r="B657" s="36">
        <v>444039968</v>
      </c>
      <c r="C657" s="37" t="s">
        <v>36</v>
      </c>
      <c r="D657" s="37" t="s">
        <v>39</v>
      </c>
      <c r="E657" s="37" t="s">
        <v>46</v>
      </c>
      <c r="F657" s="37" t="s">
        <v>38</v>
      </c>
      <c r="G657" s="38">
        <v>3636.78</v>
      </c>
      <c r="H657" s="36">
        <v>443249906</v>
      </c>
      <c r="I657" s="39">
        <v>0</v>
      </c>
      <c r="J657" s="38">
        <v>0</v>
      </c>
      <c r="K657" s="38">
        <v>0</v>
      </c>
      <c r="L657" s="38">
        <v>0</v>
      </c>
      <c r="M657" s="38">
        <v>10077.66</v>
      </c>
      <c r="N657" s="46" t="s">
        <v>48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40">
        <v>45918.392685185187</v>
      </c>
      <c r="B658" s="41">
        <v>444039970</v>
      </c>
      <c r="C658" s="42" t="s">
        <v>36</v>
      </c>
      <c r="D658" s="42" t="s">
        <v>39</v>
      </c>
      <c r="E658" s="42" t="s">
        <v>46</v>
      </c>
      <c r="F658" s="42" t="s">
        <v>38</v>
      </c>
      <c r="G658" s="43">
        <v>3636.78</v>
      </c>
      <c r="H658" s="41">
        <v>443249908</v>
      </c>
      <c r="I658" s="44">
        <v>0</v>
      </c>
      <c r="J658" s="43">
        <v>0</v>
      </c>
      <c r="K658" s="43">
        <v>0</v>
      </c>
      <c r="L658" s="43">
        <v>0</v>
      </c>
      <c r="M658" s="43">
        <v>10077.66</v>
      </c>
      <c r="N658" s="45" t="s">
        <v>53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35">
        <v>45918.392696759256</v>
      </c>
      <c r="B659" s="36">
        <v>444039971</v>
      </c>
      <c r="C659" s="37" t="s">
        <v>36</v>
      </c>
      <c r="D659" s="37" t="s">
        <v>39</v>
      </c>
      <c r="E659" s="37" t="s">
        <v>46</v>
      </c>
      <c r="F659" s="37" t="s">
        <v>38</v>
      </c>
      <c r="G659" s="38">
        <v>3636.77</v>
      </c>
      <c r="H659" s="36">
        <v>443249909</v>
      </c>
      <c r="I659" s="39">
        <v>0</v>
      </c>
      <c r="J659" s="38">
        <v>0</v>
      </c>
      <c r="K659" s="38">
        <v>0</v>
      </c>
      <c r="L659" s="38">
        <v>0</v>
      </c>
      <c r="M659" s="38">
        <v>10077.66</v>
      </c>
      <c r="N659" s="46" t="s">
        <v>49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40">
        <v>45918.394305555557</v>
      </c>
      <c r="B660" s="41">
        <v>444040953</v>
      </c>
      <c r="C660" s="42" t="s">
        <v>36</v>
      </c>
      <c r="D660" s="42" t="s">
        <v>39</v>
      </c>
      <c r="E660" s="42" t="s">
        <v>46</v>
      </c>
      <c r="F660" s="42" t="s">
        <v>38</v>
      </c>
      <c r="G660" s="43">
        <v>3636.91</v>
      </c>
      <c r="H660" s="41">
        <v>443250898</v>
      </c>
      <c r="I660" s="44">
        <v>0</v>
      </c>
      <c r="J660" s="43">
        <v>0</v>
      </c>
      <c r="K660" s="43">
        <v>0</v>
      </c>
      <c r="L660" s="43">
        <v>0</v>
      </c>
      <c r="M660" s="43">
        <v>10077.66</v>
      </c>
      <c r="N660" s="45" t="s">
        <v>616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35">
        <v>45918.394305555557</v>
      </c>
      <c r="B661" s="36">
        <v>444040957</v>
      </c>
      <c r="C661" s="37" t="s">
        <v>36</v>
      </c>
      <c r="D661" s="37" t="s">
        <v>39</v>
      </c>
      <c r="E661" s="37" t="s">
        <v>46</v>
      </c>
      <c r="F661" s="37" t="s">
        <v>38</v>
      </c>
      <c r="G661" s="38">
        <v>3636.87</v>
      </c>
      <c r="H661" s="36">
        <v>443250902</v>
      </c>
      <c r="I661" s="39">
        <v>0</v>
      </c>
      <c r="J661" s="38">
        <v>0</v>
      </c>
      <c r="K661" s="38">
        <v>0</v>
      </c>
      <c r="L661" s="38">
        <v>0</v>
      </c>
      <c r="M661" s="38">
        <v>10077.66</v>
      </c>
      <c r="N661" s="46" t="s">
        <v>268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40">
        <v>45918.395011574074</v>
      </c>
      <c r="B662" s="41">
        <v>444041405</v>
      </c>
      <c r="C662" s="42" t="s">
        <v>36</v>
      </c>
      <c r="D662" s="42" t="s">
        <v>37</v>
      </c>
      <c r="E662" s="42" t="s">
        <v>47</v>
      </c>
      <c r="F662" s="42" t="s">
        <v>38</v>
      </c>
      <c r="G662" s="43">
        <v>3639.28</v>
      </c>
      <c r="H662" s="41">
        <v>443251340</v>
      </c>
      <c r="I662" s="44">
        <v>0</v>
      </c>
      <c r="J662" s="43">
        <v>0</v>
      </c>
      <c r="K662" s="43">
        <v>0</v>
      </c>
      <c r="L662" s="43">
        <v>-2.5099999999999998</v>
      </c>
      <c r="M662" s="43">
        <v>10075.15</v>
      </c>
      <c r="N662" s="45" t="s">
        <v>625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35">
        <v>45918.395416666666</v>
      </c>
      <c r="B663" s="36">
        <v>444041601</v>
      </c>
      <c r="C663" s="37" t="s">
        <v>36</v>
      </c>
      <c r="D663" s="37" t="s">
        <v>37</v>
      </c>
      <c r="E663" s="37" t="s">
        <v>47</v>
      </c>
      <c r="F663" s="37" t="s">
        <v>38</v>
      </c>
      <c r="G663" s="38">
        <v>3639.82</v>
      </c>
      <c r="H663" s="36">
        <v>443251529</v>
      </c>
      <c r="I663" s="39">
        <v>0</v>
      </c>
      <c r="J663" s="38">
        <v>0</v>
      </c>
      <c r="K663" s="38">
        <v>0</v>
      </c>
      <c r="L663" s="38">
        <v>-3.04</v>
      </c>
      <c r="M663" s="38">
        <v>10072.11</v>
      </c>
      <c r="N663" s="46" t="s">
        <v>626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40">
        <v>45918.395416666666</v>
      </c>
      <c r="B664" s="41">
        <v>444041603</v>
      </c>
      <c r="C664" s="42" t="s">
        <v>36</v>
      </c>
      <c r="D664" s="42" t="s">
        <v>37</v>
      </c>
      <c r="E664" s="42" t="s">
        <v>47</v>
      </c>
      <c r="F664" s="42" t="s">
        <v>38</v>
      </c>
      <c r="G664" s="43">
        <v>3639.82</v>
      </c>
      <c r="H664" s="41">
        <v>443251530</v>
      </c>
      <c r="I664" s="44">
        <v>0</v>
      </c>
      <c r="J664" s="43">
        <v>0</v>
      </c>
      <c r="K664" s="43">
        <v>0</v>
      </c>
      <c r="L664" s="43">
        <v>-3.04</v>
      </c>
      <c r="M664" s="43">
        <v>10069.07</v>
      </c>
      <c r="N664" s="45" t="s">
        <v>626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35">
        <v>45918.395416666666</v>
      </c>
      <c r="B665" s="36">
        <v>444041604</v>
      </c>
      <c r="C665" s="37" t="s">
        <v>36</v>
      </c>
      <c r="D665" s="37" t="s">
        <v>37</v>
      </c>
      <c r="E665" s="37" t="s">
        <v>47</v>
      </c>
      <c r="F665" s="37" t="s">
        <v>38</v>
      </c>
      <c r="G665" s="38">
        <v>3639.82</v>
      </c>
      <c r="H665" s="36">
        <v>443251531</v>
      </c>
      <c r="I665" s="39">
        <v>0</v>
      </c>
      <c r="J665" s="38">
        <v>0</v>
      </c>
      <c r="K665" s="38">
        <v>0</v>
      </c>
      <c r="L665" s="38">
        <v>-3.04</v>
      </c>
      <c r="M665" s="38">
        <v>10066.030000000001</v>
      </c>
      <c r="N665" s="46" t="s">
        <v>626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40">
        <v>45918.399108796293</v>
      </c>
      <c r="B666" s="41">
        <v>444042889</v>
      </c>
      <c r="C666" s="42" t="s">
        <v>36</v>
      </c>
      <c r="D666" s="42" t="s">
        <v>37</v>
      </c>
      <c r="E666" s="42" t="s">
        <v>47</v>
      </c>
      <c r="F666" s="42" t="s">
        <v>38</v>
      </c>
      <c r="G666" s="43">
        <v>3640.01</v>
      </c>
      <c r="H666" s="41">
        <v>443252835</v>
      </c>
      <c r="I666" s="44">
        <v>0</v>
      </c>
      <c r="J666" s="43">
        <v>0</v>
      </c>
      <c r="K666" s="43">
        <v>0</v>
      </c>
      <c r="L666" s="43">
        <v>-3.1</v>
      </c>
      <c r="M666" s="43">
        <v>10062.93</v>
      </c>
      <c r="N666" s="45" t="s">
        <v>627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35">
        <v>45918.399108796293</v>
      </c>
      <c r="B667" s="36">
        <v>444042891</v>
      </c>
      <c r="C667" s="37" t="s">
        <v>36</v>
      </c>
      <c r="D667" s="37" t="s">
        <v>37</v>
      </c>
      <c r="E667" s="37" t="s">
        <v>47</v>
      </c>
      <c r="F667" s="37" t="s">
        <v>38</v>
      </c>
      <c r="G667" s="38">
        <v>3640.01</v>
      </c>
      <c r="H667" s="36">
        <v>443252836</v>
      </c>
      <c r="I667" s="39">
        <v>0</v>
      </c>
      <c r="J667" s="38">
        <v>0</v>
      </c>
      <c r="K667" s="38">
        <v>0</v>
      </c>
      <c r="L667" s="38">
        <v>-3.14</v>
      </c>
      <c r="M667" s="38">
        <v>10059.790000000001</v>
      </c>
      <c r="N667" s="46" t="s">
        <v>628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40">
        <v>45918.400092592594</v>
      </c>
      <c r="B668" s="41">
        <v>444043662</v>
      </c>
      <c r="C668" s="42" t="s">
        <v>36</v>
      </c>
      <c r="D668" s="42" t="s">
        <v>39</v>
      </c>
      <c r="E668" s="42" t="s">
        <v>46</v>
      </c>
      <c r="F668" s="42" t="s">
        <v>38</v>
      </c>
      <c r="G668" s="43">
        <v>3637.76</v>
      </c>
      <c r="H668" s="41">
        <v>443253656</v>
      </c>
      <c r="I668" s="44">
        <v>0</v>
      </c>
      <c r="J668" s="43">
        <v>0</v>
      </c>
      <c r="K668" s="43">
        <v>0</v>
      </c>
      <c r="L668" s="43">
        <v>0</v>
      </c>
      <c r="M668" s="43">
        <v>10059.790000000001</v>
      </c>
      <c r="N668" s="45" t="s">
        <v>268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35">
        <v>45918.400092592594</v>
      </c>
      <c r="B669" s="36">
        <v>444043663</v>
      </c>
      <c r="C669" s="37" t="s">
        <v>36</v>
      </c>
      <c r="D669" s="37" t="s">
        <v>39</v>
      </c>
      <c r="E669" s="37" t="s">
        <v>46</v>
      </c>
      <c r="F669" s="37" t="s">
        <v>38</v>
      </c>
      <c r="G669" s="38">
        <v>3637.81</v>
      </c>
      <c r="H669" s="36">
        <v>443253657</v>
      </c>
      <c r="I669" s="39">
        <v>0</v>
      </c>
      <c r="J669" s="38">
        <v>0</v>
      </c>
      <c r="K669" s="38">
        <v>0</v>
      </c>
      <c r="L669" s="38">
        <v>0</v>
      </c>
      <c r="M669" s="38">
        <v>10059.790000000001</v>
      </c>
      <c r="N669" s="46" t="s">
        <v>616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40">
        <v>45918.404953703706</v>
      </c>
      <c r="B670" s="41">
        <v>444045780</v>
      </c>
      <c r="C670" s="42" t="s">
        <v>36</v>
      </c>
      <c r="D670" s="42" t="s">
        <v>39</v>
      </c>
      <c r="E670" s="42" t="s">
        <v>46</v>
      </c>
      <c r="F670" s="42" t="s">
        <v>38</v>
      </c>
      <c r="G670" s="43">
        <v>3636.65</v>
      </c>
      <c r="H670" s="41">
        <v>443256031</v>
      </c>
      <c r="I670" s="44">
        <v>0</v>
      </c>
      <c r="J670" s="43">
        <v>0</v>
      </c>
      <c r="K670" s="43">
        <v>0</v>
      </c>
      <c r="L670" s="43">
        <v>0</v>
      </c>
      <c r="M670" s="43">
        <v>10059.790000000001</v>
      </c>
      <c r="N670" s="45" t="s">
        <v>150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35">
        <v>45918.404953703706</v>
      </c>
      <c r="B671" s="36">
        <v>444045782</v>
      </c>
      <c r="C671" s="37" t="s">
        <v>36</v>
      </c>
      <c r="D671" s="37" t="s">
        <v>39</v>
      </c>
      <c r="E671" s="37" t="s">
        <v>46</v>
      </c>
      <c r="F671" s="37" t="s">
        <v>38</v>
      </c>
      <c r="G671" s="38">
        <v>3636.65</v>
      </c>
      <c r="H671" s="36">
        <v>443256033</v>
      </c>
      <c r="I671" s="39">
        <v>0</v>
      </c>
      <c r="J671" s="38">
        <v>0</v>
      </c>
      <c r="K671" s="38">
        <v>0</v>
      </c>
      <c r="L671" s="38">
        <v>0</v>
      </c>
      <c r="M671" s="38">
        <v>10059.790000000001</v>
      </c>
      <c r="N671" s="46" t="s">
        <v>53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40">
        <v>45918.404953703706</v>
      </c>
      <c r="B672" s="41">
        <v>444045783</v>
      </c>
      <c r="C672" s="42" t="s">
        <v>36</v>
      </c>
      <c r="D672" s="42" t="s">
        <v>39</v>
      </c>
      <c r="E672" s="42" t="s">
        <v>46</v>
      </c>
      <c r="F672" s="42" t="s">
        <v>38</v>
      </c>
      <c r="G672" s="43">
        <v>3636.65</v>
      </c>
      <c r="H672" s="41">
        <v>443256034</v>
      </c>
      <c r="I672" s="44">
        <v>0</v>
      </c>
      <c r="J672" s="43">
        <v>0</v>
      </c>
      <c r="K672" s="43">
        <v>0</v>
      </c>
      <c r="L672" s="43">
        <v>0</v>
      </c>
      <c r="M672" s="43">
        <v>10059.790000000001</v>
      </c>
      <c r="N672" s="45" t="s">
        <v>48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35">
        <v>45918.404953703706</v>
      </c>
      <c r="B673" s="36">
        <v>444045785</v>
      </c>
      <c r="C673" s="37" t="s">
        <v>36</v>
      </c>
      <c r="D673" s="37" t="s">
        <v>39</v>
      </c>
      <c r="E673" s="37" t="s">
        <v>46</v>
      </c>
      <c r="F673" s="37" t="s">
        <v>38</v>
      </c>
      <c r="G673" s="38">
        <v>3636.65</v>
      </c>
      <c r="H673" s="36">
        <v>443256035</v>
      </c>
      <c r="I673" s="39">
        <v>0</v>
      </c>
      <c r="J673" s="38">
        <v>0</v>
      </c>
      <c r="K673" s="38">
        <v>0</v>
      </c>
      <c r="L673" s="38">
        <v>0</v>
      </c>
      <c r="M673" s="38">
        <v>10059.790000000001</v>
      </c>
      <c r="N673" s="46" t="s">
        <v>49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40">
        <v>45918.40766203704</v>
      </c>
      <c r="B674" s="41">
        <v>444046705</v>
      </c>
      <c r="C674" s="42" t="s">
        <v>36</v>
      </c>
      <c r="D674" s="42" t="s">
        <v>37</v>
      </c>
      <c r="E674" s="42" t="s">
        <v>47</v>
      </c>
      <c r="F674" s="42" t="s">
        <v>38</v>
      </c>
      <c r="G674" s="43">
        <v>3639.24</v>
      </c>
      <c r="H674" s="41">
        <v>443257120</v>
      </c>
      <c r="I674" s="44">
        <v>0</v>
      </c>
      <c r="J674" s="43">
        <v>0</v>
      </c>
      <c r="K674" s="43">
        <v>0</v>
      </c>
      <c r="L674" s="43">
        <v>-2.59</v>
      </c>
      <c r="M674" s="43">
        <v>10057.200000000001</v>
      </c>
      <c r="N674" s="45" t="s">
        <v>629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35">
        <v>45918.411435185182</v>
      </c>
      <c r="B675" s="36">
        <v>444048186</v>
      </c>
      <c r="C675" s="37" t="s">
        <v>36</v>
      </c>
      <c r="D675" s="37" t="s">
        <v>37</v>
      </c>
      <c r="E675" s="37" t="s">
        <v>47</v>
      </c>
      <c r="F675" s="37" t="s">
        <v>38</v>
      </c>
      <c r="G675" s="38">
        <v>3639.7</v>
      </c>
      <c r="H675" s="36">
        <v>443258878</v>
      </c>
      <c r="I675" s="39">
        <v>0</v>
      </c>
      <c r="J675" s="38">
        <v>0</v>
      </c>
      <c r="K675" s="38">
        <v>0</v>
      </c>
      <c r="L675" s="38">
        <v>-3.05</v>
      </c>
      <c r="M675" s="38">
        <v>10054.15</v>
      </c>
      <c r="N675" s="46" t="s">
        <v>630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40">
        <v>45918.411435185182</v>
      </c>
      <c r="B676" s="41">
        <v>444048187</v>
      </c>
      <c r="C676" s="42" t="s">
        <v>36</v>
      </c>
      <c r="D676" s="42" t="s">
        <v>37</v>
      </c>
      <c r="E676" s="42" t="s">
        <v>47</v>
      </c>
      <c r="F676" s="42" t="s">
        <v>38</v>
      </c>
      <c r="G676" s="43">
        <v>3639.7</v>
      </c>
      <c r="H676" s="41">
        <v>443258879</v>
      </c>
      <c r="I676" s="44">
        <v>0</v>
      </c>
      <c r="J676" s="43">
        <v>0</v>
      </c>
      <c r="K676" s="43">
        <v>0</v>
      </c>
      <c r="L676" s="43">
        <v>-3.05</v>
      </c>
      <c r="M676" s="43">
        <v>10051.1</v>
      </c>
      <c r="N676" s="45" t="s">
        <v>631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35">
        <v>45918.411435185182</v>
      </c>
      <c r="B677" s="36">
        <v>444048188</v>
      </c>
      <c r="C677" s="37" t="s">
        <v>36</v>
      </c>
      <c r="D677" s="37" t="s">
        <v>37</v>
      </c>
      <c r="E677" s="37" t="s">
        <v>47</v>
      </c>
      <c r="F677" s="37" t="s">
        <v>38</v>
      </c>
      <c r="G677" s="38">
        <v>3639.7</v>
      </c>
      <c r="H677" s="36">
        <v>443258880</v>
      </c>
      <c r="I677" s="39">
        <v>0</v>
      </c>
      <c r="J677" s="38">
        <v>0</v>
      </c>
      <c r="K677" s="38">
        <v>0</v>
      </c>
      <c r="L677" s="38">
        <v>-3.05</v>
      </c>
      <c r="M677" s="38">
        <v>10048.049999999999</v>
      </c>
      <c r="N677" s="46" t="s">
        <v>631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40">
        <v>45918.420902777776</v>
      </c>
      <c r="B678" s="41">
        <v>444053441</v>
      </c>
      <c r="C678" s="42" t="s">
        <v>36</v>
      </c>
      <c r="D678" s="42" t="s">
        <v>37</v>
      </c>
      <c r="E678" s="42" t="s">
        <v>47</v>
      </c>
      <c r="F678" s="42" t="s">
        <v>38</v>
      </c>
      <c r="G678" s="43">
        <v>3640.79</v>
      </c>
      <c r="H678" s="41">
        <v>443264631</v>
      </c>
      <c r="I678" s="44">
        <v>0</v>
      </c>
      <c r="J678" s="43">
        <v>0</v>
      </c>
      <c r="K678" s="43">
        <v>0</v>
      </c>
      <c r="L678" s="43">
        <v>-3.03</v>
      </c>
      <c r="M678" s="43">
        <v>10045.02</v>
      </c>
      <c r="N678" s="45" t="s">
        <v>632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35">
        <v>45918.420902777776</v>
      </c>
      <c r="B679" s="36">
        <v>444053445</v>
      </c>
      <c r="C679" s="37" t="s">
        <v>36</v>
      </c>
      <c r="D679" s="37" t="s">
        <v>37</v>
      </c>
      <c r="E679" s="37" t="s">
        <v>47</v>
      </c>
      <c r="F679" s="37" t="s">
        <v>38</v>
      </c>
      <c r="G679" s="38">
        <v>3640.79</v>
      </c>
      <c r="H679" s="36">
        <v>443264633</v>
      </c>
      <c r="I679" s="39">
        <v>0</v>
      </c>
      <c r="J679" s="38">
        <v>0</v>
      </c>
      <c r="K679" s="38">
        <v>0</v>
      </c>
      <c r="L679" s="38">
        <v>-2.98</v>
      </c>
      <c r="M679" s="38">
        <v>10042.040000000001</v>
      </c>
      <c r="N679" s="46" t="s">
        <v>632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40">
        <v>45918.43273148148</v>
      </c>
      <c r="B680" s="41">
        <v>444064796</v>
      </c>
      <c r="C680" s="42" t="s">
        <v>36</v>
      </c>
      <c r="D680" s="42" t="s">
        <v>37</v>
      </c>
      <c r="E680" s="42" t="s">
        <v>46</v>
      </c>
      <c r="F680" s="42" t="s">
        <v>38</v>
      </c>
      <c r="G680" s="43">
        <v>3647.42</v>
      </c>
      <c r="H680" s="41">
        <v>443276227</v>
      </c>
      <c r="I680" s="44">
        <v>0</v>
      </c>
      <c r="J680" s="43">
        <v>0</v>
      </c>
      <c r="K680" s="43">
        <v>0</v>
      </c>
      <c r="L680" s="43">
        <v>0</v>
      </c>
      <c r="M680" s="43">
        <v>10042.040000000001</v>
      </c>
      <c r="N680" s="45" t="s">
        <v>49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35">
        <v>45918.43273148148</v>
      </c>
      <c r="B681" s="36">
        <v>444064797</v>
      </c>
      <c r="C681" s="37" t="s">
        <v>36</v>
      </c>
      <c r="D681" s="37" t="s">
        <v>37</v>
      </c>
      <c r="E681" s="37" t="s">
        <v>46</v>
      </c>
      <c r="F681" s="37" t="s">
        <v>38</v>
      </c>
      <c r="G681" s="38">
        <v>3647.45</v>
      </c>
      <c r="H681" s="36">
        <v>443276228</v>
      </c>
      <c r="I681" s="39">
        <v>0</v>
      </c>
      <c r="J681" s="38">
        <v>0</v>
      </c>
      <c r="K681" s="38">
        <v>0</v>
      </c>
      <c r="L681" s="38">
        <v>0</v>
      </c>
      <c r="M681" s="38">
        <v>10042.040000000001</v>
      </c>
      <c r="N681" s="46" t="s">
        <v>53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40">
        <v>45918.43273148148</v>
      </c>
      <c r="B682" s="41">
        <v>444064799</v>
      </c>
      <c r="C682" s="42" t="s">
        <v>36</v>
      </c>
      <c r="D682" s="42" t="s">
        <v>37</v>
      </c>
      <c r="E682" s="42" t="s">
        <v>46</v>
      </c>
      <c r="F682" s="42" t="s">
        <v>38</v>
      </c>
      <c r="G682" s="43">
        <v>3647.53</v>
      </c>
      <c r="H682" s="41">
        <v>443276231</v>
      </c>
      <c r="I682" s="44">
        <v>0</v>
      </c>
      <c r="J682" s="43">
        <v>0</v>
      </c>
      <c r="K682" s="43">
        <v>0</v>
      </c>
      <c r="L682" s="43">
        <v>0</v>
      </c>
      <c r="M682" s="43">
        <v>10042.040000000001</v>
      </c>
      <c r="N682" s="45" t="s">
        <v>48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35">
        <v>45918.43273148148</v>
      </c>
      <c r="B683" s="36">
        <v>444064800</v>
      </c>
      <c r="C683" s="37" t="s">
        <v>36</v>
      </c>
      <c r="D683" s="37" t="s">
        <v>37</v>
      </c>
      <c r="E683" s="37" t="s">
        <v>46</v>
      </c>
      <c r="F683" s="37" t="s">
        <v>38</v>
      </c>
      <c r="G683" s="38">
        <v>3647.76</v>
      </c>
      <c r="H683" s="36">
        <v>443276233</v>
      </c>
      <c r="I683" s="39">
        <v>0</v>
      </c>
      <c r="J683" s="38">
        <v>0</v>
      </c>
      <c r="K683" s="38">
        <v>0</v>
      </c>
      <c r="L683" s="38">
        <v>0</v>
      </c>
      <c r="M683" s="38">
        <v>10042.040000000001</v>
      </c>
      <c r="N683" s="46" t="s">
        <v>150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40">
        <v>45918.435613425929</v>
      </c>
      <c r="B684" s="41">
        <v>444067159</v>
      </c>
      <c r="C684" s="42" t="s">
        <v>36</v>
      </c>
      <c r="D684" s="42" t="s">
        <v>39</v>
      </c>
      <c r="E684" s="42" t="s">
        <v>47</v>
      </c>
      <c r="F684" s="42" t="s">
        <v>38</v>
      </c>
      <c r="G684" s="43">
        <v>3648.95</v>
      </c>
      <c r="H684" s="41">
        <v>443278743</v>
      </c>
      <c r="I684" s="44">
        <v>0</v>
      </c>
      <c r="J684" s="43">
        <v>0</v>
      </c>
      <c r="K684" s="43">
        <v>0</v>
      </c>
      <c r="L684" s="43">
        <v>1.19</v>
      </c>
      <c r="M684" s="43">
        <v>10043.23</v>
      </c>
      <c r="N684" s="45" t="s">
        <v>633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35">
        <v>45918.438773148147</v>
      </c>
      <c r="B685" s="36">
        <v>444069249</v>
      </c>
      <c r="C685" s="37" t="s">
        <v>36</v>
      </c>
      <c r="D685" s="37" t="s">
        <v>39</v>
      </c>
      <c r="E685" s="37" t="s">
        <v>47</v>
      </c>
      <c r="F685" s="37" t="s">
        <v>38</v>
      </c>
      <c r="G685" s="38">
        <v>3650.54</v>
      </c>
      <c r="H685" s="36">
        <v>443281084</v>
      </c>
      <c r="I685" s="39">
        <v>0</v>
      </c>
      <c r="J685" s="38">
        <v>0</v>
      </c>
      <c r="K685" s="38">
        <v>0</v>
      </c>
      <c r="L685" s="38">
        <v>3.12</v>
      </c>
      <c r="M685" s="38">
        <v>10046.35</v>
      </c>
      <c r="N685" s="46" t="s">
        <v>634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40">
        <v>45918.438773148147</v>
      </c>
      <c r="B686" s="41">
        <v>444069250</v>
      </c>
      <c r="C686" s="42" t="s">
        <v>36</v>
      </c>
      <c r="D686" s="42" t="s">
        <v>39</v>
      </c>
      <c r="E686" s="42" t="s">
        <v>47</v>
      </c>
      <c r="F686" s="42" t="s">
        <v>38</v>
      </c>
      <c r="G686" s="43">
        <v>3650.54</v>
      </c>
      <c r="H686" s="41">
        <v>443281085</v>
      </c>
      <c r="I686" s="44">
        <v>0</v>
      </c>
      <c r="J686" s="43">
        <v>0</v>
      </c>
      <c r="K686" s="43">
        <v>0</v>
      </c>
      <c r="L686" s="43">
        <v>3.01</v>
      </c>
      <c r="M686" s="43">
        <v>10049.36</v>
      </c>
      <c r="N686" s="45" t="s">
        <v>635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35">
        <v>45918.439270833333</v>
      </c>
      <c r="B687" s="36">
        <v>444069595</v>
      </c>
      <c r="C687" s="37" t="s">
        <v>36</v>
      </c>
      <c r="D687" s="37" t="s">
        <v>39</v>
      </c>
      <c r="E687" s="37" t="s">
        <v>47</v>
      </c>
      <c r="F687" s="37" t="s">
        <v>38</v>
      </c>
      <c r="G687" s="38">
        <v>3651.04</v>
      </c>
      <c r="H687" s="36">
        <v>443281468</v>
      </c>
      <c r="I687" s="39">
        <v>0</v>
      </c>
      <c r="J687" s="38">
        <v>0</v>
      </c>
      <c r="K687" s="38">
        <v>0</v>
      </c>
      <c r="L687" s="38">
        <v>3.59</v>
      </c>
      <c r="M687" s="38">
        <v>10052.950000000001</v>
      </c>
      <c r="N687" s="46" t="s">
        <v>636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40">
        <v>45918.441296296296</v>
      </c>
      <c r="B688" s="41">
        <v>444070767</v>
      </c>
      <c r="C688" s="42" t="s">
        <v>36</v>
      </c>
      <c r="D688" s="42" t="s">
        <v>37</v>
      </c>
      <c r="E688" s="42" t="s">
        <v>46</v>
      </c>
      <c r="F688" s="42" t="s">
        <v>38</v>
      </c>
      <c r="G688" s="43">
        <v>3650.68</v>
      </c>
      <c r="H688" s="41">
        <v>443282831</v>
      </c>
      <c r="I688" s="44">
        <v>0</v>
      </c>
      <c r="J688" s="43">
        <v>0</v>
      </c>
      <c r="K688" s="43">
        <v>0</v>
      </c>
      <c r="L688" s="43">
        <v>0</v>
      </c>
      <c r="M688" s="43">
        <v>10052.950000000001</v>
      </c>
      <c r="N688" s="45" t="s">
        <v>150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35">
        <v>45918.441296296296</v>
      </c>
      <c r="B689" s="36">
        <v>444070769</v>
      </c>
      <c r="C689" s="37" t="s">
        <v>36</v>
      </c>
      <c r="D689" s="37" t="s">
        <v>37</v>
      </c>
      <c r="E689" s="37" t="s">
        <v>46</v>
      </c>
      <c r="F689" s="37" t="s">
        <v>38</v>
      </c>
      <c r="G689" s="38">
        <v>3650.68</v>
      </c>
      <c r="H689" s="36">
        <v>443282833</v>
      </c>
      <c r="I689" s="39">
        <v>0</v>
      </c>
      <c r="J689" s="38">
        <v>0</v>
      </c>
      <c r="K689" s="38">
        <v>0</v>
      </c>
      <c r="L689" s="38">
        <v>0</v>
      </c>
      <c r="M689" s="38">
        <v>10052.950000000001</v>
      </c>
      <c r="N689" s="46" t="s">
        <v>49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40">
        <v>45918.441296296296</v>
      </c>
      <c r="B690" s="41">
        <v>444070772</v>
      </c>
      <c r="C690" s="42" t="s">
        <v>36</v>
      </c>
      <c r="D690" s="42" t="s">
        <v>37</v>
      </c>
      <c r="E690" s="42" t="s">
        <v>46</v>
      </c>
      <c r="F690" s="42" t="s">
        <v>38</v>
      </c>
      <c r="G690" s="43">
        <v>3650.68</v>
      </c>
      <c r="H690" s="41">
        <v>443282835</v>
      </c>
      <c r="I690" s="44">
        <v>0</v>
      </c>
      <c r="J690" s="43">
        <v>0</v>
      </c>
      <c r="K690" s="43">
        <v>0</v>
      </c>
      <c r="L690" s="43">
        <v>0</v>
      </c>
      <c r="M690" s="43">
        <v>10052.950000000001</v>
      </c>
      <c r="N690" s="45" t="s">
        <v>48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35">
        <v>45918.441296296296</v>
      </c>
      <c r="B691" s="36">
        <v>444070781</v>
      </c>
      <c r="C691" s="37" t="s">
        <v>36</v>
      </c>
      <c r="D691" s="37" t="s">
        <v>37</v>
      </c>
      <c r="E691" s="37" t="s">
        <v>46</v>
      </c>
      <c r="F691" s="37" t="s">
        <v>38</v>
      </c>
      <c r="G691" s="38">
        <v>3650.68</v>
      </c>
      <c r="H691" s="36">
        <v>443282844</v>
      </c>
      <c r="I691" s="39">
        <v>0</v>
      </c>
      <c r="J691" s="38">
        <v>0</v>
      </c>
      <c r="K691" s="38">
        <v>0</v>
      </c>
      <c r="L691" s="38">
        <v>0</v>
      </c>
      <c r="M691" s="38">
        <v>10052.950000000001</v>
      </c>
      <c r="N691" s="46" t="s">
        <v>53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40">
        <v>45918.44363425926</v>
      </c>
      <c r="B692" s="41">
        <v>444071937</v>
      </c>
      <c r="C692" s="42" t="s">
        <v>36</v>
      </c>
      <c r="D692" s="42" t="s">
        <v>39</v>
      </c>
      <c r="E692" s="42" t="s">
        <v>47</v>
      </c>
      <c r="F692" s="42" t="s">
        <v>38</v>
      </c>
      <c r="G692" s="43">
        <v>3652.21</v>
      </c>
      <c r="H692" s="41">
        <v>443284193</v>
      </c>
      <c r="I692" s="44">
        <v>0</v>
      </c>
      <c r="J692" s="43">
        <v>0</v>
      </c>
      <c r="K692" s="43">
        <v>0</v>
      </c>
      <c r="L692" s="43">
        <v>1.53</v>
      </c>
      <c r="M692" s="43">
        <v>10054.48</v>
      </c>
      <c r="N692" s="45" t="s">
        <v>637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35">
        <v>45918.44494212963</v>
      </c>
      <c r="B693" s="36">
        <v>444072968</v>
      </c>
      <c r="C693" s="37" t="s">
        <v>36</v>
      </c>
      <c r="D693" s="37" t="s">
        <v>39</v>
      </c>
      <c r="E693" s="37" t="s">
        <v>47</v>
      </c>
      <c r="F693" s="37" t="s">
        <v>38</v>
      </c>
      <c r="G693" s="38">
        <v>3653.8</v>
      </c>
      <c r="H693" s="36">
        <v>443285306</v>
      </c>
      <c r="I693" s="39">
        <v>0</v>
      </c>
      <c r="J693" s="38">
        <v>0</v>
      </c>
      <c r="K693" s="38">
        <v>0</v>
      </c>
      <c r="L693" s="38">
        <v>3.12</v>
      </c>
      <c r="M693" s="38">
        <v>10057.6</v>
      </c>
      <c r="N693" s="46" t="s">
        <v>638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40">
        <v>45918.44494212963</v>
      </c>
      <c r="B694" s="41">
        <v>444072971</v>
      </c>
      <c r="C694" s="42" t="s">
        <v>36</v>
      </c>
      <c r="D694" s="42" t="s">
        <v>39</v>
      </c>
      <c r="E694" s="42" t="s">
        <v>47</v>
      </c>
      <c r="F694" s="42" t="s">
        <v>38</v>
      </c>
      <c r="G694" s="43">
        <v>3653.8</v>
      </c>
      <c r="H694" s="41">
        <v>443285307</v>
      </c>
      <c r="I694" s="44">
        <v>0</v>
      </c>
      <c r="J694" s="43">
        <v>0</v>
      </c>
      <c r="K694" s="43">
        <v>0</v>
      </c>
      <c r="L694" s="43">
        <v>3.12</v>
      </c>
      <c r="M694" s="43">
        <v>10060.719999999999</v>
      </c>
      <c r="N694" s="45" t="s">
        <v>638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35">
        <v>45918.444976851853</v>
      </c>
      <c r="B695" s="36">
        <v>444073089</v>
      </c>
      <c r="C695" s="37" t="s">
        <v>36</v>
      </c>
      <c r="D695" s="37" t="s">
        <v>39</v>
      </c>
      <c r="E695" s="37" t="s">
        <v>47</v>
      </c>
      <c r="F695" s="37" t="s">
        <v>38</v>
      </c>
      <c r="G695" s="38">
        <v>3654.21</v>
      </c>
      <c r="H695" s="36">
        <v>443285425</v>
      </c>
      <c r="I695" s="39">
        <v>0</v>
      </c>
      <c r="J695" s="38">
        <v>0</v>
      </c>
      <c r="K695" s="38">
        <v>0</v>
      </c>
      <c r="L695" s="38">
        <v>3.53</v>
      </c>
      <c r="M695" s="38">
        <v>10064.25</v>
      </c>
      <c r="N695" s="46" t="s">
        <v>639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40">
        <v>45918.450208333335</v>
      </c>
      <c r="B696" s="41">
        <v>444077235</v>
      </c>
      <c r="C696" s="42" t="s">
        <v>36</v>
      </c>
      <c r="D696" s="42" t="s">
        <v>37</v>
      </c>
      <c r="E696" s="42" t="s">
        <v>46</v>
      </c>
      <c r="F696" s="42" t="s">
        <v>38</v>
      </c>
      <c r="G696" s="43">
        <v>3657.89</v>
      </c>
      <c r="H696" s="41">
        <v>443289887</v>
      </c>
      <c r="I696" s="44">
        <v>0</v>
      </c>
      <c r="J696" s="43">
        <v>0</v>
      </c>
      <c r="K696" s="43">
        <v>0</v>
      </c>
      <c r="L696" s="43">
        <v>0</v>
      </c>
      <c r="M696" s="43">
        <v>10064.25</v>
      </c>
      <c r="N696" s="45" t="s">
        <v>150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35">
        <v>45918.450208333335</v>
      </c>
      <c r="B697" s="36">
        <v>444077238</v>
      </c>
      <c r="C697" s="37" t="s">
        <v>36</v>
      </c>
      <c r="D697" s="37" t="s">
        <v>37</v>
      </c>
      <c r="E697" s="37" t="s">
        <v>46</v>
      </c>
      <c r="F697" s="37" t="s">
        <v>38</v>
      </c>
      <c r="G697" s="38">
        <v>3657.81</v>
      </c>
      <c r="H697" s="36">
        <v>443289890</v>
      </c>
      <c r="I697" s="39">
        <v>0</v>
      </c>
      <c r="J697" s="38">
        <v>0</v>
      </c>
      <c r="K697" s="38">
        <v>0</v>
      </c>
      <c r="L697" s="38">
        <v>0</v>
      </c>
      <c r="M697" s="38">
        <v>10064.25</v>
      </c>
      <c r="N697" s="46" t="s">
        <v>53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40">
        <v>45918.450208333335</v>
      </c>
      <c r="B698" s="41">
        <v>444077240</v>
      </c>
      <c r="C698" s="42" t="s">
        <v>36</v>
      </c>
      <c r="D698" s="42" t="s">
        <v>37</v>
      </c>
      <c r="E698" s="42" t="s">
        <v>46</v>
      </c>
      <c r="F698" s="42" t="s">
        <v>38</v>
      </c>
      <c r="G698" s="43">
        <v>3657.86</v>
      </c>
      <c r="H698" s="41">
        <v>443289894</v>
      </c>
      <c r="I698" s="44">
        <v>0</v>
      </c>
      <c r="J698" s="43">
        <v>0</v>
      </c>
      <c r="K698" s="43">
        <v>0</v>
      </c>
      <c r="L698" s="43">
        <v>0</v>
      </c>
      <c r="M698" s="43">
        <v>10064.25</v>
      </c>
      <c r="N698" s="45" t="s">
        <v>49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35">
        <v>45918.450208333335</v>
      </c>
      <c r="B699" s="36">
        <v>444077243</v>
      </c>
      <c r="C699" s="37" t="s">
        <v>36</v>
      </c>
      <c r="D699" s="37" t="s">
        <v>37</v>
      </c>
      <c r="E699" s="37" t="s">
        <v>46</v>
      </c>
      <c r="F699" s="37" t="s">
        <v>38</v>
      </c>
      <c r="G699" s="38">
        <v>3657.84</v>
      </c>
      <c r="H699" s="36">
        <v>443289896</v>
      </c>
      <c r="I699" s="39">
        <v>0</v>
      </c>
      <c r="J699" s="38">
        <v>0</v>
      </c>
      <c r="K699" s="38">
        <v>0</v>
      </c>
      <c r="L699" s="38">
        <v>0</v>
      </c>
      <c r="M699" s="38">
        <v>10064.25</v>
      </c>
      <c r="N699" s="46" t="s">
        <v>48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40">
        <v>45918.451157407406</v>
      </c>
      <c r="B700" s="41">
        <v>444077679</v>
      </c>
      <c r="C700" s="42" t="s">
        <v>36</v>
      </c>
      <c r="D700" s="42" t="s">
        <v>39</v>
      </c>
      <c r="E700" s="42" t="s">
        <v>47</v>
      </c>
      <c r="F700" s="42" t="s">
        <v>38</v>
      </c>
      <c r="G700" s="43">
        <v>3659.49</v>
      </c>
      <c r="H700" s="41">
        <v>443290401</v>
      </c>
      <c r="I700" s="44">
        <v>0</v>
      </c>
      <c r="J700" s="43">
        <v>0</v>
      </c>
      <c r="K700" s="43">
        <v>0</v>
      </c>
      <c r="L700" s="43">
        <v>1.6</v>
      </c>
      <c r="M700" s="43">
        <v>10065.85</v>
      </c>
      <c r="N700" s="45" t="s">
        <v>640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35">
        <v>45918.451828703706</v>
      </c>
      <c r="B701" s="36">
        <v>444077912</v>
      </c>
      <c r="C701" s="37" t="s">
        <v>36</v>
      </c>
      <c r="D701" s="37" t="s">
        <v>37</v>
      </c>
      <c r="E701" s="37" t="s">
        <v>46</v>
      </c>
      <c r="F701" s="37" t="s">
        <v>38</v>
      </c>
      <c r="G701" s="38">
        <v>3658.58</v>
      </c>
      <c r="H701" s="36">
        <v>443290682</v>
      </c>
      <c r="I701" s="39">
        <v>0</v>
      </c>
      <c r="J701" s="38">
        <v>0</v>
      </c>
      <c r="K701" s="38">
        <v>0</v>
      </c>
      <c r="L701" s="38">
        <v>0</v>
      </c>
      <c r="M701" s="38">
        <v>10065.85</v>
      </c>
      <c r="N701" s="46" t="s">
        <v>150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40">
        <v>45918.452291666668</v>
      </c>
      <c r="B702" s="41">
        <v>444078044</v>
      </c>
      <c r="C702" s="42" t="s">
        <v>36</v>
      </c>
      <c r="D702" s="42" t="s">
        <v>39</v>
      </c>
      <c r="E702" s="42" t="s">
        <v>47</v>
      </c>
      <c r="F702" s="42" t="s">
        <v>38</v>
      </c>
      <c r="G702" s="43">
        <v>3657.66</v>
      </c>
      <c r="H702" s="41">
        <v>443290835</v>
      </c>
      <c r="I702" s="44">
        <v>0</v>
      </c>
      <c r="J702" s="43">
        <v>0</v>
      </c>
      <c r="K702" s="43">
        <v>0</v>
      </c>
      <c r="L702" s="43">
        <v>-0.15</v>
      </c>
      <c r="M702" s="43">
        <v>10065.700000000001</v>
      </c>
      <c r="N702" s="45" t="s">
        <v>641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35">
        <v>45918.452291666668</v>
      </c>
      <c r="B703" s="36">
        <v>444078045</v>
      </c>
      <c r="C703" s="37" t="s">
        <v>36</v>
      </c>
      <c r="D703" s="37" t="s">
        <v>39</v>
      </c>
      <c r="E703" s="37" t="s">
        <v>47</v>
      </c>
      <c r="F703" s="37" t="s">
        <v>38</v>
      </c>
      <c r="G703" s="38">
        <v>3657.66</v>
      </c>
      <c r="H703" s="36">
        <v>443290836</v>
      </c>
      <c r="I703" s="39">
        <v>0</v>
      </c>
      <c r="J703" s="38">
        <v>0</v>
      </c>
      <c r="K703" s="38">
        <v>0</v>
      </c>
      <c r="L703" s="38">
        <v>-0.2</v>
      </c>
      <c r="M703" s="38">
        <v>10065.5</v>
      </c>
      <c r="N703" s="46" t="s">
        <v>641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40">
        <v>45918.452291666668</v>
      </c>
      <c r="B704" s="41">
        <v>444078046</v>
      </c>
      <c r="C704" s="42" t="s">
        <v>36</v>
      </c>
      <c r="D704" s="42" t="s">
        <v>39</v>
      </c>
      <c r="E704" s="42" t="s">
        <v>47</v>
      </c>
      <c r="F704" s="42" t="s">
        <v>38</v>
      </c>
      <c r="G704" s="43">
        <v>3657.66</v>
      </c>
      <c r="H704" s="41">
        <v>443290837</v>
      </c>
      <c r="I704" s="44">
        <v>0</v>
      </c>
      <c r="J704" s="43">
        <v>0</v>
      </c>
      <c r="K704" s="43">
        <v>0</v>
      </c>
      <c r="L704" s="43">
        <v>-0.18</v>
      </c>
      <c r="M704" s="43">
        <v>10065.32</v>
      </c>
      <c r="N704" s="45" t="s">
        <v>641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35">
        <v>45918.452523148146</v>
      </c>
      <c r="B705" s="36">
        <v>444078131</v>
      </c>
      <c r="C705" s="37" t="s">
        <v>36</v>
      </c>
      <c r="D705" s="37" t="s">
        <v>37</v>
      </c>
      <c r="E705" s="37" t="s">
        <v>46</v>
      </c>
      <c r="F705" s="37" t="s">
        <v>38</v>
      </c>
      <c r="G705" s="38">
        <v>3658.41</v>
      </c>
      <c r="H705" s="36">
        <v>443290925</v>
      </c>
      <c r="I705" s="39">
        <v>0</v>
      </c>
      <c r="J705" s="38">
        <v>0</v>
      </c>
      <c r="K705" s="38">
        <v>0</v>
      </c>
      <c r="L705" s="38">
        <v>0</v>
      </c>
      <c r="M705" s="38">
        <v>10065.32</v>
      </c>
      <c r="N705" s="46" t="s">
        <v>53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40">
        <v>45918.452523148146</v>
      </c>
      <c r="B706" s="41">
        <v>444078135</v>
      </c>
      <c r="C706" s="42" t="s">
        <v>36</v>
      </c>
      <c r="D706" s="42" t="s">
        <v>37</v>
      </c>
      <c r="E706" s="42" t="s">
        <v>46</v>
      </c>
      <c r="F706" s="42" t="s">
        <v>38</v>
      </c>
      <c r="G706" s="43">
        <v>3658.41</v>
      </c>
      <c r="H706" s="41">
        <v>443290928</v>
      </c>
      <c r="I706" s="44">
        <v>0</v>
      </c>
      <c r="J706" s="43">
        <v>0</v>
      </c>
      <c r="K706" s="43">
        <v>0</v>
      </c>
      <c r="L706" s="43">
        <v>0</v>
      </c>
      <c r="M706" s="43">
        <v>10065.32</v>
      </c>
      <c r="N706" s="45" t="s">
        <v>48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35">
        <v>45918.452523148146</v>
      </c>
      <c r="B707" s="36">
        <v>444078137</v>
      </c>
      <c r="C707" s="37" t="s">
        <v>36</v>
      </c>
      <c r="D707" s="37" t="s">
        <v>37</v>
      </c>
      <c r="E707" s="37" t="s">
        <v>46</v>
      </c>
      <c r="F707" s="37" t="s">
        <v>38</v>
      </c>
      <c r="G707" s="38">
        <v>3658.15</v>
      </c>
      <c r="H707" s="36">
        <v>443290929</v>
      </c>
      <c r="I707" s="39">
        <v>0</v>
      </c>
      <c r="J707" s="38">
        <v>0</v>
      </c>
      <c r="K707" s="38">
        <v>0</v>
      </c>
      <c r="L707" s="38">
        <v>0</v>
      </c>
      <c r="M707" s="38">
        <v>10065.32</v>
      </c>
      <c r="N707" s="46" t="s">
        <v>49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40">
        <v>45918.455231481479</v>
      </c>
      <c r="B708" s="41">
        <v>444079066</v>
      </c>
      <c r="C708" s="42" t="s">
        <v>36</v>
      </c>
      <c r="D708" s="42" t="s">
        <v>39</v>
      </c>
      <c r="E708" s="42" t="s">
        <v>47</v>
      </c>
      <c r="F708" s="42" t="s">
        <v>38</v>
      </c>
      <c r="G708" s="43">
        <v>3658.14</v>
      </c>
      <c r="H708" s="41">
        <v>443291860</v>
      </c>
      <c r="I708" s="44">
        <v>0</v>
      </c>
      <c r="J708" s="43">
        <v>0</v>
      </c>
      <c r="K708" s="43">
        <v>0</v>
      </c>
      <c r="L708" s="43">
        <v>-0.01</v>
      </c>
      <c r="M708" s="43">
        <v>10065.31</v>
      </c>
      <c r="N708" s="45" t="s">
        <v>367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35">
        <v>45918.455416666664</v>
      </c>
      <c r="B709" s="36">
        <v>444079176</v>
      </c>
      <c r="C709" s="37" t="s">
        <v>36</v>
      </c>
      <c r="D709" s="37" t="s">
        <v>37</v>
      </c>
      <c r="E709" s="37" t="s">
        <v>46</v>
      </c>
      <c r="F709" s="37" t="s">
        <v>38</v>
      </c>
      <c r="G709" s="38">
        <v>3658.5</v>
      </c>
      <c r="H709" s="36">
        <v>443291971</v>
      </c>
      <c r="I709" s="39">
        <v>0</v>
      </c>
      <c r="J709" s="38">
        <v>0</v>
      </c>
      <c r="K709" s="38">
        <v>0</v>
      </c>
      <c r="L709" s="38">
        <v>0</v>
      </c>
      <c r="M709" s="38">
        <v>10065.31</v>
      </c>
      <c r="N709" s="46" t="s">
        <v>49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40">
        <v>45918.456689814811</v>
      </c>
      <c r="B710" s="41">
        <v>444079879</v>
      </c>
      <c r="C710" s="42" t="s">
        <v>36</v>
      </c>
      <c r="D710" s="42" t="s">
        <v>37</v>
      </c>
      <c r="E710" s="42" t="s">
        <v>46</v>
      </c>
      <c r="F710" s="42" t="s">
        <v>38</v>
      </c>
      <c r="G710" s="43">
        <v>3658.04</v>
      </c>
      <c r="H710" s="41">
        <v>443292671</v>
      </c>
      <c r="I710" s="44">
        <v>0</v>
      </c>
      <c r="J710" s="43">
        <v>0</v>
      </c>
      <c r="K710" s="43">
        <v>0</v>
      </c>
      <c r="L710" s="43">
        <v>0</v>
      </c>
      <c r="M710" s="43">
        <v>10065.31</v>
      </c>
      <c r="N710" s="45" t="s">
        <v>268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35">
        <v>45918.462962962964</v>
      </c>
      <c r="B711" s="36">
        <v>444083012</v>
      </c>
      <c r="C711" s="37" t="s">
        <v>36</v>
      </c>
      <c r="D711" s="37" t="s">
        <v>39</v>
      </c>
      <c r="E711" s="37" t="s">
        <v>47</v>
      </c>
      <c r="F711" s="37" t="s">
        <v>38</v>
      </c>
      <c r="G711" s="38">
        <v>3655.84</v>
      </c>
      <c r="H711" s="36">
        <v>443295779</v>
      </c>
      <c r="I711" s="39">
        <v>0</v>
      </c>
      <c r="J711" s="38">
        <v>0</v>
      </c>
      <c r="K711" s="38">
        <v>0</v>
      </c>
      <c r="L711" s="38">
        <v>-2.66</v>
      </c>
      <c r="M711" s="38">
        <v>10062.65</v>
      </c>
      <c r="N711" s="46" t="s">
        <v>642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40">
        <v>45918.463009259256</v>
      </c>
      <c r="B712" s="41">
        <v>444083072</v>
      </c>
      <c r="C712" s="42" t="s">
        <v>36</v>
      </c>
      <c r="D712" s="42" t="s">
        <v>39</v>
      </c>
      <c r="E712" s="42" t="s">
        <v>47</v>
      </c>
      <c r="F712" s="42" t="s">
        <v>38</v>
      </c>
      <c r="G712" s="43">
        <v>3655.48</v>
      </c>
      <c r="H712" s="41">
        <v>443295837</v>
      </c>
      <c r="I712" s="44">
        <v>0</v>
      </c>
      <c r="J712" s="43">
        <v>0</v>
      </c>
      <c r="K712" s="43">
        <v>0</v>
      </c>
      <c r="L712" s="43">
        <v>-3.1</v>
      </c>
      <c r="M712" s="43">
        <v>10059.549999999999</v>
      </c>
      <c r="N712" s="45" t="s">
        <v>643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35">
        <v>45918.463263888887</v>
      </c>
      <c r="B713" s="36">
        <v>444083399</v>
      </c>
      <c r="C713" s="37" t="s">
        <v>36</v>
      </c>
      <c r="D713" s="37" t="s">
        <v>39</v>
      </c>
      <c r="E713" s="37" t="s">
        <v>47</v>
      </c>
      <c r="F713" s="37" t="s">
        <v>38</v>
      </c>
      <c r="G713" s="38">
        <v>3655.4</v>
      </c>
      <c r="H713" s="36">
        <v>443296159</v>
      </c>
      <c r="I713" s="39">
        <v>0</v>
      </c>
      <c r="J713" s="38">
        <v>0</v>
      </c>
      <c r="K713" s="38">
        <v>0</v>
      </c>
      <c r="L713" s="38">
        <v>-3.01</v>
      </c>
      <c r="M713" s="38">
        <v>10056.540000000001</v>
      </c>
      <c r="N713" s="46" t="s">
        <v>644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40">
        <v>45918.463287037041</v>
      </c>
      <c r="B714" s="41">
        <v>444083408</v>
      </c>
      <c r="C714" s="42" t="s">
        <v>36</v>
      </c>
      <c r="D714" s="42" t="s">
        <v>39</v>
      </c>
      <c r="E714" s="42" t="s">
        <v>47</v>
      </c>
      <c r="F714" s="42" t="s">
        <v>38</v>
      </c>
      <c r="G714" s="43">
        <v>3655.34</v>
      </c>
      <c r="H714" s="41">
        <v>443296167</v>
      </c>
      <c r="I714" s="44">
        <v>0</v>
      </c>
      <c r="J714" s="43">
        <v>0</v>
      </c>
      <c r="K714" s="43">
        <v>0</v>
      </c>
      <c r="L714" s="43">
        <v>-3.07</v>
      </c>
      <c r="M714" s="43">
        <v>10053.469999999999</v>
      </c>
      <c r="N714" s="45" t="s">
        <v>645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35">
        <v>45918.463530092595</v>
      </c>
      <c r="B715" s="36">
        <v>444083686</v>
      </c>
      <c r="C715" s="37" t="s">
        <v>36</v>
      </c>
      <c r="D715" s="37" t="s">
        <v>39</v>
      </c>
      <c r="E715" s="37" t="s">
        <v>47</v>
      </c>
      <c r="F715" s="37" t="s">
        <v>38</v>
      </c>
      <c r="G715" s="38">
        <v>3655</v>
      </c>
      <c r="H715" s="36">
        <v>443296444</v>
      </c>
      <c r="I715" s="39">
        <v>0</v>
      </c>
      <c r="J715" s="38">
        <v>0</v>
      </c>
      <c r="K715" s="38">
        <v>0</v>
      </c>
      <c r="L715" s="38">
        <v>-3.04</v>
      </c>
      <c r="M715" s="38">
        <v>10050.43</v>
      </c>
      <c r="N715" s="46" t="s">
        <v>646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40">
        <v>45918.467453703706</v>
      </c>
      <c r="B716" s="41">
        <v>444085505</v>
      </c>
      <c r="C716" s="42" t="s">
        <v>36</v>
      </c>
      <c r="D716" s="42" t="s">
        <v>39</v>
      </c>
      <c r="E716" s="42" t="s">
        <v>46</v>
      </c>
      <c r="F716" s="42" t="s">
        <v>38</v>
      </c>
      <c r="G716" s="43">
        <v>3655.01</v>
      </c>
      <c r="H716" s="41">
        <v>443298547</v>
      </c>
      <c r="I716" s="44">
        <v>0</v>
      </c>
      <c r="J716" s="43">
        <v>0</v>
      </c>
      <c r="K716" s="43">
        <v>0</v>
      </c>
      <c r="L716" s="43">
        <v>0</v>
      </c>
      <c r="M716" s="43">
        <v>10050.43</v>
      </c>
      <c r="N716" s="45" t="s">
        <v>48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35">
        <v>45918.467453703706</v>
      </c>
      <c r="B717" s="36">
        <v>444085506</v>
      </c>
      <c r="C717" s="37" t="s">
        <v>36</v>
      </c>
      <c r="D717" s="37" t="s">
        <v>39</v>
      </c>
      <c r="E717" s="37" t="s">
        <v>46</v>
      </c>
      <c r="F717" s="37" t="s">
        <v>38</v>
      </c>
      <c r="G717" s="38">
        <v>3655.01</v>
      </c>
      <c r="H717" s="36">
        <v>443298548</v>
      </c>
      <c r="I717" s="39">
        <v>0</v>
      </c>
      <c r="J717" s="38">
        <v>0</v>
      </c>
      <c r="K717" s="38">
        <v>0</v>
      </c>
      <c r="L717" s="38">
        <v>0</v>
      </c>
      <c r="M717" s="38">
        <v>10050.43</v>
      </c>
      <c r="N717" s="46" t="s">
        <v>647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40">
        <v>45918.467453703706</v>
      </c>
      <c r="B718" s="41">
        <v>444085507</v>
      </c>
      <c r="C718" s="42" t="s">
        <v>36</v>
      </c>
      <c r="D718" s="42" t="s">
        <v>39</v>
      </c>
      <c r="E718" s="42" t="s">
        <v>46</v>
      </c>
      <c r="F718" s="42" t="s">
        <v>38</v>
      </c>
      <c r="G718" s="43">
        <v>3655.01</v>
      </c>
      <c r="H718" s="41">
        <v>443298549</v>
      </c>
      <c r="I718" s="44">
        <v>0</v>
      </c>
      <c r="J718" s="43">
        <v>0</v>
      </c>
      <c r="K718" s="43">
        <v>0</v>
      </c>
      <c r="L718" s="43">
        <v>0</v>
      </c>
      <c r="M718" s="43">
        <v>10050.43</v>
      </c>
      <c r="N718" s="45" t="s">
        <v>150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35">
        <v>45918.467453703706</v>
      </c>
      <c r="B719" s="36">
        <v>444085509</v>
      </c>
      <c r="C719" s="37" t="s">
        <v>36</v>
      </c>
      <c r="D719" s="37" t="s">
        <v>39</v>
      </c>
      <c r="E719" s="37" t="s">
        <v>46</v>
      </c>
      <c r="F719" s="37" t="s">
        <v>38</v>
      </c>
      <c r="G719" s="38">
        <v>3655.01</v>
      </c>
      <c r="H719" s="36">
        <v>443298551</v>
      </c>
      <c r="I719" s="39">
        <v>0</v>
      </c>
      <c r="J719" s="38">
        <v>0</v>
      </c>
      <c r="K719" s="38">
        <v>0</v>
      </c>
      <c r="L719" s="38">
        <v>0</v>
      </c>
      <c r="M719" s="38">
        <v>10050.43</v>
      </c>
      <c r="N719" s="46" t="s">
        <v>53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40">
        <v>45918.467465277776</v>
      </c>
      <c r="B720" s="41">
        <v>444085511</v>
      </c>
      <c r="C720" s="42" t="s">
        <v>36</v>
      </c>
      <c r="D720" s="42" t="s">
        <v>39</v>
      </c>
      <c r="E720" s="42" t="s">
        <v>46</v>
      </c>
      <c r="F720" s="42" t="s">
        <v>38</v>
      </c>
      <c r="G720" s="43">
        <v>3655</v>
      </c>
      <c r="H720" s="41">
        <v>443298553</v>
      </c>
      <c r="I720" s="44">
        <v>0</v>
      </c>
      <c r="J720" s="43">
        <v>0</v>
      </c>
      <c r="K720" s="43">
        <v>0</v>
      </c>
      <c r="L720" s="43">
        <v>0</v>
      </c>
      <c r="M720" s="43">
        <v>10050.43</v>
      </c>
      <c r="N720" s="45" t="s">
        <v>49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35">
        <v>45918.468831018516</v>
      </c>
      <c r="B721" s="36">
        <v>444085948</v>
      </c>
      <c r="C721" s="37" t="s">
        <v>36</v>
      </c>
      <c r="D721" s="37" t="s">
        <v>37</v>
      </c>
      <c r="E721" s="37" t="s">
        <v>46</v>
      </c>
      <c r="F721" s="37" t="s">
        <v>38</v>
      </c>
      <c r="G721" s="38">
        <v>3655.99</v>
      </c>
      <c r="H721" s="36">
        <v>443299057</v>
      </c>
      <c r="I721" s="39">
        <v>0</v>
      </c>
      <c r="J721" s="38">
        <v>0</v>
      </c>
      <c r="K721" s="38">
        <v>0</v>
      </c>
      <c r="L721" s="38">
        <v>0</v>
      </c>
      <c r="M721" s="38">
        <v>10050.43</v>
      </c>
      <c r="N721" s="46" t="s">
        <v>268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40">
        <v>45918.479247685187</v>
      </c>
      <c r="B722" s="41">
        <v>444089787</v>
      </c>
      <c r="C722" s="42" t="s">
        <v>36</v>
      </c>
      <c r="D722" s="42" t="s">
        <v>37</v>
      </c>
      <c r="E722" s="42" t="s">
        <v>46</v>
      </c>
      <c r="F722" s="42" t="s">
        <v>38</v>
      </c>
      <c r="G722" s="43">
        <v>3655.99</v>
      </c>
      <c r="H722" s="41">
        <v>443303443</v>
      </c>
      <c r="I722" s="44">
        <v>0</v>
      </c>
      <c r="J722" s="43">
        <v>0</v>
      </c>
      <c r="K722" s="43">
        <v>0</v>
      </c>
      <c r="L722" s="43">
        <v>0</v>
      </c>
      <c r="M722" s="43">
        <v>10050.43</v>
      </c>
      <c r="N722" s="45" t="s">
        <v>616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35">
        <v>45918.482708333337</v>
      </c>
      <c r="B723" s="36">
        <v>444090952</v>
      </c>
      <c r="C723" s="37" t="s">
        <v>36</v>
      </c>
      <c r="D723" s="37" t="s">
        <v>37</v>
      </c>
      <c r="E723" s="37" t="s">
        <v>47</v>
      </c>
      <c r="F723" s="37" t="s">
        <v>38</v>
      </c>
      <c r="G723" s="38">
        <v>3657.52</v>
      </c>
      <c r="H723" s="36">
        <v>443304761</v>
      </c>
      <c r="I723" s="39">
        <v>0</v>
      </c>
      <c r="J723" s="38">
        <v>0</v>
      </c>
      <c r="K723" s="38">
        <v>0</v>
      </c>
      <c r="L723" s="38">
        <v>-2.52</v>
      </c>
      <c r="M723" s="38">
        <v>10047.91</v>
      </c>
      <c r="N723" s="46" t="s">
        <v>648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40">
        <v>45918.482986111114</v>
      </c>
      <c r="B724" s="41">
        <v>444091545</v>
      </c>
      <c r="C724" s="42" t="s">
        <v>36</v>
      </c>
      <c r="D724" s="42" t="s">
        <v>37</v>
      </c>
      <c r="E724" s="42" t="s">
        <v>47</v>
      </c>
      <c r="F724" s="42" t="s">
        <v>38</v>
      </c>
      <c r="G724" s="43">
        <v>3658.01</v>
      </c>
      <c r="H724" s="41">
        <v>443305289</v>
      </c>
      <c r="I724" s="44">
        <v>0</v>
      </c>
      <c r="J724" s="43">
        <v>0</v>
      </c>
      <c r="K724" s="43">
        <v>0</v>
      </c>
      <c r="L724" s="43">
        <v>-3</v>
      </c>
      <c r="M724" s="43">
        <v>10044.91</v>
      </c>
      <c r="N724" s="45" t="s">
        <v>649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35">
        <v>45918.482986111114</v>
      </c>
      <c r="B725" s="36">
        <v>444091546</v>
      </c>
      <c r="C725" s="37" t="s">
        <v>36</v>
      </c>
      <c r="D725" s="37" t="s">
        <v>37</v>
      </c>
      <c r="E725" s="37" t="s">
        <v>47</v>
      </c>
      <c r="F725" s="37" t="s">
        <v>38</v>
      </c>
      <c r="G725" s="38">
        <v>3658.01</v>
      </c>
      <c r="H725" s="36">
        <v>443305290</v>
      </c>
      <c r="I725" s="39">
        <v>0</v>
      </c>
      <c r="J725" s="38">
        <v>0</v>
      </c>
      <c r="K725" s="38">
        <v>0</v>
      </c>
      <c r="L725" s="38">
        <v>-3</v>
      </c>
      <c r="M725" s="38">
        <v>10041.91</v>
      </c>
      <c r="N725" s="46" t="s">
        <v>649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40">
        <v>45918.482986111114</v>
      </c>
      <c r="B726" s="41">
        <v>444091547</v>
      </c>
      <c r="C726" s="42" t="s">
        <v>36</v>
      </c>
      <c r="D726" s="42" t="s">
        <v>37</v>
      </c>
      <c r="E726" s="42" t="s">
        <v>47</v>
      </c>
      <c r="F726" s="42" t="s">
        <v>38</v>
      </c>
      <c r="G726" s="43">
        <v>3658.01</v>
      </c>
      <c r="H726" s="41">
        <v>443305291</v>
      </c>
      <c r="I726" s="44">
        <v>0</v>
      </c>
      <c r="J726" s="43">
        <v>0</v>
      </c>
      <c r="K726" s="43">
        <v>0</v>
      </c>
      <c r="L726" s="43">
        <v>-3</v>
      </c>
      <c r="M726" s="43">
        <v>10038.91</v>
      </c>
      <c r="N726" s="45" t="s">
        <v>649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35">
        <v>45918.483043981483</v>
      </c>
      <c r="B727" s="36">
        <v>444091563</v>
      </c>
      <c r="C727" s="37" t="s">
        <v>36</v>
      </c>
      <c r="D727" s="37" t="s">
        <v>37</v>
      </c>
      <c r="E727" s="37" t="s">
        <v>47</v>
      </c>
      <c r="F727" s="37" t="s">
        <v>38</v>
      </c>
      <c r="G727" s="38">
        <v>3658.09</v>
      </c>
      <c r="H727" s="36">
        <v>443305308</v>
      </c>
      <c r="I727" s="39">
        <v>0</v>
      </c>
      <c r="J727" s="38">
        <v>0</v>
      </c>
      <c r="K727" s="38">
        <v>0</v>
      </c>
      <c r="L727" s="38">
        <v>-3.08</v>
      </c>
      <c r="M727" s="38">
        <v>10035.83</v>
      </c>
      <c r="N727" s="46" t="s">
        <v>650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40">
        <v>45918.484282407408</v>
      </c>
      <c r="B728" s="41">
        <v>444092324</v>
      </c>
      <c r="C728" s="42" t="s">
        <v>36</v>
      </c>
      <c r="D728" s="42" t="s">
        <v>39</v>
      </c>
      <c r="E728" s="42" t="s">
        <v>47</v>
      </c>
      <c r="F728" s="42" t="s">
        <v>38</v>
      </c>
      <c r="G728" s="43">
        <v>3659.6</v>
      </c>
      <c r="H728" s="41">
        <v>443306086</v>
      </c>
      <c r="I728" s="44">
        <v>0</v>
      </c>
      <c r="J728" s="43">
        <v>0</v>
      </c>
      <c r="K728" s="43">
        <v>0</v>
      </c>
      <c r="L728" s="43">
        <v>3.61</v>
      </c>
      <c r="M728" s="43">
        <v>10039.44</v>
      </c>
      <c r="N728" s="45" t="s">
        <v>651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35">
        <v>45918.484293981484</v>
      </c>
      <c r="B729" s="36">
        <v>444092343</v>
      </c>
      <c r="C729" s="37" t="s">
        <v>36</v>
      </c>
      <c r="D729" s="37" t="s">
        <v>39</v>
      </c>
      <c r="E729" s="37" t="s">
        <v>47</v>
      </c>
      <c r="F729" s="37" t="s">
        <v>38</v>
      </c>
      <c r="G729" s="38">
        <v>3659.64</v>
      </c>
      <c r="H729" s="36">
        <v>443306107</v>
      </c>
      <c r="I729" s="39">
        <v>0</v>
      </c>
      <c r="J729" s="38">
        <v>0</v>
      </c>
      <c r="K729" s="38">
        <v>0</v>
      </c>
      <c r="L729" s="38">
        <v>3.65</v>
      </c>
      <c r="M729" s="38">
        <v>10043.09</v>
      </c>
      <c r="N729" s="46" t="s">
        <v>652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40">
        <v>45918.491168981483</v>
      </c>
      <c r="B730" s="41">
        <v>444096216</v>
      </c>
      <c r="C730" s="42" t="s">
        <v>36</v>
      </c>
      <c r="D730" s="42" t="s">
        <v>37</v>
      </c>
      <c r="E730" s="42" t="s">
        <v>46</v>
      </c>
      <c r="F730" s="42" t="s">
        <v>38</v>
      </c>
      <c r="G730" s="43">
        <v>3661.71</v>
      </c>
      <c r="H730" s="41">
        <v>443309947</v>
      </c>
      <c r="I730" s="44">
        <v>0</v>
      </c>
      <c r="J730" s="43">
        <v>0</v>
      </c>
      <c r="K730" s="43">
        <v>0</v>
      </c>
      <c r="L730" s="43">
        <v>0</v>
      </c>
      <c r="M730" s="43">
        <v>10043.09</v>
      </c>
      <c r="N730" s="45" t="s">
        <v>653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35">
        <v>45918.491180555553</v>
      </c>
      <c r="B731" s="36">
        <v>444096217</v>
      </c>
      <c r="C731" s="37" t="s">
        <v>36</v>
      </c>
      <c r="D731" s="37" t="s">
        <v>37</v>
      </c>
      <c r="E731" s="37" t="s">
        <v>46</v>
      </c>
      <c r="F731" s="37" t="s">
        <v>38</v>
      </c>
      <c r="G731" s="38">
        <v>3661.67</v>
      </c>
      <c r="H731" s="36">
        <v>443309948</v>
      </c>
      <c r="I731" s="39">
        <v>0</v>
      </c>
      <c r="J731" s="38">
        <v>0</v>
      </c>
      <c r="K731" s="38">
        <v>0</v>
      </c>
      <c r="L731" s="38">
        <v>0</v>
      </c>
      <c r="M731" s="38">
        <v>10043.09</v>
      </c>
      <c r="N731" s="46" t="s">
        <v>647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40">
        <v>45918.491180555553</v>
      </c>
      <c r="B732" s="41">
        <v>444096219</v>
      </c>
      <c r="C732" s="42" t="s">
        <v>36</v>
      </c>
      <c r="D732" s="42" t="s">
        <v>37</v>
      </c>
      <c r="E732" s="42" t="s">
        <v>46</v>
      </c>
      <c r="F732" s="42" t="s">
        <v>38</v>
      </c>
      <c r="G732" s="43">
        <v>3661.67</v>
      </c>
      <c r="H732" s="41">
        <v>443309950</v>
      </c>
      <c r="I732" s="44">
        <v>0</v>
      </c>
      <c r="J732" s="43">
        <v>0</v>
      </c>
      <c r="K732" s="43">
        <v>0</v>
      </c>
      <c r="L732" s="43">
        <v>0</v>
      </c>
      <c r="M732" s="43">
        <v>10043.09</v>
      </c>
      <c r="N732" s="45" t="s">
        <v>150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35">
        <v>45918.491180555553</v>
      </c>
      <c r="B733" s="36">
        <v>444096220</v>
      </c>
      <c r="C733" s="37" t="s">
        <v>36</v>
      </c>
      <c r="D733" s="37" t="s">
        <v>37</v>
      </c>
      <c r="E733" s="37" t="s">
        <v>46</v>
      </c>
      <c r="F733" s="37" t="s">
        <v>38</v>
      </c>
      <c r="G733" s="38">
        <v>3661.67</v>
      </c>
      <c r="H733" s="36">
        <v>443309951</v>
      </c>
      <c r="I733" s="39">
        <v>0</v>
      </c>
      <c r="J733" s="38">
        <v>0</v>
      </c>
      <c r="K733" s="38">
        <v>0</v>
      </c>
      <c r="L733" s="38">
        <v>0</v>
      </c>
      <c r="M733" s="38">
        <v>10043.09</v>
      </c>
      <c r="N733" s="46" t="s">
        <v>48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40">
        <v>45918.491180555553</v>
      </c>
      <c r="B734" s="41">
        <v>444096221</v>
      </c>
      <c r="C734" s="42" t="s">
        <v>36</v>
      </c>
      <c r="D734" s="42" t="s">
        <v>37</v>
      </c>
      <c r="E734" s="42" t="s">
        <v>46</v>
      </c>
      <c r="F734" s="42" t="s">
        <v>38</v>
      </c>
      <c r="G734" s="43">
        <v>3661.67</v>
      </c>
      <c r="H734" s="41">
        <v>443309952</v>
      </c>
      <c r="I734" s="44">
        <v>0</v>
      </c>
      <c r="J734" s="43">
        <v>0</v>
      </c>
      <c r="K734" s="43">
        <v>0</v>
      </c>
      <c r="L734" s="43">
        <v>0</v>
      </c>
      <c r="M734" s="43">
        <v>10043.09</v>
      </c>
      <c r="N734" s="45" t="s">
        <v>49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35">
        <v>45918.49119212963</v>
      </c>
      <c r="B735" s="36">
        <v>444096222</v>
      </c>
      <c r="C735" s="37" t="s">
        <v>36</v>
      </c>
      <c r="D735" s="37" t="s">
        <v>37</v>
      </c>
      <c r="E735" s="37" t="s">
        <v>46</v>
      </c>
      <c r="F735" s="37" t="s">
        <v>38</v>
      </c>
      <c r="G735" s="38">
        <v>3661.82</v>
      </c>
      <c r="H735" s="36">
        <v>443309953</v>
      </c>
      <c r="I735" s="39">
        <v>0</v>
      </c>
      <c r="J735" s="38">
        <v>0</v>
      </c>
      <c r="K735" s="38">
        <v>0</v>
      </c>
      <c r="L735" s="38">
        <v>0</v>
      </c>
      <c r="M735" s="38">
        <v>10043.09</v>
      </c>
      <c r="N735" s="46" t="s">
        <v>53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40">
        <v>45918.495138888888</v>
      </c>
      <c r="B736" s="41">
        <v>444097681</v>
      </c>
      <c r="C736" s="42" t="s">
        <v>36</v>
      </c>
      <c r="D736" s="42" t="s">
        <v>39</v>
      </c>
      <c r="E736" s="42" t="s">
        <v>47</v>
      </c>
      <c r="F736" s="42" t="s">
        <v>38</v>
      </c>
      <c r="G736" s="43">
        <v>3663.36</v>
      </c>
      <c r="H736" s="41">
        <v>443311533</v>
      </c>
      <c r="I736" s="44">
        <v>0</v>
      </c>
      <c r="J736" s="43">
        <v>0</v>
      </c>
      <c r="K736" s="43">
        <v>0</v>
      </c>
      <c r="L736" s="43">
        <v>1.65</v>
      </c>
      <c r="M736" s="43">
        <v>10044.74</v>
      </c>
      <c r="N736" s="45" t="s">
        <v>654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35">
        <v>45918.495138888888</v>
      </c>
      <c r="B737" s="36">
        <v>444097682</v>
      </c>
      <c r="C737" s="37" t="s">
        <v>36</v>
      </c>
      <c r="D737" s="37" t="s">
        <v>39</v>
      </c>
      <c r="E737" s="37" t="s">
        <v>47</v>
      </c>
      <c r="F737" s="37" t="s">
        <v>38</v>
      </c>
      <c r="G737" s="38">
        <v>3663.36</v>
      </c>
      <c r="H737" s="36">
        <v>443311534</v>
      </c>
      <c r="I737" s="39">
        <v>0</v>
      </c>
      <c r="J737" s="38">
        <v>0</v>
      </c>
      <c r="K737" s="38">
        <v>0</v>
      </c>
      <c r="L737" s="38">
        <v>1.69</v>
      </c>
      <c r="M737" s="38">
        <v>10046.43</v>
      </c>
      <c r="N737" s="46" t="s">
        <v>654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40">
        <v>45918.495138888888</v>
      </c>
      <c r="B738" s="41">
        <v>444097683</v>
      </c>
      <c r="C738" s="42" t="s">
        <v>36</v>
      </c>
      <c r="D738" s="42" t="s">
        <v>39</v>
      </c>
      <c r="E738" s="42" t="s">
        <v>47</v>
      </c>
      <c r="F738" s="42" t="s">
        <v>38</v>
      </c>
      <c r="G738" s="43">
        <v>3663.36</v>
      </c>
      <c r="H738" s="41">
        <v>443311535</v>
      </c>
      <c r="I738" s="44">
        <v>0</v>
      </c>
      <c r="J738" s="43">
        <v>0</v>
      </c>
      <c r="K738" s="43">
        <v>0</v>
      </c>
      <c r="L738" s="43">
        <v>1.69</v>
      </c>
      <c r="M738" s="43">
        <v>10048.120000000001</v>
      </c>
      <c r="N738" s="45" t="s">
        <v>654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35">
        <v>45918.496493055558</v>
      </c>
      <c r="B739" s="36">
        <v>444098239</v>
      </c>
      <c r="C739" s="37" t="s">
        <v>36</v>
      </c>
      <c r="D739" s="37" t="s">
        <v>37</v>
      </c>
      <c r="E739" s="37" t="s">
        <v>46</v>
      </c>
      <c r="F739" s="37" t="s">
        <v>38</v>
      </c>
      <c r="G739" s="38">
        <v>3662.97</v>
      </c>
      <c r="H739" s="36">
        <v>443312086</v>
      </c>
      <c r="I739" s="39">
        <v>0</v>
      </c>
      <c r="J739" s="38">
        <v>0</v>
      </c>
      <c r="K739" s="38">
        <v>0</v>
      </c>
      <c r="L739" s="38">
        <v>0</v>
      </c>
      <c r="M739" s="38">
        <v>10048.120000000001</v>
      </c>
      <c r="N739" s="46" t="s">
        <v>647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40">
        <v>45918.496504629627</v>
      </c>
      <c r="B740" s="41">
        <v>444098240</v>
      </c>
      <c r="C740" s="42" t="s">
        <v>36</v>
      </c>
      <c r="D740" s="42" t="s">
        <v>37</v>
      </c>
      <c r="E740" s="42" t="s">
        <v>46</v>
      </c>
      <c r="F740" s="42" t="s">
        <v>38</v>
      </c>
      <c r="G740" s="43">
        <v>3662.97</v>
      </c>
      <c r="H740" s="41">
        <v>443312087</v>
      </c>
      <c r="I740" s="44">
        <v>0</v>
      </c>
      <c r="J740" s="43">
        <v>0</v>
      </c>
      <c r="K740" s="43">
        <v>0</v>
      </c>
      <c r="L740" s="43">
        <v>0</v>
      </c>
      <c r="M740" s="43">
        <v>10048.120000000001</v>
      </c>
      <c r="N740" s="45" t="s">
        <v>150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35">
        <v>45918.496504629627</v>
      </c>
      <c r="B741" s="36">
        <v>444098242</v>
      </c>
      <c r="C741" s="37" t="s">
        <v>36</v>
      </c>
      <c r="D741" s="37" t="s">
        <v>37</v>
      </c>
      <c r="E741" s="37" t="s">
        <v>46</v>
      </c>
      <c r="F741" s="37" t="s">
        <v>38</v>
      </c>
      <c r="G741" s="38">
        <v>3662.97</v>
      </c>
      <c r="H741" s="36">
        <v>443312089</v>
      </c>
      <c r="I741" s="39">
        <v>0</v>
      </c>
      <c r="J741" s="38">
        <v>0</v>
      </c>
      <c r="K741" s="38">
        <v>0</v>
      </c>
      <c r="L741" s="38">
        <v>0</v>
      </c>
      <c r="M741" s="38">
        <v>10048.120000000001</v>
      </c>
      <c r="N741" s="46" t="s">
        <v>653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40">
        <v>45918.496550925927</v>
      </c>
      <c r="B742" s="41">
        <v>444098269</v>
      </c>
      <c r="C742" s="42" t="s">
        <v>36</v>
      </c>
      <c r="D742" s="42" t="s">
        <v>39</v>
      </c>
      <c r="E742" s="42" t="s">
        <v>47</v>
      </c>
      <c r="F742" s="42" t="s">
        <v>38</v>
      </c>
      <c r="G742" s="43">
        <v>3662.69</v>
      </c>
      <c r="H742" s="41">
        <v>443312115</v>
      </c>
      <c r="I742" s="44">
        <v>0</v>
      </c>
      <c r="J742" s="43">
        <v>0</v>
      </c>
      <c r="K742" s="43">
        <v>0</v>
      </c>
      <c r="L742" s="43">
        <v>1.02</v>
      </c>
      <c r="M742" s="43">
        <v>10049.14</v>
      </c>
      <c r="N742" s="45" t="s">
        <v>655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35">
        <v>45918.496550925927</v>
      </c>
      <c r="B743" s="36">
        <v>444098270</v>
      </c>
      <c r="C743" s="37" t="s">
        <v>36</v>
      </c>
      <c r="D743" s="37" t="s">
        <v>39</v>
      </c>
      <c r="E743" s="37" t="s">
        <v>47</v>
      </c>
      <c r="F743" s="37" t="s">
        <v>38</v>
      </c>
      <c r="G743" s="38">
        <v>3662.67</v>
      </c>
      <c r="H743" s="36">
        <v>443312116</v>
      </c>
      <c r="I743" s="39">
        <v>0</v>
      </c>
      <c r="J743" s="38">
        <v>0</v>
      </c>
      <c r="K743" s="38">
        <v>0</v>
      </c>
      <c r="L743" s="38">
        <v>1</v>
      </c>
      <c r="M743" s="38">
        <v>10050.14</v>
      </c>
      <c r="N743" s="46" t="s">
        <v>656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40">
        <v>45918.496562499997</v>
      </c>
      <c r="B744" s="41">
        <v>444098272</v>
      </c>
      <c r="C744" s="42" t="s">
        <v>36</v>
      </c>
      <c r="D744" s="42" t="s">
        <v>39</v>
      </c>
      <c r="E744" s="42" t="s">
        <v>47</v>
      </c>
      <c r="F744" s="42" t="s">
        <v>38</v>
      </c>
      <c r="G744" s="43">
        <v>3662.6</v>
      </c>
      <c r="H744" s="41">
        <v>443312118</v>
      </c>
      <c r="I744" s="44">
        <v>0</v>
      </c>
      <c r="J744" s="43">
        <v>0</v>
      </c>
      <c r="K744" s="43">
        <v>0</v>
      </c>
      <c r="L744" s="43">
        <v>0.78</v>
      </c>
      <c r="M744" s="43">
        <v>10050.92</v>
      </c>
      <c r="N744" s="45" t="s">
        <v>657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35">
        <v>45918.496724537035</v>
      </c>
      <c r="B745" s="36">
        <v>444098346</v>
      </c>
      <c r="C745" s="37" t="s">
        <v>36</v>
      </c>
      <c r="D745" s="37" t="s">
        <v>37</v>
      </c>
      <c r="E745" s="37" t="s">
        <v>46</v>
      </c>
      <c r="F745" s="37" t="s">
        <v>38</v>
      </c>
      <c r="G745" s="38">
        <v>3663.17</v>
      </c>
      <c r="H745" s="36">
        <v>443312195</v>
      </c>
      <c r="I745" s="39">
        <v>0</v>
      </c>
      <c r="J745" s="38">
        <v>0</v>
      </c>
      <c r="K745" s="38">
        <v>0</v>
      </c>
      <c r="L745" s="38">
        <v>0</v>
      </c>
      <c r="M745" s="38">
        <v>10050.92</v>
      </c>
      <c r="N745" s="46" t="s">
        <v>49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40">
        <v>45918.496736111112</v>
      </c>
      <c r="B746" s="41">
        <v>444098351</v>
      </c>
      <c r="C746" s="42" t="s">
        <v>36</v>
      </c>
      <c r="D746" s="42" t="s">
        <v>37</v>
      </c>
      <c r="E746" s="42" t="s">
        <v>46</v>
      </c>
      <c r="F746" s="42" t="s">
        <v>38</v>
      </c>
      <c r="G746" s="43">
        <v>3663.18</v>
      </c>
      <c r="H746" s="41">
        <v>443312200</v>
      </c>
      <c r="I746" s="44">
        <v>0</v>
      </c>
      <c r="J746" s="43">
        <v>0</v>
      </c>
      <c r="K746" s="43">
        <v>0</v>
      </c>
      <c r="L746" s="43">
        <v>0</v>
      </c>
      <c r="M746" s="43">
        <v>10050.92</v>
      </c>
      <c r="N746" s="45" t="s">
        <v>48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35">
        <v>45918.496736111112</v>
      </c>
      <c r="B747" s="36">
        <v>444098354</v>
      </c>
      <c r="C747" s="37" t="s">
        <v>36</v>
      </c>
      <c r="D747" s="37" t="s">
        <v>37</v>
      </c>
      <c r="E747" s="37" t="s">
        <v>46</v>
      </c>
      <c r="F747" s="37" t="s">
        <v>38</v>
      </c>
      <c r="G747" s="38">
        <v>3663.18</v>
      </c>
      <c r="H747" s="36">
        <v>443312203</v>
      </c>
      <c r="I747" s="39">
        <v>0</v>
      </c>
      <c r="J747" s="38">
        <v>0</v>
      </c>
      <c r="K747" s="38">
        <v>0</v>
      </c>
      <c r="L747" s="38">
        <v>0</v>
      </c>
      <c r="M747" s="38">
        <v>10050.92</v>
      </c>
      <c r="N747" s="46" t="s">
        <v>53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40">
        <v>45918.497488425928</v>
      </c>
      <c r="B748" s="41">
        <v>444098558</v>
      </c>
      <c r="C748" s="42" t="s">
        <v>36</v>
      </c>
      <c r="D748" s="42" t="s">
        <v>39</v>
      </c>
      <c r="E748" s="42" t="s">
        <v>47</v>
      </c>
      <c r="F748" s="42" t="s">
        <v>38</v>
      </c>
      <c r="G748" s="43">
        <v>3664.58</v>
      </c>
      <c r="H748" s="41">
        <v>443312393</v>
      </c>
      <c r="I748" s="44">
        <v>0</v>
      </c>
      <c r="J748" s="43">
        <v>0</v>
      </c>
      <c r="K748" s="43">
        <v>0</v>
      </c>
      <c r="L748" s="43">
        <v>1.61</v>
      </c>
      <c r="M748" s="43">
        <v>10052.530000000001</v>
      </c>
      <c r="N748" s="45" t="s">
        <v>658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35">
        <v>45918.497488425928</v>
      </c>
      <c r="B749" s="36">
        <v>444098560</v>
      </c>
      <c r="C749" s="37" t="s">
        <v>36</v>
      </c>
      <c r="D749" s="37" t="s">
        <v>39</v>
      </c>
      <c r="E749" s="37" t="s">
        <v>47</v>
      </c>
      <c r="F749" s="37" t="s">
        <v>38</v>
      </c>
      <c r="G749" s="38">
        <v>3664.58</v>
      </c>
      <c r="H749" s="36">
        <v>443312394</v>
      </c>
      <c r="I749" s="39">
        <v>0</v>
      </c>
      <c r="J749" s="38">
        <v>0</v>
      </c>
      <c r="K749" s="38">
        <v>0</v>
      </c>
      <c r="L749" s="38">
        <v>1.61</v>
      </c>
      <c r="M749" s="38">
        <v>10054.14</v>
      </c>
      <c r="N749" s="46" t="s">
        <v>659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40">
        <v>45918.497488425928</v>
      </c>
      <c r="B750" s="41">
        <v>444098561</v>
      </c>
      <c r="C750" s="42" t="s">
        <v>36</v>
      </c>
      <c r="D750" s="42" t="s">
        <v>39</v>
      </c>
      <c r="E750" s="42" t="s">
        <v>47</v>
      </c>
      <c r="F750" s="42" t="s">
        <v>38</v>
      </c>
      <c r="G750" s="43">
        <v>3664.58</v>
      </c>
      <c r="H750" s="41">
        <v>443312395</v>
      </c>
      <c r="I750" s="44">
        <v>0</v>
      </c>
      <c r="J750" s="43">
        <v>0</v>
      </c>
      <c r="K750" s="43">
        <v>0</v>
      </c>
      <c r="L750" s="43">
        <v>1.61</v>
      </c>
      <c r="M750" s="43">
        <v>10055.75</v>
      </c>
      <c r="N750" s="45" t="s">
        <v>659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35">
        <v>45918.5003125</v>
      </c>
      <c r="B751" s="36">
        <v>444100252</v>
      </c>
      <c r="C751" s="37" t="s">
        <v>36</v>
      </c>
      <c r="D751" s="37" t="s">
        <v>37</v>
      </c>
      <c r="E751" s="37" t="s">
        <v>46</v>
      </c>
      <c r="F751" s="37" t="s">
        <v>38</v>
      </c>
      <c r="G751" s="38">
        <v>3665.17</v>
      </c>
      <c r="H751" s="36">
        <v>443314101</v>
      </c>
      <c r="I751" s="39">
        <v>0</v>
      </c>
      <c r="J751" s="38">
        <v>0</v>
      </c>
      <c r="K751" s="38">
        <v>0</v>
      </c>
      <c r="L751" s="38">
        <v>0</v>
      </c>
      <c r="M751" s="38">
        <v>10055.75</v>
      </c>
      <c r="N751" s="46" t="s">
        <v>150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40">
        <v>45918.500324074077</v>
      </c>
      <c r="B752" s="41">
        <v>444100254</v>
      </c>
      <c r="C752" s="42" t="s">
        <v>36</v>
      </c>
      <c r="D752" s="42" t="s">
        <v>37</v>
      </c>
      <c r="E752" s="42" t="s">
        <v>46</v>
      </c>
      <c r="F752" s="42" t="s">
        <v>38</v>
      </c>
      <c r="G752" s="43">
        <v>3665.1</v>
      </c>
      <c r="H752" s="41">
        <v>443314103</v>
      </c>
      <c r="I752" s="44">
        <v>0</v>
      </c>
      <c r="J752" s="43">
        <v>0</v>
      </c>
      <c r="K752" s="43">
        <v>0</v>
      </c>
      <c r="L752" s="43">
        <v>0</v>
      </c>
      <c r="M752" s="43">
        <v>10055.75</v>
      </c>
      <c r="N752" s="45" t="s">
        <v>647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35">
        <v>45918.500324074077</v>
      </c>
      <c r="B753" s="36">
        <v>444100258</v>
      </c>
      <c r="C753" s="37" t="s">
        <v>36</v>
      </c>
      <c r="D753" s="37" t="s">
        <v>37</v>
      </c>
      <c r="E753" s="37" t="s">
        <v>46</v>
      </c>
      <c r="F753" s="37" t="s">
        <v>38</v>
      </c>
      <c r="G753" s="38">
        <v>3665.11</v>
      </c>
      <c r="H753" s="36">
        <v>443314107</v>
      </c>
      <c r="I753" s="39">
        <v>0</v>
      </c>
      <c r="J753" s="38">
        <v>0</v>
      </c>
      <c r="K753" s="38">
        <v>0</v>
      </c>
      <c r="L753" s="38">
        <v>0</v>
      </c>
      <c r="M753" s="38">
        <v>10055.75</v>
      </c>
      <c r="N753" s="46" t="s">
        <v>653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40">
        <v>45918.502789351849</v>
      </c>
      <c r="B754" s="41">
        <v>444101101</v>
      </c>
      <c r="C754" s="42" t="s">
        <v>36</v>
      </c>
      <c r="D754" s="42" t="s">
        <v>39</v>
      </c>
      <c r="E754" s="42" t="s">
        <v>47</v>
      </c>
      <c r="F754" s="42" t="s">
        <v>38</v>
      </c>
      <c r="G754" s="43">
        <v>3666.2</v>
      </c>
      <c r="H754" s="41">
        <v>443314941</v>
      </c>
      <c r="I754" s="44">
        <v>0</v>
      </c>
      <c r="J754" s="43">
        <v>0</v>
      </c>
      <c r="K754" s="43">
        <v>0</v>
      </c>
      <c r="L754" s="43">
        <v>3.03</v>
      </c>
      <c r="M754" s="43">
        <v>10058.780000000001</v>
      </c>
      <c r="N754" s="45" t="s">
        <v>660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35">
        <v>45918.502789351849</v>
      </c>
      <c r="B755" s="36">
        <v>444101102</v>
      </c>
      <c r="C755" s="37" t="s">
        <v>36</v>
      </c>
      <c r="D755" s="37" t="s">
        <v>39</v>
      </c>
      <c r="E755" s="37" t="s">
        <v>47</v>
      </c>
      <c r="F755" s="37" t="s">
        <v>38</v>
      </c>
      <c r="G755" s="38">
        <v>3666.2</v>
      </c>
      <c r="H755" s="36">
        <v>443314942</v>
      </c>
      <c r="I755" s="39">
        <v>0</v>
      </c>
      <c r="J755" s="38">
        <v>0</v>
      </c>
      <c r="K755" s="38">
        <v>0</v>
      </c>
      <c r="L755" s="38">
        <v>3.02</v>
      </c>
      <c r="M755" s="38">
        <v>10061.799999999999</v>
      </c>
      <c r="N755" s="46" t="s">
        <v>660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40">
        <v>45918.502858796295</v>
      </c>
      <c r="B756" s="41">
        <v>444101148</v>
      </c>
      <c r="C756" s="42" t="s">
        <v>36</v>
      </c>
      <c r="D756" s="42" t="s">
        <v>39</v>
      </c>
      <c r="E756" s="42" t="s">
        <v>47</v>
      </c>
      <c r="F756" s="42" t="s">
        <v>38</v>
      </c>
      <c r="G756" s="43">
        <v>3666.57</v>
      </c>
      <c r="H756" s="41">
        <v>443314996</v>
      </c>
      <c r="I756" s="44">
        <v>0</v>
      </c>
      <c r="J756" s="43">
        <v>0</v>
      </c>
      <c r="K756" s="43">
        <v>0</v>
      </c>
      <c r="L756" s="43">
        <v>1.4</v>
      </c>
      <c r="M756" s="43">
        <v>10063.200000000001</v>
      </c>
      <c r="N756" s="45" t="s">
        <v>661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35">
        <v>45918.503668981481</v>
      </c>
      <c r="B757" s="36">
        <v>444101802</v>
      </c>
      <c r="C757" s="37" t="s">
        <v>36</v>
      </c>
      <c r="D757" s="37" t="s">
        <v>37</v>
      </c>
      <c r="E757" s="37" t="s">
        <v>46</v>
      </c>
      <c r="F757" s="37" t="s">
        <v>38</v>
      </c>
      <c r="G757" s="38">
        <v>3665.54</v>
      </c>
      <c r="H757" s="36">
        <v>443315632</v>
      </c>
      <c r="I757" s="39">
        <v>0</v>
      </c>
      <c r="J757" s="38">
        <v>0</v>
      </c>
      <c r="K757" s="38">
        <v>0</v>
      </c>
      <c r="L757" s="38">
        <v>0</v>
      </c>
      <c r="M757" s="38">
        <v>10063.200000000001</v>
      </c>
      <c r="N757" s="46" t="s">
        <v>48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40">
        <v>45918.503680555557</v>
      </c>
      <c r="B758" s="41">
        <v>444101805</v>
      </c>
      <c r="C758" s="42" t="s">
        <v>36</v>
      </c>
      <c r="D758" s="42" t="s">
        <v>37</v>
      </c>
      <c r="E758" s="42" t="s">
        <v>46</v>
      </c>
      <c r="F758" s="42" t="s">
        <v>38</v>
      </c>
      <c r="G758" s="43">
        <v>3665.54</v>
      </c>
      <c r="H758" s="41">
        <v>443315635</v>
      </c>
      <c r="I758" s="44">
        <v>0</v>
      </c>
      <c r="J758" s="43">
        <v>0</v>
      </c>
      <c r="K758" s="43">
        <v>0</v>
      </c>
      <c r="L758" s="43">
        <v>0</v>
      </c>
      <c r="M758" s="43">
        <v>10063.200000000001</v>
      </c>
      <c r="N758" s="45" t="s">
        <v>49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35">
        <v>45918.503680555557</v>
      </c>
      <c r="B759" s="36">
        <v>444101807</v>
      </c>
      <c r="C759" s="37" t="s">
        <v>36</v>
      </c>
      <c r="D759" s="37" t="s">
        <v>37</v>
      </c>
      <c r="E759" s="37" t="s">
        <v>46</v>
      </c>
      <c r="F759" s="37" t="s">
        <v>38</v>
      </c>
      <c r="G759" s="38">
        <v>3665.51</v>
      </c>
      <c r="H759" s="36">
        <v>443315637</v>
      </c>
      <c r="I759" s="39">
        <v>0</v>
      </c>
      <c r="J759" s="38">
        <v>0</v>
      </c>
      <c r="K759" s="38">
        <v>0</v>
      </c>
      <c r="L759" s="38">
        <v>0</v>
      </c>
      <c r="M759" s="38">
        <v>10063.200000000001</v>
      </c>
      <c r="N759" s="46" t="s">
        <v>150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40">
        <v>45918.50403935185</v>
      </c>
      <c r="B760" s="41">
        <v>444101960</v>
      </c>
      <c r="C760" s="42" t="s">
        <v>36</v>
      </c>
      <c r="D760" s="42" t="s">
        <v>39</v>
      </c>
      <c r="E760" s="42" t="s">
        <v>47</v>
      </c>
      <c r="F760" s="42" t="s">
        <v>38</v>
      </c>
      <c r="G760" s="43">
        <v>3666.67</v>
      </c>
      <c r="H760" s="41">
        <v>443315785</v>
      </c>
      <c r="I760" s="44">
        <v>0</v>
      </c>
      <c r="J760" s="43">
        <v>0</v>
      </c>
      <c r="K760" s="43">
        <v>0</v>
      </c>
      <c r="L760" s="43">
        <v>3.49</v>
      </c>
      <c r="M760" s="43">
        <v>10066.69</v>
      </c>
      <c r="N760" s="45" t="s">
        <v>662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35">
        <v>45918.50403935185</v>
      </c>
      <c r="B761" s="36">
        <v>444101961</v>
      </c>
      <c r="C761" s="37" t="s">
        <v>36</v>
      </c>
      <c r="D761" s="37" t="s">
        <v>39</v>
      </c>
      <c r="E761" s="37" t="s">
        <v>47</v>
      </c>
      <c r="F761" s="37" t="s">
        <v>38</v>
      </c>
      <c r="G761" s="38">
        <v>3666.67</v>
      </c>
      <c r="H761" s="36">
        <v>443315786</v>
      </c>
      <c r="I761" s="39">
        <v>0</v>
      </c>
      <c r="J761" s="38">
        <v>0</v>
      </c>
      <c r="K761" s="38">
        <v>0</v>
      </c>
      <c r="L761" s="38">
        <v>1.57</v>
      </c>
      <c r="M761" s="38">
        <v>10068.26</v>
      </c>
      <c r="N761" s="46" t="s">
        <v>662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40">
        <v>45918.50403935185</v>
      </c>
      <c r="B762" s="41">
        <v>444101962</v>
      </c>
      <c r="C762" s="42" t="s">
        <v>36</v>
      </c>
      <c r="D762" s="42" t="s">
        <v>39</v>
      </c>
      <c r="E762" s="42" t="s">
        <v>47</v>
      </c>
      <c r="F762" s="42" t="s">
        <v>38</v>
      </c>
      <c r="G762" s="43">
        <v>3666.67</v>
      </c>
      <c r="H762" s="41">
        <v>443315787</v>
      </c>
      <c r="I762" s="44">
        <v>0</v>
      </c>
      <c r="J762" s="43">
        <v>0</v>
      </c>
      <c r="K762" s="43">
        <v>0</v>
      </c>
      <c r="L762" s="43">
        <v>1.56</v>
      </c>
      <c r="M762" s="43">
        <v>10069.82</v>
      </c>
      <c r="N762" s="45" t="s">
        <v>662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35">
        <v>45918.504062499997</v>
      </c>
      <c r="B763" s="36">
        <v>444102057</v>
      </c>
      <c r="C763" s="37" t="s">
        <v>36</v>
      </c>
      <c r="D763" s="37" t="s">
        <v>39</v>
      </c>
      <c r="E763" s="37" t="s">
        <v>47</v>
      </c>
      <c r="F763" s="37" t="s">
        <v>38</v>
      </c>
      <c r="G763" s="38">
        <v>3667.07</v>
      </c>
      <c r="H763" s="36">
        <v>443315882</v>
      </c>
      <c r="I763" s="39">
        <v>0</v>
      </c>
      <c r="J763" s="38">
        <v>0</v>
      </c>
      <c r="K763" s="38">
        <v>0</v>
      </c>
      <c r="L763" s="38">
        <v>1.56</v>
      </c>
      <c r="M763" s="38">
        <v>10071.379999999999</v>
      </c>
      <c r="N763" s="46" t="s">
        <v>663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40">
        <v>45918.504942129628</v>
      </c>
      <c r="B764" s="41">
        <v>444102833</v>
      </c>
      <c r="C764" s="42" t="s">
        <v>36</v>
      </c>
      <c r="D764" s="42" t="s">
        <v>37</v>
      </c>
      <c r="E764" s="42" t="s">
        <v>46</v>
      </c>
      <c r="F764" s="42" t="s">
        <v>38</v>
      </c>
      <c r="G764" s="43">
        <v>3666.45</v>
      </c>
      <c r="H764" s="41">
        <v>443316623</v>
      </c>
      <c r="I764" s="44">
        <v>0</v>
      </c>
      <c r="J764" s="43">
        <v>0</v>
      </c>
      <c r="K764" s="43">
        <v>0</v>
      </c>
      <c r="L764" s="43">
        <v>0</v>
      </c>
      <c r="M764" s="43">
        <v>10071.379999999999</v>
      </c>
      <c r="N764" s="45" t="s">
        <v>647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35">
        <v>45918.504953703705</v>
      </c>
      <c r="B765" s="36">
        <v>444102834</v>
      </c>
      <c r="C765" s="37" t="s">
        <v>36</v>
      </c>
      <c r="D765" s="37" t="s">
        <v>37</v>
      </c>
      <c r="E765" s="37" t="s">
        <v>46</v>
      </c>
      <c r="F765" s="37" t="s">
        <v>38</v>
      </c>
      <c r="G765" s="38">
        <v>3666.44</v>
      </c>
      <c r="H765" s="36">
        <v>443316624</v>
      </c>
      <c r="I765" s="39">
        <v>0</v>
      </c>
      <c r="J765" s="38">
        <v>0</v>
      </c>
      <c r="K765" s="38">
        <v>0</v>
      </c>
      <c r="L765" s="38">
        <v>0</v>
      </c>
      <c r="M765" s="38">
        <v>10071.379999999999</v>
      </c>
      <c r="N765" s="46" t="s">
        <v>653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40">
        <v>45918.504953703705</v>
      </c>
      <c r="B766" s="41">
        <v>444102835</v>
      </c>
      <c r="C766" s="42" t="s">
        <v>36</v>
      </c>
      <c r="D766" s="42" t="s">
        <v>37</v>
      </c>
      <c r="E766" s="42" t="s">
        <v>46</v>
      </c>
      <c r="F766" s="42" t="s">
        <v>38</v>
      </c>
      <c r="G766" s="43">
        <v>3666.56</v>
      </c>
      <c r="H766" s="41">
        <v>443316625</v>
      </c>
      <c r="I766" s="44">
        <v>0</v>
      </c>
      <c r="J766" s="43">
        <v>0</v>
      </c>
      <c r="K766" s="43">
        <v>0</v>
      </c>
      <c r="L766" s="43">
        <v>0</v>
      </c>
      <c r="M766" s="43">
        <v>10071.379999999999</v>
      </c>
      <c r="N766" s="45" t="s">
        <v>150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35">
        <v>45918.504953703705</v>
      </c>
      <c r="B767" s="36">
        <v>444102836</v>
      </c>
      <c r="C767" s="37" t="s">
        <v>36</v>
      </c>
      <c r="D767" s="37" t="s">
        <v>37</v>
      </c>
      <c r="E767" s="37" t="s">
        <v>46</v>
      </c>
      <c r="F767" s="37" t="s">
        <v>38</v>
      </c>
      <c r="G767" s="38">
        <v>3666.54</v>
      </c>
      <c r="H767" s="36">
        <v>443316626</v>
      </c>
      <c r="I767" s="39">
        <v>0</v>
      </c>
      <c r="J767" s="38">
        <v>0</v>
      </c>
      <c r="K767" s="38">
        <v>0</v>
      </c>
      <c r="L767" s="38">
        <v>0</v>
      </c>
      <c r="M767" s="38">
        <v>10071.379999999999</v>
      </c>
      <c r="N767" s="46" t="s">
        <v>53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40">
        <v>45918.505023148151</v>
      </c>
      <c r="B768" s="41">
        <v>444102872</v>
      </c>
      <c r="C768" s="42" t="s">
        <v>36</v>
      </c>
      <c r="D768" s="42" t="s">
        <v>39</v>
      </c>
      <c r="E768" s="42" t="s">
        <v>47</v>
      </c>
      <c r="F768" s="42" t="s">
        <v>38</v>
      </c>
      <c r="G768" s="43">
        <v>3665.92</v>
      </c>
      <c r="H768" s="41">
        <v>443316663</v>
      </c>
      <c r="I768" s="44">
        <v>0</v>
      </c>
      <c r="J768" s="43">
        <v>0</v>
      </c>
      <c r="K768" s="43">
        <v>0</v>
      </c>
      <c r="L768" s="43">
        <v>0.38</v>
      </c>
      <c r="M768" s="43">
        <v>10071.76</v>
      </c>
      <c r="N768" s="45" t="s">
        <v>664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35">
        <v>45918.505023148151</v>
      </c>
      <c r="B769" s="36">
        <v>444102873</v>
      </c>
      <c r="C769" s="37" t="s">
        <v>36</v>
      </c>
      <c r="D769" s="37" t="s">
        <v>39</v>
      </c>
      <c r="E769" s="37" t="s">
        <v>47</v>
      </c>
      <c r="F769" s="37" t="s">
        <v>38</v>
      </c>
      <c r="G769" s="38">
        <v>3665.92</v>
      </c>
      <c r="H769" s="36">
        <v>443316664</v>
      </c>
      <c r="I769" s="39">
        <v>0</v>
      </c>
      <c r="J769" s="38">
        <v>0</v>
      </c>
      <c r="K769" s="38">
        <v>0</v>
      </c>
      <c r="L769" s="38">
        <v>0.38</v>
      </c>
      <c r="M769" s="38">
        <v>10072.14</v>
      </c>
      <c r="N769" s="46" t="s">
        <v>665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40">
        <v>45918.505173611113</v>
      </c>
      <c r="B770" s="41">
        <v>444102913</v>
      </c>
      <c r="C770" s="42" t="s">
        <v>36</v>
      </c>
      <c r="D770" s="42" t="s">
        <v>37</v>
      </c>
      <c r="E770" s="42" t="s">
        <v>46</v>
      </c>
      <c r="F770" s="42" t="s">
        <v>38</v>
      </c>
      <c r="G770" s="43">
        <v>3666.2</v>
      </c>
      <c r="H770" s="41">
        <v>443316703</v>
      </c>
      <c r="I770" s="44">
        <v>0</v>
      </c>
      <c r="J770" s="43">
        <v>0</v>
      </c>
      <c r="K770" s="43">
        <v>0</v>
      </c>
      <c r="L770" s="43">
        <v>0</v>
      </c>
      <c r="M770" s="43">
        <v>10072.14</v>
      </c>
      <c r="N770" s="45" t="s">
        <v>48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35">
        <v>45918.505185185182</v>
      </c>
      <c r="B771" s="36">
        <v>444102914</v>
      </c>
      <c r="C771" s="37" t="s">
        <v>36</v>
      </c>
      <c r="D771" s="37" t="s">
        <v>37</v>
      </c>
      <c r="E771" s="37" t="s">
        <v>46</v>
      </c>
      <c r="F771" s="37" t="s">
        <v>38</v>
      </c>
      <c r="G771" s="38">
        <v>3666.21</v>
      </c>
      <c r="H771" s="36">
        <v>443316704</v>
      </c>
      <c r="I771" s="39">
        <v>0</v>
      </c>
      <c r="J771" s="38">
        <v>0</v>
      </c>
      <c r="K771" s="38">
        <v>0</v>
      </c>
      <c r="L771" s="38">
        <v>0</v>
      </c>
      <c r="M771" s="38">
        <v>10072.14</v>
      </c>
      <c r="N771" s="46" t="s">
        <v>49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40">
        <v>45918.506574074076</v>
      </c>
      <c r="B772" s="41">
        <v>444103531</v>
      </c>
      <c r="C772" s="42" t="s">
        <v>36</v>
      </c>
      <c r="D772" s="42" t="s">
        <v>39</v>
      </c>
      <c r="E772" s="42" t="s">
        <v>47</v>
      </c>
      <c r="F772" s="42" t="s">
        <v>38</v>
      </c>
      <c r="G772" s="43">
        <v>3667.99</v>
      </c>
      <c r="H772" s="41">
        <v>443317322</v>
      </c>
      <c r="I772" s="44">
        <v>0</v>
      </c>
      <c r="J772" s="43">
        <v>0</v>
      </c>
      <c r="K772" s="43">
        <v>0</v>
      </c>
      <c r="L772" s="43">
        <v>1.55</v>
      </c>
      <c r="M772" s="43">
        <v>10073.69</v>
      </c>
      <c r="N772" s="45" t="s">
        <v>666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35">
        <v>45918.506574074076</v>
      </c>
      <c r="B773" s="36">
        <v>444103532</v>
      </c>
      <c r="C773" s="37" t="s">
        <v>36</v>
      </c>
      <c r="D773" s="37" t="s">
        <v>39</v>
      </c>
      <c r="E773" s="37" t="s">
        <v>47</v>
      </c>
      <c r="F773" s="37" t="s">
        <v>38</v>
      </c>
      <c r="G773" s="38">
        <v>3667.99</v>
      </c>
      <c r="H773" s="36">
        <v>443317323</v>
      </c>
      <c r="I773" s="39">
        <v>0</v>
      </c>
      <c r="J773" s="38">
        <v>0</v>
      </c>
      <c r="K773" s="38">
        <v>0</v>
      </c>
      <c r="L773" s="38">
        <v>1.43</v>
      </c>
      <c r="M773" s="38">
        <v>10075.120000000001</v>
      </c>
      <c r="N773" s="46" t="s">
        <v>666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40">
        <v>45918.506585648145</v>
      </c>
      <c r="B774" s="41">
        <v>444103536</v>
      </c>
      <c r="C774" s="42" t="s">
        <v>36</v>
      </c>
      <c r="D774" s="42" t="s">
        <v>39</v>
      </c>
      <c r="E774" s="42" t="s">
        <v>47</v>
      </c>
      <c r="F774" s="42" t="s">
        <v>38</v>
      </c>
      <c r="G774" s="43">
        <v>3668.04</v>
      </c>
      <c r="H774" s="41">
        <v>443317327</v>
      </c>
      <c r="I774" s="44">
        <v>0</v>
      </c>
      <c r="J774" s="43">
        <v>0</v>
      </c>
      <c r="K774" s="43">
        <v>0</v>
      </c>
      <c r="L774" s="43">
        <v>1.59</v>
      </c>
      <c r="M774" s="43">
        <v>10076.709999999999</v>
      </c>
      <c r="N774" s="45" t="s">
        <v>667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35">
        <v>45918.508414351854</v>
      </c>
      <c r="B775" s="36">
        <v>444104576</v>
      </c>
      <c r="C775" s="37" t="s">
        <v>36</v>
      </c>
      <c r="D775" s="37" t="s">
        <v>39</v>
      </c>
      <c r="E775" s="37" t="s">
        <v>47</v>
      </c>
      <c r="F775" s="37" t="s">
        <v>38</v>
      </c>
      <c r="G775" s="38">
        <v>3669.14</v>
      </c>
      <c r="H775" s="36">
        <v>443318345</v>
      </c>
      <c r="I775" s="39">
        <v>0</v>
      </c>
      <c r="J775" s="38">
        <v>0</v>
      </c>
      <c r="K775" s="38">
        <v>0</v>
      </c>
      <c r="L775" s="38">
        <v>2.94</v>
      </c>
      <c r="M775" s="38">
        <v>10079.65</v>
      </c>
      <c r="N775" s="46" t="s">
        <v>668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40">
        <v>45918.508425925924</v>
      </c>
      <c r="B776" s="41">
        <v>444104592</v>
      </c>
      <c r="C776" s="42" t="s">
        <v>36</v>
      </c>
      <c r="D776" s="42" t="s">
        <v>39</v>
      </c>
      <c r="E776" s="42" t="s">
        <v>47</v>
      </c>
      <c r="F776" s="42" t="s">
        <v>38</v>
      </c>
      <c r="G776" s="43">
        <v>3669.21</v>
      </c>
      <c r="H776" s="41">
        <v>443318361</v>
      </c>
      <c r="I776" s="44">
        <v>0</v>
      </c>
      <c r="J776" s="43">
        <v>0</v>
      </c>
      <c r="K776" s="43">
        <v>0</v>
      </c>
      <c r="L776" s="43">
        <v>3</v>
      </c>
      <c r="M776" s="43">
        <v>10082.65</v>
      </c>
      <c r="N776" s="45" t="s">
        <v>669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35">
        <v>45918.509687500002</v>
      </c>
      <c r="B777" s="36">
        <v>444105081</v>
      </c>
      <c r="C777" s="37" t="s">
        <v>36</v>
      </c>
      <c r="D777" s="37" t="s">
        <v>37</v>
      </c>
      <c r="E777" s="37" t="s">
        <v>46</v>
      </c>
      <c r="F777" s="37" t="s">
        <v>38</v>
      </c>
      <c r="G777" s="38">
        <v>3668.14</v>
      </c>
      <c r="H777" s="36">
        <v>443318833</v>
      </c>
      <c r="I777" s="39">
        <v>0</v>
      </c>
      <c r="J777" s="38">
        <v>0</v>
      </c>
      <c r="K777" s="38">
        <v>0</v>
      </c>
      <c r="L777" s="38">
        <v>0</v>
      </c>
      <c r="M777" s="38">
        <v>10082.65</v>
      </c>
      <c r="N777" s="46" t="s">
        <v>647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40">
        <v>45918.509699074071</v>
      </c>
      <c r="B778" s="41">
        <v>444105082</v>
      </c>
      <c r="C778" s="42" t="s">
        <v>36</v>
      </c>
      <c r="D778" s="42" t="s">
        <v>37</v>
      </c>
      <c r="E778" s="42" t="s">
        <v>46</v>
      </c>
      <c r="F778" s="42" t="s">
        <v>38</v>
      </c>
      <c r="G778" s="43">
        <v>3668.14</v>
      </c>
      <c r="H778" s="41">
        <v>443318834</v>
      </c>
      <c r="I778" s="44">
        <v>0</v>
      </c>
      <c r="J778" s="43">
        <v>0</v>
      </c>
      <c r="K778" s="43">
        <v>0</v>
      </c>
      <c r="L778" s="43">
        <v>0</v>
      </c>
      <c r="M778" s="43">
        <v>10082.65</v>
      </c>
      <c r="N778" s="45" t="s">
        <v>48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35">
        <v>45918.509699074071</v>
      </c>
      <c r="B779" s="36">
        <v>444105083</v>
      </c>
      <c r="C779" s="37" t="s">
        <v>36</v>
      </c>
      <c r="D779" s="37" t="s">
        <v>37</v>
      </c>
      <c r="E779" s="37" t="s">
        <v>46</v>
      </c>
      <c r="F779" s="37" t="s">
        <v>38</v>
      </c>
      <c r="G779" s="38">
        <v>3668.14</v>
      </c>
      <c r="H779" s="36">
        <v>443318835</v>
      </c>
      <c r="I779" s="39">
        <v>0</v>
      </c>
      <c r="J779" s="38">
        <v>0</v>
      </c>
      <c r="K779" s="38">
        <v>0</v>
      </c>
      <c r="L779" s="38">
        <v>0</v>
      </c>
      <c r="M779" s="38">
        <v>10082.65</v>
      </c>
      <c r="N779" s="46" t="s">
        <v>653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40">
        <v>45918.509699074071</v>
      </c>
      <c r="B780" s="41">
        <v>444105085</v>
      </c>
      <c r="C780" s="42" t="s">
        <v>36</v>
      </c>
      <c r="D780" s="42" t="s">
        <v>37</v>
      </c>
      <c r="E780" s="42" t="s">
        <v>46</v>
      </c>
      <c r="F780" s="42" t="s">
        <v>38</v>
      </c>
      <c r="G780" s="43">
        <v>3668.14</v>
      </c>
      <c r="H780" s="41">
        <v>443318836</v>
      </c>
      <c r="I780" s="44">
        <v>0</v>
      </c>
      <c r="J780" s="43">
        <v>0</v>
      </c>
      <c r="K780" s="43">
        <v>0</v>
      </c>
      <c r="L780" s="43">
        <v>0</v>
      </c>
      <c r="M780" s="43">
        <v>10082.65</v>
      </c>
      <c r="N780" s="45" t="s">
        <v>49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35">
        <v>45918.509699074071</v>
      </c>
      <c r="B781" s="36">
        <v>444105086</v>
      </c>
      <c r="C781" s="37" t="s">
        <v>36</v>
      </c>
      <c r="D781" s="37" t="s">
        <v>37</v>
      </c>
      <c r="E781" s="37" t="s">
        <v>46</v>
      </c>
      <c r="F781" s="37" t="s">
        <v>38</v>
      </c>
      <c r="G781" s="38">
        <v>3668.14</v>
      </c>
      <c r="H781" s="36">
        <v>443318837</v>
      </c>
      <c r="I781" s="39">
        <v>0</v>
      </c>
      <c r="J781" s="38">
        <v>0</v>
      </c>
      <c r="K781" s="38">
        <v>0</v>
      </c>
      <c r="L781" s="38">
        <v>0</v>
      </c>
      <c r="M781" s="38">
        <v>10082.65</v>
      </c>
      <c r="N781" s="46" t="s">
        <v>150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40">
        <v>45918.510196759256</v>
      </c>
      <c r="B782" s="41">
        <v>444105557</v>
      </c>
      <c r="C782" s="42" t="s">
        <v>36</v>
      </c>
      <c r="D782" s="42" t="s">
        <v>39</v>
      </c>
      <c r="E782" s="42" t="s">
        <v>47</v>
      </c>
      <c r="F782" s="42" t="s">
        <v>38</v>
      </c>
      <c r="G782" s="43">
        <v>3667.29</v>
      </c>
      <c r="H782" s="41">
        <v>443319306</v>
      </c>
      <c r="I782" s="44">
        <v>0</v>
      </c>
      <c r="J782" s="43">
        <v>0</v>
      </c>
      <c r="K782" s="43">
        <v>0</v>
      </c>
      <c r="L782" s="43">
        <v>0.75</v>
      </c>
      <c r="M782" s="43">
        <v>10083.4</v>
      </c>
      <c r="N782" s="45" t="s">
        <v>670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35">
        <v>45918.510266203702</v>
      </c>
      <c r="B783" s="36">
        <v>444105610</v>
      </c>
      <c r="C783" s="37" t="s">
        <v>36</v>
      </c>
      <c r="D783" s="37" t="s">
        <v>37</v>
      </c>
      <c r="E783" s="37" t="s">
        <v>46</v>
      </c>
      <c r="F783" s="37" t="s">
        <v>38</v>
      </c>
      <c r="G783" s="38">
        <v>3667.23</v>
      </c>
      <c r="H783" s="36">
        <v>443319361</v>
      </c>
      <c r="I783" s="39">
        <v>0</v>
      </c>
      <c r="J783" s="38">
        <v>0</v>
      </c>
      <c r="K783" s="38">
        <v>0</v>
      </c>
      <c r="L783" s="38">
        <v>0</v>
      </c>
      <c r="M783" s="38">
        <v>10083.4</v>
      </c>
      <c r="N783" s="46" t="s">
        <v>395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40">
        <v>45918.510277777779</v>
      </c>
      <c r="B784" s="41">
        <v>444105613</v>
      </c>
      <c r="C784" s="42" t="s">
        <v>36</v>
      </c>
      <c r="D784" s="42" t="s">
        <v>37</v>
      </c>
      <c r="E784" s="42" t="s">
        <v>46</v>
      </c>
      <c r="F784" s="42" t="s">
        <v>38</v>
      </c>
      <c r="G784" s="43">
        <v>3667.21</v>
      </c>
      <c r="H784" s="41">
        <v>443319364</v>
      </c>
      <c r="I784" s="44">
        <v>0</v>
      </c>
      <c r="J784" s="43">
        <v>0</v>
      </c>
      <c r="K784" s="43">
        <v>0</v>
      </c>
      <c r="L784" s="43">
        <v>0</v>
      </c>
      <c r="M784" s="43">
        <v>10083.4</v>
      </c>
      <c r="N784" s="45" t="s">
        <v>616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35">
        <v>45918.510277777779</v>
      </c>
      <c r="B785" s="36">
        <v>444105616</v>
      </c>
      <c r="C785" s="37" t="s">
        <v>36</v>
      </c>
      <c r="D785" s="37" t="s">
        <v>37</v>
      </c>
      <c r="E785" s="37" t="s">
        <v>46</v>
      </c>
      <c r="F785" s="37" t="s">
        <v>38</v>
      </c>
      <c r="G785" s="38">
        <v>3667.21</v>
      </c>
      <c r="H785" s="36">
        <v>443319367</v>
      </c>
      <c r="I785" s="39">
        <v>0</v>
      </c>
      <c r="J785" s="38">
        <v>0</v>
      </c>
      <c r="K785" s="38">
        <v>0</v>
      </c>
      <c r="L785" s="38">
        <v>0</v>
      </c>
      <c r="M785" s="38">
        <v>10083.4</v>
      </c>
      <c r="N785" s="46" t="s">
        <v>268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40">
        <v>45918.510381944441</v>
      </c>
      <c r="B786" s="41">
        <v>444105737</v>
      </c>
      <c r="C786" s="42" t="s">
        <v>36</v>
      </c>
      <c r="D786" s="42" t="s">
        <v>37</v>
      </c>
      <c r="E786" s="42" t="s">
        <v>46</v>
      </c>
      <c r="F786" s="42" t="s">
        <v>38</v>
      </c>
      <c r="G786" s="43">
        <v>3667.73</v>
      </c>
      <c r="H786" s="41">
        <v>443319488</v>
      </c>
      <c r="I786" s="44">
        <v>0</v>
      </c>
      <c r="J786" s="43">
        <v>0</v>
      </c>
      <c r="K786" s="43">
        <v>0</v>
      </c>
      <c r="L786" s="43">
        <v>0</v>
      </c>
      <c r="M786" s="43">
        <v>10083.4</v>
      </c>
      <c r="N786" s="45" t="s">
        <v>53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35">
        <v>45918.511238425926</v>
      </c>
      <c r="B787" s="36">
        <v>444105986</v>
      </c>
      <c r="C787" s="37" t="s">
        <v>36</v>
      </c>
      <c r="D787" s="37" t="s">
        <v>39</v>
      </c>
      <c r="E787" s="37" t="s">
        <v>47</v>
      </c>
      <c r="F787" s="37" t="s">
        <v>38</v>
      </c>
      <c r="G787" s="38">
        <v>3666.61</v>
      </c>
      <c r="H787" s="36">
        <v>443319728</v>
      </c>
      <c r="I787" s="39">
        <v>0</v>
      </c>
      <c r="J787" s="38">
        <v>0</v>
      </c>
      <c r="K787" s="38">
        <v>0</v>
      </c>
      <c r="L787" s="38">
        <v>-1.53</v>
      </c>
      <c r="M787" s="38">
        <v>10081.870000000001</v>
      </c>
      <c r="N787" s="46" t="s">
        <v>671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40">
        <v>45918.515370370369</v>
      </c>
      <c r="B788" s="41">
        <v>444107846</v>
      </c>
      <c r="C788" s="42" t="s">
        <v>36</v>
      </c>
      <c r="D788" s="42" t="s">
        <v>39</v>
      </c>
      <c r="E788" s="42" t="s">
        <v>47</v>
      </c>
      <c r="F788" s="42" t="s">
        <v>38</v>
      </c>
      <c r="G788" s="43">
        <v>3669.65</v>
      </c>
      <c r="H788" s="41">
        <v>443321544</v>
      </c>
      <c r="I788" s="44">
        <v>0</v>
      </c>
      <c r="J788" s="43">
        <v>0</v>
      </c>
      <c r="K788" s="43">
        <v>0</v>
      </c>
      <c r="L788" s="43">
        <v>1.51</v>
      </c>
      <c r="M788" s="43">
        <v>10083.379999999999</v>
      </c>
      <c r="N788" s="45" t="s">
        <v>672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35">
        <v>45918.515370370369</v>
      </c>
      <c r="B789" s="36">
        <v>444107847</v>
      </c>
      <c r="C789" s="37" t="s">
        <v>36</v>
      </c>
      <c r="D789" s="37" t="s">
        <v>39</v>
      </c>
      <c r="E789" s="37" t="s">
        <v>47</v>
      </c>
      <c r="F789" s="37" t="s">
        <v>38</v>
      </c>
      <c r="G789" s="38">
        <v>3669.65</v>
      </c>
      <c r="H789" s="36">
        <v>443321545</v>
      </c>
      <c r="I789" s="39">
        <v>0</v>
      </c>
      <c r="J789" s="38">
        <v>0</v>
      </c>
      <c r="K789" s="38">
        <v>0</v>
      </c>
      <c r="L789" s="38">
        <v>1.51</v>
      </c>
      <c r="M789" s="38">
        <v>10084.89</v>
      </c>
      <c r="N789" s="46" t="s">
        <v>672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40">
        <v>45918.515590277777</v>
      </c>
      <c r="B790" s="41">
        <v>444108311</v>
      </c>
      <c r="C790" s="42" t="s">
        <v>36</v>
      </c>
      <c r="D790" s="42" t="s">
        <v>39</v>
      </c>
      <c r="E790" s="42" t="s">
        <v>47</v>
      </c>
      <c r="F790" s="42" t="s">
        <v>38</v>
      </c>
      <c r="G790" s="43">
        <v>3670.67</v>
      </c>
      <c r="H790" s="41">
        <v>443322000</v>
      </c>
      <c r="I790" s="44">
        <v>0</v>
      </c>
      <c r="J790" s="43">
        <v>0</v>
      </c>
      <c r="K790" s="43">
        <v>0</v>
      </c>
      <c r="L790" s="43">
        <v>3.44</v>
      </c>
      <c r="M790" s="43">
        <v>10088.33</v>
      </c>
      <c r="N790" s="45" t="s">
        <v>673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35">
        <v>45918.515590277777</v>
      </c>
      <c r="B791" s="36">
        <v>444108365</v>
      </c>
      <c r="C791" s="37" t="s">
        <v>36</v>
      </c>
      <c r="D791" s="37" t="s">
        <v>39</v>
      </c>
      <c r="E791" s="37" t="s">
        <v>47</v>
      </c>
      <c r="F791" s="37" t="s">
        <v>38</v>
      </c>
      <c r="G791" s="38">
        <v>3670.76</v>
      </c>
      <c r="H791" s="36">
        <v>443322050</v>
      </c>
      <c r="I791" s="39">
        <v>0</v>
      </c>
      <c r="J791" s="38">
        <v>0</v>
      </c>
      <c r="K791" s="38">
        <v>0</v>
      </c>
      <c r="L791" s="38">
        <v>3.55</v>
      </c>
      <c r="M791" s="38">
        <v>10091.879999999999</v>
      </c>
      <c r="N791" s="46" t="s">
        <v>674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40">
        <v>45918.515590277777</v>
      </c>
      <c r="B792" s="41">
        <v>444108366</v>
      </c>
      <c r="C792" s="42" t="s">
        <v>36</v>
      </c>
      <c r="D792" s="42" t="s">
        <v>39</v>
      </c>
      <c r="E792" s="42" t="s">
        <v>47</v>
      </c>
      <c r="F792" s="42" t="s">
        <v>38</v>
      </c>
      <c r="G792" s="43">
        <v>3670.76</v>
      </c>
      <c r="H792" s="41">
        <v>443322051</v>
      </c>
      <c r="I792" s="44">
        <v>0</v>
      </c>
      <c r="J792" s="43">
        <v>0</v>
      </c>
      <c r="K792" s="43">
        <v>0</v>
      </c>
      <c r="L792" s="43">
        <v>3.55</v>
      </c>
      <c r="M792" s="43">
        <v>10095.43</v>
      </c>
      <c r="N792" s="45" t="s">
        <v>674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35">
        <v>45918.516018518516</v>
      </c>
      <c r="B793" s="36">
        <v>444108700</v>
      </c>
      <c r="C793" s="37" t="s">
        <v>36</v>
      </c>
      <c r="D793" s="37" t="s">
        <v>39</v>
      </c>
      <c r="E793" s="37" t="s">
        <v>47</v>
      </c>
      <c r="F793" s="37" t="s">
        <v>38</v>
      </c>
      <c r="G793" s="38">
        <v>3671.14</v>
      </c>
      <c r="H793" s="36">
        <v>443322379</v>
      </c>
      <c r="I793" s="39">
        <v>0</v>
      </c>
      <c r="J793" s="38">
        <v>0</v>
      </c>
      <c r="K793" s="38">
        <v>0</v>
      </c>
      <c r="L793" s="38">
        <v>3</v>
      </c>
      <c r="M793" s="38">
        <v>10098.43</v>
      </c>
      <c r="N793" s="46" t="s">
        <v>675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40">
        <v>45918.516018518516</v>
      </c>
      <c r="B794" s="41">
        <v>444108701</v>
      </c>
      <c r="C794" s="42" t="s">
        <v>36</v>
      </c>
      <c r="D794" s="42" t="s">
        <v>39</v>
      </c>
      <c r="E794" s="42" t="s">
        <v>47</v>
      </c>
      <c r="F794" s="42" t="s">
        <v>38</v>
      </c>
      <c r="G794" s="43">
        <v>3671.14</v>
      </c>
      <c r="H794" s="41">
        <v>443322380</v>
      </c>
      <c r="I794" s="44">
        <v>0</v>
      </c>
      <c r="J794" s="43">
        <v>0</v>
      </c>
      <c r="K794" s="43">
        <v>0</v>
      </c>
      <c r="L794" s="43">
        <v>3</v>
      </c>
      <c r="M794" s="43">
        <v>10101.43</v>
      </c>
      <c r="N794" s="45" t="s">
        <v>675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35">
        <v>45918.516053240739</v>
      </c>
      <c r="B795" s="36">
        <v>444108732</v>
      </c>
      <c r="C795" s="37" t="s">
        <v>36</v>
      </c>
      <c r="D795" s="37" t="s">
        <v>39</v>
      </c>
      <c r="E795" s="37" t="s">
        <v>47</v>
      </c>
      <c r="F795" s="37" t="s">
        <v>38</v>
      </c>
      <c r="G795" s="38">
        <v>3671.26</v>
      </c>
      <c r="H795" s="36">
        <v>443322411</v>
      </c>
      <c r="I795" s="39">
        <v>0</v>
      </c>
      <c r="J795" s="38">
        <v>0</v>
      </c>
      <c r="K795" s="38">
        <v>0</v>
      </c>
      <c r="L795" s="38">
        <v>3.53</v>
      </c>
      <c r="M795" s="38">
        <v>10104.959999999999</v>
      </c>
      <c r="N795" s="46" t="s">
        <v>676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40">
        <v>45918.520451388889</v>
      </c>
      <c r="B796" s="41">
        <v>444110613</v>
      </c>
      <c r="C796" s="42" t="s">
        <v>36</v>
      </c>
      <c r="D796" s="42" t="s">
        <v>37</v>
      </c>
      <c r="E796" s="42" t="s">
        <v>46</v>
      </c>
      <c r="F796" s="42" t="s">
        <v>38</v>
      </c>
      <c r="G796" s="43">
        <v>3671.48</v>
      </c>
      <c r="H796" s="41">
        <v>443324265</v>
      </c>
      <c r="I796" s="44">
        <v>0</v>
      </c>
      <c r="J796" s="43">
        <v>0</v>
      </c>
      <c r="K796" s="43">
        <v>0</v>
      </c>
      <c r="L796" s="43">
        <v>0</v>
      </c>
      <c r="M796" s="43">
        <v>10104.959999999999</v>
      </c>
      <c r="N796" s="45" t="s">
        <v>48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35">
        <v>45918.520462962966</v>
      </c>
      <c r="B797" s="36">
        <v>444110614</v>
      </c>
      <c r="C797" s="37" t="s">
        <v>36</v>
      </c>
      <c r="D797" s="37" t="s">
        <v>37</v>
      </c>
      <c r="E797" s="37" t="s">
        <v>46</v>
      </c>
      <c r="F797" s="37" t="s">
        <v>38</v>
      </c>
      <c r="G797" s="38">
        <v>3671.48</v>
      </c>
      <c r="H797" s="36">
        <v>443324267</v>
      </c>
      <c r="I797" s="39">
        <v>0</v>
      </c>
      <c r="J797" s="38">
        <v>0</v>
      </c>
      <c r="K797" s="38">
        <v>0</v>
      </c>
      <c r="L797" s="38">
        <v>0</v>
      </c>
      <c r="M797" s="38">
        <v>10104.959999999999</v>
      </c>
      <c r="N797" s="46" t="s">
        <v>150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40">
        <v>45918.520462962966</v>
      </c>
      <c r="B798" s="41">
        <v>444110616</v>
      </c>
      <c r="C798" s="42" t="s">
        <v>36</v>
      </c>
      <c r="D798" s="42" t="s">
        <v>37</v>
      </c>
      <c r="E798" s="42" t="s">
        <v>46</v>
      </c>
      <c r="F798" s="42" t="s">
        <v>38</v>
      </c>
      <c r="G798" s="43">
        <v>3671.48</v>
      </c>
      <c r="H798" s="41">
        <v>443324268</v>
      </c>
      <c r="I798" s="44">
        <v>0</v>
      </c>
      <c r="J798" s="43">
        <v>0</v>
      </c>
      <c r="K798" s="43">
        <v>0</v>
      </c>
      <c r="L798" s="43">
        <v>0</v>
      </c>
      <c r="M798" s="43">
        <v>10104.959999999999</v>
      </c>
      <c r="N798" s="45" t="s">
        <v>647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35">
        <v>45918.520462962966</v>
      </c>
      <c r="B799" s="36">
        <v>444110617</v>
      </c>
      <c r="C799" s="37" t="s">
        <v>36</v>
      </c>
      <c r="D799" s="37" t="s">
        <v>37</v>
      </c>
      <c r="E799" s="37" t="s">
        <v>46</v>
      </c>
      <c r="F799" s="37" t="s">
        <v>38</v>
      </c>
      <c r="G799" s="38">
        <v>3671.48</v>
      </c>
      <c r="H799" s="36">
        <v>443324269</v>
      </c>
      <c r="I799" s="39">
        <v>0</v>
      </c>
      <c r="J799" s="38">
        <v>0</v>
      </c>
      <c r="K799" s="38">
        <v>0</v>
      </c>
      <c r="L799" s="38">
        <v>0</v>
      </c>
      <c r="M799" s="38">
        <v>10104.959999999999</v>
      </c>
      <c r="N799" s="46" t="s">
        <v>653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40">
        <v>45918.520462962966</v>
      </c>
      <c r="B800" s="41">
        <v>444110618</v>
      </c>
      <c r="C800" s="42" t="s">
        <v>36</v>
      </c>
      <c r="D800" s="42" t="s">
        <v>37</v>
      </c>
      <c r="E800" s="42" t="s">
        <v>46</v>
      </c>
      <c r="F800" s="42" t="s">
        <v>38</v>
      </c>
      <c r="G800" s="43">
        <v>3671.48</v>
      </c>
      <c r="H800" s="41">
        <v>443324270</v>
      </c>
      <c r="I800" s="44">
        <v>0</v>
      </c>
      <c r="J800" s="43">
        <v>0</v>
      </c>
      <c r="K800" s="43">
        <v>0</v>
      </c>
      <c r="L800" s="43">
        <v>0</v>
      </c>
      <c r="M800" s="43">
        <v>10104.959999999999</v>
      </c>
      <c r="N800" s="45" t="s">
        <v>53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35">
        <v>45918.520474537036</v>
      </c>
      <c r="B801" s="36">
        <v>444110620</v>
      </c>
      <c r="C801" s="37" t="s">
        <v>36</v>
      </c>
      <c r="D801" s="37" t="s">
        <v>37</v>
      </c>
      <c r="E801" s="37" t="s">
        <v>46</v>
      </c>
      <c r="F801" s="37" t="s">
        <v>38</v>
      </c>
      <c r="G801" s="38">
        <v>3671.48</v>
      </c>
      <c r="H801" s="36">
        <v>443324272</v>
      </c>
      <c r="I801" s="39">
        <v>0</v>
      </c>
      <c r="J801" s="38">
        <v>0</v>
      </c>
      <c r="K801" s="38">
        <v>0</v>
      </c>
      <c r="L801" s="38">
        <v>0</v>
      </c>
      <c r="M801" s="38">
        <v>10104.959999999999</v>
      </c>
      <c r="N801" s="46" t="s">
        <v>49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40">
        <v>45918.522858796299</v>
      </c>
      <c r="B802" s="41">
        <v>444111620</v>
      </c>
      <c r="C802" s="42" t="s">
        <v>36</v>
      </c>
      <c r="D802" s="42" t="s">
        <v>39</v>
      </c>
      <c r="E802" s="42" t="s">
        <v>47</v>
      </c>
      <c r="F802" s="42" t="s">
        <v>38</v>
      </c>
      <c r="G802" s="43">
        <v>3671.25</v>
      </c>
      <c r="H802" s="41">
        <v>443325255</v>
      </c>
      <c r="I802" s="44">
        <v>0</v>
      </c>
      <c r="J802" s="43">
        <v>0</v>
      </c>
      <c r="K802" s="43">
        <v>0</v>
      </c>
      <c r="L802" s="43">
        <v>-0.23</v>
      </c>
      <c r="M802" s="43">
        <v>10104.73</v>
      </c>
      <c r="N802" s="45" t="s">
        <v>677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35">
        <v>45918.522858796299</v>
      </c>
      <c r="B803" s="36">
        <v>444111621</v>
      </c>
      <c r="C803" s="37" t="s">
        <v>36</v>
      </c>
      <c r="D803" s="37" t="s">
        <v>39</v>
      </c>
      <c r="E803" s="37" t="s">
        <v>47</v>
      </c>
      <c r="F803" s="37" t="s">
        <v>38</v>
      </c>
      <c r="G803" s="38">
        <v>3671.25</v>
      </c>
      <c r="H803" s="36">
        <v>443325256</v>
      </c>
      <c r="I803" s="39">
        <v>0</v>
      </c>
      <c r="J803" s="38">
        <v>0</v>
      </c>
      <c r="K803" s="38">
        <v>0</v>
      </c>
      <c r="L803" s="38">
        <v>-0.23</v>
      </c>
      <c r="M803" s="38">
        <v>10104.5</v>
      </c>
      <c r="N803" s="46" t="s">
        <v>677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40">
        <v>45918.523113425923</v>
      </c>
      <c r="B804" s="41">
        <v>444111740</v>
      </c>
      <c r="C804" s="42" t="s">
        <v>36</v>
      </c>
      <c r="D804" s="42" t="s">
        <v>37</v>
      </c>
      <c r="E804" s="42" t="s">
        <v>46</v>
      </c>
      <c r="F804" s="42" t="s">
        <v>38</v>
      </c>
      <c r="G804" s="43">
        <v>3671.11</v>
      </c>
      <c r="H804" s="41">
        <v>443325377</v>
      </c>
      <c r="I804" s="44">
        <v>0</v>
      </c>
      <c r="J804" s="43">
        <v>0</v>
      </c>
      <c r="K804" s="43">
        <v>0</v>
      </c>
      <c r="L804" s="43">
        <v>0</v>
      </c>
      <c r="M804" s="43">
        <v>10104.5</v>
      </c>
      <c r="N804" s="45" t="s">
        <v>268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35">
        <v>45918.523125</v>
      </c>
      <c r="B805" s="36">
        <v>444111741</v>
      </c>
      <c r="C805" s="37" t="s">
        <v>36</v>
      </c>
      <c r="D805" s="37" t="s">
        <v>37</v>
      </c>
      <c r="E805" s="37" t="s">
        <v>46</v>
      </c>
      <c r="F805" s="37" t="s">
        <v>38</v>
      </c>
      <c r="G805" s="38">
        <v>3671.11</v>
      </c>
      <c r="H805" s="36">
        <v>443325378</v>
      </c>
      <c r="I805" s="39">
        <v>0</v>
      </c>
      <c r="J805" s="38">
        <v>0</v>
      </c>
      <c r="K805" s="38">
        <v>0</v>
      </c>
      <c r="L805" s="38">
        <v>0</v>
      </c>
      <c r="M805" s="38">
        <v>10104.5</v>
      </c>
      <c r="N805" s="46" t="s">
        <v>395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40">
        <v>45918.523125</v>
      </c>
      <c r="B806" s="41">
        <v>444111743</v>
      </c>
      <c r="C806" s="42" t="s">
        <v>36</v>
      </c>
      <c r="D806" s="42" t="s">
        <v>37</v>
      </c>
      <c r="E806" s="42" t="s">
        <v>46</v>
      </c>
      <c r="F806" s="42" t="s">
        <v>38</v>
      </c>
      <c r="G806" s="43">
        <v>3671.11</v>
      </c>
      <c r="H806" s="41">
        <v>443325380</v>
      </c>
      <c r="I806" s="44">
        <v>0</v>
      </c>
      <c r="J806" s="43">
        <v>0</v>
      </c>
      <c r="K806" s="43">
        <v>0</v>
      </c>
      <c r="L806" s="43">
        <v>0</v>
      </c>
      <c r="M806" s="43">
        <v>10104.5</v>
      </c>
      <c r="N806" s="45" t="s">
        <v>616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35">
        <v>45918.523692129631</v>
      </c>
      <c r="B807" s="36">
        <v>444111947</v>
      </c>
      <c r="C807" s="37" t="s">
        <v>36</v>
      </c>
      <c r="D807" s="37" t="s">
        <v>37</v>
      </c>
      <c r="E807" s="37" t="s">
        <v>46</v>
      </c>
      <c r="F807" s="37" t="s">
        <v>38</v>
      </c>
      <c r="G807" s="38">
        <v>3671.52</v>
      </c>
      <c r="H807" s="36">
        <v>443325590</v>
      </c>
      <c r="I807" s="39">
        <v>0</v>
      </c>
      <c r="J807" s="38">
        <v>0</v>
      </c>
      <c r="K807" s="38">
        <v>0</v>
      </c>
      <c r="L807" s="38">
        <v>0</v>
      </c>
      <c r="M807" s="38">
        <v>10104.5</v>
      </c>
      <c r="N807" s="46" t="s">
        <v>48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40">
        <v>45918.5237037037</v>
      </c>
      <c r="B808" s="41">
        <v>444111949</v>
      </c>
      <c r="C808" s="42" t="s">
        <v>36</v>
      </c>
      <c r="D808" s="42" t="s">
        <v>37</v>
      </c>
      <c r="E808" s="42" t="s">
        <v>46</v>
      </c>
      <c r="F808" s="42" t="s">
        <v>38</v>
      </c>
      <c r="G808" s="43">
        <v>3671.52</v>
      </c>
      <c r="H808" s="41">
        <v>443325592</v>
      </c>
      <c r="I808" s="44">
        <v>0</v>
      </c>
      <c r="J808" s="43">
        <v>0</v>
      </c>
      <c r="K808" s="43">
        <v>0</v>
      </c>
      <c r="L808" s="43">
        <v>0</v>
      </c>
      <c r="M808" s="43">
        <v>10104.5</v>
      </c>
      <c r="N808" s="45" t="s">
        <v>53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35">
        <v>45918.52888888889</v>
      </c>
      <c r="B809" s="36">
        <v>444113661</v>
      </c>
      <c r="C809" s="37" t="s">
        <v>36</v>
      </c>
      <c r="D809" s="37" t="s">
        <v>39</v>
      </c>
      <c r="E809" s="37" t="s">
        <v>47</v>
      </c>
      <c r="F809" s="37" t="s">
        <v>38</v>
      </c>
      <c r="G809" s="38">
        <v>3669.95</v>
      </c>
      <c r="H809" s="36">
        <v>443327237</v>
      </c>
      <c r="I809" s="39">
        <v>0</v>
      </c>
      <c r="J809" s="38">
        <v>0</v>
      </c>
      <c r="K809" s="38">
        <v>0</v>
      </c>
      <c r="L809" s="38">
        <v>-1.53</v>
      </c>
      <c r="M809" s="38">
        <v>10102.969999999999</v>
      </c>
      <c r="N809" s="46" t="s">
        <v>678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40">
        <v>45918.544641203705</v>
      </c>
      <c r="B810" s="41">
        <v>444119546</v>
      </c>
      <c r="C810" s="42" t="s">
        <v>36</v>
      </c>
      <c r="D810" s="42" t="s">
        <v>37</v>
      </c>
      <c r="E810" s="42" t="s">
        <v>46</v>
      </c>
      <c r="F810" s="42" t="s">
        <v>38</v>
      </c>
      <c r="G810" s="43">
        <v>3672.19</v>
      </c>
      <c r="H810" s="41">
        <v>443333033</v>
      </c>
      <c r="I810" s="44">
        <v>0</v>
      </c>
      <c r="J810" s="43">
        <v>0</v>
      </c>
      <c r="K810" s="43">
        <v>0</v>
      </c>
      <c r="L810" s="43">
        <v>0</v>
      </c>
      <c r="M810" s="43">
        <v>10102.969999999999</v>
      </c>
      <c r="N810" s="45" t="s">
        <v>653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35">
        <v>45918.546631944446</v>
      </c>
      <c r="B811" s="36">
        <v>444119899</v>
      </c>
      <c r="C811" s="37" t="s">
        <v>36</v>
      </c>
      <c r="D811" s="37" t="s">
        <v>39</v>
      </c>
      <c r="E811" s="37" t="s">
        <v>47</v>
      </c>
      <c r="F811" s="37" t="s">
        <v>38</v>
      </c>
      <c r="G811" s="38">
        <v>3670.63</v>
      </c>
      <c r="H811" s="36">
        <v>443333389</v>
      </c>
      <c r="I811" s="39">
        <v>0</v>
      </c>
      <c r="J811" s="38">
        <v>0</v>
      </c>
      <c r="K811" s="38">
        <v>0</v>
      </c>
      <c r="L811" s="38">
        <v>-1.56</v>
      </c>
      <c r="M811" s="38">
        <v>10101.41</v>
      </c>
      <c r="N811" s="46" t="s">
        <v>679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40">
        <v>45918.547893518517</v>
      </c>
      <c r="B812" s="41">
        <v>444120602</v>
      </c>
      <c r="C812" s="42" t="s">
        <v>36</v>
      </c>
      <c r="D812" s="42" t="s">
        <v>39</v>
      </c>
      <c r="E812" s="42" t="s">
        <v>47</v>
      </c>
      <c r="F812" s="42" t="s">
        <v>38</v>
      </c>
      <c r="G812" s="43">
        <v>3668.84</v>
      </c>
      <c r="H812" s="41">
        <v>443334065</v>
      </c>
      <c r="I812" s="44">
        <v>0</v>
      </c>
      <c r="J812" s="43">
        <v>0</v>
      </c>
      <c r="K812" s="43">
        <v>0</v>
      </c>
      <c r="L812" s="43">
        <v>-2.64</v>
      </c>
      <c r="M812" s="43">
        <v>10098.77</v>
      </c>
      <c r="N812" s="45" t="s">
        <v>680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35">
        <v>45918.547974537039</v>
      </c>
      <c r="B813" s="36">
        <v>444120718</v>
      </c>
      <c r="C813" s="37" t="s">
        <v>36</v>
      </c>
      <c r="D813" s="37" t="s">
        <v>39</v>
      </c>
      <c r="E813" s="37" t="s">
        <v>47</v>
      </c>
      <c r="F813" s="37" t="s">
        <v>38</v>
      </c>
      <c r="G813" s="38">
        <v>3668.52</v>
      </c>
      <c r="H813" s="36">
        <v>443334179</v>
      </c>
      <c r="I813" s="39">
        <v>0</v>
      </c>
      <c r="J813" s="38">
        <v>0</v>
      </c>
      <c r="K813" s="38">
        <v>0</v>
      </c>
      <c r="L813" s="38">
        <v>-3</v>
      </c>
      <c r="M813" s="38">
        <v>10095.77</v>
      </c>
      <c r="N813" s="46" t="s">
        <v>681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40">
        <v>45918.547974537039</v>
      </c>
      <c r="B814" s="41">
        <v>444120719</v>
      </c>
      <c r="C814" s="42" t="s">
        <v>36</v>
      </c>
      <c r="D814" s="42" t="s">
        <v>39</v>
      </c>
      <c r="E814" s="42" t="s">
        <v>47</v>
      </c>
      <c r="F814" s="42" t="s">
        <v>38</v>
      </c>
      <c r="G814" s="43">
        <v>3668.52</v>
      </c>
      <c r="H814" s="41">
        <v>443334180</v>
      </c>
      <c r="I814" s="44">
        <v>0</v>
      </c>
      <c r="J814" s="43">
        <v>0</v>
      </c>
      <c r="K814" s="43">
        <v>0</v>
      </c>
      <c r="L814" s="43">
        <v>-3</v>
      </c>
      <c r="M814" s="43">
        <v>10092.77</v>
      </c>
      <c r="N814" s="45" t="s">
        <v>681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35">
        <v>45918.547997685186</v>
      </c>
      <c r="B815" s="36">
        <v>444120748</v>
      </c>
      <c r="C815" s="37" t="s">
        <v>36</v>
      </c>
      <c r="D815" s="37" t="s">
        <v>39</v>
      </c>
      <c r="E815" s="37" t="s">
        <v>47</v>
      </c>
      <c r="F815" s="37" t="s">
        <v>38</v>
      </c>
      <c r="G815" s="38">
        <v>3668.46</v>
      </c>
      <c r="H815" s="36">
        <v>443334209</v>
      </c>
      <c r="I815" s="39">
        <v>0</v>
      </c>
      <c r="J815" s="38">
        <v>0</v>
      </c>
      <c r="K815" s="38">
        <v>0</v>
      </c>
      <c r="L815" s="38">
        <v>-3.02</v>
      </c>
      <c r="M815" s="38">
        <v>10089.75</v>
      </c>
      <c r="N815" s="46" t="s">
        <v>682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40">
        <v>45918.547997685186</v>
      </c>
      <c r="B816" s="41">
        <v>444120749</v>
      </c>
      <c r="C816" s="42" t="s">
        <v>36</v>
      </c>
      <c r="D816" s="42" t="s">
        <v>39</v>
      </c>
      <c r="E816" s="42" t="s">
        <v>47</v>
      </c>
      <c r="F816" s="42" t="s">
        <v>38</v>
      </c>
      <c r="G816" s="43">
        <v>3668.46</v>
      </c>
      <c r="H816" s="41">
        <v>443334210</v>
      </c>
      <c r="I816" s="44">
        <v>0</v>
      </c>
      <c r="J816" s="43">
        <v>0</v>
      </c>
      <c r="K816" s="43">
        <v>0</v>
      </c>
      <c r="L816" s="43">
        <v>-3.02</v>
      </c>
      <c r="M816" s="43">
        <v>10086.73</v>
      </c>
      <c r="N816" s="45" t="s">
        <v>682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35">
        <v>45918.548032407409</v>
      </c>
      <c r="B817" s="36">
        <v>444120791</v>
      </c>
      <c r="C817" s="37" t="s">
        <v>36</v>
      </c>
      <c r="D817" s="37" t="s">
        <v>39</v>
      </c>
      <c r="E817" s="37" t="s">
        <v>47</v>
      </c>
      <c r="F817" s="37" t="s">
        <v>38</v>
      </c>
      <c r="G817" s="38">
        <v>3668.05</v>
      </c>
      <c r="H817" s="36">
        <v>443334250</v>
      </c>
      <c r="I817" s="39">
        <v>0</v>
      </c>
      <c r="J817" s="38">
        <v>0</v>
      </c>
      <c r="K817" s="38">
        <v>0</v>
      </c>
      <c r="L817" s="38">
        <v>-3.06</v>
      </c>
      <c r="M817" s="38">
        <v>10083.67</v>
      </c>
      <c r="N817" s="46" t="s">
        <v>683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40">
        <v>45918.548032407409</v>
      </c>
      <c r="B818" s="41">
        <v>444120792</v>
      </c>
      <c r="C818" s="42" t="s">
        <v>36</v>
      </c>
      <c r="D818" s="42" t="s">
        <v>39</v>
      </c>
      <c r="E818" s="42" t="s">
        <v>47</v>
      </c>
      <c r="F818" s="42" t="s">
        <v>38</v>
      </c>
      <c r="G818" s="43">
        <v>3668.05</v>
      </c>
      <c r="H818" s="41">
        <v>443334253</v>
      </c>
      <c r="I818" s="44">
        <v>0</v>
      </c>
      <c r="J818" s="43">
        <v>0</v>
      </c>
      <c r="K818" s="43">
        <v>0</v>
      </c>
      <c r="L818" s="43">
        <v>-3.06</v>
      </c>
      <c r="M818" s="43">
        <v>10080.61</v>
      </c>
      <c r="N818" s="45" t="s">
        <v>684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35">
        <v>45918.548032407409</v>
      </c>
      <c r="B819" s="36">
        <v>444120793</v>
      </c>
      <c r="C819" s="37" t="s">
        <v>36</v>
      </c>
      <c r="D819" s="37" t="s">
        <v>39</v>
      </c>
      <c r="E819" s="37" t="s">
        <v>47</v>
      </c>
      <c r="F819" s="37" t="s">
        <v>38</v>
      </c>
      <c r="G819" s="38">
        <v>3668.05</v>
      </c>
      <c r="H819" s="36">
        <v>443334254</v>
      </c>
      <c r="I819" s="39">
        <v>0</v>
      </c>
      <c r="J819" s="38">
        <v>0</v>
      </c>
      <c r="K819" s="38">
        <v>0</v>
      </c>
      <c r="L819" s="38">
        <v>-3.06</v>
      </c>
      <c r="M819" s="38">
        <v>10077.549999999999</v>
      </c>
      <c r="N819" s="46" t="s">
        <v>684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40">
        <v>45918.550081018519</v>
      </c>
      <c r="B820" s="41">
        <v>444121786</v>
      </c>
      <c r="C820" s="42" t="s">
        <v>36</v>
      </c>
      <c r="D820" s="42" t="s">
        <v>39</v>
      </c>
      <c r="E820" s="42" t="s">
        <v>46</v>
      </c>
      <c r="F820" s="42" t="s">
        <v>38</v>
      </c>
      <c r="G820" s="43">
        <v>3669.89</v>
      </c>
      <c r="H820" s="41">
        <v>443335228</v>
      </c>
      <c r="I820" s="44">
        <v>0</v>
      </c>
      <c r="J820" s="43">
        <v>0</v>
      </c>
      <c r="K820" s="43">
        <v>0</v>
      </c>
      <c r="L820" s="43">
        <v>0</v>
      </c>
      <c r="M820" s="43">
        <v>10077.549999999999</v>
      </c>
      <c r="N820" s="45" t="s">
        <v>647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35">
        <v>45918.550081018519</v>
      </c>
      <c r="B821" s="36">
        <v>444121788</v>
      </c>
      <c r="C821" s="37" t="s">
        <v>36</v>
      </c>
      <c r="D821" s="37" t="s">
        <v>39</v>
      </c>
      <c r="E821" s="37" t="s">
        <v>46</v>
      </c>
      <c r="F821" s="37" t="s">
        <v>38</v>
      </c>
      <c r="G821" s="38">
        <v>3669.89</v>
      </c>
      <c r="H821" s="36">
        <v>443335230</v>
      </c>
      <c r="I821" s="39">
        <v>0</v>
      </c>
      <c r="J821" s="38">
        <v>0</v>
      </c>
      <c r="K821" s="38">
        <v>0</v>
      </c>
      <c r="L821" s="38">
        <v>0</v>
      </c>
      <c r="M821" s="38">
        <v>10077.549999999999</v>
      </c>
      <c r="N821" s="46" t="s">
        <v>53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40">
        <v>45918.550092592595</v>
      </c>
      <c r="B822" s="41">
        <v>444121790</v>
      </c>
      <c r="C822" s="42" t="s">
        <v>36</v>
      </c>
      <c r="D822" s="42" t="s">
        <v>39</v>
      </c>
      <c r="E822" s="42" t="s">
        <v>46</v>
      </c>
      <c r="F822" s="42" t="s">
        <v>38</v>
      </c>
      <c r="G822" s="43">
        <v>3669.88</v>
      </c>
      <c r="H822" s="41">
        <v>443335232</v>
      </c>
      <c r="I822" s="44">
        <v>0</v>
      </c>
      <c r="J822" s="43">
        <v>0</v>
      </c>
      <c r="K822" s="43">
        <v>0</v>
      </c>
      <c r="L822" s="43">
        <v>0</v>
      </c>
      <c r="M822" s="43">
        <v>10077.549999999999</v>
      </c>
      <c r="N822" s="45" t="s">
        <v>150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35">
        <v>45918.550092592595</v>
      </c>
      <c r="B823" s="36">
        <v>444121792</v>
      </c>
      <c r="C823" s="37" t="s">
        <v>36</v>
      </c>
      <c r="D823" s="37" t="s">
        <v>39</v>
      </c>
      <c r="E823" s="37" t="s">
        <v>46</v>
      </c>
      <c r="F823" s="37" t="s">
        <v>38</v>
      </c>
      <c r="G823" s="38">
        <v>3669.85</v>
      </c>
      <c r="H823" s="36">
        <v>443335234</v>
      </c>
      <c r="I823" s="39">
        <v>0</v>
      </c>
      <c r="J823" s="38">
        <v>0</v>
      </c>
      <c r="K823" s="38">
        <v>0</v>
      </c>
      <c r="L823" s="38">
        <v>0</v>
      </c>
      <c r="M823" s="38">
        <v>10077.549999999999</v>
      </c>
      <c r="N823" s="46" t="s">
        <v>49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40">
        <v>45918.550092592595</v>
      </c>
      <c r="B824" s="41">
        <v>444121793</v>
      </c>
      <c r="C824" s="42" t="s">
        <v>36</v>
      </c>
      <c r="D824" s="42" t="s">
        <v>39</v>
      </c>
      <c r="E824" s="42" t="s">
        <v>46</v>
      </c>
      <c r="F824" s="42" t="s">
        <v>38</v>
      </c>
      <c r="G824" s="43">
        <v>3669.85</v>
      </c>
      <c r="H824" s="41">
        <v>443335235</v>
      </c>
      <c r="I824" s="44">
        <v>0</v>
      </c>
      <c r="J824" s="43">
        <v>0</v>
      </c>
      <c r="K824" s="43">
        <v>0</v>
      </c>
      <c r="L824" s="43">
        <v>0</v>
      </c>
      <c r="M824" s="43">
        <v>10077.549999999999</v>
      </c>
      <c r="N824" s="45" t="s">
        <v>48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35">
        <v>45918.550092592595</v>
      </c>
      <c r="B825" s="36">
        <v>444121796</v>
      </c>
      <c r="C825" s="37" t="s">
        <v>36</v>
      </c>
      <c r="D825" s="37" t="s">
        <v>39</v>
      </c>
      <c r="E825" s="37" t="s">
        <v>46</v>
      </c>
      <c r="F825" s="37" t="s">
        <v>38</v>
      </c>
      <c r="G825" s="38">
        <v>3669.85</v>
      </c>
      <c r="H825" s="36">
        <v>443335238</v>
      </c>
      <c r="I825" s="39">
        <v>0</v>
      </c>
      <c r="J825" s="38">
        <v>0</v>
      </c>
      <c r="K825" s="38">
        <v>0</v>
      </c>
      <c r="L825" s="38">
        <v>0</v>
      </c>
      <c r="M825" s="38">
        <v>10077.549999999999</v>
      </c>
      <c r="N825" s="46" t="s">
        <v>653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40">
        <v>45918.551168981481</v>
      </c>
      <c r="B826" s="41">
        <v>444122173</v>
      </c>
      <c r="C826" s="42" t="s">
        <v>36</v>
      </c>
      <c r="D826" s="42" t="s">
        <v>37</v>
      </c>
      <c r="E826" s="42" t="s">
        <v>47</v>
      </c>
      <c r="F826" s="42" t="s">
        <v>38</v>
      </c>
      <c r="G826" s="43">
        <v>3668.37</v>
      </c>
      <c r="H826" s="41">
        <v>443335613</v>
      </c>
      <c r="I826" s="44">
        <v>0</v>
      </c>
      <c r="J826" s="43">
        <v>0</v>
      </c>
      <c r="K826" s="43">
        <v>0</v>
      </c>
      <c r="L826" s="43">
        <v>1.51</v>
      </c>
      <c r="M826" s="43">
        <v>10079.06</v>
      </c>
      <c r="N826" s="45" t="s">
        <v>685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35">
        <v>45918.551168981481</v>
      </c>
      <c r="B827" s="36">
        <v>444122174</v>
      </c>
      <c r="C827" s="37" t="s">
        <v>36</v>
      </c>
      <c r="D827" s="37" t="s">
        <v>37</v>
      </c>
      <c r="E827" s="37" t="s">
        <v>47</v>
      </c>
      <c r="F827" s="37" t="s">
        <v>38</v>
      </c>
      <c r="G827" s="38">
        <v>3668.37</v>
      </c>
      <c r="H827" s="36">
        <v>443335614</v>
      </c>
      <c r="I827" s="39">
        <v>0</v>
      </c>
      <c r="J827" s="38">
        <v>0</v>
      </c>
      <c r="K827" s="38">
        <v>0</v>
      </c>
      <c r="L827" s="38">
        <v>1.48</v>
      </c>
      <c r="M827" s="38">
        <v>10080.540000000001</v>
      </c>
      <c r="N827" s="46" t="s">
        <v>685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40">
        <v>45918.551168981481</v>
      </c>
      <c r="B828" s="41">
        <v>444122175</v>
      </c>
      <c r="C828" s="42" t="s">
        <v>36</v>
      </c>
      <c r="D828" s="42" t="s">
        <v>37</v>
      </c>
      <c r="E828" s="42" t="s">
        <v>47</v>
      </c>
      <c r="F828" s="42" t="s">
        <v>38</v>
      </c>
      <c r="G828" s="43">
        <v>3668.37</v>
      </c>
      <c r="H828" s="41">
        <v>443335615</v>
      </c>
      <c r="I828" s="44">
        <v>0</v>
      </c>
      <c r="J828" s="43">
        <v>0</v>
      </c>
      <c r="K828" s="43">
        <v>0</v>
      </c>
      <c r="L828" s="43">
        <v>1.52</v>
      </c>
      <c r="M828" s="43">
        <v>10082.06</v>
      </c>
      <c r="N828" s="45" t="s">
        <v>685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35">
        <v>45918.552881944444</v>
      </c>
      <c r="B829" s="36">
        <v>444123068</v>
      </c>
      <c r="C829" s="37" t="s">
        <v>36</v>
      </c>
      <c r="D829" s="37" t="s">
        <v>37</v>
      </c>
      <c r="E829" s="37" t="s">
        <v>47</v>
      </c>
      <c r="F829" s="37" t="s">
        <v>38</v>
      </c>
      <c r="G829" s="38">
        <v>3666.78</v>
      </c>
      <c r="H829" s="36">
        <v>443336488</v>
      </c>
      <c r="I829" s="39">
        <v>0</v>
      </c>
      <c r="J829" s="38">
        <v>0</v>
      </c>
      <c r="K829" s="38">
        <v>0</v>
      </c>
      <c r="L829" s="38">
        <v>3.07</v>
      </c>
      <c r="M829" s="38">
        <v>10085.129999999999</v>
      </c>
      <c r="N829" s="46" t="s">
        <v>686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40">
        <v>45918.552881944444</v>
      </c>
      <c r="B830" s="41">
        <v>444123069</v>
      </c>
      <c r="C830" s="42" t="s">
        <v>36</v>
      </c>
      <c r="D830" s="42" t="s">
        <v>37</v>
      </c>
      <c r="E830" s="42" t="s">
        <v>47</v>
      </c>
      <c r="F830" s="42" t="s">
        <v>38</v>
      </c>
      <c r="G830" s="43">
        <v>3666.78</v>
      </c>
      <c r="H830" s="41">
        <v>443336489</v>
      </c>
      <c r="I830" s="44">
        <v>0</v>
      </c>
      <c r="J830" s="43">
        <v>0</v>
      </c>
      <c r="K830" s="43">
        <v>0</v>
      </c>
      <c r="L830" s="43">
        <v>3.07</v>
      </c>
      <c r="M830" s="43">
        <v>10088.200000000001</v>
      </c>
      <c r="N830" s="45" t="s">
        <v>686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35">
        <v>45918.553680555553</v>
      </c>
      <c r="B831" s="36">
        <v>444123494</v>
      </c>
      <c r="C831" s="37" t="s">
        <v>36</v>
      </c>
      <c r="D831" s="37" t="s">
        <v>37</v>
      </c>
      <c r="E831" s="37" t="s">
        <v>47</v>
      </c>
      <c r="F831" s="37" t="s">
        <v>38</v>
      </c>
      <c r="G831" s="38">
        <v>3666.34</v>
      </c>
      <c r="H831" s="36">
        <v>443336928</v>
      </c>
      <c r="I831" s="39">
        <v>0</v>
      </c>
      <c r="J831" s="38">
        <v>0</v>
      </c>
      <c r="K831" s="38">
        <v>0</v>
      </c>
      <c r="L831" s="38">
        <v>3.55</v>
      </c>
      <c r="M831" s="38">
        <v>10091.75</v>
      </c>
      <c r="N831" s="46" t="s">
        <v>687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40">
        <v>45918.555752314816</v>
      </c>
      <c r="B832" s="41">
        <v>444124435</v>
      </c>
      <c r="C832" s="42" t="s">
        <v>36</v>
      </c>
      <c r="D832" s="42" t="s">
        <v>39</v>
      </c>
      <c r="E832" s="42" t="s">
        <v>46</v>
      </c>
      <c r="F832" s="42" t="s">
        <v>38</v>
      </c>
      <c r="G832" s="43">
        <v>3666.51</v>
      </c>
      <c r="H832" s="41">
        <v>443337877</v>
      </c>
      <c r="I832" s="44">
        <v>0</v>
      </c>
      <c r="J832" s="43">
        <v>0</v>
      </c>
      <c r="K832" s="43">
        <v>0</v>
      </c>
      <c r="L832" s="43">
        <v>0</v>
      </c>
      <c r="M832" s="43">
        <v>10091.75</v>
      </c>
      <c r="N832" s="45" t="s">
        <v>150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35">
        <v>45918.555752314816</v>
      </c>
      <c r="B833" s="36">
        <v>444124437</v>
      </c>
      <c r="C833" s="37" t="s">
        <v>36</v>
      </c>
      <c r="D833" s="37" t="s">
        <v>39</v>
      </c>
      <c r="E833" s="37" t="s">
        <v>46</v>
      </c>
      <c r="F833" s="37" t="s">
        <v>38</v>
      </c>
      <c r="G833" s="38">
        <v>3666.51</v>
      </c>
      <c r="H833" s="36">
        <v>443337880</v>
      </c>
      <c r="I833" s="39">
        <v>0</v>
      </c>
      <c r="J833" s="38">
        <v>0</v>
      </c>
      <c r="K833" s="38">
        <v>0</v>
      </c>
      <c r="L833" s="38">
        <v>0</v>
      </c>
      <c r="M833" s="38">
        <v>10091.75</v>
      </c>
      <c r="N833" s="46" t="s">
        <v>653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40">
        <v>45918.555763888886</v>
      </c>
      <c r="B834" s="41">
        <v>444124440</v>
      </c>
      <c r="C834" s="42" t="s">
        <v>36</v>
      </c>
      <c r="D834" s="42" t="s">
        <v>39</v>
      </c>
      <c r="E834" s="42" t="s">
        <v>46</v>
      </c>
      <c r="F834" s="42" t="s">
        <v>38</v>
      </c>
      <c r="G834" s="43">
        <v>3666.51</v>
      </c>
      <c r="H834" s="41">
        <v>443337884</v>
      </c>
      <c r="I834" s="44">
        <v>0</v>
      </c>
      <c r="J834" s="43">
        <v>0</v>
      </c>
      <c r="K834" s="43">
        <v>0</v>
      </c>
      <c r="L834" s="43">
        <v>0</v>
      </c>
      <c r="M834" s="43">
        <v>10091.75</v>
      </c>
      <c r="N834" s="45" t="s">
        <v>647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35">
        <v>45918.555763888886</v>
      </c>
      <c r="B835" s="36">
        <v>444124441</v>
      </c>
      <c r="C835" s="37" t="s">
        <v>36</v>
      </c>
      <c r="D835" s="37" t="s">
        <v>39</v>
      </c>
      <c r="E835" s="37" t="s">
        <v>46</v>
      </c>
      <c r="F835" s="37" t="s">
        <v>38</v>
      </c>
      <c r="G835" s="38">
        <v>3666.52</v>
      </c>
      <c r="H835" s="36">
        <v>443337886</v>
      </c>
      <c r="I835" s="39">
        <v>0</v>
      </c>
      <c r="J835" s="38">
        <v>0</v>
      </c>
      <c r="K835" s="38">
        <v>0</v>
      </c>
      <c r="L835" s="38">
        <v>0</v>
      </c>
      <c r="M835" s="38">
        <v>10091.75</v>
      </c>
      <c r="N835" s="46" t="s">
        <v>48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40">
        <v>45918.555763888886</v>
      </c>
      <c r="B836" s="41">
        <v>444124466</v>
      </c>
      <c r="C836" s="42" t="s">
        <v>36</v>
      </c>
      <c r="D836" s="42" t="s">
        <v>39</v>
      </c>
      <c r="E836" s="42" t="s">
        <v>46</v>
      </c>
      <c r="F836" s="42" t="s">
        <v>38</v>
      </c>
      <c r="G836" s="43">
        <v>3666.52</v>
      </c>
      <c r="H836" s="41">
        <v>443337912</v>
      </c>
      <c r="I836" s="44">
        <v>0</v>
      </c>
      <c r="J836" s="43">
        <v>0</v>
      </c>
      <c r="K836" s="43">
        <v>0</v>
      </c>
      <c r="L836" s="43">
        <v>0</v>
      </c>
      <c r="M836" s="43">
        <v>10091.75</v>
      </c>
      <c r="N836" s="45" t="s">
        <v>53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35">
        <v>45918.555763888886</v>
      </c>
      <c r="B837" s="36">
        <v>444124480</v>
      </c>
      <c r="C837" s="37" t="s">
        <v>36</v>
      </c>
      <c r="D837" s="37" t="s">
        <v>39</v>
      </c>
      <c r="E837" s="37" t="s">
        <v>46</v>
      </c>
      <c r="F837" s="37" t="s">
        <v>38</v>
      </c>
      <c r="G837" s="38">
        <v>3666.52</v>
      </c>
      <c r="H837" s="36">
        <v>443337926</v>
      </c>
      <c r="I837" s="39">
        <v>0</v>
      </c>
      <c r="J837" s="38">
        <v>0</v>
      </c>
      <c r="K837" s="38">
        <v>0</v>
      </c>
      <c r="L837" s="38">
        <v>0</v>
      </c>
      <c r="M837" s="38">
        <v>10091.75</v>
      </c>
      <c r="N837" s="46" t="s">
        <v>49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40">
        <v>45918.557013888887</v>
      </c>
      <c r="B838" s="41">
        <v>444125326</v>
      </c>
      <c r="C838" s="42" t="s">
        <v>36</v>
      </c>
      <c r="D838" s="42" t="s">
        <v>37</v>
      </c>
      <c r="E838" s="42" t="s">
        <v>47</v>
      </c>
      <c r="F838" s="42" t="s">
        <v>38</v>
      </c>
      <c r="G838" s="43">
        <v>3668.02</v>
      </c>
      <c r="H838" s="41">
        <v>443338794</v>
      </c>
      <c r="I838" s="44">
        <v>0</v>
      </c>
      <c r="J838" s="43">
        <v>0</v>
      </c>
      <c r="K838" s="43">
        <v>0</v>
      </c>
      <c r="L838" s="43">
        <v>-1.51</v>
      </c>
      <c r="M838" s="43">
        <v>10090.24</v>
      </c>
      <c r="N838" s="45" t="s">
        <v>688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35">
        <v>45918.55878472222</v>
      </c>
      <c r="B839" s="36">
        <v>444126742</v>
      </c>
      <c r="C839" s="37" t="s">
        <v>36</v>
      </c>
      <c r="D839" s="37" t="s">
        <v>37</v>
      </c>
      <c r="E839" s="37" t="s">
        <v>47</v>
      </c>
      <c r="F839" s="37" t="s">
        <v>38</v>
      </c>
      <c r="G839" s="38">
        <v>3669.01</v>
      </c>
      <c r="H839" s="36">
        <v>443340225</v>
      </c>
      <c r="I839" s="39">
        <v>0</v>
      </c>
      <c r="J839" s="38">
        <v>0</v>
      </c>
      <c r="K839" s="38">
        <v>0</v>
      </c>
      <c r="L839" s="38">
        <v>-2.4900000000000002</v>
      </c>
      <c r="M839" s="38">
        <v>10087.75</v>
      </c>
      <c r="N839" s="46" t="s">
        <v>689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40">
        <v>45918.558854166666</v>
      </c>
      <c r="B840" s="41">
        <v>444126814</v>
      </c>
      <c r="C840" s="42" t="s">
        <v>36</v>
      </c>
      <c r="D840" s="42" t="s">
        <v>37</v>
      </c>
      <c r="E840" s="42" t="s">
        <v>47</v>
      </c>
      <c r="F840" s="42" t="s">
        <v>38</v>
      </c>
      <c r="G840" s="43">
        <v>3669.53</v>
      </c>
      <c r="H840" s="41">
        <v>443340298</v>
      </c>
      <c r="I840" s="44">
        <v>0</v>
      </c>
      <c r="J840" s="43">
        <v>0</v>
      </c>
      <c r="K840" s="43">
        <v>0</v>
      </c>
      <c r="L840" s="43">
        <v>-3.02</v>
      </c>
      <c r="M840" s="43">
        <v>10084.73</v>
      </c>
      <c r="N840" s="45" t="s">
        <v>690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35">
        <v>45918.558854166666</v>
      </c>
      <c r="B841" s="36">
        <v>444126815</v>
      </c>
      <c r="C841" s="37" t="s">
        <v>36</v>
      </c>
      <c r="D841" s="37" t="s">
        <v>37</v>
      </c>
      <c r="E841" s="37" t="s">
        <v>47</v>
      </c>
      <c r="F841" s="37" t="s">
        <v>38</v>
      </c>
      <c r="G841" s="38">
        <v>3669.53</v>
      </c>
      <c r="H841" s="36">
        <v>443340299</v>
      </c>
      <c r="I841" s="39">
        <v>0</v>
      </c>
      <c r="J841" s="38">
        <v>0</v>
      </c>
      <c r="K841" s="38">
        <v>0</v>
      </c>
      <c r="L841" s="38">
        <v>-3.02</v>
      </c>
      <c r="M841" s="38">
        <v>10081.709999999999</v>
      </c>
      <c r="N841" s="46" t="s">
        <v>691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40">
        <v>45918.558854166666</v>
      </c>
      <c r="B842" s="41">
        <v>444126816</v>
      </c>
      <c r="C842" s="42" t="s">
        <v>36</v>
      </c>
      <c r="D842" s="42" t="s">
        <v>37</v>
      </c>
      <c r="E842" s="42" t="s">
        <v>47</v>
      </c>
      <c r="F842" s="42" t="s">
        <v>38</v>
      </c>
      <c r="G842" s="43">
        <v>3669.53</v>
      </c>
      <c r="H842" s="41">
        <v>443340300</v>
      </c>
      <c r="I842" s="44">
        <v>0</v>
      </c>
      <c r="J842" s="43">
        <v>0</v>
      </c>
      <c r="K842" s="43">
        <v>0</v>
      </c>
      <c r="L842" s="43">
        <v>-3.01</v>
      </c>
      <c r="M842" s="43">
        <v>10078.700000000001</v>
      </c>
      <c r="N842" s="45" t="s">
        <v>691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35">
        <v>45918.558854166666</v>
      </c>
      <c r="B843" s="36">
        <v>444126817</v>
      </c>
      <c r="C843" s="37" t="s">
        <v>36</v>
      </c>
      <c r="D843" s="37" t="s">
        <v>37</v>
      </c>
      <c r="E843" s="37" t="s">
        <v>47</v>
      </c>
      <c r="F843" s="37" t="s">
        <v>38</v>
      </c>
      <c r="G843" s="38">
        <v>3669.53</v>
      </c>
      <c r="H843" s="36">
        <v>443340301</v>
      </c>
      <c r="I843" s="39">
        <v>0</v>
      </c>
      <c r="J843" s="38">
        <v>0</v>
      </c>
      <c r="K843" s="38">
        <v>0</v>
      </c>
      <c r="L843" s="38">
        <v>-3.01</v>
      </c>
      <c r="M843" s="38">
        <v>10075.69</v>
      </c>
      <c r="N843" s="46" t="s">
        <v>691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40">
        <v>45918.569756944446</v>
      </c>
      <c r="B844" s="41">
        <v>444132306</v>
      </c>
      <c r="C844" s="42" t="s">
        <v>36</v>
      </c>
      <c r="D844" s="42" t="s">
        <v>39</v>
      </c>
      <c r="E844" s="42" t="s">
        <v>46</v>
      </c>
      <c r="F844" s="42" t="s">
        <v>38</v>
      </c>
      <c r="G844" s="43">
        <v>3667.2</v>
      </c>
      <c r="H844" s="41">
        <v>443345743</v>
      </c>
      <c r="I844" s="44">
        <v>0</v>
      </c>
      <c r="J844" s="43">
        <v>0</v>
      </c>
      <c r="K844" s="43">
        <v>0</v>
      </c>
      <c r="L844" s="43">
        <v>0</v>
      </c>
      <c r="M844" s="43">
        <v>10075.69</v>
      </c>
      <c r="N844" s="45" t="s">
        <v>150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35">
        <v>45918.569756944446</v>
      </c>
      <c r="B845" s="36">
        <v>444132307</v>
      </c>
      <c r="C845" s="37" t="s">
        <v>36</v>
      </c>
      <c r="D845" s="37" t="s">
        <v>39</v>
      </c>
      <c r="E845" s="37" t="s">
        <v>46</v>
      </c>
      <c r="F845" s="37" t="s">
        <v>38</v>
      </c>
      <c r="G845" s="38">
        <v>3667.2</v>
      </c>
      <c r="H845" s="36">
        <v>443345744</v>
      </c>
      <c r="I845" s="39">
        <v>0</v>
      </c>
      <c r="J845" s="38">
        <v>0</v>
      </c>
      <c r="K845" s="38">
        <v>0</v>
      </c>
      <c r="L845" s="38">
        <v>0</v>
      </c>
      <c r="M845" s="38">
        <v>10075.69</v>
      </c>
      <c r="N845" s="46" t="s">
        <v>48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40">
        <v>45918.569768518515</v>
      </c>
      <c r="B846" s="41">
        <v>444132308</v>
      </c>
      <c r="C846" s="42" t="s">
        <v>36</v>
      </c>
      <c r="D846" s="42" t="s">
        <v>39</v>
      </c>
      <c r="E846" s="42" t="s">
        <v>46</v>
      </c>
      <c r="F846" s="42" t="s">
        <v>38</v>
      </c>
      <c r="G846" s="43">
        <v>3667.15</v>
      </c>
      <c r="H846" s="41">
        <v>443345746</v>
      </c>
      <c r="I846" s="44">
        <v>0</v>
      </c>
      <c r="J846" s="43">
        <v>0</v>
      </c>
      <c r="K846" s="43">
        <v>0</v>
      </c>
      <c r="L846" s="43">
        <v>0</v>
      </c>
      <c r="M846" s="43">
        <v>10075.69</v>
      </c>
      <c r="N846" s="45" t="s">
        <v>49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35">
        <v>45918.569768518515</v>
      </c>
      <c r="B847" s="36">
        <v>444132311</v>
      </c>
      <c r="C847" s="37" t="s">
        <v>36</v>
      </c>
      <c r="D847" s="37" t="s">
        <v>39</v>
      </c>
      <c r="E847" s="37" t="s">
        <v>46</v>
      </c>
      <c r="F847" s="37" t="s">
        <v>38</v>
      </c>
      <c r="G847" s="38">
        <v>3667.12</v>
      </c>
      <c r="H847" s="36">
        <v>443345749</v>
      </c>
      <c r="I847" s="39">
        <v>0</v>
      </c>
      <c r="J847" s="38">
        <v>0</v>
      </c>
      <c r="K847" s="38">
        <v>0</v>
      </c>
      <c r="L847" s="38">
        <v>0</v>
      </c>
      <c r="M847" s="38">
        <v>10075.69</v>
      </c>
      <c r="N847" s="46" t="s">
        <v>53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40">
        <v>45918.574502314812</v>
      </c>
      <c r="B848" s="41">
        <v>444133999</v>
      </c>
      <c r="C848" s="42" t="s">
        <v>36</v>
      </c>
      <c r="D848" s="42" t="s">
        <v>39</v>
      </c>
      <c r="E848" s="42" t="s">
        <v>46</v>
      </c>
      <c r="F848" s="42" t="s">
        <v>38</v>
      </c>
      <c r="G848" s="43">
        <v>3666.23</v>
      </c>
      <c r="H848" s="41">
        <v>443347406</v>
      </c>
      <c r="I848" s="44">
        <v>0</v>
      </c>
      <c r="J848" s="43">
        <v>0</v>
      </c>
      <c r="K848" s="43">
        <v>0</v>
      </c>
      <c r="L848" s="43">
        <v>0</v>
      </c>
      <c r="M848" s="43">
        <v>10075.69</v>
      </c>
      <c r="N848" s="45" t="s">
        <v>653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35">
        <v>45918.574502314812</v>
      </c>
      <c r="B849" s="36">
        <v>444134001</v>
      </c>
      <c r="C849" s="37" t="s">
        <v>36</v>
      </c>
      <c r="D849" s="37" t="s">
        <v>39</v>
      </c>
      <c r="E849" s="37" t="s">
        <v>46</v>
      </c>
      <c r="F849" s="37" t="s">
        <v>38</v>
      </c>
      <c r="G849" s="38">
        <v>3666.23</v>
      </c>
      <c r="H849" s="36">
        <v>443347408</v>
      </c>
      <c r="I849" s="39">
        <v>0</v>
      </c>
      <c r="J849" s="38">
        <v>0</v>
      </c>
      <c r="K849" s="38">
        <v>0</v>
      </c>
      <c r="L849" s="38">
        <v>0</v>
      </c>
      <c r="M849" s="38">
        <v>10075.69</v>
      </c>
      <c r="N849" s="46" t="s">
        <v>647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40">
        <v>45918.576481481483</v>
      </c>
      <c r="B850" s="41">
        <v>444134576</v>
      </c>
      <c r="C850" s="42" t="s">
        <v>36</v>
      </c>
      <c r="D850" s="42" t="s">
        <v>37</v>
      </c>
      <c r="E850" s="42" t="s">
        <v>47</v>
      </c>
      <c r="F850" s="42" t="s">
        <v>38</v>
      </c>
      <c r="G850" s="43">
        <v>3667.75</v>
      </c>
      <c r="H850" s="41">
        <v>443347968</v>
      </c>
      <c r="I850" s="44">
        <v>0</v>
      </c>
      <c r="J850" s="43">
        <v>0</v>
      </c>
      <c r="K850" s="43">
        <v>0</v>
      </c>
      <c r="L850" s="43">
        <v>-1.52</v>
      </c>
      <c r="M850" s="43">
        <v>10074.17</v>
      </c>
      <c r="N850" s="45" t="s">
        <v>692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35">
        <v>45918.578668981485</v>
      </c>
      <c r="B851" s="36">
        <v>444135358</v>
      </c>
      <c r="C851" s="37" t="s">
        <v>36</v>
      </c>
      <c r="D851" s="37" t="s">
        <v>37</v>
      </c>
      <c r="E851" s="37" t="s">
        <v>47</v>
      </c>
      <c r="F851" s="37" t="s">
        <v>38</v>
      </c>
      <c r="G851" s="38">
        <v>3669.25</v>
      </c>
      <c r="H851" s="36">
        <v>443348714</v>
      </c>
      <c r="I851" s="39">
        <v>0</v>
      </c>
      <c r="J851" s="38">
        <v>0</v>
      </c>
      <c r="K851" s="38">
        <v>0</v>
      </c>
      <c r="L851" s="38">
        <v>-3.02</v>
      </c>
      <c r="M851" s="38">
        <v>10071.15</v>
      </c>
      <c r="N851" s="46" t="s">
        <v>693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40">
        <v>45918.595925925925</v>
      </c>
      <c r="B852" s="41">
        <v>444142009</v>
      </c>
      <c r="C852" s="42" t="s">
        <v>36</v>
      </c>
      <c r="D852" s="42" t="s">
        <v>37</v>
      </c>
      <c r="E852" s="42" t="s">
        <v>47</v>
      </c>
      <c r="F852" s="42" t="s">
        <v>38</v>
      </c>
      <c r="G852" s="43">
        <v>3669.72</v>
      </c>
      <c r="H852" s="41">
        <v>443355240</v>
      </c>
      <c r="I852" s="44">
        <v>0</v>
      </c>
      <c r="J852" s="43">
        <v>0</v>
      </c>
      <c r="K852" s="43">
        <v>0</v>
      </c>
      <c r="L852" s="43">
        <v>-2.57</v>
      </c>
      <c r="M852" s="43">
        <v>10068.58</v>
      </c>
      <c r="N852" s="45" t="s">
        <v>694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35">
        <v>45918.596145833333</v>
      </c>
      <c r="B853" s="36">
        <v>444142153</v>
      </c>
      <c r="C853" s="37" t="s">
        <v>36</v>
      </c>
      <c r="D853" s="37" t="s">
        <v>37</v>
      </c>
      <c r="E853" s="37" t="s">
        <v>47</v>
      </c>
      <c r="F853" s="37" t="s">
        <v>38</v>
      </c>
      <c r="G853" s="38">
        <v>3670.23</v>
      </c>
      <c r="H853" s="36">
        <v>443355377</v>
      </c>
      <c r="I853" s="39">
        <v>0</v>
      </c>
      <c r="J853" s="38">
        <v>0</v>
      </c>
      <c r="K853" s="38">
        <v>0</v>
      </c>
      <c r="L853" s="38">
        <v>-3.03</v>
      </c>
      <c r="M853" s="38">
        <v>10065.549999999999</v>
      </c>
      <c r="N853" s="46" t="s">
        <v>695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40">
        <v>45918.596145833333</v>
      </c>
      <c r="B854" s="41">
        <v>444142154</v>
      </c>
      <c r="C854" s="42" t="s">
        <v>36</v>
      </c>
      <c r="D854" s="42" t="s">
        <v>37</v>
      </c>
      <c r="E854" s="42" t="s">
        <v>47</v>
      </c>
      <c r="F854" s="42" t="s">
        <v>38</v>
      </c>
      <c r="G854" s="43">
        <v>3670.23</v>
      </c>
      <c r="H854" s="41">
        <v>443355378</v>
      </c>
      <c r="I854" s="44">
        <v>0</v>
      </c>
      <c r="J854" s="43">
        <v>0</v>
      </c>
      <c r="K854" s="43">
        <v>0</v>
      </c>
      <c r="L854" s="43">
        <v>-3.03</v>
      </c>
      <c r="M854" s="43">
        <v>10062.52</v>
      </c>
      <c r="N854" s="45" t="s">
        <v>695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35">
        <v>45918.596145833333</v>
      </c>
      <c r="B855" s="36">
        <v>444142155</v>
      </c>
      <c r="C855" s="37" t="s">
        <v>36</v>
      </c>
      <c r="D855" s="37" t="s">
        <v>37</v>
      </c>
      <c r="E855" s="37" t="s">
        <v>47</v>
      </c>
      <c r="F855" s="37" t="s">
        <v>38</v>
      </c>
      <c r="G855" s="38">
        <v>3670.23</v>
      </c>
      <c r="H855" s="36">
        <v>443355379</v>
      </c>
      <c r="I855" s="39">
        <v>0</v>
      </c>
      <c r="J855" s="38">
        <v>0</v>
      </c>
      <c r="K855" s="38">
        <v>0</v>
      </c>
      <c r="L855" s="38">
        <v>-3.11</v>
      </c>
      <c r="M855" s="38">
        <v>10059.41</v>
      </c>
      <c r="N855" s="46" t="s">
        <v>695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40">
        <v>45918.598807870374</v>
      </c>
      <c r="B856" s="41">
        <v>444143603</v>
      </c>
      <c r="C856" s="42" t="s">
        <v>36</v>
      </c>
      <c r="D856" s="42" t="s">
        <v>37</v>
      </c>
      <c r="E856" s="42" t="s">
        <v>46</v>
      </c>
      <c r="F856" s="42" t="s">
        <v>38</v>
      </c>
      <c r="G856" s="43">
        <v>3669.85</v>
      </c>
      <c r="H856" s="41">
        <v>443356771</v>
      </c>
      <c r="I856" s="44">
        <v>0</v>
      </c>
      <c r="J856" s="43">
        <v>0</v>
      </c>
      <c r="K856" s="43">
        <v>0</v>
      </c>
      <c r="L856" s="43">
        <v>0</v>
      </c>
      <c r="M856" s="43">
        <v>10059.41</v>
      </c>
      <c r="N856" s="45" t="s">
        <v>150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35">
        <v>45918.598807870374</v>
      </c>
      <c r="B857" s="36">
        <v>444143604</v>
      </c>
      <c r="C857" s="37" t="s">
        <v>36</v>
      </c>
      <c r="D857" s="37" t="s">
        <v>37</v>
      </c>
      <c r="E857" s="37" t="s">
        <v>46</v>
      </c>
      <c r="F857" s="37" t="s">
        <v>38</v>
      </c>
      <c r="G857" s="38">
        <v>3669.84</v>
      </c>
      <c r="H857" s="36">
        <v>443356772</v>
      </c>
      <c r="I857" s="39">
        <v>0</v>
      </c>
      <c r="J857" s="38">
        <v>0</v>
      </c>
      <c r="K857" s="38">
        <v>0</v>
      </c>
      <c r="L857" s="38">
        <v>0</v>
      </c>
      <c r="M857" s="38">
        <v>10059.41</v>
      </c>
      <c r="N857" s="46" t="s">
        <v>653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40">
        <v>45918.598807870374</v>
      </c>
      <c r="B858" s="41">
        <v>444143605</v>
      </c>
      <c r="C858" s="42" t="s">
        <v>36</v>
      </c>
      <c r="D858" s="42" t="s">
        <v>37</v>
      </c>
      <c r="E858" s="42" t="s">
        <v>46</v>
      </c>
      <c r="F858" s="42" t="s">
        <v>38</v>
      </c>
      <c r="G858" s="43">
        <v>3669.84</v>
      </c>
      <c r="H858" s="41">
        <v>443356773</v>
      </c>
      <c r="I858" s="44">
        <v>0</v>
      </c>
      <c r="J858" s="43">
        <v>0</v>
      </c>
      <c r="K858" s="43">
        <v>0</v>
      </c>
      <c r="L858" s="43">
        <v>0</v>
      </c>
      <c r="M858" s="43">
        <v>10059.41</v>
      </c>
      <c r="N858" s="45" t="s">
        <v>647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35">
        <v>45918.598819444444</v>
      </c>
      <c r="B859" s="36">
        <v>444143606</v>
      </c>
      <c r="C859" s="37" t="s">
        <v>36</v>
      </c>
      <c r="D859" s="37" t="s">
        <v>37</v>
      </c>
      <c r="E859" s="37" t="s">
        <v>46</v>
      </c>
      <c r="F859" s="37" t="s">
        <v>38</v>
      </c>
      <c r="G859" s="38">
        <v>3669.87</v>
      </c>
      <c r="H859" s="36">
        <v>443356774</v>
      </c>
      <c r="I859" s="39">
        <v>0</v>
      </c>
      <c r="J859" s="38">
        <v>0</v>
      </c>
      <c r="K859" s="38">
        <v>0</v>
      </c>
      <c r="L859" s="38">
        <v>0</v>
      </c>
      <c r="M859" s="38">
        <v>10059.41</v>
      </c>
      <c r="N859" s="46" t="s">
        <v>49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40">
        <v>45918.598819444444</v>
      </c>
      <c r="B860" s="41">
        <v>444143607</v>
      </c>
      <c r="C860" s="42" t="s">
        <v>36</v>
      </c>
      <c r="D860" s="42" t="s">
        <v>37</v>
      </c>
      <c r="E860" s="42" t="s">
        <v>46</v>
      </c>
      <c r="F860" s="42" t="s">
        <v>38</v>
      </c>
      <c r="G860" s="43">
        <v>3669.87</v>
      </c>
      <c r="H860" s="41">
        <v>443356775</v>
      </c>
      <c r="I860" s="44">
        <v>0</v>
      </c>
      <c r="J860" s="43">
        <v>0</v>
      </c>
      <c r="K860" s="43">
        <v>0</v>
      </c>
      <c r="L860" s="43">
        <v>0</v>
      </c>
      <c r="M860" s="43">
        <v>10059.41</v>
      </c>
      <c r="N860" s="45" t="s">
        <v>53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35">
        <v>45918.598819444444</v>
      </c>
      <c r="B861" s="36">
        <v>444143609</v>
      </c>
      <c r="C861" s="37" t="s">
        <v>36</v>
      </c>
      <c r="D861" s="37" t="s">
        <v>37</v>
      </c>
      <c r="E861" s="37" t="s">
        <v>46</v>
      </c>
      <c r="F861" s="37" t="s">
        <v>38</v>
      </c>
      <c r="G861" s="38">
        <v>3669.87</v>
      </c>
      <c r="H861" s="36">
        <v>443356777</v>
      </c>
      <c r="I861" s="39">
        <v>0</v>
      </c>
      <c r="J861" s="38">
        <v>0</v>
      </c>
      <c r="K861" s="38">
        <v>0</v>
      </c>
      <c r="L861" s="38">
        <v>0</v>
      </c>
      <c r="M861" s="38">
        <v>10059.41</v>
      </c>
      <c r="N861" s="46" t="s">
        <v>48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40">
        <v>45918.600578703707</v>
      </c>
      <c r="B862" s="41">
        <v>444144224</v>
      </c>
      <c r="C862" s="42" t="s">
        <v>36</v>
      </c>
      <c r="D862" s="42" t="s">
        <v>39</v>
      </c>
      <c r="E862" s="42" t="s">
        <v>47</v>
      </c>
      <c r="F862" s="42" t="s">
        <v>38</v>
      </c>
      <c r="G862" s="43">
        <v>3668.27</v>
      </c>
      <c r="H862" s="41">
        <v>443357387</v>
      </c>
      <c r="I862" s="44">
        <v>0</v>
      </c>
      <c r="J862" s="43">
        <v>0</v>
      </c>
      <c r="K862" s="43">
        <v>0</v>
      </c>
      <c r="L862" s="43">
        <v>-1.57</v>
      </c>
      <c r="M862" s="43">
        <v>10057.84</v>
      </c>
      <c r="N862" s="45" t="s">
        <v>696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35">
        <v>45918.600949074076</v>
      </c>
      <c r="B863" s="36">
        <v>444144436</v>
      </c>
      <c r="C863" s="37" t="s">
        <v>36</v>
      </c>
      <c r="D863" s="37" t="s">
        <v>39</v>
      </c>
      <c r="E863" s="37" t="s">
        <v>47</v>
      </c>
      <c r="F863" s="37" t="s">
        <v>38</v>
      </c>
      <c r="G863" s="38">
        <v>3667.34</v>
      </c>
      <c r="H863" s="36">
        <v>443357597</v>
      </c>
      <c r="I863" s="39">
        <v>0</v>
      </c>
      <c r="J863" s="38">
        <v>0</v>
      </c>
      <c r="K863" s="38">
        <v>0</v>
      </c>
      <c r="L863" s="38">
        <v>-2.5299999999999998</v>
      </c>
      <c r="M863" s="38">
        <v>10055.31</v>
      </c>
      <c r="N863" s="46" t="s">
        <v>697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40">
        <v>45918.601203703707</v>
      </c>
      <c r="B864" s="41">
        <v>444144623</v>
      </c>
      <c r="C864" s="42" t="s">
        <v>36</v>
      </c>
      <c r="D864" s="42" t="s">
        <v>39</v>
      </c>
      <c r="E864" s="42" t="s">
        <v>47</v>
      </c>
      <c r="F864" s="42" t="s">
        <v>38</v>
      </c>
      <c r="G864" s="43">
        <v>3666.89</v>
      </c>
      <c r="H864" s="41">
        <v>443357781</v>
      </c>
      <c r="I864" s="44">
        <v>0</v>
      </c>
      <c r="J864" s="43">
        <v>0</v>
      </c>
      <c r="K864" s="43">
        <v>0</v>
      </c>
      <c r="L864" s="43">
        <v>-2.96</v>
      </c>
      <c r="M864" s="43">
        <v>10052.35</v>
      </c>
      <c r="N864" s="45" t="s">
        <v>698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35">
        <v>45918.601412037038</v>
      </c>
      <c r="B865" s="36">
        <v>444144690</v>
      </c>
      <c r="C865" s="37" t="s">
        <v>36</v>
      </c>
      <c r="D865" s="37" t="s">
        <v>39</v>
      </c>
      <c r="E865" s="37" t="s">
        <v>47</v>
      </c>
      <c r="F865" s="37" t="s">
        <v>38</v>
      </c>
      <c r="G865" s="38">
        <v>3666.85</v>
      </c>
      <c r="H865" s="36">
        <v>443357846</v>
      </c>
      <c r="I865" s="39">
        <v>0</v>
      </c>
      <c r="J865" s="38">
        <v>0</v>
      </c>
      <c r="K865" s="38">
        <v>0</v>
      </c>
      <c r="L865" s="38">
        <v>-2.99</v>
      </c>
      <c r="M865" s="38">
        <v>10049.36</v>
      </c>
      <c r="N865" s="46" t="s">
        <v>699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40">
        <v>45918.601412037038</v>
      </c>
      <c r="B866" s="41">
        <v>444144691</v>
      </c>
      <c r="C866" s="42" t="s">
        <v>36</v>
      </c>
      <c r="D866" s="42" t="s">
        <v>39</v>
      </c>
      <c r="E866" s="42" t="s">
        <v>47</v>
      </c>
      <c r="F866" s="42" t="s">
        <v>38</v>
      </c>
      <c r="G866" s="43">
        <v>3666.85</v>
      </c>
      <c r="H866" s="41">
        <v>443357847</v>
      </c>
      <c r="I866" s="44">
        <v>0</v>
      </c>
      <c r="J866" s="43">
        <v>0</v>
      </c>
      <c r="K866" s="43">
        <v>0</v>
      </c>
      <c r="L866" s="43">
        <v>-3.02</v>
      </c>
      <c r="M866" s="43">
        <v>10046.34</v>
      </c>
      <c r="N866" s="45" t="s">
        <v>699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35">
        <v>45918.601412037038</v>
      </c>
      <c r="B867" s="36">
        <v>444144692</v>
      </c>
      <c r="C867" s="37" t="s">
        <v>36</v>
      </c>
      <c r="D867" s="37" t="s">
        <v>39</v>
      </c>
      <c r="E867" s="37" t="s">
        <v>47</v>
      </c>
      <c r="F867" s="37" t="s">
        <v>38</v>
      </c>
      <c r="G867" s="38">
        <v>3666.85</v>
      </c>
      <c r="H867" s="36">
        <v>443357848</v>
      </c>
      <c r="I867" s="39">
        <v>0</v>
      </c>
      <c r="J867" s="38">
        <v>0</v>
      </c>
      <c r="K867" s="38">
        <v>0</v>
      </c>
      <c r="L867" s="38">
        <v>-3.02</v>
      </c>
      <c r="M867" s="38">
        <v>10043.32</v>
      </c>
      <c r="N867" s="46" t="s">
        <v>699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40">
        <v>45918.607719907406</v>
      </c>
      <c r="B868" s="41">
        <v>444148870</v>
      </c>
      <c r="C868" s="42" t="s">
        <v>36</v>
      </c>
      <c r="D868" s="42" t="s">
        <v>39</v>
      </c>
      <c r="E868" s="42" t="s">
        <v>46</v>
      </c>
      <c r="F868" s="42" t="s">
        <v>38</v>
      </c>
      <c r="G868" s="43">
        <v>3665.73</v>
      </c>
      <c r="H868" s="41">
        <v>443361991</v>
      </c>
      <c r="I868" s="44">
        <v>0</v>
      </c>
      <c r="J868" s="43">
        <v>0</v>
      </c>
      <c r="K868" s="43">
        <v>0</v>
      </c>
      <c r="L868" s="43">
        <v>0</v>
      </c>
      <c r="M868" s="43">
        <v>10043.32</v>
      </c>
      <c r="N868" s="45" t="s">
        <v>150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35">
        <v>45918.607719907406</v>
      </c>
      <c r="B869" s="36">
        <v>444148874</v>
      </c>
      <c r="C869" s="37" t="s">
        <v>36</v>
      </c>
      <c r="D869" s="37" t="s">
        <v>39</v>
      </c>
      <c r="E869" s="37" t="s">
        <v>46</v>
      </c>
      <c r="F869" s="37" t="s">
        <v>38</v>
      </c>
      <c r="G869" s="38">
        <v>3665.71</v>
      </c>
      <c r="H869" s="36">
        <v>443361994</v>
      </c>
      <c r="I869" s="39">
        <v>0</v>
      </c>
      <c r="J869" s="38">
        <v>0</v>
      </c>
      <c r="K869" s="38">
        <v>0</v>
      </c>
      <c r="L869" s="38">
        <v>0</v>
      </c>
      <c r="M869" s="38">
        <v>10043.32</v>
      </c>
      <c r="N869" s="46" t="s">
        <v>653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40">
        <v>45918.607719907406</v>
      </c>
      <c r="B870" s="41">
        <v>444148877</v>
      </c>
      <c r="C870" s="42" t="s">
        <v>36</v>
      </c>
      <c r="D870" s="42" t="s">
        <v>39</v>
      </c>
      <c r="E870" s="42" t="s">
        <v>46</v>
      </c>
      <c r="F870" s="42" t="s">
        <v>38</v>
      </c>
      <c r="G870" s="43">
        <v>3665.79</v>
      </c>
      <c r="H870" s="41">
        <v>443361997</v>
      </c>
      <c r="I870" s="44">
        <v>0</v>
      </c>
      <c r="J870" s="43">
        <v>0</v>
      </c>
      <c r="K870" s="43">
        <v>0</v>
      </c>
      <c r="L870" s="43">
        <v>0</v>
      </c>
      <c r="M870" s="43">
        <v>10043.32</v>
      </c>
      <c r="N870" s="45" t="s">
        <v>647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35">
        <v>45918.607731481483</v>
      </c>
      <c r="B871" s="36">
        <v>444148879</v>
      </c>
      <c r="C871" s="37" t="s">
        <v>36</v>
      </c>
      <c r="D871" s="37" t="s">
        <v>39</v>
      </c>
      <c r="E871" s="37" t="s">
        <v>46</v>
      </c>
      <c r="F871" s="37" t="s">
        <v>38</v>
      </c>
      <c r="G871" s="38">
        <v>3665.84</v>
      </c>
      <c r="H871" s="36">
        <v>443361999</v>
      </c>
      <c r="I871" s="39">
        <v>0</v>
      </c>
      <c r="J871" s="38">
        <v>0</v>
      </c>
      <c r="K871" s="38">
        <v>0</v>
      </c>
      <c r="L871" s="38">
        <v>0</v>
      </c>
      <c r="M871" s="38">
        <v>10043.32</v>
      </c>
      <c r="N871" s="46" t="s">
        <v>48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40">
        <v>45918.607731481483</v>
      </c>
      <c r="B872" s="41">
        <v>444148882</v>
      </c>
      <c r="C872" s="42" t="s">
        <v>36</v>
      </c>
      <c r="D872" s="42" t="s">
        <v>39</v>
      </c>
      <c r="E872" s="42" t="s">
        <v>46</v>
      </c>
      <c r="F872" s="42" t="s">
        <v>38</v>
      </c>
      <c r="G872" s="43">
        <v>3665.83</v>
      </c>
      <c r="H872" s="41">
        <v>443362001</v>
      </c>
      <c r="I872" s="44">
        <v>0</v>
      </c>
      <c r="J872" s="43">
        <v>0</v>
      </c>
      <c r="K872" s="43">
        <v>0</v>
      </c>
      <c r="L872" s="43">
        <v>0</v>
      </c>
      <c r="M872" s="43">
        <v>10043.32</v>
      </c>
      <c r="N872" s="45" t="s">
        <v>49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35">
        <v>45918.607731481483</v>
      </c>
      <c r="B873" s="36">
        <v>444148886</v>
      </c>
      <c r="C873" s="37" t="s">
        <v>36</v>
      </c>
      <c r="D873" s="37" t="s">
        <v>39</v>
      </c>
      <c r="E873" s="37" t="s">
        <v>46</v>
      </c>
      <c r="F873" s="37" t="s">
        <v>38</v>
      </c>
      <c r="G873" s="38">
        <v>3665.84</v>
      </c>
      <c r="H873" s="36">
        <v>443362005</v>
      </c>
      <c r="I873" s="39">
        <v>0</v>
      </c>
      <c r="J873" s="38">
        <v>0</v>
      </c>
      <c r="K873" s="38">
        <v>0</v>
      </c>
      <c r="L873" s="38">
        <v>0</v>
      </c>
      <c r="M873" s="38">
        <v>10043.32</v>
      </c>
      <c r="N873" s="46" t="s">
        <v>53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40">
        <v>45918.608171296299</v>
      </c>
      <c r="B874" s="41">
        <v>444149282</v>
      </c>
      <c r="C874" s="42" t="s">
        <v>36</v>
      </c>
      <c r="D874" s="42" t="s">
        <v>37</v>
      </c>
      <c r="E874" s="42" t="s">
        <v>47</v>
      </c>
      <c r="F874" s="42" t="s">
        <v>38</v>
      </c>
      <c r="G874" s="43">
        <v>3667.25</v>
      </c>
      <c r="H874" s="41">
        <v>443362399</v>
      </c>
      <c r="I874" s="44">
        <v>0</v>
      </c>
      <c r="J874" s="43">
        <v>0</v>
      </c>
      <c r="K874" s="43">
        <v>0</v>
      </c>
      <c r="L874" s="43">
        <v>-1.54</v>
      </c>
      <c r="M874" s="43">
        <v>10041.780000000001</v>
      </c>
      <c r="N874" s="45" t="s">
        <v>700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35">
        <v>45918.608449074076</v>
      </c>
      <c r="B875" s="36">
        <v>444149713</v>
      </c>
      <c r="C875" s="37" t="s">
        <v>36</v>
      </c>
      <c r="D875" s="37" t="s">
        <v>37</v>
      </c>
      <c r="E875" s="37" t="s">
        <v>47</v>
      </c>
      <c r="F875" s="37" t="s">
        <v>38</v>
      </c>
      <c r="G875" s="38">
        <v>3668.28</v>
      </c>
      <c r="H875" s="36">
        <v>443362831</v>
      </c>
      <c r="I875" s="39">
        <v>0</v>
      </c>
      <c r="J875" s="38">
        <v>0</v>
      </c>
      <c r="K875" s="38">
        <v>0</v>
      </c>
      <c r="L875" s="38">
        <v>-2.4500000000000002</v>
      </c>
      <c r="M875" s="38">
        <v>10039.33</v>
      </c>
      <c r="N875" s="46" t="s">
        <v>701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40">
        <v>45918.608472222222</v>
      </c>
      <c r="B876" s="41">
        <v>444149749</v>
      </c>
      <c r="C876" s="42" t="s">
        <v>36</v>
      </c>
      <c r="D876" s="42" t="s">
        <v>37</v>
      </c>
      <c r="E876" s="42" t="s">
        <v>47</v>
      </c>
      <c r="F876" s="42" t="s">
        <v>38</v>
      </c>
      <c r="G876" s="43">
        <v>3668.56</v>
      </c>
      <c r="H876" s="41">
        <v>443362865</v>
      </c>
      <c r="I876" s="44">
        <v>0</v>
      </c>
      <c r="J876" s="43">
        <v>0</v>
      </c>
      <c r="K876" s="43">
        <v>0</v>
      </c>
      <c r="L876" s="43">
        <v>-2.83</v>
      </c>
      <c r="M876" s="43">
        <v>10036.5</v>
      </c>
      <c r="N876" s="45" t="s">
        <v>702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35">
        <v>45918.608946759261</v>
      </c>
      <c r="B877" s="36">
        <v>444149969</v>
      </c>
      <c r="C877" s="37" t="s">
        <v>36</v>
      </c>
      <c r="D877" s="37" t="s">
        <v>37</v>
      </c>
      <c r="E877" s="37" t="s">
        <v>47</v>
      </c>
      <c r="F877" s="37" t="s">
        <v>38</v>
      </c>
      <c r="G877" s="38">
        <v>3668.78</v>
      </c>
      <c r="H877" s="36">
        <v>443363086</v>
      </c>
      <c r="I877" s="39">
        <v>0</v>
      </c>
      <c r="J877" s="38">
        <v>0</v>
      </c>
      <c r="K877" s="38">
        <v>0</v>
      </c>
      <c r="L877" s="38">
        <v>-2.99</v>
      </c>
      <c r="M877" s="38">
        <v>10033.51</v>
      </c>
      <c r="N877" s="46" t="s">
        <v>703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40">
        <v>45918.608946759261</v>
      </c>
      <c r="B878" s="41">
        <v>444149971</v>
      </c>
      <c r="C878" s="42" t="s">
        <v>36</v>
      </c>
      <c r="D878" s="42" t="s">
        <v>37</v>
      </c>
      <c r="E878" s="42" t="s">
        <v>47</v>
      </c>
      <c r="F878" s="42" t="s">
        <v>38</v>
      </c>
      <c r="G878" s="43">
        <v>3668.78</v>
      </c>
      <c r="H878" s="41">
        <v>443363087</v>
      </c>
      <c r="I878" s="44">
        <v>0</v>
      </c>
      <c r="J878" s="43">
        <v>0</v>
      </c>
      <c r="K878" s="43">
        <v>0</v>
      </c>
      <c r="L878" s="43">
        <v>-2.94</v>
      </c>
      <c r="M878" s="43">
        <v>10030.57</v>
      </c>
      <c r="N878" s="45" t="s">
        <v>703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35">
        <v>45918.608946759261</v>
      </c>
      <c r="B879" s="36">
        <v>444149973</v>
      </c>
      <c r="C879" s="37" t="s">
        <v>36</v>
      </c>
      <c r="D879" s="37" t="s">
        <v>37</v>
      </c>
      <c r="E879" s="37" t="s">
        <v>47</v>
      </c>
      <c r="F879" s="37" t="s">
        <v>38</v>
      </c>
      <c r="G879" s="38">
        <v>3668.78</v>
      </c>
      <c r="H879" s="36">
        <v>443363088</v>
      </c>
      <c r="I879" s="39">
        <v>0</v>
      </c>
      <c r="J879" s="38">
        <v>0</v>
      </c>
      <c r="K879" s="38">
        <v>0</v>
      </c>
      <c r="L879" s="38">
        <v>-2.94</v>
      </c>
      <c r="M879" s="38">
        <v>10027.629999999999</v>
      </c>
      <c r="N879" s="46" t="s">
        <v>703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2025-09-18T12:58:32Z</dcterms:modified>
</cp:coreProperties>
</file>