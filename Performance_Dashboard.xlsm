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BE345D81-6DB8-4CFC-8A4F-E915E0E9D0B2}" xr6:coauthVersionLast="47" xr6:coauthVersionMax="47" xr10:uidLastSave="{00000000-0000-0000-0000-000000000000}"/>
  <bookViews>
    <workbookView xWindow="-120" yWindow="-120" windowWidth="29040" windowHeight="15720" tabRatio="803" activeTab="1" xr2:uid="{00000000-000D-0000-FFFF-FFFF00000000}"/>
  </bookViews>
  <sheets>
    <sheet name="Strategy_Builder" sheetId="1" r:id="rId1"/>
    <sheet name="Overall" sheetId="8" r:id="rId2"/>
    <sheet name="strategy_01" sheetId="9" r:id="rId3"/>
    <sheet name="Positions_Demo" sheetId="2" r:id="rId4"/>
    <sheet name="Deals_Demo" sheetId="3" r:id="rId5"/>
  </sheets>
  <definedNames>
    <definedName name="_xlnm._FilterDatabase" localSheetId="3" hidden="1">Positions_Demo!$A$1:$AA$260</definedName>
  </definedNames>
  <calcPr calcId="191029"/>
  <pivotCaches>
    <pivotCache cacheId="22" r:id="rId6"/>
    <pivotCache cacheId="3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8" l="1"/>
  <c r="D17" i="8"/>
  <c r="O5" i="3"/>
  <c r="P5" i="3"/>
  <c r="Q5" i="3" s="1"/>
  <c r="R5" i="3"/>
  <c r="O6" i="3"/>
  <c r="P6" i="3"/>
  <c r="O7" i="3"/>
  <c r="P7" i="3"/>
  <c r="S7" i="3"/>
  <c r="O8" i="3"/>
  <c r="P8" i="3" s="1"/>
  <c r="S8" i="3"/>
  <c r="O9" i="3"/>
  <c r="P9" i="3"/>
  <c r="S9" i="3" s="1"/>
  <c r="Q9" i="3"/>
  <c r="O10" i="3"/>
  <c r="P10" i="3" s="1"/>
  <c r="Q10" i="3"/>
  <c r="O11" i="3"/>
  <c r="O12" i="3"/>
  <c r="P12" i="3" s="1"/>
  <c r="R12" i="3"/>
  <c r="O13" i="3"/>
  <c r="P13" i="3"/>
  <c r="Q13" i="3" s="1"/>
  <c r="R13" i="3"/>
  <c r="O14" i="3"/>
  <c r="P14" i="3"/>
  <c r="O15" i="3"/>
  <c r="P15" i="3"/>
  <c r="S15" i="3"/>
  <c r="O16" i="3"/>
  <c r="P16" i="3" s="1"/>
  <c r="S16" i="3"/>
  <c r="O17" i="3"/>
  <c r="P17" i="3"/>
  <c r="S17" i="3" s="1"/>
  <c r="Q17" i="3"/>
  <c r="O18" i="3"/>
  <c r="P18" i="3" s="1"/>
  <c r="O19" i="3"/>
  <c r="P19" i="3" s="1"/>
  <c r="O20" i="3"/>
  <c r="P20" i="3" s="1"/>
  <c r="R20" i="3"/>
  <c r="O21" i="3"/>
  <c r="P21" i="3"/>
  <c r="Q21" i="3" s="1"/>
  <c r="R21" i="3"/>
  <c r="O22" i="3"/>
  <c r="P22" i="3"/>
  <c r="O23" i="3"/>
  <c r="P23" i="3"/>
  <c r="S23" i="3"/>
  <c r="O24" i="3"/>
  <c r="P24" i="3" s="1"/>
  <c r="S24" i="3"/>
  <c r="O25" i="3"/>
  <c r="P25" i="3"/>
  <c r="S25" i="3" s="1"/>
  <c r="Q25" i="3"/>
  <c r="O26" i="3"/>
  <c r="P26" i="3" s="1"/>
  <c r="O27" i="3"/>
  <c r="P27" i="3" s="1"/>
  <c r="O28" i="3"/>
  <c r="P28" i="3" s="1"/>
  <c r="R28" i="3"/>
  <c r="O29" i="3"/>
  <c r="P29" i="3"/>
  <c r="Q29" i="3" s="1"/>
  <c r="R29" i="3"/>
  <c r="O30" i="3"/>
  <c r="P30" i="3"/>
  <c r="O31" i="3"/>
  <c r="P31" i="3"/>
  <c r="S31" i="3"/>
  <c r="O32" i="3"/>
  <c r="P32" i="3" s="1"/>
  <c r="S32" i="3"/>
  <c r="O33" i="3"/>
  <c r="P33" i="3"/>
  <c r="S33" i="3" s="1"/>
  <c r="Q33" i="3"/>
  <c r="O34" i="3"/>
  <c r="P34" i="3" s="1"/>
  <c r="Q34" i="3" s="1"/>
  <c r="O35" i="3"/>
  <c r="P35" i="3" s="1"/>
  <c r="O36" i="3"/>
  <c r="P36" i="3" s="1"/>
  <c r="R36" i="3"/>
  <c r="O37" i="3"/>
  <c r="P37" i="3"/>
  <c r="Q37" i="3" s="1"/>
  <c r="R37" i="3"/>
  <c r="O38" i="3"/>
  <c r="P38" i="3"/>
  <c r="O39" i="3"/>
  <c r="P39" i="3"/>
  <c r="S39" i="3"/>
  <c r="O40" i="3"/>
  <c r="P40" i="3" s="1"/>
  <c r="S40" i="3"/>
  <c r="O41" i="3"/>
  <c r="P41" i="3"/>
  <c r="S41" i="3" s="1"/>
  <c r="Q41" i="3"/>
  <c r="O42" i="3"/>
  <c r="P42" i="3" s="1"/>
  <c r="Q42" i="3"/>
  <c r="O43" i="3"/>
  <c r="P43" i="3" s="1"/>
  <c r="O44" i="3"/>
  <c r="P44" i="3" s="1"/>
  <c r="R44" i="3"/>
  <c r="O45" i="3"/>
  <c r="P45" i="3"/>
  <c r="Q45" i="3" s="1"/>
  <c r="R45" i="3"/>
  <c r="O46" i="3"/>
  <c r="P46" i="3"/>
  <c r="O47" i="3"/>
  <c r="P47" i="3"/>
  <c r="S47" i="3"/>
  <c r="O48" i="3"/>
  <c r="P48" i="3"/>
  <c r="Q48" i="3" s="1"/>
  <c r="S48" i="3"/>
  <c r="O49" i="3"/>
  <c r="P49" i="3"/>
  <c r="S49" i="3" s="1"/>
  <c r="Q49" i="3"/>
  <c r="O50" i="3"/>
  <c r="P50" i="3" s="1"/>
  <c r="Q50" i="3"/>
  <c r="O51" i="3"/>
  <c r="P51" i="3" s="1"/>
  <c r="O52" i="3"/>
  <c r="P52" i="3" s="1"/>
  <c r="R52" i="3" s="1"/>
  <c r="O53" i="3"/>
  <c r="P53" i="3" s="1"/>
  <c r="R53" i="3"/>
  <c r="O54" i="3"/>
  <c r="P54" i="3"/>
  <c r="O55" i="3"/>
  <c r="P55" i="3"/>
  <c r="S55" i="3"/>
  <c r="O56" i="3"/>
  <c r="P56" i="3"/>
  <c r="Q56" i="3" s="1"/>
  <c r="S56" i="3"/>
  <c r="O57" i="3"/>
  <c r="P57" i="3"/>
  <c r="S57" i="3" s="1"/>
  <c r="Q57" i="3"/>
  <c r="O58" i="3"/>
  <c r="P58" i="3"/>
  <c r="R58" i="3" s="1"/>
  <c r="Q58" i="3"/>
  <c r="S58" i="3"/>
  <c r="O59" i="3"/>
  <c r="P59" i="3" s="1"/>
  <c r="O60" i="3"/>
  <c r="P60" i="3" s="1"/>
  <c r="R60" i="3"/>
  <c r="O61" i="3"/>
  <c r="P61" i="3" s="1"/>
  <c r="R61" i="3"/>
  <c r="O62" i="3"/>
  <c r="P62" i="3" s="1"/>
  <c r="T34" i="2" s="1"/>
  <c r="U34" i="2" s="1"/>
  <c r="O63" i="3"/>
  <c r="P63" i="3"/>
  <c r="S63" i="3" s="1"/>
  <c r="O64" i="3"/>
  <c r="P64" i="3"/>
  <c r="Q64" i="3" s="1"/>
  <c r="S64" i="3"/>
  <c r="O65" i="3"/>
  <c r="P65" i="3"/>
  <c r="O66" i="3"/>
  <c r="P66" i="3" s="1"/>
  <c r="R66" i="3" s="1"/>
  <c r="Q66" i="3"/>
  <c r="O67" i="3"/>
  <c r="P67" i="3" s="1"/>
  <c r="O68" i="3"/>
  <c r="P68" i="3" s="1"/>
  <c r="S68" i="3" s="1"/>
  <c r="R68" i="3"/>
  <c r="O69" i="3"/>
  <c r="P69" i="3" s="1"/>
  <c r="O70" i="3"/>
  <c r="P70" i="3" s="1"/>
  <c r="O71" i="3"/>
  <c r="P71" i="3"/>
  <c r="Q71" i="3" s="1"/>
  <c r="S71" i="3"/>
  <c r="O72" i="3"/>
  <c r="P72" i="3"/>
  <c r="Q72" i="3" s="1"/>
  <c r="S72" i="3"/>
  <c r="O73" i="3"/>
  <c r="P73" i="3"/>
  <c r="Q73" i="3" s="1"/>
  <c r="O74" i="3"/>
  <c r="P74" i="3"/>
  <c r="R74" i="3" s="1"/>
  <c r="Q74" i="3"/>
  <c r="S74" i="3"/>
  <c r="O75" i="3"/>
  <c r="P75" i="3" s="1"/>
  <c r="O76" i="3"/>
  <c r="P76" i="3" s="1"/>
  <c r="S76" i="3" s="1"/>
  <c r="Q76" i="3"/>
  <c r="R76" i="3"/>
  <c r="O77" i="3"/>
  <c r="P77" i="3" s="1"/>
  <c r="R77" i="3"/>
  <c r="O78" i="3"/>
  <c r="P78" i="3" s="1"/>
  <c r="O79" i="3"/>
  <c r="P79" i="3"/>
  <c r="Q79" i="3" s="1"/>
  <c r="R79" i="3"/>
  <c r="S79" i="3"/>
  <c r="O80" i="3"/>
  <c r="P80" i="3" s="1"/>
  <c r="S80" i="3"/>
  <c r="O81" i="3"/>
  <c r="P81" i="3"/>
  <c r="Q81" i="3"/>
  <c r="O82" i="3"/>
  <c r="P82" i="3" s="1"/>
  <c r="R82" i="3" s="1"/>
  <c r="Q82" i="3"/>
  <c r="S82" i="3"/>
  <c r="O83" i="3"/>
  <c r="P83" i="3" s="1"/>
  <c r="O84" i="3"/>
  <c r="P84" i="3" s="1"/>
  <c r="Q84" i="3"/>
  <c r="O85" i="3"/>
  <c r="P85" i="3" s="1"/>
  <c r="O86" i="3"/>
  <c r="P86" i="3" s="1"/>
  <c r="O87" i="3"/>
  <c r="P87" i="3"/>
  <c r="R87" i="3"/>
  <c r="O88" i="3"/>
  <c r="P88" i="3"/>
  <c r="Q88" i="3" s="1"/>
  <c r="S88" i="3"/>
  <c r="O89" i="3"/>
  <c r="P89" i="3"/>
  <c r="Q89" i="3"/>
  <c r="O90" i="3"/>
  <c r="P90" i="3" s="1"/>
  <c r="S90" i="3"/>
  <c r="O91" i="3"/>
  <c r="P91" i="3" s="1"/>
  <c r="O92" i="3"/>
  <c r="P92" i="3" s="1"/>
  <c r="S92" i="3" s="1"/>
  <c r="O93" i="3"/>
  <c r="P93" i="3" s="1"/>
  <c r="R93" i="3" s="1"/>
  <c r="O94" i="3"/>
  <c r="P94" i="3"/>
  <c r="O95" i="3"/>
  <c r="P95" i="3"/>
  <c r="Q95" i="3" s="1"/>
  <c r="O96" i="3"/>
  <c r="P96" i="3"/>
  <c r="Q96" i="3" s="1"/>
  <c r="S96" i="3"/>
  <c r="O97" i="3"/>
  <c r="P97" i="3"/>
  <c r="Q97" i="3"/>
  <c r="O98" i="3"/>
  <c r="P98" i="3" s="1"/>
  <c r="R98" i="3" s="1"/>
  <c r="S98" i="3"/>
  <c r="O99" i="3"/>
  <c r="P99" i="3" s="1"/>
  <c r="O100" i="3"/>
  <c r="P100" i="3" s="1"/>
  <c r="S100" i="3" s="1"/>
  <c r="Q100" i="3"/>
  <c r="R100" i="3"/>
  <c r="O101" i="3"/>
  <c r="P101" i="3" s="1"/>
  <c r="R101" i="3" s="1"/>
  <c r="O102" i="3"/>
  <c r="P102" i="3"/>
  <c r="O103" i="3"/>
  <c r="P103" i="3"/>
  <c r="Q103" i="3" s="1"/>
  <c r="R103" i="3"/>
  <c r="O104" i="3"/>
  <c r="P104" i="3"/>
  <c r="Q104" i="3" s="1"/>
  <c r="S104" i="3"/>
  <c r="O105" i="3"/>
  <c r="P105" i="3"/>
  <c r="O106" i="3"/>
  <c r="P106" i="3"/>
  <c r="R106" i="3" s="1"/>
  <c r="Q106" i="3"/>
  <c r="S106" i="3"/>
  <c r="O107" i="3"/>
  <c r="P107" i="3" s="1"/>
  <c r="O108" i="3"/>
  <c r="P108" i="3" s="1"/>
  <c r="Q108" i="3"/>
  <c r="O109" i="3"/>
  <c r="P109" i="3" s="1"/>
  <c r="O110" i="3"/>
  <c r="P110" i="3" s="1"/>
  <c r="O111" i="3"/>
  <c r="P111" i="3"/>
  <c r="R111" i="3"/>
  <c r="O112" i="3"/>
  <c r="P112" i="3" s="1"/>
  <c r="O113" i="3"/>
  <c r="P113" i="3"/>
  <c r="Q113" i="3" s="1"/>
  <c r="O114" i="3"/>
  <c r="P114" i="3" s="1"/>
  <c r="Q114" i="3"/>
  <c r="O115" i="3"/>
  <c r="P115" i="3" s="1"/>
  <c r="O116" i="3"/>
  <c r="P116" i="3" s="1"/>
  <c r="S116" i="3" s="1"/>
  <c r="Q116" i="3"/>
  <c r="R116" i="3"/>
  <c r="O117" i="3"/>
  <c r="P117" i="3"/>
  <c r="Q117" i="3" s="1"/>
  <c r="R117" i="3"/>
  <c r="O118" i="3"/>
  <c r="P118" i="3"/>
  <c r="O119" i="3"/>
  <c r="P119" i="3"/>
  <c r="O120" i="3"/>
  <c r="P120" i="3" s="1"/>
  <c r="S120" i="3" s="1"/>
  <c r="O121" i="3"/>
  <c r="P121" i="3"/>
  <c r="O122" i="3"/>
  <c r="P122" i="3" s="1"/>
  <c r="O123" i="3"/>
  <c r="P123" i="3" s="1"/>
  <c r="O124" i="3"/>
  <c r="P124" i="3" s="1"/>
  <c r="R124" i="3"/>
  <c r="O125" i="3"/>
  <c r="P125" i="3"/>
  <c r="Q125" i="3" s="1"/>
  <c r="R125" i="3"/>
  <c r="O126" i="3"/>
  <c r="P126" i="3"/>
  <c r="O127" i="3"/>
  <c r="P127" i="3"/>
  <c r="Q127" i="3" s="1"/>
  <c r="R127" i="3"/>
  <c r="O128" i="3"/>
  <c r="P128" i="3" s="1"/>
  <c r="O129" i="3"/>
  <c r="P129" i="3"/>
  <c r="Q129" i="3" s="1"/>
  <c r="O130" i="3"/>
  <c r="P130" i="3" s="1"/>
  <c r="R130" i="3" s="1"/>
  <c r="Q130" i="3"/>
  <c r="O131" i="3"/>
  <c r="P131" i="3" s="1"/>
  <c r="O132" i="3"/>
  <c r="P132" i="3" s="1"/>
  <c r="S132" i="3" s="1"/>
  <c r="R132" i="3"/>
  <c r="O133" i="3"/>
  <c r="P133" i="3"/>
  <c r="Q133" i="3" s="1"/>
  <c r="R133" i="3"/>
  <c r="O134" i="3"/>
  <c r="P134" i="3"/>
  <c r="O135" i="3"/>
  <c r="P135" i="3"/>
  <c r="Q135" i="3" s="1"/>
  <c r="R135" i="3"/>
  <c r="S135" i="3"/>
  <c r="O136" i="3"/>
  <c r="P136" i="3"/>
  <c r="Q136" i="3" s="1"/>
  <c r="S136" i="3"/>
  <c r="O137" i="3"/>
  <c r="P137" i="3"/>
  <c r="Q137" i="3" s="1"/>
  <c r="O138" i="3"/>
  <c r="P138" i="3"/>
  <c r="R138" i="3" s="1"/>
  <c r="Q138" i="3"/>
  <c r="S138" i="3"/>
  <c r="O139" i="3"/>
  <c r="P139" i="3" s="1"/>
  <c r="O140" i="3"/>
  <c r="P140" i="3" s="1"/>
  <c r="O141" i="3"/>
  <c r="P141" i="3" s="1"/>
  <c r="O142" i="3"/>
  <c r="P142" i="3"/>
  <c r="O143" i="3"/>
  <c r="P143" i="3"/>
  <c r="O144" i="3"/>
  <c r="P144" i="3" s="1"/>
  <c r="S144" i="3"/>
  <c r="O145" i="3"/>
  <c r="P145" i="3"/>
  <c r="O146" i="3"/>
  <c r="P146" i="3" s="1"/>
  <c r="O147" i="3"/>
  <c r="P147" i="3" s="1"/>
  <c r="O148" i="3"/>
  <c r="P148" i="3" s="1"/>
  <c r="R148" i="3"/>
  <c r="O149" i="3"/>
  <c r="P149" i="3"/>
  <c r="Q149" i="3" s="1"/>
  <c r="R149" i="3"/>
  <c r="O150" i="3"/>
  <c r="P150" i="3"/>
  <c r="O151" i="3"/>
  <c r="P151" i="3"/>
  <c r="Q151" i="3" s="1"/>
  <c r="R151" i="3"/>
  <c r="O152" i="3"/>
  <c r="P152" i="3" s="1"/>
  <c r="O153" i="3"/>
  <c r="P153" i="3"/>
  <c r="O154" i="3"/>
  <c r="P154" i="3" s="1"/>
  <c r="R154" i="3" s="1"/>
  <c r="Q154" i="3"/>
  <c r="O155" i="3"/>
  <c r="P155" i="3" s="1"/>
  <c r="O156" i="3"/>
  <c r="P156" i="3" s="1"/>
  <c r="S156" i="3" s="1"/>
  <c r="R156" i="3"/>
  <c r="O157" i="3"/>
  <c r="P157" i="3"/>
  <c r="Q157" i="3" s="1"/>
  <c r="R157" i="3"/>
  <c r="O158" i="3"/>
  <c r="P158" i="3"/>
  <c r="O159" i="3"/>
  <c r="P159" i="3"/>
  <c r="Q159" i="3" s="1"/>
  <c r="R159" i="3"/>
  <c r="S159" i="3"/>
  <c r="O160" i="3"/>
  <c r="P160" i="3" s="1"/>
  <c r="S160" i="3"/>
  <c r="O161" i="3"/>
  <c r="P161" i="3"/>
  <c r="Q161" i="3" s="1"/>
  <c r="O162" i="3"/>
  <c r="P162" i="3" s="1"/>
  <c r="R162" i="3" s="1"/>
  <c r="Q162" i="3"/>
  <c r="S162" i="3"/>
  <c r="O163" i="3"/>
  <c r="P163" i="3" s="1"/>
  <c r="O164" i="3"/>
  <c r="P164" i="3" s="1"/>
  <c r="R164" i="3"/>
  <c r="O165" i="3"/>
  <c r="P165" i="3" s="1"/>
  <c r="O166" i="3"/>
  <c r="P166" i="3"/>
  <c r="O167" i="3"/>
  <c r="P167" i="3"/>
  <c r="S167" i="3"/>
  <c r="O168" i="3"/>
  <c r="P168" i="3" s="1"/>
  <c r="O169" i="3"/>
  <c r="P169" i="3"/>
  <c r="O170" i="3"/>
  <c r="P170" i="3" s="1"/>
  <c r="S170" i="3"/>
  <c r="O171" i="3"/>
  <c r="P171" i="3" s="1"/>
  <c r="O172" i="3"/>
  <c r="P172" i="3" s="1"/>
  <c r="S172" i="3" s="1"/>
  <c r="Q172" i="3"/>
  <c r="R172" i="3"/>
  <c r="O173" i="3"/>
  <c r="P173" i="3" s="1"/>
  <c r="R173" i="3"/>
  <c r="O174" i="3"/>
  <c r="P174" i="3"/>
  <c r="O175" i="3"/>
  <c r="P175" i="3"/>
  <c r="Q175" i="3"/>
  <c r="R175" i="3"/>
  <c r="S175" i="3"/>
  <c r="O176" i="3"/>
  <c r="P176" i="3" s="1"/>
  <c r="O177" i="3"/>
  <c r="P177" i="3"/>
  <c r="S177" i="3"/>
  <c r="O178" i="3"/>
  <c r="P178" i="3" s="1"/>
  <c r="O179" i="3"/>
  <c r="P179" i="3"/>
  <c r="Q179" i="3" s="1"/>
  <c r="O180" i="3"/>
  <c r="P180" i="3"/>
  <c r="R180" i="3" s="1"/>
  <c r="O181" i="3"/>
  <c r="P181" i="3" s="1"/>
  <c r="R181" i="3" s="1"/>
  <c r="Q181" i="3"/>
  <c r="S181" i="3"/>
  <c r="O182" i="3"/>
  <c r="P182" i="3" s="1"/>
  <c r="S182" i="3" s="1"/>
  <c r="Q182" i="3"/>
  <c r="R182" i="3"/>
  <c r="O183" i="3"/>
  <c r="P183" i="3" s="1"/>
  <c r="R183" i="3"/>
  <c r="O184" i="3"/>
  <c r="P184" i="3" s="1"/>
  <c r="Q184" i="3"/>
  <c r="O185" i="3"/>
  <c r="P185" i="3"/>
  <c r="S185" i="3" s="1"/>
  <c r="W94" i="2" s="1"/>
  <c r="O186" i="3"/>
  <c r="P186" i="3" s="1"/>
  <c r="R186" i="3"/>
  <c r="O187" i="3"/>
  <c r="P187" i="3"/>
  <c r="Q187" i="3" s="1"/>
  <c r="O188" i="3"/>
  <c r="P188" i="3"/>
  <c r="O189" i="3"/>
  <c r="P189" i="3" s="1"/>
  <c r="R189" i="3" s="1"/>
  <c r="Q189" i="3"/>
  <c r="S189" i="3"/>
  <c r="O190" i="3"/>
  <c r="P190" i="3" s="1"/>
  <c r="S190" i="3" s="1"/>
  <c r="Q190" i="3"/>
  <c r="R190" i="3"/>
  <c r="O191" i="3"/>
  <c r="P191" i="3" s="1"/>
  <c r="R191" i="3" s="1"/>
  <c r="O192" i="3"/>
  <c r="P192" i="3" s="1"/>
  <c r="Q192" i="3"/>
  <c r="O193" i="3"/>
  <c r="P193" i="3"/>
  <c r="S193" i="3"/>
  <c r="O194" i="3"/>
  <c r="P194" i="3" s="1"/>
  <c r="O195" i="3"/>
  <c r="P195" i="3"/>
  <c r="Q195" i="3" s="1"/>
  <c r="R195" i="3"/>
  <c r="S195" i="3"/>
  <c r="O196" i="3"/>
  <c r="P196" i="3"/>
  <c r="O197" i="3"/>
  <c r="P197" i="3" s="1"/>
  <c r="O198" i="3"/>
  <c r="P198" i="3" s="1"/>
  <c r="S198" i="3" s="1"/>
  <c r="Q198" i="3"/>
  <c r="R198" i="3"/>
  <c r="O199" i="3"/>
  <c r="P199" i="3" s="1"/>
  <c r="Q199" i="3" s="1"/>
  <c r="O200" i="3"/>
  <c r="P200" i="3" s="1"/>
  <c r="Q200" i="3"/>
  <c r="O201" i="3"/>
  <c r="P201" i="3"/>
  <c r="Q201" i="3" s="1"/>
  <c r="R201" i="3"/>
  <c r="S201" i="3"/>
  <c r="O202" i="3"/>
  <c r="P202" i="3" s="1"/>
  <c r="O203" i="3"/>
  <c r="P203" i="3"/>
  <c r="Q203" i="3"/>
  <c r="R203" i="3"/>
  <c r="S203" i="3"/>
  <c r="O204" i="3"/>
  <c r="P204" i="3"/>
  <c r="O205" i="3"/>
  <c r="P205" i="3" s="1"/>
  <c r="O206" i="3"/>
  <c r="P206" i="3" s="1"/>
  <c r="S206" i="3" s="1"/>
  <c r="Q206" i="3"/>
  <c r="R206" i="3"/>
  <c r="O207" i="3"/>
  <c r="P207" i="3" s="1"/>
  <c r="O208" i="3"/>
  <c r="P208" i="3" s="1"/>
  <c r="Q208" i="3"/>
  <c r="O209" i="3"/>
  <c r="P209" i="3"/>
  <c r="R209" i="3" s="1"/>
  <c r="O210" i="3"/>
  <c r="P210" i="3" s="1"/>
  <c r="R210" i="3" s="1"/>
  <c r="O211" i="3"/>
  <c r="P211" i="3"/>
  <c r="Q211" i="3" s="1"/>
  <c r="S211" i="3"/>
  <c r="O212" i="3"/>
  <c r="P212" i="3"/>
  <c r="O213" i="3"/>
  <c r="P213" i="3"/>
  <c r="R213" i="3" s="1"/>
  <c r="Q213" i="3"/>
  <c r="S213" i="3"/>
  <c r="O214" i="3"/>
  <c r="P214" i="3" s="1"/>
  <c r="S214" i="3" s="1"/>
  <c r="Q214" i="3"/>
  <c r="R214" i="3"/>
  <c r="O215" i="3"/>
  <c r="P215" i="3" s="1"/>
  <c r="S215" i="3" s="1"/>
  <c r="R215" i="3"/>
  <c r="O216" i="3"/>
  <c r="P216" i="3" s="1"/>
  <c r="R216" i="3"/>
  <c r="O217" i="3"/>
  <c r="P217" i="3"/>
  <c r="O218" i="3"/>
  <c r="P218" i="3" s="1"/>
  <c r="Q218" i="3" s="1"/>
  <c r="R218" i="3"/>
  <c r="S218" i="3"/>
  <c r="O219" i="3"/>
  <c r="P219" i="3"/>
  <c r="Q219" i="3"/>
  <c r="O220" i="3"/>
  <c r="P220" i="3"/>
  <c r="O221" i="3"/>
  <c r="P221" i="3" s="1"/>
  <c r="O222" i="3"/>
  <c r="P222" i="3" s="1"/>
  <c r="S222" i="3" s="1"/>
  <c r="Q222" i="3"/>
  <c r="R222" i="3"/>
  <c r="O223" i="3"/>
  <c r="P223" i="3" s="1"/>
  <c r="S223" i="3" s="1"/>
  <c r="Q223" i="3"/>
  <c r="R223" i="3"/>
  <c r="O224" i="3"/>
  <c r="P224" i="3" s="1"/>
  <c r="O225" i="3"/>
  <c r="P225" i="3"/>
  <c r="S225" i="3" s="1"/>
  <c r="O226" i="3"/>
  <c r="P226" i="3" s="1"/>
  <c r="O227" i="3"/>
  <c r="P227" i="3"/>
  <c r="Q227" i="3"/>
  <c r="R227" i="3"/>
  <c r="S227" i="3"/>
  <c r="O228" i="3"/>
  <c r="P228" i="3"/>
  <c r="O229" i="3"/>
  <c r="P229" i="3"/>
  <c r="R229" i="3" s="1"/>
  <c r="Q229" i="3"/>
  <c r="S229" i="3"/>
  <c r="O230" i="3"/>
  <c r="P230" i="3" s="1"/>
  <c r="S230" i="3" s="1"/>
  <c r="Q230" i="3"/>
  <c r="R230" i="3"/>
  <c r="O231" i="3"/>
  <c r="P231" i="3" s="1"/>
  <c r="S231" i="3" s="1"/>
  <c r="R231" i="3"/>
  <c r="O232" i="3"/>
  <c r="P232" i="3" s="1"/>
  <c r="R232" i="3"/>
  <c r="O233" i="3"/>
  <c r="P233" i="3"/>
  <c r="O234" i="3"/>
  <c r="P234" i="3" s="1"/>
  <c r="Q234" i="3" s="1"/>
  <c r="R234" i="3"/>
  <c r="S234" i="3"/>
  <c r="O235" i="3"/>
  <c r="P235" i="3"/>
  <c r="Q235" i="3"/>
  <c r="O236" i="3"/>
  <c r="P236" i="3"/>
  <c r="O237" i="3"/>
  <c r="P237" i="3" s="1"/>
  <c r="Q237" i="3"/>
  <c r="O238" i="3"/>
  <c r="P238" i="3" s="1"/>
  <c r="S238" i="3" s="1"/>
  <c r="Q238" i="3"/>
  <c r="R238" i="3"/>
  <c r="O239" i="3"/>
  <c r="P239" i="3" s="1"/>
  <c r="S239" i="3" s="1"/>
  <c r="Q239" i="3"/>
  <c r="R239" i="3"/>
  <c r="O240" i="3"/>
  <c r="P240" i="3" s="1"/>
  <c r="O241" i="3"/>
  <c r="P241" i="3"/>
  <c r="S241" i="3"/>
  <c r="O242" i="3"/>
  <c r="P242" i="3" s="1"/>
  <c r="R242" i="3"/>
  <c r="V122" i="2" s="1"/>
  <c r="O243" i="3"/>
  <c r="P243" i="3"/>
  <c r="Q243" i="3"/>
  <c r="R243" i="3"/>
  <c r="S243" i="3"/>
  <c r="O244" i="3"/>
  <c r="P244" i="3"/>
  <c r="O245" i="3"/>
  <c r="P245" i="3"/>
  <c r="R245" i="3" s="1"/>
  <c r="Q245" i="3"/>
  <c r="S245" i="3"/>
  <c r="O246" i="3"/>
  <c r="P246" i="3" s="1"/>
  <c r="S246" i="3" s="1"/>
  <c r="Q246" i="3"/>
  <c r="R246" i="3"/>
  <c r="O247" i="3"/>
  <c r="P247" i="3" s="1"/>
  <c r="S247" i="3" s="1"/>
  <c r="R247" i="3"/>
  <c r="O248" i="3"/>
  <c r="P248" i="3" s="1"/>
  <c r="O249" i="3"/>
  <c r="P249" i="3"/>
  <c r="O250" i="3"/>
  <c r="P250" i="3" s="1"/>
  <c r="Q250" i="3" s="1"/>
  <c r="R250" i="3"/>
  <c r="V126" i="2" s="1"/>
  <c r="S250" i="3"/>
  <c r="O251" i="3"/>
  <c r="P251" i="3"/>
  <c r="Q251" i="3" s="1"/>
  <c r="O252" i="3"/>
  <c r="P252" i="3"/>
  <c r="Q252" i="3" s="1"/>
  <c r="O253" i="3"/>
  <c r="P253" i="3"/>
  <c r="Q253" i="3"/>
  <c r="O254" i="3"/>
  <c r="P254" i="3" s="1"/>
  <c r="S254" i="3" s="1"/>
  <c r="Q254" i="3"/>
  <c r="R254" i="3"/>
  <c r="O255" i="3"/>
  <c r="P255" i="3" s="1"/>
  <c r="S255" i="3" s="1"/>
  <c r="R255" i="3"/>
  <c r="O256" i="3"/>
  <c r="P256" i="3" s="1"/>
  <c r="O257" i="3"/>
  <c r="P257" i="3"/>
  <c r="Q257" i="3" s="1"/>
  <c r="S257" i="3"/>
  <c r="O258" i="3"/>
  <c r="P258" i="3" s="1"/>
  <c r="R258" i="3" s="1"/>
  <c r="V130" i="2" s="1"/>
  <c r="O259" i="3"/>
  <c r="P259" i="3"/>
  <c r="Q259" i="3"/>
  <c r="O260" i="3"/>
  <c r="P260" i="3"/>
  <c r="O261" i="3"/>
  <c r="P261" i="3"/>
  <c r="R261" i="3" s="1"/>
  <c r="Q261" i="3"/>
  <c r="S261" i="3"/>
  <c r="O262" i="3"/>
  <c r="P262" i="3" s="1"/>
  <c r="S262" i="3" s="1"/>
  <c r="Q262" i="3"/>
  <c r="R262" i="3"/>
  <c r="O263" i="3"/>
  <c r="P263" i="3" s="1"/>
  <c r="S263" i="3" s="1"/>
  <c r="R263" i="3"/>
  <c r="O264" i="3"/>
  <c r="P264" i="3" s="1"/>
  <c r="S264" i="3" s="1"/>
  <c r="Q264" i="3"/>
  <c r="R264" i="3"/>
  <c r="O265" i="3"/>
  <c r="P265" i="3"/>
  <c r="O266" i="3"/>
  <c r="P266" i="3" s="1"/>
  <c r="O267" i="3"/>
  <c r="P267" i="3"/>
  <c r="O268" i="3"/>
  <c r="P268" i="3"/>
  <c r="Q268" i="3"/>
  <c r="O269" i="3"/>
  <c r="P269" i="3" s="1"/>
  <c r="Q269" i="3" s="1"/>
  <c r="O270" i="3"/>
  <c r="P270" i="3" s="1"/>
  <c r="S270" i="3" s="1"/>
  <c r="Q270" i="3"/>
  <c r="R270" i="3"/>
  <c r="O271" i="3"/>
  <c r="P271" i="3" s="1"/>
  <c r="S271" i="3" s="1"/>
  <c r="Q271" i="3"/>
  <c r="R271" i="3"/>
  <c r="O272" i="3"/>
  <c r="P272" i="3" s="1"/>
  <c r="O273" i="3"/>
  <c r="P273" i="3"/>
  <c r="R273" i="3"/>
  <c r="V138" i="2" s="1"/>
  <c r="O274" i="3"/>
  <c r="P274" i="3" s="1"/>
  <c r="R274" i="3"/>
  <c r="V139" i="2" s="1"/>
  <c r="O275" i="3"/>
  <c r="P275" i="3"/>
  <c r="Q275" i="3"/>
  <c r="R275" i="3"/>
  <c r="S275" i="3"/>
  <c r="O276" i="3"/>
  <c r="P276" i="3"/>
  <c r="O277" i="3"/>
  <c r="P277" i="3"/>
  <c r="R277" i="3" s="1"/>
  <c r="S277" i="3"/>
  <c r="O278" i="3"/>
  <c r="P278" i="3"/>
  <c r="O279" i="3"/>
  <c r="P279" i="3" s="1"/>
  <c r="S279" i="3" s="1"/>
  <c r="Q279" i="3"/>
  <c r="R279" i="3"/>
  <c r="O280" i="3"/>
  <c r="P280" i="3"/>
  <c r="O281" i="3"/>
  <c r="P281" i="3" s="1"/>
  <c r="O282" i="3"/>
  <c r="P282" i="3" s="1"/>
  <c r="Q282" i="3" s="1"/>
  <c r="R282" i="3"/>
  <c r="S282" i="3"/>
  <c r="O283" i="3"/>
  <c r="P283" i="3"/>
  <c r="O284" i="3"/>
  <c r="P284" i="3"/>
  <c r="S284" i="3"/>
  <c r="O285" i="3"/>
  <c r="P285" i="3"/>
  <c r="Q285" i="3" s="1"/>
  <c r="O286" i="3"/>
  <c r="O287" i="3"/>
  <c r="P287" i="3" s="1"/>
  <c r="Q287" i="3"/>
  <c r="O288" i="3"/>
  <c r="P288" i="3"/>
  <c r="Q288" i="3"/>
  <c r="O289" i="3"/>
  <c r="P289" i="3" s="1"/>
  <c r="O290" i="3"/>
  <c r="P290" i="3" s="1"/>
  <c r="O291" i="3"/>
  <c r="P291" i="3" s="1"/>
  <c r="Q291" i="3"/>
  <c r="R291" i="3"/>
  <c r="S291" i="3"/>
  <c r="O292" i="3"/>
  <c r="P292" i="3"/>
  <c r="S292" i="3" s="1"/>
  <c r="Q292" i="3"/>
  <c r="R292" i="3"/>
  <c r="O293" i="3"/>
  <c r="P293" i="3"/>
  <c r="R293" i="3" s="1"/>
  <c r="Q293" i="3"/>
  <c r="O294" i="3"/>
  <c r="P294" i="3"/>
  <c r="R294" i="3" s="1"/>
  <c r="S294" i="3"/>
  <c r="O295" i="3"/>
  <c r="P295" i="3" s="1"/>
  <c r="S295" i="3" s="1"/>
  <c r="R295" i="3"/>
  <c r="V150" i="2" s="1"/>
  <c r="O296" i="3"/>
  <c r="P296" i="3"/>
  <c r="O297" i="3"/>
  <c r="P297" i="3"/>
  <c r="R297" i="3" s="1"/>
  <c r="Q297" i="3"/>
  <c r="S297" i="3"/>
  <c r="O298" i="3"/>
  <c r="P298" i="3" s="1"/>
  <c r="Q298" i="3" s="1"/>
  <c r="R298" i="3"/>
  <c r="S298" i="3"/>
  <c r="O299" i="3"/>
  <c r="P299" i="3" s="1"/>
  <c r="O300" i="3"/>
  <c r="P300" i="3"/>
  <c r="S300" i="3" s="1"/>
  <c r="R300" i="3"/>
  <c r="O301" i="3"/>
  <c r="P301" i="3"/>
  <c r="O302" i="3"/>
  <c r="P302" i="3"/>
  <c r="O303" i="3"/>
  <c r="P303" i="3" s="1"/>
  <c r="R303" i="3" s="1"/>
  <c r="S303" i="3"/>
  <c r="O304" i="3"/>
  <c r="P304" i="3" s="1"/>
  <c r="O305" i="3"/>
  <c r="P305" i="3" s="1"/>
  <c r="O306" i="3"/>
  <c r="P306" i="3"/>
  <c r="S306" i="3"/>
  <c r="O307" i="3"/>
  <c r="P307" i="3" s="1"/>
  <c r="O308" i="3"/>
  <c r="P308" i="3" s="1"/>
  <c r="S308" i="3" s="1"/>
  <c r="Q308" i="3"/>
  <c r="R308" i="3"/>
  <c r="O309" i="3"/>
  <c r="P309" i="3" s="1"/>
  <c r="O310" i="3"/>
  <c r="P310" i="3" s="1"/>
  <c r="Q310" i="3" s="1"/>
  <c r="R310" i="3"/>
  <c r="S310" i="3"/>
  <c r="O311" i="3"/>
  <c r="P311" i="3"/>
  <c r="Q311" i="3" s="1"/>
  <c r="R311" i="3"/>
  <c r="O312" i="3"/>
  <c r="P312" i="3"/>
  <c r="Q312" i="3"/>
  <c r="R312" i="3"/>
  <c r="S312" i="3"/>
  <c r="O313" i="3"/>
  <c r="P313" i="3"/>
  <c r="O314" i="3"/>
  <c r="P314" i="3"/>
  <c r="R314" i="3" s="1"/>
  <c r="Q314" i="3"/>
  <c r="S314" i="3"/>
  <c r="O315" i="3"/>
  <c r="P315" i="3" s="1"/>
  <c r="S315" i="3" s="1"/>
  <c r="Q315" i="3"/>
  <c r="R315" i="3"/>
  <c r="O316" i="3"/>
  <c r="P316" i="3" s="1"/>
  <c r="S316" i="3" s="1"/>
  <c r="Q316" i="3"/>
  <c r="R316" i="3"/>
  <c r="O317" i="3"/>
  <c r="P317" i="3" s="1"/>
  <c r="R317" i="3"/>
  <c r="O318" i="3"/>
  <c r="P318" i="3" s="1"/>
  <c r="R318" i="3"/>
  <c r="O319" i="3"/>
  <c r="P319" i="3"/>
  <c r="O320" i="3"/>
  <c r="P320" i="3"/>
  <c r="Q320" i="3"/>
  <c r="R320" i="3"/>
  <c r="S320" i="3"/>
  <c r="O321" i="3"/>
  <c r="P321" i="3"/>
  <c r="Q321" i="3" s="1"/>
  <c r="O322" i="3"/>
  <c r="P322" i="3"/>
  <c r="Q322" i="3"/>
  <c r="O323" i="3"/>
  <c r="P323" i="3" s="1"/>
  <c r="S323" i="3" s="1"/>
  <c r="Q323" i="3"/>
  <c r="R323" i="3"/>
  <c r="O324" i="3"/>
  <c r="P324" i="3" s="1"/>
  <c r="S324" i="3" s="1"/>
  <c r="Q324" i="3"/>
  <c r="R324" i="3"/>
  <c r="O325" i="3"/>
  <c r="P325" i="3" s="1"/>
  <c r="R325" i="3"/>
  <c r="V164" i="2" s="1"/>
  <c r="O326" i="3"/>
  <c r="P326" i="3" s="1"/>
  <c r="Q326" i="3" s="1"/>
  <c r="S326" i="3"/>
  <c r="O327" i="3"/>
  <c r="P327" i="3"/>
  <c r="O328" i="3"/>
  <c r="P328" i="3"/>
  <c r="Q328" i="3"/>
  <c r="R328" i="3"/>
  <c r="S328" i="3"/>
  <c r="O329" i="3"/>
  <c r="P329" i="3"/>
  <c r="Q329" i="3"/>
  <c r="O330" i="3"/>
  <c r="P330" i="3"/>
  <c r="R330" i="3" s="1"/>
  <c r="S330" i="3"/>
  <c r="O331" i="3"/>
  <c r="P331" i="3" s="1"/>
  <c r="O332" i="3"/>
  <c r="P332" i="3" s="1"/>
  <c r="S332" i="3" s="1"/>
  <c r="Q332" i="3"/>
  <c r="R332" i="3"/>
  <c r="O333" i="3"/>
  <c r="P333" i="3"/>
  <c r="S333" i="3" s="1"/>
  <c r="Q333" i="3"/>
  <c r="R333" i="3"/>
  <c r="O334" i="3"/>
  <c r="P334" i="3" s="1"/>
  <c r="Q334" i="3" s="1"/>
  <c r="R334" i="3"/>
  <c r="S334" i="3"/>
  <c r="O335" i="3"/>
  <c r="P335" i="3" s="1"/>
  <c r="Q335" i="3" s="1"/>
  <c r="R335" i="3"/>
  <c r="O336" i="3"/>
  <c r="P336" i="3"/>
  <c r="Q336" i="3"/>
  <c r="R336" i="3"/>
  <c r="S336" i="3"/>
  <c r="O337" i="3"/>
  <c r="P337" i="3"/>
  <c r="O338" i="3"/>
  <c r="P338" i="3"/>
  <c r="R338" i="3" s="1"/>
  <c r="Q338" i="3"/>
  <c r="S338" i="3"/>
  <c r="O339" i="3"/>
  <c r="P339" i="3" s="1"/>
  <c r="S339" i="3" s="1"/>
  <c r="R339" i="3"/>
  <c r="O340" i="3"/>
  <c r="P340" i="3" s="1"/>
  <c r="S340" i="3" s="1"/>
  <c r="Q340" i="3"/>
  <c r="R340" i="3"/>
  <c r="O341" i="3"/>
  <c r="P341" i="3"/>
  <c r="O342" i="3"/>
  <c r="P342" i="3" s="1"/>
  <c r="Q342" i="3" s="1"/>
  <c r="O343" i="3"/>
  <c r="P343" i="3"/>
  <c r="Q343" i="3" s="1"/>
  <c r="R343" i="3"/>
  <c r="S343" i="3"/>
  <c r="O344" i="3"/>
  <c r="P344" i="3"/>
  <c r="Q344" i="3"/>
  <c r="R344" i="3"/>
  <c r="S344" i="3"/>
  <c r="O345" i="3"/>
  <c r="P345" i="3"/>
  <c r="O346" i="3"/>
  <c r="P346" i="3"/>
  <c r="R346" i="3" s="1"/>
  <c r="Q346" i="3"/>
  <c r="O347" i="3"/>
  <c r="P347" i="3" s="1"/>
  <c r="S347" i="3" s="1"/>
  <c r="Q347" i="3"/>
  <c r="R347" i="3"/>
  <c r="O348" i="3"/>
  <c r="P348" i="3" s="1"/>
  <c r="S348" i="3" s="1"/>
  <c r="Q348" i="3"/>
  <c r="R348" i="3"/>
  <c r="O349" i="3"/>
  <c r="P349" i="3" s="1"/>
  <c r="O350" i="3"/>
  <c r="P350" i="3"/>
  <c r="Q350" i="3" s="1"/>
  <c r="R350" i="3"/>
  <c r="S350" i="3"/>
  <c r="O351" i="3"/>
  <c r="P351" i="3" s="1"/>
  <c r="O352" i="3"/>
  <c r="P352" i="3"/>
  <c r="Q352" i="3"/>
  <c r="R352" i="3"/>
  <c r="S352" i="3"/>
  <c r="O353" i="3"/>
  <c r="P353" i="3"/>
  <c r="Q353" i="3"/>
  <c r="O354" i="3"/>
  <c r="P354" i="3"/>
  <c r="R354" i="3" s="1"/>
  <c r="S354" i="3"/>
  <c r="O355" i="3"/>
  <c r="P355" i="3" s="1"/>
  <c r="O356" i="3"/>
  <c r="P356" i="3" s="1"/>
  <c r="S356" i="3" s="1"/>
  <c r="Q356" i="3"/>
  <c r="R356" i="3"/>
  <c r="O357" i="3"/>
  <c r="P357" i="3"/>
  <c r="S357" i="3" s="1"/>
  <c r="Q357" i="3"/>
  <c r="R357" i="3"/>
  <c r="O358" i="3"/>
  <c r="P358" i="3"/>
  <c r="Q358" i="3" s="1"/>
  <c r="R358" i="3"/>
  <c r="S358" i="3"/>
  <c r="O359" i="3"/>
  <c r="P359" i="3"/>
  <c r="Q359" i="3" s="1"/>
  <c r="R359" i="3"/>
  <c r="S359" i="3"/>
  <c r="O360" i="3"/>
  <c r="P360" i="3"/>
  <c r="S360" i="3" s="1"/>
  <c r="Q360" i="3"/>
  <c r="R360" i="3"/>
  <c r="O361" i="3"/>
  <c r="P361" i="3"/>
  <c r="Q361" i="3"/>
  <c r="O362" i="3"/>
  <c r="P362" i="3"/>
  <c r="R362" i="3" s="1"/>
  <c r="Q362" i="3"/>
  <c r="S362" i="3"/>
  <c r="O363" i="3"/>
  <c r="P363" i="3" s="1"/>
  <c r="S363" i="3" s="1"/>
  <c r="Q363" i="3"/>
  <c r="R363" i="3"/>
  <c r="O364" i="3"/>
  <c r="P364" i="3" s="1"/>
  <c r="O365" i="3"/>
  <c r="P365" i="3" s="1"/>
  <c r="O366" i="3"/>
  <c r="P366" i="3"/>
  <c r="O367" i="3"/>
  <c r="P367" i="3" s="1"/>
  <c r="S367" i="3"/>
  <c r="O368" i="3"/>
  <c r="P368" i="3"/>
  <c r="S368" i="3"/>
  <c r="O369" i="3"/>
  <c r="P369" i="3"/>
  <c r="Q369" i="3"/>
  <c r="O370" i="3"/>
  <c r="P370" i="3"/>
  <c r="O371" i="3"/>
  <c r="P371" i="3" s="1"/>
  <c r="O372" i="3"/>
  <c r="P372" i="3" s="1"/>
  <c r="S372" i="3" s="1"/>
  <c r="Q372" i="3"/>
  <c r="O373" i="3"/>
  <c r="P373" i="3"/>
  <c r="S373" i="3" s="1"/>
  <c r="Q373" i="3"/>
  <c r="R373" i="3"/>
  <c r="O374" i="3"/>
  <c r="P374" i="3"/>
  <c r="Q374" i="3" s="1"/>
  <c r="R374" i="3"/>
  <c r="O375" i="3"/>
  <c r="P375" i="3"/>
  <c r="Q375" i="3" s="1"/>
  <c r="R375" i="3"/>
  <c r="S375" i="3"/>
  <c r="O376" i="3"/>
  <c r="P376" i="3"/>
  <c r="S376" i="3" s="1"/>
  <c r="Q376" i="3"/>
  <c r="O377" i="3"/>
  <c r="P377" i="3"/>
  <c r="O378" i="3"/>
  <c r="P378" i="3"/>
  <c r="R378" i="3" s="1"/>
  <c r="O379" i="3"/>
  <c r="P379" i="3" s="1"/>
  <c r="S379" i="3" s="1"/>
  <c r="Q379" i="3"/>
  <c r="R379" i="3"/>
  <c r="O380" i="3"/>
  <c r="P380" i="3" s="1"/>
  <c r="S380" i="3" s="1"/>
  <c r="R380" i="3"/>
  <c r="O381" i="3"/>
  <c r="P381" i="3" s="1"/>
  <c r="O382" i="3"/>
  <c r="P382" i="3"/>
  <c r="Q382" i="3" s="1"/>
  <c r="S382" i="3"/>
  <c r="O383" i="3"/>
  <c r="P383" i="3"/>
  <c r="O384" i="3"/>
  <c r="P384" i="3"/>
  <c r="Q384" i="3" s="1"/>
  <c r="R384" i="3"/>
  <c r="S384" i="3"/>
  <c r="O385" i="3"/>
  <c r="P385" i="3"/>
  <c r="Q385" i="3"/>
  <c r="O386" i="3"/>
  <c r="P386" i="3" s="1"/>
  <c r="O387" i="3"/>
  <c r="P387" i="3" s="1"/>
  <c r="Q387" i="3" s="1"/>
  <c r="O388" i="3"/>
  <c r="P388" i="3" s="1"/>
  <c r="S388" i="3" s="1"/>
  <c r="Q388" i="3"/>
  <c r="R388" i="3"/>
  <c r="O389" i="3"/>
  <c r="P389" i="3"/>
  <c r="O390" i="3"/>
  <c r="P390" i="3"/>
  <c r="S390" i="3" s="1"/>
  <c r="Q390" i="3"/>
  <c r="R390" i="3"/>
  <c r="O391" i="3"/>
  <c r="P391" i="3"/>
  <c r="O392" i="3"/>
  <c r="P392" i="3"/>
  <c r="S392" i="3"/>
  <c r="O393" i="3"/>
  <c r="P393" i="3" s="1"/>
  <c r="O394" i="3"/>
  <c r="P394" i="3" s="1"/>
  <c r="R394" i="3"/>
  <c r="O395" i="3"/>
  <c r="P395" i="3"/>
  <c r="S395" i="3" s="1"/>
  <c r="O396" i="3"/>
  <c r="P396" i="3" s="1"/>
  <c r="Q396" i="3" s="1"/>
  <c r="R396" i="3"/>
  <c r="O397" i="3"/>
  <c r="P397" i="3" s="1"/>
  <c r="R397" i="3"/>
  <c r="O398" i="3"/>
  <c r="P398" i="3"/>
  <c r="S398" i="3" s="1"/>
  <c r="O399" i="3"/>
  <c r="P399" i="3"/>
  <c r="O400" i="3"/>
  <c r="P400" i="3"/>
  <c r="O401" i="3"/>
  <c r="P401" i="3" s="1"/>
  <c r="S401" i="3" s="1"/>
  <c r="W203" i="2" s="1"/>
  <c r="O402" i="3"/>
  <c r="P402" i="3"/>
  <c r="O403" i="3"/>
  <c r="P403" i="3" s="1"/>
  <c r="Q403" i="3" s="1"/>
  <c r="R403" i="3"/>
  <c r="S403" i="3"/>
  <c r="O404" i="3"/>
  <c r="P404" i="3" s="1"/>
  <c r="S404" i="3"/>
  <c r="O405" i="3"/>
  <c r="P405" i="3" s="1"/>
  <c r="Q405" i="3"/>
  <c r="R405" i="3"/>
  <c r="S405" i="3"/>
  <c r="O406" i="3"/>
  <c r="P406" i="3"/>
  <c r="S406" i="3" s="1"/>
  <c r="Q406" i="3"/>
  <c r="R406" i="3"/>
  <c r="O407" i="3"/>
  <c r="P407" i="3"/>
  <c r="Q407" i="3"/>
  <c r="O408" i="3"/>
  <c r="P408" i="3"/>
  <c r="S408" i="3"/>
  <c r="O409" i="3"/>
  <c r="P409" i="3" s="1"/>
  <c r="Q409" i="3"/>
  <c r="O410" i="3"/>
  <c r="P410" i="3" s="1"/>
  <c r="R410" i="3"/>
  <c r="O411" i="3"/>
  <c r="P411" i="3" s="1"/>
  <c r="O412" i="3"/>
  <c r="P412" i="3" s="1"/>
  <c r="O413" i="3"/>
  <c r="P413" i="3" s="1"/>
  <c r="R413" i="3"/>
  <c r="O414" i="3"/>
  <c r="P414" i="3"/>
  <c r="S414" i="3" s="1"/>
  <c r="Q414" i="3"/>
  <c r="R414" i="3"/>
  <c r="O415" i="3"/>
  <c r="P415" i="3"/>
  <c r="O416" i="3"/>
  <c r="P416" i="3"/>
  <c r="Q416" i="3"/>
  <c r="O417" i="3"/>
  <c r="P417" i="3" s="1"/>
  <c r="S417" i="3"/>
  <c r="O418" i="3"/>
  <c r="P418" i="3" s="1"/>
  <c r="O419" i="3"/>
  <c r="P419" i="3" s="1"/>
  <c r="Q419" i="3" s="1"/>
  <c r="O420" i="3"/>
  <c r="P420" i="3" s="1"/>
  <c r="O421" i="3"/>
  <c r="P421" i="3" s="1"/>
  <c r="R421" i="3" s="1"/>
  <c r="Q421" i="3"/>
  <c r="O422" i="3"/>
  <c r="P422" i="3"/>
  <c r="S422" i="3" s="1"/>
  <c r="Q422" i="3"/>
  <c r="R422" i="3"/>
  <c r="O423" i="3"/>
  <c r="P423" i="3"/>
  <c r="O424" i="3"/>
  <c r="P424" i="3"/>
  <c r="S424" i="3"/>
  <c r="O425" i="3"/>
  <c r="P425" i="3" s="1"/>
  <c r="O426" i="3"/>
  <c r="P426" i="3" s="1"/>
  <c r="R426" i="3"/>
  <c r="O427" i="3"/>
  <c r="P427" i="3"/>
  <c r="S427" i="3" s="1"/>
  <c r="O428" i="3"/>
  <c r="P428" i="3" s="1"/>
  <c r="Q428" i="3" s="1"/>
  <c r="R428" i="3"/>
  <c r="O429" i="3"/>
  <c r="P429" i="3" s="1"/>
  <c r="R429" i="3"/>
  <c r="O430" i="3"/>
  <c r="P430" i="3"/>
  <c r="S430" i="3" s="1"/>
  <c r="O431" i="3"/>
  <c r="P431" i="3"/>
  <c r="O432" i="3"/>
  <c r="P432" i="3"/>
  <c r="O433" i="3"/>
  <c r="P433" i="3" s="1"/>
  <c r="S433" i="3" s="1"/>
  <c r="O434" i="3"/>
  <c r="P434" i="3"/>
  <c r="O435" i="3"/>
  <c r="P435" i="3" s="1"/>
  <c r="Q435" i="3" s="1"/>
  <c r="R435" i="3"/>
  <c r="S435" i="3"/>
  <c r="O436" i="3"/>
  <c r="P436" i="3" s="1"/>
  <c r="S436" i="3"/>
  <c r="O437" i="3"/>
  <c r="P437" i="3" s="1"/>
  <c r="Q437" i="3"/>
  <c r="R437" i="3"/>
  <c r="S437" i="3"/>
  <c r="O438" i="3"/>
  <c r="P438" i="3"/>
  <c r="S438" i="3" s="1"/>
  <c r="Q438" i="3"/>
  <c r="R438" i="3"/>
  <c r="O439" i="3"/>
  <c r="P439" i="3"/>
  <c r="Q439" i="3"/>
  <c r="O440" i="3"/>
  <c r="P440" i="3"/>
  <c r="S440" i="3"/>
  <c r="O441" i="3"/>
  <c r="P441" i="3" s="1"/>
  <c r="Q441" i="3"/>
  <c r="O442" i="3"/>
  <c r="P442" i="3" s="1"/>
  <c r="Q442" i="3" s="1"/>
  <c r="R442" i="3"/>
  <c r="S442" i="3"/>
  <c r="W224" i="2" s="1"/>
  <c r="O443" i="3"/>
  <c r="P443" i="3" s="1"/>
  <c r="R443" i="3"/>
  <c r="O444" i="3"/>
  <c r="P444" i="3"/>
  <c r="S444" i="3" s="1"/>
  <c r="Q444" i="3"/>
  <c r="O445" i="3"/>
  <c r="P445" i="3"/>
  <c r="O446" i="3"/>
  <c r="P446" i="3"/>
  <c r="O447" i="3"/>
  <c r="P447" i="3" s="1"/>
  <c r="Q447" i="3" s="1"/>
  <c r="S447" i="3"/>
  <c r="O448" i="3"/>
  <c r="P448" i="3"/>
  <c r="S448" i="3" s="1"/>
  <c r="Q448" i="3"/>
  <c r="R448" i="3"/>
  <c r="O449" i="3"/>
  <c r="P449" i="3" s="1"/>
  <c r="O450" i="3"/>
  <c r="P450" i="3" s="1"/>
  <c r="O451" i="3"/>
  <c r="P451" i="3" s="1"/>
  <c r="O452" i="3"/>
  <c r="P452" i="3"/>
  <c r="S452" i="3" s="1"/>
  <c r="Q452" i="3"/>
  <c r="R452" i="3"/>
  <c r="O453" i="3"/>
  <c r="P453" i="3"/>
  <c r="S453" i="3"/>
  <c r="O454" i="3"/>
  <c r="P454" i="3"/>
  <c r="S454" i="3" s="1"/>
  <c r="O455" i="3"/>
  <c r="P455" i="3" s="1"/>
  <c r="R455" i="3" s="1"/>
  <c r="Q455" i="3"/>
  <c r="S455" i="3"/>
  <c r="O456" i="3"/>
  <c r="P456" i="3"/>
  <c r="S456" i="3" s="1"/>
  <c r="Q456" i="3"/>
  <c r="R456" i="3"/>
  <c r="O457" i="3"/>
  <c r="P457" i="3"/>
  <c r="O458" i="3"/>
  <c r="P458" i="3" s="1"/>
  <c r="Q458" i="3" s="1"/>
  <c r="R458" i="3"/>
  <c r="O459" i="3"/>
  <c r="P459" i="3" s="1"/>
  <c r="R459" i="3" s="1"/>
  <c r="O460" i="3"/>
  <c r="P460" i="3"/>
  <c r="R460" i="3" s="1"/>
  <c r="V231" i="2" s="1"/>
  <c r="O461" i="3"/>
  <c r="P461" i="3"/>
  <c r="S461" i="3"/>
  <c r="O462" i="3"/>
  <c r="P462" i="3"/>
  <c r="S462" i="3"/>
  <c r="W233" i="2" s="1"/>
  <c r="O463" i="3"/>
  <c r="P463" i="3" s="1"/>
  <c r="Q463" i="3"/>
  <c r="R463" i="3"/>
  <c r="S463" i="3"/>
  <c r="O464" i="3"/>
  <c r="P464" i="3"/>
  <c r="S464" i="3" s="1"/>
  <c r="Q464" i="3"/>
  <c r="R464" i="3"/>
  <c r="O465" i="3"/>
  <c r="P465" i="3"/>
  <c r="Q465" i="3" s="1"/>
  <c r="O466" i="3"/>
  <c r="P466" i="3" s="1"/>
  <c r="Q466" i="3" s="1"/>
  <c r="R466" i="3"/>
  <c r="O467" i="3"/>
  <c r="P467" i="3" s="1"/>
  <c r="R467" i="3"/>
  <c r="O468" i="3"/>
  <c r="P468" i="3"/>
  <c r="Q468" i="3" s="1"/>
  <c r="O469" i="3"/>
  <c r="P469" i="3"/>
  <c r="S469" i="3"/>
  <c r="O470" i="3"/>
  <c r="P470" i="3" s="1"/>
  <c r="S470" i="3"/>
  <c r="O471" i="3"/>
  <c r="P471" i="3" s="1"/>
  <c r="O472" i="3"/>
  <c r="P472" i="3"/>
  <c r="S472" i="3" s="1"/>
  <c r="Q472" i="3"/>
  <c r="R472" i="3"/>
  <c r="O473" i="3"/>
  <c r="P473" i="3" s="1"/>
  <c r="O474" i="3"/>
  <c r="P474" i="3" s="1"/>
  <c r="Q474" i="3" s="1"/>
  <c r="R474" i="3"/>
  <c r="S474" i="3"/>
  <c r="W239" i="2" s="1"/>
  <c r="O475" i="3"/>
  <c r="P475" i="3" s="1"/>
  <c r="R475" i="3"/>
  <c r="O476" i="3"/>
  <c r="P476" i="3"/>
  <c r="S476" i="3" s="1"/>
  <c r="Q476" i="3"/>
  <c r="O477" i="3"/>
  <c r="P477" i="3"/>
  <c r="O478" i="3"/>
  <c r="P478" i="3" s="1"/>
  <c r="O479" i="3"/>
  <c r="P479" i="3" s="1"/>
  <c r="Q479" i="3" s="1"/>
  <c r="S479" i="3"/>
  <c r="O480" i="3"/>
  <c r="P480" i="3"/>
  <c r="S480" i="3" s="1"/>
  <c r="Q480" i="3"/>
  <c r="R480" i="3"/>
  <c r="O481" i="3"/>
  <c r="P481" i="3" s="1"/>
  <c r="T242" i="2" s="1"/>
  <c r="U242" i="2" s="1"/>
  <c r="O482" i="3"/>
  <c r="P482" i="3" s="1"/>
  <c r="S482" i="3"/>
  <c r="O483" i="3"/>
  <c r="P483" i="3" s="1"/>
  <c r="O484" i="3"/>
  <c r="P484" i="3"/>
  <c r="S484" i="3" s="1"/>
  <c r="Q484" i="3"/>
  <c r="R484" i="3"/>
  <c r="O485" i="3"/>
  <c r="P485" i="3"/>
  <c r="S485" i="3"/>
  <c r="O486" i="3"/>
  <c r="P486" i="3"/>
  <c r="S486" i="3" s="1"/>
  <c r="O487" i="3"/>
  <c r="P487" i="3" s="1"/>
  <c r="R487" i="3" s="1"/>
  <c r="Q487" i="3"/>
  <c r="S487" i="3"/>
  <c r="O488" i="3"/>
  <c r="P488" i="3"/>
  <c r="S488" i="3" s="1"/>
  <c r="Q488" i="3"/>
  <c r="R488" i="3"/>
  <c r="O489" i="3"/>
  <c r="P489" i="3"/>
  <c r="O490" i="3"/>
  <c r="P490" i="3"/>
  <c r="O491" i="3"/>
  <c r="P491" i="3" s="1"/>
  <c r="Q491" i="3" s="1"/>
  <c r="R491" i="3"/>
  <c r="S491" i="3"/>
  <c r="O492" i="3"/>
  <c r="P492" i="3"/>
  <c r="Q492" i="3"/>
  <c r="O493" i="3"/>
  <c r="P493" i="3"/>
  <c r="R493" i="3" s="1"/>
  <c r="Q493" i="3"/>
  <c r="S493" i="3"/>
  <c r="O494" i="3"/>
  <c r="P494" i="3"/>
  <c r="S494" i="3"/>
  <c r="O495" i="3"/>
  <c r="P495" i="3" s="1"/>
  <c r="R495" i="3" s="1"/>
  <c r="Q495" i="3"/>
  <c r="S495" i="3"/>
  <c r="O496" i="3"/>
  <c r="P496" i="3"/>
  <c r="S496" i="3" s="1"/>
  <c r="Q496" i="3"/>
  <c r="R496" i="3"/>
  <c r="O497" i="3"/>
  <c r="P497" i="3"/>
  <c r="Q497" i="3" s="1"/>
  <c r="O498" i="3"/>
  <c r="P498" i="3"/>
  <c r="S498" i="3"/>
  <c r="O499" i="3"/>
  <c r="P499" i="3" s="1"/>
  <c r="O500" i="3"/>
  <c r="P500" i="3"/>
  <c r="S500" i="3" s="1"/>
  <c r="Q500" i="3"/>
  <c r="O501" i="3"/>
  <c r="P501" i="3"/>
  <c r="O502" i="3"/>
  <c r="P502" i="3"/>
  <c r="S502" i="3"/>
  <c r="O503" i="3"/>
  <c r="P503" i="3" s="1"/>
  <c r="Q503" i="3"/>
  <c r="R503" i="3"/>
  <c r="S503" i="3"/>
  <c r="O504" i="3"/>
  <c r="P504" i="3"/>
  <c r="S504" i="3" s="1"/>
  <c r="Q504" i="3"/>
  <c r="R504" i="3"/>
  <c r="O505" i="3"/>
  <c r="P505" i="3"/>
  <c r="Q505" i="3"/>
  <c r="O506" i="3"/>
  <c r="P506" i="3"/>
  <c r="Q506" i="3" s="1"/>
  <c r="S506" i="3"/>
  <c r="O507" i="3"/>
  <c r="P507" i="3" s="1"/>
  <c r="O508" i="3"/>
  <c r="P508" i="3"/>
  <c r="S508" i="3" s="1"/>
  <c r="Q508" i="3"/>
  <c r="O509" i="3"/>
  <c r="P509" i="3"/>
  <c r="S509" i="3"/>
  <c r="O510" i="3"/>
  <c r="P510" i="3" s="1"/>
  <c r="O511" i="3"/>
  <c r="P511" i="3" s="1"/>
  <c r="S511" i="3" s="1"/>
  <c r="Q511" i="3"/>
  <c r="R511" i="3"/>
  <c r="O512" i="3"/>
  <c r="P512" i="3"/>
  <c r="S512" i="3" s="1"/>
  <c r="Q512" i="3"/>
  <c r="R512" i="3"/>
  <c r="O513" i="3"/>
  <c r="P513" i="3"/>
  <c r="Q513" i="3"/>
  <c r="O514" i="3"/>
  <c r="P514" i="3"/>
  <c r="R514" i="3"/>
  <c r="O515" i="3"/>
  <c r="P515" i="3" s="1"/>
  <c r="Q515" i="3" s="1"/>
  <c r="O516" i="3"/>
  <c r="P516" i="3"/>
  <c r="S516" i="3" s="1"/>
  <c r="Q516" i="3"/>
  <c r="R516" i="3"/>
  <c r="O517" i="3"/>
  <c r="P517" i="3"/>
  <c r="R517" i="3" s="1"/>
  <c r="O518" i="3"/>
  <c r="P518" i="3" s="1"/>
  <c r="S518" i="3" s="1"/>
  <c r="O519" i="3"/>
  <c r="P519" i="3" s="1"/>
  <c r="O520" i="3"/>
  <c r="P520" i="3"/>
  <c r="S520" i="3" s="1"/>
  <c r="Q520" i="3"/>
  <c r="R520" i="3"/>
  <c r="O521" i="3"/>
  <c r="P521" i="3" s="1"/>
  <c r="O522" i="3"/>
  <c r="P522" i="3"/>
  <c r="Q522" i="3" s="1"/>
  <c r="R522" i="3"/>
  <c r="O523" i="3"/>
  <c r="P523" i="3" s="1"/>
  <c r="O524" i="3"/>
  <c r="P524" i="3"/>
  <c r="S524" i="3" s="1"/>
  <c r="Q524" i="3"/>
  <c r="R524" i="3"/>
  <c r="O525" i="3"/>
  <c r="P525" i="3"/>
  <c r="Q525" i="3"/>
  <c r="N5" i="2"/>
  <c r="O5" i="2"/>
  <c r="R5" i="2" s="1"/>
  <c r="P5" i="2"/>
  <c r="Q5" i="2"/>
  <c r="S5" i="2"/>
  <c r="T5" i="2"/>
  <c r="U5" i="2" s="1"/>
  <c r="W5" i="2"/>
  <c r="X5" i="2"/>
  <c r="Y5" i="2"/>
  <c r="Z5" i="2"/>
  <c r="AA5" i="2"/>
  <c r="N6" i="2"/>
  <c r="O6" i="2"/>
  <c r="P6" i="2"/>
  <c r="Q6" i="2"/>
  <c r="R6" i="2"/>
  <c r="S6" i="2"/>
  <c r="T6" i="2"/>
  <c r="U6" i="2"/>
  <c r="W6" i="2"/>
  <c r="X6" i="2"/>
  <c r="Y6" i="2"/>
  <c r="Z6" i="2"/>
  <c r="AA6" i="2"/>
  <c r="N7" i="2"/>
  <c r="O7" i="2"/>
  <c r="R7" i="2" s="1"/>
  <c r="P7" i="2"/>
  <c r="Q7" i="2"/>
  <c r="S7" i="2"/>
  <c r="T7" i="2"/>
  <c r="U7" i="2" s="1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R9" i="2" s="1"/>
  <c r="P9" i="2"/>
  <c r="Q9" i="2"/>
  <c r="S9" i="2"/>
  <c r="T9" i="2"/>
  <c r="U9" i="2" s="1"/>
  <c r="V9" i="2"/>
  <c r="X9" i="2"/>
  <c r="Y9" i="2"/>
  <c r="Z9" i="2"/>
  <c r="AA9" i="2"/>
  <c r="N10" i="2"/>
  <c r="O10" i="2"/>
  <c r="R10" i="2" s="1"/>
  <c r="P10" i="2"/>
  <c r="Q10" i="2"/>
  <c r="S10" i="2"/>
  <c r="T10" i="2"/>
  <c r="U10" i="2" s="1"/>
  <c r="V10" i="2"/>
  <c r="X10" i="2"/>
  <c r="Y10" i="2"/>
  <c r="Z10" i="2"/>
  <c r="AA10" i="2"/>
  <c r="N11" i="2"/>
  <c r="O11" i="2"/>
  <c r="R11" i="2" s="1"/>
  <c r="P11" i="2"/>
  <c r="Q11" i="2"/>
  <c r="S11" i="2"/>
  <c r="T11" i="2"/>
  <c r="U11" i="2" s="1"/>
  <c r="W11" i="2"/>
  <c r="X11" i="2"/>
  <c r="Y11" i="2"/>
  <c r="Z11" i="2"/>
  <c r="AA11" i="2"/>
  <c r="N12" i="2"/>
  <c r="O12" i="2"/>
  <c r="R12" i="2" s="1"/>
  <c r="P12" i="2"/>
  <c r="Q12" i="2"/>
  <c r="S12" i="2"/>
  <c r="T12" i="2"/>
  <c r="U12" i="2" s="1"/>
  <c r="V12" i="2"/>
  <c r="X12" i="2"/>
  <c r="Y12" i="2"/>
  <c r="Z12" i="2"/>
  <c r="AA12" i="2"/>
  <c r="N13" i="2"/>
  <c r="O13" i="2"/>
  <c r="R13" i="2" s="1"/>
  <c r="P13" i="2"/>
  <c r="Q13" i="2"/>
  <c r="S13" i="2"/>
  <c r="T13" i="2"/>
  <c r="U13" i="2" s="1"/>
  <c r="V13" i="2"/>
  <c r="X13" i="2"/>
  <c r="Y13" i="2"/>
  <c r="Z13" i="2"/>
  <c r="AA13" i="2"/>
  <c r="N14" i="2"/>
  <c r="O14" i="2"/>
  <c r="R14" i="2" s="1"/>
  <c r="P14" i="2"/>
  <c r="Q14" i="2"/>
  <c r="S14" i="2"/>
  <c r="T14" i="2"/>
  <c r="U14" i="2" s="1"/>
  <c r="X14" i="2"/>
  <c r="Y14" i="2"/>
  <c r="Z14" i="2"/>
  <c r="AA14" i="2"/>
  <c r="N15" i="2"/>
  <c r="O15" i="2"/>
  <c r="R15" i="2" s="1"/>
  <c r="P15" i="2"/>
  <c r="Q15" i="2"/>
  <c r="S15" i="2"/>
  <c r="T15" i="2"/>
  <c r="U15" i="2" s="1"/>
  <c r="X15" i="2"/>
  <c r="Y15" i="2"/>
  <c r="Z15" i="2"/>
  <c r="AA15" i="2"/>
  <c r="N16" i="2"/>
  <c r="O16" i="2"/>
  <c r="R16" i="2" s="1"/>
  <c r="P16" i="2"/>
  <c r="Q16" i="2"/>
  <c r="S16" i="2"/>
  <c r="T16" i="2"/>
  <c r="U16" i="2" s="1"/>
  <c r="V16" i="2"/>
  <c r="X16" i="2"/>
  <c r="Y16" i="2"/>
  <c r="Z16" i="2"/>
  <c r="AA16" i="2"/>
  <c r="N17" i="2"/>
  <c r="O17" i="2"/>
  <c r="R17" i="2" s="1"/>
  <c r="P17" i="2"/>
  <c r="Q17" i="2"/>
  <c r="S17" i="2"/>
  <c r="T17" i="2"/>
  <c r="U17" i="2" s="1"/>
  <c r="V17" i="2"/>
  <c r="X17" i="2"/>
  <c r="Y17" i="2"/>
  <c r="Z17" i="2"/>
  <c r="AA17" i="2"/>
  <c r="N18" i="2"/>
  <c r="O18" i="2"/>
  <c r="R18" i="2" s="1"/>
  <c r="P18" i="2"/>
  <c r="Q18" i="2"/>
  <c r="S18" i="2"/>
  <c r="T18" i="2"/>
  <c r="U18" i="2" s="1"/>
  <c r="X18" i="2"/>
  <c r="Y18" i="2"/>
  <c r="Z18" i="2"/>
  <c r="AA18" i="2"/>
  <c r="N19" i="2"/>
  <c r="O19" i="2"/>
  <c r="R19" i="2" s="1"/>
  <c r="P19" i="2"/>
  <c r="Q19" i="2"/>
  <c r="S19" i="2"/>
  <c r="T19" i="2"/>
  <c r="U19" i="2" s="1"/>
  <c r="X19" i="2"/>
  <c r="Y19" i="2"/>
  <c r="Z19" i="2"/>
  <c r="AA19" i="2"/>
  <c r="N20" i="2"/>
  <c r="O20" i="2"/>
  <c r="R20" i="2" s="1"/>
  <c r="P20" i="2"/>
  <c r="Q20" i="2"/>
  <c r="S20" i="2"/>
  <c r="T20" i="2"/>
  <c r="U20" i="2" s="1"/>
  <c r="X20" i="2"/>
  <c r="Y20" i="2"/>
  <c r="Z20" i="2"/>
  <c r="AA20" i="2"/>
  <c r="N21" i="2"/>
  <c r="O21" i="2"/>
  <c r="R21" i="2" s="1"/>
  <c r="P21" i="2"/>
  <c r="Q21" i="2"/>
  <c r="S21" i="2"/>
  <c r="T21" i="2"/>
  <c r="U21" i="2" s="1"/>
  <c r="V21" i="2"/>
  <c r="X21" i="2"/>
  <c r="Y21" i="2"/>
  <c r="Z21" i="2"/>
  <c r="AA21" i="2"/>
  <c r="N22" i="2"/>
  <c r="O22" i="2"/>
  <c r="R22" i="2" s="1"/>
  <c r="P22" i="2"/>
  <c r="Q22" i="2"/>
  <c r="S22" i="2"/>
  <c r="T22" i="2"/>
  <c r="U22" i="2" s="1"/>
  <c r="W22" i="2"/>
  <c r="X22" i="2"/>
  <c r="Y22" i="2"/>
  <c r="Z22" i="2"/>
  <c r="AA22" i="2"/>
  <c r="N23" i="2"/>
  <c r="O23" i="2"/>
  <c r="R23" i="2" s="1"/>
  <c r="P23" i="2"/>
  <c r="Q23" i="2"/>
  <c r="S23" i="2"/>
  <c r="T23" i="2"/>
  <c r="U23" i="2" s="1"/>
  <c r="X23" i="2"/>
  <c r="Y23" i="2"/>
  <c r="Z23" i="2"/>
  <c r="AA23" i="2"/>
  <c r="N24" i="2"/>
  <c r="O24" i="2"/>
  <c r="R24" i="2" s="1"/>
  <c r="P24" i="2"/>
  <c r="Q24" i="2"/>
  <c r="S24" i="2"/>
  <c r="T24" i="2"/>
  <c r="U24" i="2" s="1"/>
  <c r="X24" i="2"/>
  <c r="Y24" i="2"/>
  <c r="Z24" i="2"/>
  <c r="AA24" i="2"/>
  <c r="N25" i="2"/>
  <c r="O25" i="2"/>
  <c r="R25" i="2" s="1"/>
  <c r="P25" i="2"/>
  <c r="Q25" i="2"/>
  <c r="S25" i="2"/>
  <c r="T25" i="2"/>
  <c r="U25" i="2"/>
  <c r="V25" i="2"/>
  <c r="X25" i="2"/>
  <c r="Y25" i="2"/>
  <c r="Z25" i="2"/>
  <c r="AA25" i="2"/>
  <c r="N26" i="2"/>
  <c r="O26" i="2"/>
  <c r="R26" i="2" s="1"/>
  <c r="P26" i="2"/>
  <c r="Q26" i="2"/>
  <c r="S26" i="2"/>
  <c r="T26" i="2"/>
  <c r="U26" i="2" s="1"/>
  <c r="X26" i="2"/>
  <c r="Y26" i="2"/>
  <c r="Z26" i="2"/>
  <c r="AA26" i="2"/>
  <c r="N27" i="2"/>
  <c r="O27" i="2"/>
  <c r="R27" i="2" s="1"/>
  <c r="P27" i="2"/>
  <c r="Q27" i="2"/>
  <c r="S27" i="2"/>
  <c r="T27" i="2"/>
  <c r="U27" i="2" s="1"/>
  <c r="W27" i="2"/>
  <c r="X27" i="2"/>
  <c r="Y27" i="2"/>
  <c r="Z27" i="2"/>
  <c r="AA27" i="2"/>
  <c r="N28" i="2"/>
  <c r="O28" i="2"/>
  <c r="R28" i="2" s="1"/>
  <c r="P28" i="2"/>
  <c r="Q28" i="2"/>
  <c r="S28" i="2"/>
  <c r="T28" i="2"/>
  <c r="U28" i="2" s="1"/>
  <c r="X28" i="2"/>
  <c r="Y28" i="2"/>
  <c r="Z28" i="2"/>
  <c r="AA28" i="2"/>
  <c r="N29" i="2"/>
  <c r="O29" i="2"/>
  <c r="R29" i="2" s="1"/>
  <c r="P29" i="2"/>
  <c r="Q29" i="2"/>
  <c r="S29" i="2"/>
  <c r="T29" i="2"/>
  <c r="U29" i="2" s="1"/>
  <c r="V29" i="2"/>
  <c r="X29" i="2"/>
  <c r="Y29" i="2"/>
  <c r="Z29" i="2"/>
  <c r="AA29" i="2"/>
  <c r="N30" i="2"/>
  <c r="O30" i="2"/>
  <c r="R30" i="2" s="1"/>
  <c r="P30" i="2"/>
  <c r="Q30" i="2"/>
  <c r="S30" i="2"/>
  <c r="T30" i="2"/>
  <c r="U30" i="2" s="1"/>
  <c r="V30" i="2"/>
  <c r="X30" i="2"/>
  <c r="Y30" i="2"/>
  <c r="Z30" i="2"/>
  <c r="AA30" i="2"/>
  <c r="N31" i="2"/>
  <c r="O31" i="2"/>
  <c r="R31" i="2" s="1"/>
  <c r="P31" i="2"/>
  <c r="Q31" i="2"/>
  <c r="S31" i="2"/>
  <c r="T31" i="2"/>
  <c r="U31" i="2" s="1"/>
  <c r="X31" i="2"/>
  <c r="Y31" i="2"/>
  <c r="Z31" i="2"/>
  <c r="AA31" i="2"/>
  <c r="N32" i="2"/>
  <c r="O32" i="2"/>
  <c r="R32" i="2" s="1"/>
  <c r="P32" i="2"/>
  <c r="Q32" i="2"/>
  <c r="S32" i="2"/>
  <c r="T32" i="2"/>
  <c r="U32" i="2" s="1"/>
  <c r="V32" i="2"/>
  <c r="X32" i="2"/>
  <c r="Y32" i="2"/>
  <c r="Z32" i="2"/>
  <c r="AA32" i="2"/>
  <c r="N33" i="2"/>
  <c r="O33" i="2"/>
  <c r="R33" i="2" s="1"/>
  <c r="P33" i="2"/>
  <c r="Q33" i="2"/>
  <c r="S33" i="2"/>
  <c r="T33" i="2"/>
  <c r="U33" i="2" s="1"/>
  <c r="V33" i="2"/>
  <c r="X33" i="2"/>
  <c r="Y33" i="2"/>
  <c r="Z33" i="2"/>
  <c r="AA33" i="2"/>
  <c r="N34" i="2"/>
  <c r="O34" i="2"/>
  <c r="R34" i="2" s="1"/>
  <c r="P34" i="2"/>
  <c r="Q34" i="2"/>
  <c r="S34" i="2"/>
  <c r="X34" i="2"/>
  <c r="Y34" i="2"/>
  <c r="Z34" i="2"/>
  <c r="AA34" i="2"/>
  <c r="N35" i="2"/>
  <c r="O35" i="2"/>
  <c r="R35" i="2" s="1"/>
  <c r="P35" i="2"/>
  <c r="Q35" i="2"/>
  <c r="S35" i="2"/>
  <c r="T35" i="2"/>
  <c r="U35" i="2" s="1"/>
  <c r="W35" i="2"/>
  <c r="X35" i="2"/>
  <c r="Y35" i="2"/>
  <c r="Z35" i="2"/>
  <c r="AA35" i="2"/>
  <c r="N36" i="2"/>
  <c r="O36" i="2"/>
  <c r="R36" i="2" s="1"/>
  <c r="P36" i="2"/>
  <c r="Q36" i="2"/>
  <c r="S36" i="2"/>
  <c r="X36" i="2"/>
  <c r="Y36" i="2"/>
  <c r="Z36" i="2"/>
  <c r="AA36" i="2"/>
  <c r="N37" i="2"/>
  <c r="O37" i="2"/>
  <c r="R37" i="2" s="1"/>
  <c r="P37" i="2"/>
  <c r="Q37" i="2"/>
  <c r="S37" i="2"/>
  <c r="T37" i="2"/>
  <c r="U37" i="2" s="1"/>
  <c r="V37" i="2"/>
  <c r="W37" i="2"/>
  <c r="X37" i="2"/>
  <c r="Y37" i="2"/>
  <c r="Z37" i="2"/>
  <c r="AA37" i="2"/>
  <c r="N38" i="2"/>
  <c r="O38" i="2"/>
  <c r="R38" i="2" s="1"/>
  <c r="P38" i="2"/>
  <c r="Q38" i="2"/>
  <c r="S38" i="2"/>
  <c r="T38" i="2"/>
  <c r="U38" i="2" s="1"/>
  <c r="X38" i="2"/>
  <c r="Y38" i="2"/>
  <c r="Z38" i="2"/>
  <c r="AA38" i="2"/>
  <c r="N39" i="2"/>
  <c r="O39" i="2"/>
  <c r="P39" i="2"/>
  <c r="Q39" i="2"/>
  <c r="R39" i="2"/>
  <c r="S39" i="2"/>
  <c r="T39" i="2"/>
  <c r="U39" i="2" s="1"/>
  <c r="W39" i="2"/>
  <c r="X39" i="2"/>
  <c r="Y39" i="2"/>
  <c r="Z39" i="2"/>
  <c r="AA39" i="2"/>
  <c r="N40" i="2"/>
  <c r="O40" i="2"/>
  <c r="R40" i="2" s="1"/>
  <c r="P40" i="2"/>
  <c r="Q40" i="2"/>
  <c r="S40" i="2"/>
  <c r="T40" i="2"/>
  <c r="U40" i="2" s="1"/>
  <c r="V40" i="2"/>
  <c r="W40" i="2"/>
  <c r="X40" i="2"/>
  <c r="Y40" i="2"/>
  <c r="Z40" i="2"/>
  <c r="AA40" i="2"/>
  <c r="N41" i="2"/>
  <c r="O41" i="2"/>
  <c r="R41" i="2" s="1"/>
  <c r="P41" i="2"/>
  <c r="Q41" i="2"/>
  <c r="S41" i="2"/>
  <c r="T41" i="2"/>
  <c r="U41" i="2" s="1"/>
  <c r="X41" i="2"/>
  <c r="Y41" i="2"/>
  <c r="Z41" i="2"/>
  <c r="AA41" i="2"/>
  <c r="N42" i="2"/>
  <c r="O42" i="2"/>
  <c r="R42" i="2" s="1"/>
  <c r="P42" i="2"/>
  <c r="Q42" i="2"/>
  <c r="S42" i="2"/>
  <c r="T42" i="2"/>
  <c r="U42" i="2" s="1"/>
  <c r="V42" i="2"/>
  <c r="X42" i="2"/>
  <c r="Y42" i="2"/>
  <c r="Z42" i="2"/>
  <c r="AA42" i="2"/>
  <c r="N43" i="2"/>
  <c r="O43" i="2"/>
  <c r="P43" i="2"/>
  <c r="Q43" i="2"/>
  <c r="R43" i="2"/>
  <c r="S43" i="2"/>
  <c r="T43" i="2"/>
  <c r="U43" i="2" s="1"/>
  <c r="V43" i="2"/>
  <c r="W43" i="2"/>
  <c r="X43" i="2"/>
  <c r="Y43" i="2"/>
  <c r="Z43" i="2"/>
  <c r="AA43" i="2"/>
  <c r="N44" i="2"/>
  <c r="O44" i="2"/>
  <c r="R44" i="2" s="1"/>
  <c r="P44" i="2"/>
  <c r="Q44" i="2"/>
  <c r="S44" i="2"/>
  <c r="T44" i="2"/>
  <c r="U44" i="2"/>
  <c r="W44" i="2"/>
  <c r="X44" i="2"/>
  <c r="Y44" i="2"/>
  <c r="Z44" i="2"/>
  <c r="AA44" i="2"/>
  <c r="N45" i="2"/>
  <c r="O45" i="2"/>
  <c r="R45" i="2" s="1"/>
  <c r="P45" i="2"/>
  <c r="Q45" i="2"/>
  <c r="S45" i="2"/>
  <c r="T45" i="2"/>
  <c r="U45" i="2" s="1"/>
  <c r="X45" i="2"/>
  <c r="Y45" i="2"/>
  <c r="Z45" i="2"/>
  <c r="AA45" i="2"/>
  <c r="N46" i="2"/>
  <c r="O46" i="2"/>
  <c r="P46" i="2"/>
  <c r="Q46" i="2"/>
  <c r="R46" i="2"/>
  <c r="S46" i="2"/>
  <c r="T46" i="2"/>
  <c r="U46" i="2" s="1"/>
  <c r="V46" i="2"/>
  <c r="X46" i="2"/>
  <c r="Y46" i="2"/>
  <c r="Z46" i="2"/>
  <c r="AA46" i="2"/>
  <c r="N47" i="2"/>
  <c r="O47" i="2"/>
  <c r="R47" i="2" s="1"/>
  <c r="P47" i="2"/>
  <c r="Q47" i="2"/>
  <c r="S47" i="2"/>
  <c r="T47" i="2"/>
  <c r="U47" i="2" s="1"/>
  <c r="W47" i="2"/>
  <c r="X47" i="2"/>
  <c r="Y47" i="2"/>
  <c r="Z47" i="2"/>
  <c r="AA47" i="2"/>
  <c r="N48" i="2"/>
  <c r="O48" i="2"/>
  <c r="P48" i="2"/>
  <c r="Q48" i="2"/>
  <c r="R48" i="2"/>
  <c r="S48" i="2"/>
  <c r="T48" i="2"/>
  <c r="U48" i="2" s="1"/>
  <c r="W48" i="2"/>
  <c r="X48" i="2"/>
  <c r="Y48" i="2"/>
  <c r="Z48" i="2"/>
  <c r="AA48" i="2"/>
  <c r="N49" i="2"/>
  <c r="O49" i="2"/>
  <c r="R49" i="2" s="1"/>
  <c r="P49" i="2"/>
  <c r="Q49" i="2"/>
  <c r="S49" i="2"/>
  <c r="T49" i="2"/>
  <c r="U49" i="2" s="1"/>
  <c r="X49" i="2"/>
  <c r="Y49" i="2"/>
  <c r="Z49" i="2"/>
  <c r="AA49" i="2"/>
  <c r="N50" i="2"/>
  <c r="O50" i="2"/>
  <c r="R50" i="2" s="1"/>
  <c r="P50" i="2"/>
  <c r="Q50" i="2"/>
  <c r="S50" i="2"/>
  <c r="T50" i="2"/>
  <c r="U50" i="2" s="1"/>
  <c r="W50" i="2"/>
  <c r="X50" i="2"/>
  <c r="Y50" i="2"/>
  <c r="Z50" i="2"/>
  <c r="AA50" i="2"/>
  <c r="N51" i="2"/>
  <c r="O51" i="2"/>
  <c r="R51" i="2" s="1"/>
  <c r="P51" i="2"/>
  <c r="Q51" i="2"/>
  <c r="S51" i="2"/>
  <c r="T51" i="2"/>
  <c r="U51" i="2" s="1"/>
  <c r="X51" i="2"/>
  <c r="Y51" i="2"/>
  <c r="Z51" i="2"/>
  <c r="AA51" i="2"/>
  <c r="N52" i="2"/>
  <c r="O52" i="2"/>
  <c r="R52" i="2" s="1"/>
  <c r="P52" i="2"/>
  <c r="Q52" i="2"/>
  <c r="S52" i="2"/>
  <c r="T52" i="2"/>
  <c r="U52" i="2" s="1"/>
  <c r="V52" i="2"/>
  <c r="W52" i="2"/>
  <c r="X52" i="2"/>
  <c r="Y52" i="2"/>
  <c r="Z52" i="2"/>
  <c r="AA52" i="2"/>
  <c r="N53" i="2"/>
  <c r="O53" i="2"/>
  <c r="R53" i="2" s="1"/>
  <c r="P53" i="2"/>
  <c r="Q53" i="2"/>
  <c r="S53" i="2"/>
  <c r="T53" i="2"/>
  <c r="U53" i="2" s="1"/>
  <c r="X53" i="2"/>
  <c r="Y53" i="2"/>
  <c r="Z53" i="2"/>
  <c r="AA53" i="2"/>
  <c r="N54" i="2"/>
  <c r="O54" i="2"/>
  <c r="R54" i="2" s="1"/>
  <c r="P54" i="2"/>
  <c r="Q54" i="2"/>
  <c r="S54" i="2"/>
  <c r="T54" i="2"/>
  <c r="U54" i="2" s="1"/>
  <c r="V54" i="2"/>
  <c r="W54" i="2"/>
  <c r="X54" i="2"/>
  <c r="Y54" i="2"/>
  <c r="Z54" i="2"/>
  <c r="AA54" i="2"/>
  <c r="N55" i="2"/>
  <c r="O55" i="2"/>
  <c r="R55" i="2" s="1"/>
  <c r="P55" i="2"/>
  <c r="Q55" i="2"/>
  <c r="S55" i="2"/>
  <c r="T55" i="2"/>
  <c r="U55" i="2" s="1"/>
  <c r="X55" i="2"/>
  <c r="Y55" i="2"/>
  <c r="Z55" i="2"/>
  <c r="AA55" i="2"/>
  <c r="N56" i="2"/>
  <c r="O56" i="2"/>
  <c r="R56" i="2" s="1"/>
  <c r="P56" i="2"/>
  <c r="Q56" i="2"/>
  <c r="S56" i="2"/>
  <c r="T56" i="2"/>
  <c r="U56" i="2" s="1"/>
  <c r="V56" i="2"/>
  <c r="W56" i="2"/>
  <c r="X56" i="2"/>
  <c r="Y56" i="2"/>
  <c r="Z56" i="2"/>
  <c r="AA56" i="2"/>
  <c r="N57" i="2"/>
  <c r="O57" i="2"/>
  <c r="R57" i="2" s="1"/>
  <c r="P57" i="2"/>
  <c r="Q57" i="2"/>
  <c r="S57" i="2"/>
  <c r="T57" i="2"/>
  <c r="U57" i="2" s="1"/>
  <c r="X57" i="2"/>
  <c r="Y57" i="2"/>
  <c r="Z57" i="2"/>
  <c r="AA57" i="2"/>
  <c r="N58" i="2"/>
  <c r="O58" i="2"/>
  <c r="P58" i="2"/>
  <c r="Q58" i="2"/>
  <c r="R58" i="2"/>
  <c r="S58" i="2"/>
  <c r="T58" i="2"/>
  <c r="U58" i="2" s="1"/>
  <c r="X58" i="2"/>
  <c r="Y58" i="2"/>
  <c r="Z58" i="2"/>
  <c r="AA58" i="2"/>
  <c r="N59" i="2"/>
  <c r="O59" i="2"/>
  <c r="R59" i="2" s="1"/>
  <c r="P59" i="2"/>
  <c r="Q59" i="2"/>
  <c r="S59" i="2"/>
  <c r="T59" i="2"/>
  <c r="U59" i="2" s="1"/>
  <c r="X59" i="2"/>
  <c r="Y59" i="2"/>
  <c r="Z59" i="2"/>
  <c r="AA59" i="2"/>
  <c r="N60" i="2"/>
  <c r="O60" i="2"/>
  <c r="R60" i="2" s="1"/>
  <c r="P60" i="2"/>
  <c r="Q60" i="2"/>
  <c r="S60" i="2"/>
  <c r="T60" i="2"/>
  <c r="U60" i="2" s="1"/>
  <c r="V60" i="2"/>
  <c r="W60" i="2"/>
  <c r="X60" i="2"/>
  <c r="Y60" i="2"/>
  <c r="Z60" i="2"/>
  <c r="AA60" i="2"/>
  <c r="N61" i="2"/>
  <c r="O61" i="2"/>
  <c r="R61" i="2" s="1"/>
  <c r="P61" i="2"/>
  <c r="Q61" i="2"/>
  <c r="S61" i="2"/>
  <c r="T61" i="2"/>
  <c r="U61" i="2" s="1"/>
  <c r="V61" i="2"/>
  <c r="X61" i="2"/>
  <c r="Y61" i="2"/>
  <c r="Z61" i="2"/>
  <c r="AA61" i="2"/>
  <c r="N62" i="2"/>
  <c r="O62" i="2"/>
  <c r="R62" i="2" s="1"/>
  <c r="P62" i="2"/>
  <c r="Q62" i="2"/>
  <c r="S62" i="2"/>
  <c r="T62" i="2"/>
  <c r="U62" i="2" s="1"/>
  <c r="X62" i="2"/>
  <c r="Y62" i="2"/>
  <c r="Z62" i="2"/>
  <c r="AA62" i="2"/>
  <c r="N63" i="2"/>
  <c r="O63" i="2"/>
  <c r="R63" i="2" s="1"/>
  <c r="P63" i="2"/>
  <c r="Q63" i="2"/>
  <c r="S63" i="2"/>
  <c r="T63" i="2"/>
  <c r="U63" i="2" s="1"/>
  <c r="X63" i="2"/>
  <c r="Y63" i="2"/>
  <c r="Z63" i="2"/>
  <c r="AA63" i="2"/>
  <c r="N64" i="2"/>
  <c r="O64" i="2"/>
  <c r="R64" i="2" s="1"/>
  <c r="P64" i="2"/>
  <c r="Q64" i="2"/>
  <c r="S64" i="2"/>
  <c r="T64" i="2"/>
  <c r="U64" i="2" s="1"/>
  <c r="X64" i="2"/>
  <c r="Y64" i="2"/>
  <c r="Z64" i="2"/>
  <c r="AA64" i="2"/>
  <c r="N65" i="2"/>
  <c r="O65" i="2"/>
  <c r="R65" i="2" s="1"/>
  <c r="P65" i="2"/>
  <c r="Q65" i="2"/>
  <c r="S65" i="2"/>
  <c r="T65" i="2"/>
  <c r="U65" i="2" s="1"/>
  <c r="V65" i="2"/>
  <c r="X65" i="2"/>
  <c r="Y65" i="2"/>
  <c r="Z65" i="2"/>
  <c r="AA65" i="2"/>
  <c r="N66" i="2"/>
  <c r="O66" i="2"/>
  <c r="R66" i="2" s="1"/>
  <c r="P66" i="2"/>
  <c r="Q66" i="2"/>
  <c r="S66" i="2"/>
  <c r="T66" i="2"/>
  <c r="U66" i="2" s="1"/>
  <c r="X66" i="2"/>
  <c r="Y66" i="2"/>
  <c r="Z66" i="2"/>
  <c r="AA66" i="2"/>
  <c r="N67" i="2"/>
  <c r="O67" i="2"/>
  <c r="P67" i="2"/>
  <c r="Q67" i="2"/>
  <c r="R67" i="2"/>
  <c r="S67" i="2"/>
  <c r="T67" i="2"/>
  <c r="U67" i="2" s="1"/>
  <c r="X67" i="2"/>
  <c r="Y67" i="2"/>
  <c r="Z67" i="2"/>
  <c r="AA67" i="2"/>
  <c r="N68" i="2"/>
  <c r="O68" i="2"/>
  <c r="R68" i="2" s="1"/>
  <c r="P68" i="2"/>
  <c r="Q68" i="2"/>
  <c r="S68" i="2"/>
  <c r="T68" i="2"/>
  <c r="U68" i="2" s="1"/>
  <c r="X68" i="2"/>
  <c r="Y68" i="2"/>
  <c r="Z68" i="2"/>
  <c r="AA68" i="2"/>
  <c r="N69" i="2"/>
  <c r="O69" i="2"/>
  <c r="R69" i="2" s="1"/>
  <c r="P69" i="2"/>
  <c r="Q69" i="2"/>
  <c r="S69" i="2"/>
  <c r="T69" i="2"/>
  <c r="U69" i="2" s="1"/>
  <c r="V69" i="2"/>
  <c r="W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W70" i="2"/>
  <c r="X70" i="2"/>
  <c r="Y70" i="2"/>
  <c r="Z70" i="2"/>
  <c r="AA70" i="2"/>
  <c r="N71" i="2"/>
  <c r="O71" i="2"/>
  <c r="R71" i="2" s="1"/>
  <c r="P71" i="2"/>
  <c r="Q71" i="2"/>
  <c r="S71" i="2"/>
  <c r="T71" i="2"/>
  <c r="U71" i="2" s="1"/>
  <c r="X71" i="2"/>
  <c r="Y71" i="2"/>
  <c r="Z71" i="2"/>
  <c r="AA71" i="2"/>
  <c r="N72" i="2"/>
  <c r="O72" i="2"/>
  <c r="P72" i="2"/>
  <c r="Q72" i="2"/>
  <c r="R72" i="2"/>
  <c r="S72" i="2"/>
  <c r="T72" i="2"/>
  <c r="U72" i="2" s="1"/>
  <c r="V72" i="2"/>
  <c r="W72" i="2"/>
  <c r="X72" i="2"/>
  <c r="Y72" i="2"/>
  <c r="Z72" i="2"/>
  <c r="AA72" i="2"/>
  <c r="N73" i="2"/>
  <c r="O73" i="2"/>
  <c r="R73" i="2" s="1"/>
  <c r="P73" i="2"/>
  <c r="Q73" i="2"/>
  <c r="S73" i="2"/>
  <c r="T73" i="2"/>
  <c r="U73" i="2" s="1"/>
  <c r="X73" i="2"/>
  <c r="Y73" i="2"/>
  <c r="Z73" i="2"/>
  <c r="AA73" i="2"/>
  <c r="N74" i="2"/>
  <c r="O74" i="2"/>
  <c r="R74" i="2" s="1"/>
  <c r="P74" i="2"/>
  <c r="Q74" i="2"/>
  <c r="S74" i="2"/>
  <c r="T74" i="2"/>
  <c r="U74" i="2" s="1"/>
  <c r="W74" i="2"/>
  <c r="X74" i="2"/>
  <c r="Y74" i="2"/>
  <c r="Z74" i="2"/>
  <c r="AA74" i="2"/>
  <c r="N75" i="2"/>
  <c r="O75" i="2"/>
  <c r="R75" i="2" s="1"/>
  <c r="P75" i="2"/>
  <c r="Q75" i="2"/>
  <c r="S75" i="2"/>
  <c r="T75" i="2"/>
  <c r="U75" i="2" s="1"/>
  <c r="X75" i="2"/>
  <c r="Y75" i="2"/>
  <c r="Z75" i="2"/>
  <c r="AA75" i="2"/>
  <c r="N76" i="2"/>
  <c r="O76" i="2"/>
  <c r="R76" i="2" s="1"/>
  <c r="P76" i="2"/>
  <c r="Q76" i="2"/>
  <c r="S76" i="2"/>
  <c r="T76" i="2"/>
  <c r="U76" i="2" s="1"/>
  <c r="X76" i="2"/>
  <c r="Y76" i="2"/>
  <c r="Z76" i="2"/>
  <c r="AA76" i="2"/>
  <c r="N77" i="2"/>
  <c r="O77" i="2"/>
  <c r="R77" i="2" s="1"/>
  <c r="P77" i="2"/>
  <c r="Q77" i="2"/>
  <c r="S77" i="2"/>
  <c r="T77" i="2"/>
  <c r="U77" i="2" s="1"/>
  <c r="V77" i="2"/>
  <c r="X77" i="2"/>
  <c r="Y77" i="2"/>
  <c r="Z77" i="2"/>
  <c r="AA77" i="2"/>
  <c r="N78" i="2"/>
  <c r="O78" i="2"/>
  <c r="R78" i="2" s="1"/>
  <c r="P78" i="2"/>
  <c r="Q78" i="2"/>
  <c r="S78" i="2"/>
  <c r="T78" i="2"/>
  <c r="U78" i="2" s="1"/>
  <c r="V78" i="2"/>
  <c r="X78" i="2"/>
  <c r="Y78" i="2"/>
  <c r="Z78" i="2"/>
  <c r="AA78" i="2"/>
  <c r="N79" i="2"/>
  <c r="O79" i="2"/>
  <c r="R79" i="2" s="1"/>
  <c r="P79" i="2"/>
  <c r="Q79" i="2"/>
  <c r="S79" i="2"/>
  <c r="T79" i="2"/>
  <c r="U79" i="2" s="1"/>
  <c r="X79" i="2"/>
  <c r="Y79" i="2"/>
  <c r="Z79" i="2"/>
  <c r="AA79" i="2"/>
  <c r="N80" i="2"/>
  <c r="O80" i="2"/>
  <c r="R80" i="2" s="1"/>
  <c r="P80" i="2"/>
  <c r="Q80" i="2"/>
  <c r="S80" i="2"/>
  <c r="T80" i="2"/>
  <c r="U80" i="2" s="1"/>
  <c r="X80" i="2"/>
  <c r="Y80" i="2"/>
  <c r="Z80" i="2"/>
  <c r="AA80" i="2"/>
  <c r="N81" i="2"/>
  <c r="O81" i="2"/>
  <c r="R81" i="2" s="1"/>
  <c r="P81" i="2"/>
  <c r="Q81" i="2"/>
  <c r="S81" i="2"/>
  <c r="T81" i="2"/>
  <c r="U81" i="2" s="1"/>
  <c r="V81" i="2"/>
  <c r="W81" i="2"/>
  <c r="X81" i="2"/>
  <c r="Y81" i="2"/>
  <c r="Z81" i="2"/>
  <c r="AA81" i="2"/>
  <c r="N82" i="2"/>
  <c r="O82" i="2"/>
  <c r="R82" i="2" s="1"/>
  <c r="P82" i="2"/>
  <c r="Q82" i="2"/>
  <c r="S82" i="2"/>
  <c r="T82" i="2"/>
  <c r="U82" i="2" s="1"/>
  <c r="V82" i="2"/>
  <c r="X82" i="2"/>
  <c r="Y82" i="2"/>
  <c r="Z82" i="2"/>
  <c r="AA82" i="2"/>
  <c r="N83" i="2"/>
  <c r="O83" i="2"/>
  <c r="R83" i="2" s="1"/>
  <c r="P83" i="2"/>
  <c r="Q83" i="2"/>
  <c r="S83" i="2"/>
  <c r="T83" i="2"/>
  <c r="U83" i="2" s="1"/>
  <c r="X83" i="2"/>
  <c r="Y83" i="2"/>
  <c r="Z83" i="2"/>
  <c r="AA83" i="2"/>
  <c r="N84" i="2"/>
  <c r="O84" i="2"/>
  <c r="R84" i="2" s="1"/>
  <c r="P84" i="2"/>
  <c r="Q84" i="2"/>
  <c r="S84" i="2"/>
  <c r="T84" i="2"/>
  <c r="U84" i="2"/>
  <c r="W84" i="2"/>
  <c r="X84" i="2"/>
  <c r="Y84" i="2"/>
  <c r="Z84" i="2"/>
  <c r="AA84" i="2"/>
  <c r="N85" i="2"/>
  <c r="O85" i="2"/>
  <c r="R85" i="2" s="1"/>
  <c r="P85" i="2"/>
  <c r="Q85" i="2"/>
  <c r="S85" i="2"/>
  <c r="T85" i="2"/>
  <c r="U85" i="2" s="1"/>
  <c r="X85" i="2"/>
  <c r="Y85" i="2"/>
  <c r="Z85" i="2"/>
  <c r="AA85" i="2"/>
  <c r="N86" i="2"/>
  <c r="O86" i="2"/>
  <c r="R86" i="2" s="1"/>
  <c r="P86" i="2"/>
  <c r="Q86" i="2"/>
  <c r="S86" i="2"/>
  <c r="T86" i="2"/>
  <c r="U86" i="2" s="1"/>
  <c r="X86" i="2"/>
  <c r="Y86" i="2"/>
  <c r="Z86" i="2"/>
  <c r="AA86" i="2"/>
  <c r="N87" i="2"/>
  <c r="O87" i="2"/>
  <c r="R87" i="2" s="1"/>
  <c r="P87" i="2"/>
  <c r="Q87" i="2"/>
  <c r="S87" i="2"/>
  <c r="T87" i="2"/>
  <c r="U87" i="2" s="1"/>
  <c r="W87" i="2"/>
  <c r="X87" i="2"/>
  <c r="Y87" i="2"/>
  <c r="Z87" i="2"/>
  <c r="AA87" i="2"/>
  <c r="N88" i="2"/>
  <c r="O88" i="2"/>
  <c r="P88" i="2"/>
  <c r="Q88" i="2"/>
  <c r="R88" i="2"/>
  <c r="S88" i="2"/>
  <c r="T88" i="2"/>
  <c r="U88" i="2" s="1"/>
  <c r="X88" i="2"/>
  <c r="Y88" i="2"/>
  <c r="Z88" i="2"/>
  <c r="AA88" i="2"/>
  <c r="N89" i="2"/>
  <c r="O89" i="2"/>
  <c r="R89" i="2" s="1"/>
  <c r="P89" i="2"/>
  <c r="Q89" i="2"/>
  <c r="S89" i="2"/>
  <c r="T89" i="2"/>
  <c r="U89" i="2" s="1"/>
  <c r="X89" i="2"/>
  <c r="Y89" i="2"/>
  <c r="Z89" i="2"/>
  <c r="AA89" i="2"/>
  <c r="N90" i="2"/>
  <c r="O90" i="2"/>
  <c r="R90" i="2" s="1"/>
  <c r="P90" i="2"/>
  <c r="Q90" i="2"/>
  <c r="S90" i="2"/>
  <c r="T90" i="2"/>
  <c r="U90" i="2" s="1"/>
  <c r="W90" i="2"/>
  <c r="X90" i="2"/>
  <c r="Y90" i="2"/>
  <c r="Z90" i="2"/>
  <c r="AA90" i="2"/>
  <c r="N91" i="2"/>
  <c r="O91" i="2"/>
  <c r="R91" i="2" s="1"/>
  <c r="P91" i="2"/>
  <c r="Q91" i="2"/>
  <c r="S91" i="2"/>
  <c r="X91" i="2"/>
  <c r="Y91" i="2"/>
  <c r="Z91" i="2"/>
  <c r="AA91" i="2"/>
  <c r="N92" i="2"/>
  <c r="O92" i="2"/>
  <c r="R92" i="2" s="1"/>
  <c r="P92" i="2"/>
  <c r="Q92" i="2"/>
  <c r="S92" i="2"/>
  <c r="T92" i="2"/>
  <c r="U92" i="2" s="1"/>
  <c r="X92" i="2"/>
  <c r="Y92" i="2"/>
  <c r="Z92" i="2"/>
  <c r="AA92" i="2"/>
  <c r="N93" i="2"/>
  <c r="O93" i="2"/>
  <c r="R93" i="2" s="1"/>
  <c r="P93" i="2"/>
  <c r="Q93" i="2"/>
  <c r="S93" i="2"/>
  <c r="T93" i="2"/>
  <c r="U93" i="2" s="1"/>
  <c r="X93" i="2"/>
  <c r="Y93" i="2"/>
  <c r="Z93" i="2"/>
  <c r="AA93" i="2"/>
  <c r="N94" i="2"/>
  <c r="O94" i="2"/>
  <c r="R94" i="2" s="1"/>
  <c r="P94" i="2"/>
  <c r="Q94" i="2"/>
  <c r="S94" i="2"/>
  <c r="T94" i="2"/>
  <c r="U94" i="2" s="1"/>
  <c r="X94" i="2"/>
  <c r="Y94" i="2"/>
  <c r="Z94" i="2"/>
  <c r="AA94" i="2"/>
  <c r="N95" i="2"/>
  <c r="O95" i="2"/>
  <c r="R95" i="2" s="1"/>
  <c r="P95" i="2"/>
  <c r="Q95" i="2"/>
  <c r="S95" i="2"/>
  <c r="T95" i="2"/>
  <c r="U95" i="2" s="1"/>
  <c r="V95" i="2"/>
  <c r="X95" i="2"/>
  <c r="Y95" i="2"/>
  <c r="Z95" i="2"/>
  <c r="AA95" i="2"/>
  <c r="N96" i="2"/>
  <c r="O96" i="2"/>
  <c r="R96" i="2" s="1"/>
  <c r="P96" i="2"/>
  <c r="Q96" i="2"/>
  <c r="S96" i="2"/>
  <c r="T96" i="2"/>
  <c r="U96" i="2" s="1"/>
  <c r="X96" i="2"/>
  <c r="Y96" i="2"/>
  <c r="Z96" i="2"/>
  <c r="AA96" i="2"/>
  <c r="N97" i="2"/>
  <c r="O97" i="2"/>
  <c r="R97" i="2" s="1"/>
  <c r="P97" i="2"/>
  <c r="Q97" i="2"/>
  <c r="S97" i="2"/>
  <c r="T97" i="2"/>
  <c r="U97" i="2" s="1"/>
  <c r="X97" i="2"/>
  <c r="Y97" i="2"/>
  <c r="Z97" i="2"/>
  <c r="AA97" i="2"/>
  <c r="N98" i="2"/>
  <c r="O98" i="2"/>
  <c r="R98" i="2" s="1"/>
  <c r="P98" i="2"/>
  <c r="Q98" i="2"/>
  <c r="S98" i="2"/>
  <c r="T98" i="2"/>
  <c r="U98" i="2" s="1"/>
  <c r="W98" i="2"/>
  <c r="X98" i="2"/>
  <c r="Y98" i="2"/>
  <c r="Z98" i="2"/>
  <c r="AA98" i="2"/>
  <c r="N99" i="2"/>
  <c r="O99" i="2"/>
  <c r="R99" i="2" s="1"/>
  <c r="P99" i="2"/>
  <c r="Q99" i="2"/>
  <c r="S99" i="2"/>
  <c r="T99" i="2"/>
  <c r="U99" i="2" s="1"/>
  <c r="X99" i="2"/>
  <c r="Y99" i="2"/>
  <c r="Z99" i="2"/>
  <c r="AA99" i="2"/>
  <c r="N100" i="2"/>
  <c r="O100" i="2"/>
  <c r="R100" i="2" s="1"/>
  <c r="P100" i="2"/>
  <c r="Q100" i="2"/>
  <c r="S100" i="2"/>
  <c r="T100" i="2"/>
  <c r="U100" i="2" s="1"/>
  <c r="V100" i="2"/>
  <c r="W100" i="2"/>
  <c r="X100" i="2"/>
  <c r="Y100" i="2"/>
  <c r="Z100" i="2"/>
  <c r="AA100" i="2"/>
  <c r="N101" i="2"/>
  <c r="O101" i="2"/>
  <c r="R101" i="2" s="1"/>
  <c r="P101" i="2"/>
  <c r="Q101" i="2"/>
  <c r="S101" i="2"/>
  <c r="T101" i="2"/>
  <c r="U101" i="2" s="1"/>
  <c r="X101" i="2"/>
  <c r="Y101" i="2"/>
  <c r="Z101" i="2"/>
  <c r="AA101" i="2"/>
  <c r="N102" i="2"/>
  <c r="O102" i="2"/>
  <c r="R102" i="2" s="1"/>
  <c r="P102" i="2"/>
  <c r="Q102" i="2"/>
  <c r="S102" i="2"/>
  <c r="T102" i="2"/>
  <c r="U102" i="2" s="1"/>
  <c r="V102" i="2"/>
  <c r="W102" i="2"/>
  <c r="X102" i="2"/>
  <c r="Y102" i="2"/>
  <c r="Z102" i="2"/>
  <c r="AA102" i="2"/>
  <c r="N103" i="2"/>
  <c r="O103" i="2"/>
  <c r="P103" i="2"/>
  <c r="Q103" i="2"/>
  <c r="R103" i="2"/>
  <c r="X103" i="2"/>
  <c r="Y103" i="2"/>
  <c r="Z103" i="2"/>
  <c r="AA103" i="2"/>
  <c r="N104" i="2"/>
  <c r="O104" i="2"/>
  <c r="P104" i="2"/>
  <c r="Q104" i="2"/>
  <c r="R104" i="2"/>
  <c r="S104" i="2"/>
  <c r="T104" i="2"/>
  <c r="U104" i="2" s="1"/>
  <c r="V104" i="2"/>
  <c r="W104" i="2"/>
  <c r="X104" i="2"/>
  <c r="Y104" i="2"/>
  <c r="Z104" i="2"/>
  <c r="AA104" i="2"/>
  <c r="N105" i="2"/>
  <c r="O105" i="2"/>
  <c r="R105" i="2" s="1"/>
  <c r="P105" i="2"/>
  <c r="Q105" i="2"/>
  <c r="S105" i="2"/>
  <c r="T105" i="2"/>
  <c r="U105" i="2" s="1"/>
  <c r="X105" i="2"/>
  <c r="Y105" i="2"/>
  <c r="Z105" i="2"/>
  <c r="AA105" i="2"/>
  <c r="N106" i="2"/>
  <c r="O106" i="2"/>
  <c r="P106" i="2"/>
  <c r="Q106" i="2"/>
  <c r="R106" i="2"/>
  <c r="S106" i="2"/>
  <c r="T106" i="2"/>
  <c r="U106" i="2" s="1"/>
  <c r="V106" i="2"/>
  <c r="X106" i="2"/>
  <c r="Y106" i="2"/>
  <c r="Z106" i="2"/>
  <c r="AA106" i="2"/>
  <c r="N107" i="2"/>
  <c r="O107" i="2"/>
  <c r="R107" i="2" s="1"/>
  <c r="P107" i="2"/>
  <c r="Q107" i="2"/>
  <c r="S107" i="2"/>
  <c r="T107" i="2"/>
  <c r="U107" i="2" s="1"/>
  <c r="W107" i="2"/>
  <c r="X107" i="2"/>
  <c r="Y107" i="2"/>
  <c r="Z107" i="2"/>
  <c r="AA107" i="2"/>
  <c r="N108" i="2"/>
  <c r="O108" i="2"/>
  <c r="P108" i="2"/>
  <c r="Q108" i="2"/>
  <c r="R108" i="2"/>
  <c r="S108" i="2"/>
  <c r="T108" i="2"/>
  <c r="U108" i="2" s="1"/>
  <c r="X108" i="2"/>
  <c r="Y108" i="2"/>
  <c r="Z108" i="2"/>
  <c r="AA108" i="2"/>
  <c r="N109" i="2"/>
  <c r="O109" i="2"/>
  <c r="R109" i="2" s="1"/>
  <c r="P109" i="2"/>
  <c r="Q109" i="2"/>
  <c r="S109" i="2"/>
  <c r="T109" i="2"/>
  <c r="U109" i="2" s="1"/>
  <c r="V109" i="2"/>
  <c r="W109" i="2"/>
  <c r="X109" i="2"/>
  <c r="Y109" i="2"/>
  <c r="Z109" i="2"/>
  <c r="AA109" i="2"/>
  <c r="N110" i="2"/>
  <c r="O110" i="2"/>
  <c r="R110" i="2" s="1"/>
  <c r="P110" i="2"/>
  <c r="Q110" i="2"/>
  <c r="S110" i="2"/>
  <c r="T110" i="2"/>
  <c r="U110" i="2" s="1"/>
  <c r="V110" i="2"/>
  <c r="W110" i="2"/>
  <c r="X110" i="2"/>
  <c r="Y110" i="2"/>
  <c r="Z110" i="2"/>
  <c r="AA110" i="2"/>
  <c r="N111" i="2"/>
  <c r="O111" i="2"/>
  <c r="R111" i="2" s="1"/>
  <c r="P111" i="2"/>
  <c r="Q111" i="2"/>
  <c r="S111" i="2"/>
  <c r="T111" i="2"/>
  <c r="U111" i="2" s="1"/>
  <c r="X111" i="2"/>
  <c r="Y111" i="2"/>
  <c r="Z111" i="2"/>
  <c r="AA111" i="2"/>
  <c r="N112" i="2"/>
  <c r="O112" i="2"/>
  <c r="R112" i="2" s="1"/>
  <c r="P112" i="2"/>
  <c r="Q112" i="2"/>
  <c r="S112" i="2"/>
  <c r="T112" i="2"/>
  <c r="U112" i="2"/>
  <c r="X112" i="2"/>
  <c r="Y112" i="2"/>
  <c r="Z112" i="2"/>
  <c r="AA112" i="2"/>
  <c r="N113" i="2"/>
  <c r="O113" i="2"/>
  <c r="R113" i="2" s="1"/>
  <c r="P113" i="2"/>
  <c r="Q113" i="2"/>
  <c r="S113" i="2"/>
  <c r="X113" i="2"/>
  <c r="Y113" i="2"/>
  <c r="Z113" i="2"/>
  <c r="AA113" i="2"/>
  <c r="N114" i="2"/>
  <c r="O114" i="2"/>
  <c r="R114" i="2" s="1"/>
  <c r="P114" i="2"/>
  <c r="Q114" i="2"/>
  <c r="S114" i="2"/>
  <c r="T114" i="2"/>
  <c r="U114" i="2" s="1"/>
  <c r="X114" i="2"/>
  <c r="Y114" i="2"/>
  <c r="Z114" i="2"/>
  <c r="AA114" i="2"/>
  <c r="N115" i="2"/>
  <c r="O115" i="2"/>
  <c r="R115" i="2" s="1"/>
  <c r="P115" i="2"/>
  <c r="Q115" i="2"/>
  <c r="S115" i="2"/>
  <c r="T115" i="2"/>
  <c r="U115" i="2" s="1"/>
  <c r="V115" i="2"/>
  <c r="W115" i="2"/>
  <c r="X115" i="2"/>
  <c r="Y115" i="2"/>
  <c r="Z115" i="2"/>
  <c r="AA115" i="2"/>
  <c r="N116" i="2"/>
  <c r="O116" i="2"/>
  <c r="R116" i="2" s="1"/>
  <c r="P116" i="2"/>
  <c r="Q116" i="2"/>
  <c r="S116" i="2"/>
  <c r="T116" i="2"/>
  <c r="U116" i="2" s="1"/>
  <c r="X116" i="2"/>
  <c r="Y116" i="2"/>
  <c r="Z116" i="2"/>
  <c r="AA116" i="2"/>
  <c r="N117" i="2"/>
  <c r="O117" i="2"/>
  <c r="R117" i="2" s="1"/>
  <c r="P117" i="2"/>
  <c r="Q117" i="2"/>
  <c r="S117" i="2"/>
  <c r="T117" i="2"/>
  <c r="U117" i="2" s="1"/>
  <c r="V117" i="2"/>
  <c r="W117" i="2"/>
  <c r="X117" i="2"/>
  <c r="Y117" i="2"/>
  <c r="Z117" i="2"/>
  <c r="AA117" i="2"/>
  <c r="N118" i="2"/>
  <c r="O118" i="2"/>
  <c r="R118" i="2" s="1"/>
  <c r="P118" i="2"/>
  <c r="Q118" i="2"/>
  <c r="S118" i="2"/>
  <c r="T118" i="2"/>
  <c r="U118" i="2" s="1"/>
  <c r="V118" i="2"/>
  <c r="W118" i="2"/>
  <c r="X118" i="2"/>
  <c r="Y118" i="2"/>
  <c r="Z118" i="2"/>
  <c r="AA118" i="2"/>
  <c r="N119" i="2"/>
  <c r="O119" i="2"/>
  <c r="R119" i="2" s="1"/>
  <c r="P119" i="2"/>
  <c r="Q119" i="2"/>
  <c r="S119" i="2"/>
  <c r="T119" i="2"/>
  <c r="U119" i="2" s="1"/>
  <c r="X119" i="2"/>
  <c r="Y119" i="2"/>
  <c r="Z119" i="2"/>
  <c r="AA119" i="2"/>
  <c r="N120" i="2"/>
  <c r="O120" i="2"/>
  <c r="R120" i="2" s="1"/>
  <c r="P120" i="2"/>
  <c r="Q120" i="2"/>
  <c r="S120" i="2"/>
  <c r="T120" i="2"/>
  <c r="U120" i="2" s="1"/>
  <c r="X120" i="2"/>
  <c r="Y120" i="2"/>
  <c r="Z120" i="2"/>
  <c r="AA120" i="2"/>
  <c r="N121" i="2"/>
  <c r="O121" i="2"/>
  <c r="R121" i="2" s="1"/>
  <c r="P121" i="2"/>
  <c r="Q121" i="2"/>
  <c r="S121" i="2"/>
  <c r="T121" i="2"/>
  <c r="U121" i="2" s="1"/>
  <c r="X121" i="2"/>
  <c r="Y121" i="2"/>
  <c r="Z121" i="2"/>
  <c r="AA121" i="2"/>
  <c r="N122" i="2"/>
  <c r="O122" i="2"/>
  <c r="R122" i="2" s="1"/>
  <c r="P122" i="2"/>
  <c r="Q122" i="2"/>
  <c r="T122" i="2"/>
  <c r="U122" i="2" s="1"/>
  <c r="X122" i="2"/>
  <c r="Y122" i="2"/>
  <c r="Z122" i="2"/>
  <c r="AA122" i="2"/>
  <c r="N123" i="2"/>
  <c r="O123" i="2"/>
  <c r="R123" i="2" s="1"/>
  <c r="P123" i="2"/>
  <c r="Q123" i="2"/>
  <c r="S123" i="2"/>
  <c r="T123" i="2"/>
  <c r="U123" i="2" s="1"/>
  <c r="V123" i="2"/>
  <c r="W123" i="2"/>
  <c r="X123" i="2"/>
  <c r="Y123" i="2"/>
  <c r="Z123" i="2"/>
  <c r="AA123" i="2"/>
  <c r="N124" i="2"/>
  <c r="O124" i="2"/>
  <c r="R124" i="2" s="1"/>
  <c r="P124" i="2"/>
  <c r="Q124" i="2"/>
  <c r="S124" i="2"/>
  <c r="T124" i="2"/>
  <c r="U124" i="2" s="1"/>
  <c r="X124" i="2"/>
  <c r="Y124" i="2"/>
  <c r="Z124" i="2"/>
  <c r="AA124" i="2"/>
  <c r="N125" i="2"/>
  <c r="O125" i="2"/>
  <c r="R125" i="2" s="1"/>
  <c r="P125" i="2"/>
  <c r="Q125" i="2"/>
  <c r="S125" i="2"/>
  <c r="T125" i="2"/>
  <c r="U125" i="2" s="1"/>
  <c r="V125" i="2"/>
  <c r="W125" i="2"/>
  <c r="X125" i="2"/>
  <c r="Y125" i="2"/>
  <c r="Z125" i="2"/>
  <c r="AA125" i="2"/>
  <c r="N126" i="2"/>
  <c r="O126" i="2"/>
  <c r="P126" i="2"/>
  <c r="Q126" i="2"/>
  <c r="R126" i="2"/>
  <c r="S126" i="2"/>
  <c r="T126" i="2"/>
  <c r="U126" i="2" s="1"/>
  <c r="W126" i="2"/>
  <c r="X126" i="2"/>
  <c r="Y126" i="2"/>
  <c r="Z126" i="2"/>
  <c r="AA126" i="2"/>
  <c r="N127" i="2"/>
  <c r="O127" i="2"/>
  <c r="R127" i="2" s="1"/>
  <c r="P127" i="2"/>
  <c r="Q127" i="2"/>
  <c r="S127" i="2"/>
  <c r="T127" i="2"/>
  <c r="U127" i="2" s="1"/>
  <c r="X127" i="2"/>
  <c r="Y127" i="2"/>
  <c r="Z127" i="2"/>
  <c r="AA127" i="2"/>
  <c r="N128" i="2"/>
  <c r="O128" i="2"/>
  <c r="R128" i="2" s="1"/>
  <c r="P128" i="2"/>
  <c r="Q128" i="2"/>
  <c r="S128" i="2"/>
  <c r="T128" i="2"/>
  <c r="U128" i="2" s="1"/>
  <c r="X128" i="2"/>
  <c r="Y128" i="2"/>
  <c r="Z128" i="2"/>
  <c r="AA128" i="2"/>
  <c r="N129" i="2"/>
  <c r="O129" i="2"/>
  <c r="R129" i="2" s="1"/>
  <c r="P129" i="2"/>
  <c r="Q129" i="2"/>
  <c r="S129" i="2"/>
  <c r="T129" i="2"/>
  <c r="U129" i="2" s="1"/>
  <c r="X129" i="2"/>
  <c r="Y129" i="2"/>
  <c r="Z129" i="2"/>
  <c r="AA129" i="2"/>
  <c r="N130" i="2"/>
  <c r="O130" i="2"/>
  <c r="R130" i="2" s="1"/>
  <c r="P130" i="2"/>
  <c r="Q130" i="2"/>
  <c r="S130" i="2"/>
  <c r="T130" i="2"/>
  <c r="U130" i="2" s="1"/>
  <c r="X130" i="2"/>
  <c r="Y130" i="2"/>
  <c r="Z130" i="2"/>
  <c r="AA130" i="2"/>
  <c r="N131" i="2"/>
  <c r="O131" i="2"/>
  <c r="R131" i="2" s="1"/>
  <c r="P131" i="2"/>
  <c r="Q131" i="2"/>
  <c r="S131" i="2"/>
  <c r="T131" i="2"/>
  <c r="U131" i="2" s="1"/>
  <c r="X131" i="2"/>
  <c r="Y131" i="2"/>
  <c r="Z131" i="2"/>
  <c r="AA131" i="2"/>
  <c r="N132" i="2"/>
  <c r="O132" i="2"/>
  <c r="R132" i="2" s="1"/>
  <c r="P132" i="2"/>
  <c r="Q132" i="2"/>
  <c r="S132" i="2"/>
  <c r="T132" i="2"/>
  <c r="U132" i="2" s="1"/>
  <c r="X132" i="2"/>
  <c r="Y132" i="2"/>
  <c r="Z132" i="2"/>
  <c r="AA132" i="2"/>
  <c r="N133" i="2"/>
  <c r="O133" i="2"/>
  <c r="R133" i="2" s="1"/>
  <c r="P133" i="2"/>
  <c r="Q133" i="2"/>
  <c r="S133" i="2"/>
  <c r="T133" i="2"/>
  <c r="U133" i="2" s="1"/>
  <c r="V133" i="2"/>
  <c r="W133" i="2"/>
  <c r="X133" i="2"/>
  <c r="Y133" i="2"/>
  <c r="Z133" i="2"/>
  <c r="AA133" i="2"/>
  <c r="N134" i="2"/>
  <c r="O134" i="2"/>
  <c r="R134" i="2" s="1"/>
  <c r="P134" i="2"/>
  <c r="Q134" i="2"/>
  <c r="S134" i="2"/>
  <c r="T134" i="2"/>
  <c r="U134" i="2" s="1"/>
  <c r="X134" i="2"/>
  <c r="Y134" i="2"/>
  <c r="Z134" i="2"/>
  <c r="AA134" i="2"/>
  <c r="N135" i="2"/>
  <c r="O135" i="2"/>
  <c r="R135" i="2" s="1"/>
  <c r="P135" i="2"/>
  <c r="Q135" i="2"/>
  <c r="S135" i="2"/>
  <c r="T135" i="2"/>
  <c r="U135" i="2" s="1"/>
  <c r="X135" i="2"/>
  <c r="Y135" i="2"/>
  <c r="Z135" i="2"/>
  <c r="AA135" i="2"/>
  <c r="N136" i="2"/>
  <c r="O136" i="2"/>
  <c r="P136" i="2"/>
  <c r="Q136" i="2"/>
  <c r="R136" i="2"/>
  <c r="S136" i="2"/>
  <c r="T136" i="2"/>
  <c r="U136" i="2" s="1"/>
  <c r="V136" i="2"/>
  <c r="W136" i="2"/>
  <c r="X136" i="2"/>
  <c r="Y136" i="2"/>
  <c r="Z136" i="2"/>
  <c r="AA136" i="2"/>
  <c r="N137" i="2"/>
  <c r="O137" i="2"/>
  <c r="R137" i="2" s="1"/>
  <c r="P137" i="2"/>
  <c r="Q137" i="2"/>
  <c r="S137" i="2"/>
  <c r="T137" i="2"/>
  <c r="U137" i="2" s="1"/>
  <c r="X137" i="2"/>
  <c r="Y137" i="2"/>
  <c r="Z137" i="2"/>
  <c r="AA137" i="2"/>
  <c r="N138" i="2"/>
  <c r="O138" i="2"/>
  <c r="R138" i="2" s="1"/>
  <c r="P138" i="2"/>
  <c r="Q138" i="2"/>
  <c r="S138" i="2"/>
  <c r="T138" i="2"/>
  <c r="U138" i="2" s="1"/>
  <c r="X138" i="2"/>
  <c r="Y138" i="2"/>
  <c r="Z138" i="2"/>
  <c r="AA138" i="2"/>
  <c r="N139" i="2"/>
  <c r="O139" i="2"/>
  <c r="R139" i="2" s="1"/>
  <c r="P139" i="2"/>
  <c r="Q139" i="2"/>
  <c r="S139" i="2"/>
  <c r="T139" i="2"/>
  <c r="U139" i="2" s="1"/>
  <c r="X139" i="2"/>
  <c r="Y139" i="2"/>
  <c r="Z139" i="2"/>
  <c r="AA139" i="2"/>
  <c r="N140" i="2"/>
  <c r="O140" i="2"/>
  <c r="R140" i="2" s="1"/>
  <c r="P140" i="2"/>
  <c r="Q140" i="2"/>
  <c r="S140" i="2"/>
  <c r="T140" i="2"/>
  <c r="U140" i="2" s="1"/>
  <c r="V140" i="2"/>
  <c r="W140" i="2"/>
  <c r="X140" i="2"/>
  <c r="Y140" i="2"/>
  <c r="Z140" i="2"/>
  <c r="AA140" i="2"/>
  <c r="N141" i="2"/>
  <c r="O141" i="2"/>
  <c r="R141" i="2" s="1"/>
  <c r="P141" i="2"/>
  <c r="Q141" i="2"/>
  <c r="S141" i="2"/>
  <c r="T141" i="2"/>
  <c r="U141" i="2" s="1"/>
  <c r="X141" i="2"/>
  <c r="Y141" i="2"/>
  <c r="Z141" i="2"/>
  <c r="AA141" i="2"/>
  <c r="N142" i="2"/>
  <c r="O142" i="2"/>
  <c r="R142" i="2" s="1"/>
  <c r="P142" i="2"/>
  <c r="Q142" i="2"/>
  <c r="S142" i="2"/>
  <c r="T142" i="2"/>
  <c r="U142" i="2" s="1"/>
  <c r="V142" i="2"/>
  <c r="W142" i="2"/>
  <c r="X142" i="2"/>
  <c r="Y142" i="2"/>
  <c r="Z142" i="2"/>
  <c r="AA142" i="2"/>
  <c r="N143" i="2"/>
  <c r="O143" i="2"/>
  <c r="R143" i="2" s="1"/>
  <c r="P143" i="2"/>
  <c r="Q143" i="2"/>
  <c r="S143" i="2"/>
  <c r="T143" i="2"/>
  <c r="U143" i="2" s="1"/>
  <c r="W143" i="2"/>
  <c r="X143" i="2"/>
  <c r="Y143" i="2"/>
  <c r="Z143" i="2"/>
  <c r="AA143" i="2"/>
  <c r="N144" i="2"/>
  <c r="O144" i="2"/>
  <c r="R144" i="2" s="1"/>
  <c r="P144" i="2"/>
  <c r="Q144" i="2"/>
  <c r="S144" i="2"/>
  <c r="T144" i="2"/>
  <c r="U144" i="2" s="1"/>
  <c r="X144" i="2"/>
  <c r="Y144" i="2"/>
  <c r="Z144" i="2"/>
  <c r="AA144" i="2"/>
  <c r="N145" i="2"/>
  <c r="O145" i="2"/>
  <c r="R145" i="2" s="1"/>
  <c r="P145" i="2"/>
  <c r="Q145" i="2"/>
  <c r="X145" i="2"/>
  <c r="Y145" i="2"/>
  <c r="Z145" i="2"/>
  <c r="AA145" i="2"/>
  <c r="N146" i="2"/>
  <c r="O146" i="2"/>
  <c r="R146" i="2" s="1"/>
  <c r="P146" i="2"/>
  <c r="Q146" i="2"/>
  <c r="S146" i="2"/>
  <c r="T146" i="2"/>
  <c r="U146" i="2" s="1"/>
  <c r="X146" i="2"/>
  <c r="Y146" i="2"/>
  <c r="Z146" i="2"/>
  <c r="AA146" i="2"/>
  <c r="N147" i="2"/>
  <c r="O147" i="2"/>
  <c r="R147" i="2" s="1"/>
  <c r="P147" i="2"/>
  <c r="Q147" i="2"/>
  <c r="S147" i="2"/>
  <c r="T147" i="2"/>
  <c r="U147" i="2" s="1"/>
  <c r="X147" i="2"/>
  <c r="Y147" i="2"/>
  <c r="Z147" i="2"/>
  <c r="AA147" i="2"/>
  <c r="N148" i="2"/>
  <c r="O148" i="2"/>
  <c r="P148" i="2"/>
  <c r="Q148" i="2"/>
  <c r="R148" i="2"/>
  <c r="S148" i="2"/>
  <c r="T148" i="2"/>
  <c r="U148" i="2" s="1"/>
  <c r="V148" i="2"/>
  <c r="X148" i="2"/>
  <c r="Y148" i="2"/>
  <c r="Z148" i="2"/>
  <c r="AA148" i="2"/>
  <c r="N149" i="2"/>
  <c r="O149" i="2"/>
  <c r="R149" i="2" s="1"/>
  <c r="P149" i="2"/>
  <c r="Q149" i="2"/>
  <c r="S149" i="2"/>
  <c r="T149" i="2"/>
  <c r="U149" i="2" s="1"/>
  <c r="V149" i="2"/>
  <c r="W149" i="2"/>
  <c r="X149" i="2"/>
  <c r="Y149" i="2"/>
  <c r="Z149" i="2"/>
  <c r="AA149" i="2"/>
  <c r="N150" i="2"/>
  <c r="O150" i="2"/>
  <c r="P150" i="2"/>
  <c r="Q150" i="2"/>
  <c r="R150" i="2"/>
  <c r="S150" i="2"/>
  <c r="T150" i="2"/>
  <c r="U150" i="2" s="1"/>
  <c r="W150" i="2"/>
  <c r="X150" i="2"/>
  <c r="Y150" i="2"/>
  <c r="Z150" i="2"/>
  <c r="AA150" i="2"/>
  <c r="N151" i="2"/>
  <c r="O151" i="2"/>
  <c r="R151" i="2" s="1"/>
  <c r="P151" i="2"/>
  <c r="Q151" i="2"/>
  <c r="S151" i="2"/>
  <c r="T151" i="2"/>
  <c r="U151" i="2" s="1"/>
  <c r="X151" i="2"/>
  <c r="Y151" i="2"/>
  <c r="Z151" i="2"/>
  <c r="AA151" i="2"/>
  <c r="N152" i="2"/>
  <c r="O152" i="2"/>
  <c r="R152" i="2" s="1"/>
  <c r="P152" i="2"/>
  <c r="Q152" i="2"/>
  <c r="S152" i="2"/>
  <c r="T152" i="2"/>
  <c r="U152" i="2" s="1"/>
  <c r="V152" i="2"/>
  <c r="W152" i="2"/>
  <c r="X152" i="2"/>
  <c r="Y152" i="2"/>
  <c r="Z152" i="2"/>
  <c r="AA152" i="2"/>
  <c r="N153" i="2"/>
  <c r="O153" i="2"/>
  <c r="R153" i="2" s="1"/>
  <c r="P153" i="2"/>
  <c r="Q153" i="2"/>
  <c r="S153" i="2"/>
  <c r="T153" i="2"/>
  <c r="U153" i="2" s="1"/>
  <c r="X153" i="2"/>
  <c r="Y153" i="2"/>
  <c r="Z153" i="2"/>
  <c r="AA153" i="2"/>
  <c r="N154" i="2"/>
  <c r="O154" i="2"/>
  <c r="P154" i="2"/>
  <c r="Q154" i="2"/>
  <c r="R154" i="2"/>
  <c r="S154" i="2"/>
  <c r="T154" i="2"/>
  <c r="U154" i="2" s="1"/>
  <c r="V154" i="2"/>
  <c r="W154" i="2"/>
  <c r="X154" i="2"/>
  <c r="Y154" i="2"/>
  <c r="Z154" i="2"/>
  <c r="AA154" i="2"/>
  <c r="N155" i="2"/>
  <c r="O155" i="2"/>
  <c r="R155" i="2" s="1"/>
  <c r="P155" i="2"/>
  <c r="Q155" i="2"/>
  <c r="S155" i="2"/>
  <c r="T155" i="2"/>
  <c r="U155" i="2" s="1"/>
  <c r="X155" i="2"/>
  <c r="Y155" i="2"/>
  <c r="Z155" i="2"/>
  <c r="AA155" i="2"/>
  <c r="N156" i="2"/>
  <c r="O156" i="2"/>
  <c r="R156" i="2" s="1"/>
  <c r="P156" i="2"/>
  <c r="Q156" i="2"/>
  <c r="S156" i="2"/>
  <c r="T156" i="2"/>
  <c r="U156" i="2" s="1"/>
  <c r="V156" i="2"/>
  <c r="W156" i="2"/>
  <c r="X156" i="2"/>
  <c r="Y156" i="2"/>
  <c r="Z156" i="2"/>
  <c r="AA156" i="2"/>
  <c r="N157" i="2"/>
  <c r="O157" i="2"/>
  <c r="R157" i="2" s="1"/>
  <c r="P157" i="2"/>
  <c r="Q157" i="2"/>
  <c r="S157" i="2"/>
  <c r="X157" i="2"/>
  <c r="Y157" i="2"/>
  <c r="Z157" i="2"/>
  <c r="AA157" i="2"/>
  <c r="N158" i="2"/>
  <c r="O158" i="2"/>
  <c r="R158" i="2" s="1"/>
  <c r="P158" i="2"/>
  <c r="Q158" i="2"/>
  <c r="S158" i="2"/>
  <c r="T158" i="2"/>
  <c r="U158" i="2" s="1"/>
  <c r="V158" i="2"/>
  <c r="W158" i="2"/>
  <c r="X158" i="2"/>
  <c r="Y158" i="2"/>
  <c r="Z158" i="2"/>
  <c r="AA158" i="2"/>
  <c r="N159" i="2"/>
  <c r="O159" i="2"/>
  <c r="R159" i="2" s="1"/>
  <c r="P159" i="2"/>
  <c r="Q159" i="2"/>
  <c r="S159" i="2"/>
  <c r="T159" i="2"/>
  <c r="U159" i="2" s="1"/>
  <c r="V159" i="2"/>
  <c r="W159" i="2"/>
  <c r="X159" i="2"/>
  <c r="Y159" i="2"/>
  <c r="Z159" i="2"/>
  <c r="AA159" i="2"/>
  <c r="N160" i="2"/>
  <c r="O160" i="2"/>
  <c r="R160" i="2" s="1"/>
  <c r="P160" i="2"/>
  <c r="Q160" i="2"/>
  <c r="S160" i="2"/>
  <c r="T160" i="2"/>
  <c r="U160" i="2" s="1"/>
  <c r="V160" i="2"/>
  <c r="X160" i="2"/>
  <c r="Y160" i="2"/>
  <c r="Z160" i="2"/>
  <c r="AA160" i="2"/>
  <c r="N161" i="2"/>
  <c r="O161" i="2"/>
  <c r="R161" i="2" s="1"/>
  <c r="P161" i="2"/>
  <c r="Q161" i="2"/>
  <c r="S161" i="2"/>
  <c r="T161" i="2"/>
  <c r="U161" i="2" s="1"/>
  <c r="V161" i="2"/>
  <c r="X161" i="2"/>
  <c r="Y161" i="2"/>
  <c r="Z161" i="2"/>
  <c r="AA161" i="2"/>
  <c r="N162" i="2"/>
  <c r="O162" i="2"/>
  <c r="R162" i="2" s="1"/>
  <c r="P162" i="2"/>
  <c r="Q162" i="2"/>
  <c r="S162" i="2"/>
  <c r="T162" i="2"/>
  <c r="U162" i="2" s="1"/>
  <c r="X162" i="2"/>
  <c r="Y162" i="2"/>
  <c r="Z162" i="2"/>
  <c r="AA162" i="2"/>
  <c r="N163" i="2"/>
  <c r="O163" i="2"/>
  <c r="R163" i="2" s="1"/>
  <c r="P163" i="2"/>
  <c r="Q163" i="2"/>
  <c r="S163" i="2"/>
  <c r="T163" i="2"/>
  <c r="U163" i="2" s="1"/>
  <c r="X163" i="2"/>
  <c r="Y163" i="2"/>
  <c r="Z163" i="2"/>
  <c r="AA163" i="2"/>
  <c r="N164" i="2"/>
  <c r="O164" i="2"/>
  <c r="R164" i="2" s="1"/>
  <c r="P164" i="2"/>
  <c r="Q164" i="2"/>
  <c r="S164" i="2"/>
  <c r="T164" i="2"/>
  <c r="U164" i="2" s="1"/>
  <c r="X164" i="2"/>
  <c r="Y164" i="2"/>
  <c r="Z164" i="2"/>
  <c r="AA164" i="2"/>
  <c r="N165" i="2"/>
  <c r="O165" i="2"/>
  <c r="R165" i="2" s="1"/>
  <c r="P165" i="2"/>
  <c r="Q165" i="2"/>
  <c r="S165" i="2"/>
  <c r="T165" i="2"/>
  <c r="U165" i="2" s="1"/>
  <c r="W165" i="2"/>
  <c r="X165" i="2"/>
  <c r="Y165" i="2"/>
  <c r="Z165" i="2"/>
  <c r="AA165" i="2"/>
  <c r="N166" i="2"/>
  <c r="O166" i="2"/>
  <c r="R166" i="2" s="1"/>
  <c r="P166" i="2"/>
  <c r="Q166" i="2"/>
  <c r="S166" i="2"/>
  <c r="T166" i="2"/>
  <c r="U166" i="2" s="1"/>
  <c r="X166" i="2"/>
  <c r="Y166" i="2"/>
  <c r="Z166" i="2"/>
  <c r="AA166" i="2"/>
  <c r="N167" i="2"/>
  <c r="O167" i="2"/>
  <c r="R167" i="2" s="1"/>
  <c r="P167" i="2"/>
  <c r="Q167" i="2"/>
  <c r="S167" i="2"/>
  <c r="T167" i="2"/>
  <c r="U167" i="2" s="1"/>
  <c r="V167" i="2"/>
  <c r="W167" i="2"/>
  <c r="X167" i="2"/>
  <c r="Y167" i="2"/>
  <c r="Z167" i="2"/>
  <c r="AA167" i="2"/>
  <c r="N168" i="2"/>
  <c r="O168" i="2"/>
  <c r="R168" i="2" s="1"/>
  <c r="P168" i="2"/>
  <c r="Q168" i="2"/>
  <c r="S168" i="2"/>
  <c r="T168" i="2"/>
  <c r="U168" i="2" s="1"/>
  <c r="X168" i="2"/>
  <c r="Y168" i="2"/>
  <c r="Z168" i="2"/>
  <c r="AA168" i="2"/>
  <c r="N169" i="2"/>
  <c r="O169" i="2"/>
  <c r="R169" i="2" s="1"/>
  <c r="P169" i="2"/>
  <c r="Q169" i="2"/>
  <c r="S169" i="2"/>
  <c r="T169" i="2"/>
  <c r="U169" i="2" s="1"/>
  <c r="V169" i="2"/>
  <c r="W169" i="2"/>
  <c r="X169" i="2"/>
  <c r="Y169" i="2"/>
  <c r="Z169" i="2"/>
  <c r="AA169" i="2"/>
  <c r="N170" i="2"/>
  <c r="O170" i="2"/>
  <c r="R170" i="2" s="1"/>
  <c r="P170" i="2"/>
  <c r="Q170" i="2"/>
  <c r="S170" i="2"/>
  <c r="T170" i="2"/>
  <c r="U170" i="2" s="1"/>
  <c r="V170" i="2"/>
  <c r="W170" i="2"/>
  <c r="X170" i="2"/>
  <c r="Y170" i="2"/>
  <c r="Z170" i="2"/>
  <c r="AA170" i="2"/>
  <c r="N171" i="2"/>
  <c r="O171" i="2"/>
  <c r="R171" i="2" s="1"/>
  <c r="P171" i="2"/>
  <c r="Q171" i="2"/>
  <c r="S171" i="2"/>
  <c r="X171" i="2"/>
  <c r="Y171" i="2"/>
  <c r="Z171" i="2"/>
  <c r="AA171" i="2"/>
  <c r="N172" i="2"/>
  <c r="O172" i="2"/>
  <c r="P172" i="2"/>
  <c r="Q172" i="2"/>
  <c r="R172" i="2"/>
  <c r="S172" i="2"/>
  <c r="T172" i="2"/>
  <c r="U172" i="2" s="1"/>
  <c r="X172" i="2"/>
  <c r="Y172" i="2"/>
  <c r="Z172" i="2"/>
  <c r="AA172" i="2"/>
  <c r="N173" i="2"/>
  <c r="O173" i="2"/>
  <c r="R173" i="2" s="1"/>
  <c r="P173" i="2"/>
  <c r="Q173" i="2"/>
  <c r="S173" i="2"/>
  <c r="T173" i="2"/>
  <c r="U173" i="2" s="1"/>
  <c r="V173" i="2"/>
  <c r="W173" i="2"/>
  <c r="X173" i="2"/>
  <c r="Y173" i="2"/>
  <c r="Z173" i="2"/>
  <c r="AA173" i="2"/>
  <c r="N174" i="2"/>
  <c r="O174" i="2"/>
  <c r="R174" i="2" s="1"/>
  <c r="P174" i="2"/>
  <c r="Q174" i="2"/>
  <c r="S174" i="2"/>
  <c r="T174" i="2"/>
  <c r="U174" i="2" s="1"/>
  <c r="V174" i="2"/>
  <c r="W174" i="2"/>
  <c r="X174" i="2"/>
  <c r="Y174" i="2"/>
  <c r="Z174" i="2"/>
  <c r="AA174" i="2"/>
  <c r="N175" i="2"/>
  <c r="O175" i="2"/>
  <c r="R175" i="2" s="1"/>
  <c r="P175" i="2"/>
  <c r="Q175" i="2"/>
  <c r="S175" i="2"/>
  <c r="T175" i="2"/>
  <c r="U175" i="2" s="1"/>
  <c r="X175" i="2"/>
  <c r="Y175" i="2"/>
  <c r="Z175" i="2"/>
  <c r="AA175" i="2"/>
  <c r="N176" i="2"/>
  <c r="O176" i="2"/>
  <c r="R176" i="2" s="1"/>
  <c r="P176" i="2"/>
  <c r="Q176" i="2"/>
  <c r="S176" i="2"/>
  <c r="T176" i="2"/>
  <c r="U176" i="2" s="1"/>
  <c r="V176" i="2"/>
  <c r="W176" i="2"/>
  <c r="X176" i="2"/>
  <c r="Y176" i="2"/>
  <c r="Z176" i="2"/>
  <c r="AA176" i="2"/>
  <c r="N177" i="2"/>
  <c r="O177" i="2"/>
  <c r="R177" i="2" s="1"/>
  <c r="P177" i="2"/>
  <c r="Q177" i="2"/>
  <c r="S177" i="2"/>
  <c r="T177" i="2"/>
  <c r="U177" i="2" s="1"/>
  <c r="X177" i="2"/>
  <c r="Y177" i="2"/>
  <c r="Z177" i="2"/>
  <c r="AA177" i="2"/>
  <c r="N178" i="2"/>
  <c r="O178" i="2"/>
  <c r="R178" i="2" s="1"/>
  <c r="P178" i="2"/>
  <c r="Q178" i="2"/>
  <c r="S178" i="2"/>
  <c r="T178" i="2"/>
  <c r="U178" i="2" s="1"/>
  <c r="V178" i="2"/>
  <c r="W178" i="2"/>
  <c r="X178" i="2"/>
  <c r="Y178" i="2"/>
  <c r="Z178" i="2"/>
  <c r="AA178" i="2"/>
  <c r="N179" i="2"/>
  <c r="O179" i="2"/>
  <c r="R179" i="2" s="1"/>
  <c r="P179" i="2"/>
  <c r="Q179" i="2"/>
  <c r="S179" i="2"/>
  <c r="T179" i="2"/>
  <c r="U179" i="2" s="1"/>
  <c r="X179" i="2"/>
  <c r="Y179" i="2"/>
  <c r="Z179" i="2"/>
  <c r="AA179" i="2"/>
  <c r="N180" i="2"/>
  <c r="O180" i="2"/>
  <c r="R180" i="2" s="1"/>
  <c r="P180" i="2"/>
  <c r="Q180" i="2"/>
  <c r="S180" i="2"/>
  <c r="T180" i="2"/>
  <c r="U180" i="2" s="1"/>
  <c r="V180" i="2"/>
  <c r="W180" i="2"/>
  <c r="X180" i="2"/>
  <c r="Y180" i="2"/>
  <c r="Z180" i="2"/>
  <c r="AA180" i="2"/>
  <c r="N181" i="2"/>
  <c r="O181" i="2"/>
  <c r="R181" i="2" s="1"/>
  <c r="P181" i="2"/>
  <c r="Q181" i="2"/>
  <c r="S181" i="2"/>
  <c r="X181" i="2"/>
  <c r="Y181" i="2"/>
  <c r="Z181" i="2"/>
  <c r="AA181" i="2"/>
  <c r="N182" i="2"/>
  <c r="O182" i="2"/>
  <c r="R182" i="2" s="1"/>
  <c r="P182" i="2"/>
  <c r="Q182" i="2"/>
  <c r="S182" i="2"/>
  <c r="T182" i="2"/>
  <c r="U182" i="2" s="1"/>
  <c r="V182" i="2"/>
  <c r="W182" i="2"/>
  <c r="X182" i="2"/>
  <c r="Y182" i="2"/>
  <c r="Z182" i="2"/>
  <c r="AA182" i="2"/>
  <c r="N183" i="2"/>
  <c r="O183" i="2"/>
  <c r="R183" i="2" s="1"/>
  <c r="P183" i="2"/>
  <c r="Q183" i="2"/>
  <c r="S183" i="2"/>
  <c r="T183" i="2"/>
  <c r="U183" i="2" s="1"/>
  <c r="V183" i="2"/>
  <c r="W183" i="2"/>
  <c r="X183" i="2"/>
  <c r="Y183" i="2"/>
  <c r="Z183" i="2"/>
  <c r="AA183" i="2"/>
  <c r="N184" i="2"/>
  <c r="O184" i="2"/>
  <c r="P184" i="2"/>
  <c r="Q184" i="2"/>
  <c r="R184" i="2"/>
  <c r="S184" i="2"/>
  <c r="T184" i="2"/>
  <c r="U184" i="2" s="1"/>
  <c r="X184" i="2"/>
  <c r="Y184" i="2"/>
  <c r="Z184" i="2"/>
  <c r="AA184" i="2"/>
  <c r="N185" i="2"/>
  <c r="O185" i="2"/>
  <c r="R185" i="2" s="1"/>
  <c r="P185" i="2"/>
  <c r="Q185" i="2"/>
  <c r="S185" i="2"/>
  <c r="T185" i="2"/>
  <c r="U185" i="2" s="1"/>
  <c r="X185" i="2"/>
  <c r="Y185" i="2"/>
  <c r="Z185" i="2"/>
  <c r="AA185" i="2"/>
  <c r="N186" i="2"/>
  <c r="O186" i="2"/>
  <c r="R186" i="2" s="1"/>
  <c r="P186" i="2"/>
  <c r="Q186" i="2"/>
  <c r="S186" i="2"/>
  <c r="T186" i="2"/>
  <c r="U186" i="2" s="1"/>
  <c r="X186" i="2"/>
  <c r="Y186" i="2"/>
  <c r="Z186" i="2"/>
  <c r="AA186" i="2"/>
  <c r="N187" i="2"/>
  <c r="O187" i="2"/>
  <c r="R187" i="2" s="1"/>
  <c r="P187" i="2"/>
  <c r="Q187" i="2"/>
  <c r="S187" i="2"/>
  <c r="T187" i="2"/>
  <c r="U187" i="2" s="1"/>
  <c r="X187" i="2"/>
  <c r="Y187" i="2"/>
  <c r="Z187" i="2"/>
  <c r="AA187" i="2"/>
  <c r="N188" i="2"/>
  <c r="O188" i="2"/>
  <c r="R188" i="2" s="1"/>
  <c r="P188" i="2"/>
  <c r="Q188" i="2"/>
  <c r="S188" i="2"/>
  <c r="T188" i="2"/>
  <c r="U188" i="2" s="1"/>
  <c r="W188" i="2"/>
  <c r="X188" i="2"/>
  <c r="Y188" i="2"/>
  <c r="Z188" i="2"/>
  <c r="AA188" i="2"/>
  <c r="N189" i="2"/>
  <c r="O189" i="2"/>
  <c r="R189" i="2" s="1"/>
  <c r="P189" i="2"/>
  <c r="Q189" i="2"/>
  <c r="S189" i="2"/>
  <c r="T189" i="2"/>
  <c r="U189" i="2" s="1"/>
  <c r="V189" i="2"/>
  <c r="W189" i="2"/>
  <c r="X189" i="2"/>
  <c r="Y189" i="2"/>
  <c r="Z189" i="2"/>
  <c r="AA189" i="2"/>
  <c r="N190" i="2"/>
  <c r="O190" i="2"/>
  <c r="R190" i="2" s="1"/>
  <c r="P190" i="2"/>
  <c r="Q190" i="2"/>
  <c r="S190" i="2"/>
  <c r="T190" i="2"/>
  <c r="U190" i="2" s="1"/>
  <c r="V190" i="2"/>
  <c r="W190" i="2"/>
  <c r="X190" i="2"/>
  <c r="Y190" i="2"/>
  <c r="Z190" i="2"/>
  <c r="AA190" i="2"/>
  <c r="N191" i="2"/>
  <c r="O191" i="2"/>
  <c r="R191" i="2" s="1"/>
  <c r="P191" i="2"/>
  <c r="Q191" i="2"/>
  <c r="S191" i="2"/>
  <c r="T191" i="2"/>
  <c r="U191" i="2" s="1"/>
  <c r="V191" i="2"/>
  <c r="W191" i="2"/>
  <c r="X191" i="2"/>
  <c r="Y191" i="2"/>
  <c r="Z191" i="2"/>
  <c r="AA191" i="2"/>
  <c r="N192" i="2"/>
  <c r="O192" i="2"/>
  <c r="R192" i="2" s="1"/>
  <c r="P192" i="2"/>
  <c r="Q192" i="2"/>
  <c r="S192" i="2"/>
  <c r="T192" i="2"/>
  <c r="U192" i="2" s="1"/>
  <c r="V192" i="2"/>
  <c r="W192" i="2"/>
  <c r="X192" i="2"/>
  <c r="Y192" i="2"/>
  <c r="Z192" i="2"/>
  <c r="AA192" i="2"/>
  <c r="N193" i="2"/>
  <c r="O193" i="2"/>
  <c r="R193" i="2" s="1"/>
  <c r="P193" i="2"/>
  <c r="Q193" i="2"/>
  <c r="S193" i="2"/>
  <c r="T193" i="2"/>
  <c r="U193" i="2" s="1"/>
  <c r="X193" i="2"/>
  <c r="Y193" i="2"/>
  <c r="Z193" i="2"/>
  <c r="AA193" i="2"/>
  <c r="N194" i="2"/>
  <c r="O194" i="2"/>
  <c r="R194" i="2" s="1"/>
  <c r="P194" i="2"/>
  <c r="Q194" i="2"/>
  <c r="S194" i="2"/>
  <c r="T194" i="2"/>
  <c r="U194" i="2" s="1"/>
  <c r="X194" i="2"/>
  <c r="Y194" i="2"/>
  <c r="Z194" i="2"/>
  <c r="AA194" i="2"/>
  <c r="N195" i="2"/>
  <c r="O195" i="2"/>
  <c r="R195" i="2" s="1"/>
  <c r="P195" i="2"/>
  <c r="Q195" i="2"/>
  <c r="S195" i="2"/>
  <c r="T195" i="2"/>
  <c r="U195" i="2" s="1"/>
  <c r="X195" i="2"/>
  <c r="Y195" i="2"/>
  <c r="Z195" i="2"/>
  <c r="AA195" i="2"/>
  <c r="N196" i="2"/>
  <c r="O196" i="2"/>
  <c r="R196" i="2" s="1"/>
  <c r="P196" i="2"/>
  <c r="Q196" i="2"/>
  <c r="S196" i="2"/>
  <c r="T196" i="2"/>
  <c r="U196" i="2" s="1"/>
  <c r="V196" i="2"/>
  <c r="W196" i="2"/>
  <c r="X196" i="2"/>
  <c r="Y196" i="2"/>
  <c r="Z196" i="2"/>
  <c r="AA196" i="2"/>
  <c r="N197" i="2"/>
  <c r="O197" i="2"/>
  <c r="R197" i="2" s="1"/>
  <c r="P197" i="2"/>
  <c r="Q197" i="2"/>
  <c r="S197" i="2"/>
  <c r="T197" i="2"/>
  <c r="U197" i="2" s="1"/>
  <c r="X197" i="2"/>
  <c r="Y197" i="2"/>
  <c r="Z197" i="2"/>
  <c r="AA197" i="2"/>
  <c r="N198" i="2"/>
  <c r="O198" i="2"/>
  <c r="R198" i="2" s="1"/>
  <c r="P198" i="2"/>
  <c r="Q198" i="2"/>
  <c r="S198" i="2"/>
  <c r="T198" i="2"/>
  <c r="U198" i="2" s="1"/>
  <c r="V198" i="2"/>
  <c r="W198" i="2"/>
  <c r="X198" i="2"/>
  <c r="Y198" i="2"/>
  <c r="Z198" i="2"/>
  <c r="AA198" i="2"/>
  <c r="N199" i="2"/>
  <c r="O199" i="2"/>
  <c r="R199" i="2" s="1"/>
  <c r="P199" i="2"/>
  <c r="Q199" i="2"/>
  <c r="S199" i="2"/>
  <c r="T199" i="2"/>
  <c r="U199" i="2" s="1"/>
  <c r="X199" i="2"/>
  <c r="Y199" i="2"/>
  <c r="Z199" i="2"/>
  <c r="AA199" i="2"/>
  <c r="N200" i="2"/>
  <c r="O200" i="2"/>
  <c r="R200" i="2" s="1"/>
  <c r="P200" i="2"/>
  <c r="Q200" i="2"/>
  <c r="S200" i="2"/>
  <c r="T200" i="2"/>
  <c r="U200" i="2" s="1"/>
  <c r="W200" i="2"/>
  <c r="X200" i="2"/>
  <c r="Y200" i="2"/>
  <c r="Z200" i="2"/>
  <c r="AA200" i="2"/>
  <c r="N201" i="2"/>
  <c r="O201" i="2"/>
  <c r="R201" i="2" s="1"/>
  <c r="P201" i="2"/>
  <c r="Q201" i="2"/>
  <c r="S201" i="2"/>
  <c r="T201" i="2"/>
  <c r="U201" i="2" s="1"/>
  <c r="X201" i="2"/>
  <c r="Y201" i="2"/>
  <c r="Z201" i="2"/>
  <c r="AA201" i="2"/>
  <c r="N202" i="2"/>
  <c r="O202" i="2"/>
  <c r="P202" i="2"/>
  <c r="Q202" i="2"/>
  <c r="R202" i="2"/>
  <c r="S202" i="2"/>
  <c r="T202" i="2"/>
  <c r="U202" i="2" s="1"/>
  <c r="X202" i="2"/>
  <c r="Y202" i="2"/>
  <c r="Z202" i="2"/>
  <c r="AA202" i="2"/>
  <c r="N203" i="2"/>
  <c r="O203" i="2"/>
  <c r="R203" i="2" s="1"/>
  <c r="P203" i="2"/>
  <c r="Q203" i="2"/>
  <c r="S203" i="2"/>
  <c r="T203" i="2"/>
  <c r="U203" i="2" s="1"/>
  <c r="X203" i="2"/>
  <c r="Y203" i="2"/>
  <c r="Z203" i="2"/>
  <c r="AA203" i="2"/>
  <c r="N204" i="2"/>
  <c r="O204" i="2"/>
  <c r="R204" i="2" s="1"/>
  <c r="P204" i="2"/>
  <c r="Q204" i="2"/>
  <c r="S204" i="2"/>
  <c r="T204" i="2"/>
  <c r="U204" i="2"/>
  <c r="X204" i="2"/>
  <c r="Y204" i="2"/>
  <c r="Z204" i="2"/>
  <c r="AA204" i="2"/>
  <c r="N205" i="2"/>
  <c r="O205" i="2"/>
  <c r="R205" i="2" s="1"/>
  <c r="P205" i="2"/>
  <c r="Q205" i="2"/>
  <c r="S205" i="2"/>
  <c r="T205" i="2"/>
  <c r="U205" i="2" s="1"/>
  <c r="W205" i="2"/>
  <c r="X205" i="2"/>
  <c r="Y205" i="2"/>
  <c r="Z205" i="2"/>
  <c r="AA205" i="2"/>
  <c r="N206" i="2"/>
  <c r="O206" i="2"/>
  <c r="R206" i="2" s="1"/>
  <c r="P206" i="2"/>
  <c r="Q206" i="2"/>
  <c r="S206" i="2"/>
  <c r="T206" i="2"/>
  <c r="U206" i="2" s="1"/>
  <c r="X206" i="2"/>
  <c r="Y206" i="2"/>
  <c r="Z206" i="2"/>
  <c r="AA206" i="2"/>
  <c r="N207" i="2"/>
  <c r="O207" i="2"/>
  <c r="P207" i="2"/>
  <c r="Q207" i="2"/>
  <c r="R207" i="2"/>
  <c r="S207" i="2"/>
  <c r="T207" i="2"/>
  <c r="U207" i="2" s="1"/>
  <c r="V207" i="2"/>
  <c r="X207" i="2"/>
  <c r="Y207" i="2"/>
  <c r="Z207" i="2"/>
  <c r="AA207" i="2"/>
  <c r="N208" i="2"/>
  <c r="O208" i="2"/>
  <c r="R208" i="2" s="1"/>
  <c r="P208" i="2"/>
  <c r="Q208" i="2"/>
  <c r="S208" i="2"/>
  <c r="T208" i="2"/>
  <c r="U208" i="2"/>
  <c r="X208" i="2"/>
  <c r="Y208" i="2"/>
  <c r="Z208" i="2"/>
  <c r="AA208" i="2"/>
  <c r="N209" i="2"/>
  <c r="O209" i="2"/>
  <c r="R209" i="2" s="1"/>
  <c r="P209" i="2"/>
  <c r="Q209" i="2"/>
  <c r="S209" i="2"/>
  <c r="T209" i="2"/>
  <c r="U209" i="2" s="1"/>
  <c r="X209" i="2"/>
  <c r="Y209" i="2"/>
  <c r="Z209" i="2"/>
  <c r="AA209" i="2"/>
  <c r="N210" i="2"/>
  <c r="O210" i="2"/>
  <c r="R210" i="2" s="1"/>
  <c r="P210" i="2"/>
  <c r="Q210" i="2"/>
  <c r="S210" i="2"/>
  <c r="T210" i="2"/>
  <c r="U210" i="2" s="1"/>
  <c r="W210" i="2"/>
  <c r="X210" i="2"/>
  <c r="Y210" i="2"/>
  <c r="Z210" i="2"/>
  <c r="AA210" i="2"/>
  <c r="N211" i="2"/>
  <c r="O211" i="2"/>
  <c r="R211" i="2" s="1"/>
  <c r="P211" i="2"/>
  <c r="Q211" i="2"/>
  <c r="S211" i="2"/>
  <c r="T211" i="2"/>
  <c r="U211" i="2" s="1"/>
  <c r="X211" i="2"/>
  <c r="Y211" i="2"/>
  <c r="Z211" i="2"/>
  <c r="AA211" i="2"/>
  <c r="N212" i="2"/>
  <c r="O212" i="2"/>
  <c r="R212" i="2" s="1"/>
  <c r="P212" i="2"/>
  <c r="Q212" i="2"/>
  <c r="S212" i="2"/>
  <c r="T212" i="2"/>
  <c r="U212" i="2" s="1"/>
  <c r="V212" i="2"/>
  <c r="X212" i="2"/>
  <c r="Y212" i="2"/>
  <c r="Z212" i="2"/>
  <c r="AA212" i="2"/>
  <c r="N213" i="2"/>
  <c r="O213" i="2"/>
  <c r="R213" i="2" s="1"/>
  <c r="P213" i="2"/>
  <c r="Q213" i="2"/>
  <c r="S213" i="2"/>
  <c r="T213" i="2"/>
  <c r="U213" i="2" s="1"/>
  <c r="V213" i="2"/>
  <c r="W213" i="2"/>
  <c r="X213" i="2"/>
  <c r="Y213" i="2"/>
  <c r="Z213" i="2"/>
  <c r="AA213" i="2"/>
  <c r="N214" i="2"/>
  <c r="O214" i="2"/>
  <c r="R214" i="2" s="1"/>
  <c r="P214" i="2"/>
  <c r="Q214" i="2"/>
  <c r="S214" i="2"/>
  <c r="T214" i="2"/>
  <c r="U214" i="2" s="1"/>
  <c r="X214" i="2"/>
  <c r="Y214" i="2"/>
  <c r="Z214" i="2"/>
  <c r="AA214" i="2"/>
  <c r="N215" i="2"/>
  <c r="O215" i="2"/>
  <c r="R215" i="2" s="1"/>
  <c r="P215" i="2"/>
  <c r="Q215" i="2"/>
  <c r="S215" i="2"/>
  <c r="T215" i="2"/>
  <c r="U215" i="2" s="1"/>
  <c r="W215" i="2"/>
  <c r="X215" i="2"/>
  <c r="Y215" i="2"/>
  <c r="Z215" i="2"/>
  <c r="AA215" i="2"/>
  <c r="N216" i="2"/>
  <c r="O216" i="2"/>
  <c r="P216" i="2"/>
  <c r="Q216" i="2"/>
  <c r="R216" i="2"/>
  <c r="S216" i="2"/>
  <c r="T216" i="2"/>
  <c r="U216" i="2" s="1"/>
  <c r="W216" i="2"/>
  <c r="X216" i="2"/>
  <c r="Y216" i="2"/>
  <c r="Z216" i="2"/>
  <c r="AA216" i="2"/>
  <c r="N217" i="2"/>
  <c r="O217" i="2"/>
  <c r="R217" i="2" s="1"/>
  <c r="P217" i="2"/>
  <c r="Q217" i="2"/>
  <c r="S217" i="2"/>
  <c r="T217" i="2"/>
  <c r="U217" i="2" s="1"/>
  <c r="X217" i="2"/>
  <c r="Y217" i="2"/>
  <c r="Z217" i="2"/>
  <c r="AA217" i="2"/>
  <c r="N218" i="2"/>
  <c r="O218" i="2"/>
  <c r="R218" i="2" s="1"/>
  <c r="P218" i="2"/>
  <c r="Q218" i="2"/>
  <c r="S218" i="2"/>
  <c r="T218" i="2"/>
  <c r="U218" i="2" s="1"/>
  <c r="X218" i="2"/>
  <c r="Y218" i="2"/>
  <c r="Z218" i="2"/>
  <c r="AA218" i="2"/>
  <c r="N219" i="2"/>
  <c r="O219" i="2"/>
  <c r="R219" i="2" s="1"/>
  <c r="P219" i="2"/>
  <c r="Q219" i="2"/>
  <c r="S219" i="2"/>
  <c r="T219" i="2"/>
  <c r="U219" i="2" s="1"/>
  <c r="W219" i="2"/>
  <c r="X219" i="2"/>
  <c r="Y219" i="2"/>
  <c r="Z219" i="2"/>
  <c r="AA219" i="2"/>
  <c r="N220" i="2"/>
  <c r="O220" i="2"/>
  <c r="R220" i="2" s="1"/>
  <c r="P220" i="2"/>
  <c r="Q220" i="2"/>
  <c r="S220" i="2"/>
  <c r="X220" i="2"/>
  <c r="Y220" i="2"/>
  <c r="Z220" i="2"/>
  <c r="AA220" i="2"/>
  <c r="N221" i="2"/>
  <c r="O221" i="2"/>
  <c r="R221" i="2" s="1"/>
  <c r="P221" i="2"/>
  <c r="Q221" i="2"/>
  <c r="S221" i="2"/>
  <c r="T221" i="2"/>
  <c r="U221" i="2" s="1"/>
  <c r="X221" i="2"/>
  <c r="Y221" i="2"/>
  <c r="Z221" i="2"/>
  <c r="AA221" i="2"/>
  <c r="N222" i="2"/>
  <c r="O222" i="2"/>
  <c r="R222" i="2" s="1"/>
  <c r="P222" i="2"/>
  <c r="Q222" i="2"/>
  <c r="S222" i="2"/>
  <c r="T222" i="2"/>
  <c r="U222" i="2" s="1"/>
  <c r="W222" i="2"/>
  <c r="X222" i="2"/>
  <c r="Y222" i="2"/>
  <c r="Z222" i="2"/>
  <c r="AA222" i="2"/>
  <c r="N223" i="2"/>
  <c r="O223" i="2"/>
  <c r="R223" i="2" s="1"/>
  <c r="P223" i="2"/>
  <c r="Q223" i="2"/>
  <c r="S223" i="2"/>
  <c r="T223" i="2"/>
  <c r="U223" i="2" s="1"/>
  <c r="X223" i="2"/>
  <c r="Y223" i="2"/>
  <c r="Z223" i="2"/>
  <c r="AA223" i="2"/>
  <c r="N224" i="2"/>
  <c r="O224" i="2"/>
  <c r="R224" i="2" s="1"/>
  <c r="P224" i="2"/>
  <c r="Q224" i="2"/>
  <c r="S224" i="2"/>
  <c r="T224" i="2"/>
  <c r="U224" i="2" s="1"/>
  <c r="V224" i="2"/>
  <c r="X224" i="2"/>
  <c r="Y224" i="2"/>
  <c r="Z224" i="2"/>
  <c r="AA224" i="2"/>
  <c r="N225" i="2"/>
  <c r="O225" i="2"/>
  <c r="R225" i="2" s="1"/>
  <c r="P225" i="2"/>
  <c r="Q225" i="2"/>
  <c r="S225" i="2"/>
  <c r="T225" i="2"/>
  <c r="U225" i="2" s="1"/>
  <c r="W225" i="2"/>
  <c r="X225" i="2"/>
  <c r="Y225" i="2"/>
  <c r="Z225" i="2"/>
  <c r="AA225" i="2"/>
  <c r="N226" i="2"/>
  <c r="O226" i="2"/>
  <c r="R226" i="2" s="1"/>
  <c r="P226" i="2"/>
  <c r="Q226" i="2"/>
  <c r="S226" i="2"/>
  <c r="T226" i="2"/>
  <c r="U226" i="2" s="1"/>
  <c r="V226" i="2"/>
  <c r="W226" i="2"/>
  <c r="X226" i="2"/>
  <c r="Y226" i="2"/>
  <c r="Z226" i="2"/>
  <c r="AA226" i="2"/>
  <c r="N227" i="2"/>
  <c r="O227" i="2"/>
  <c r="R227" i="2" s="1"/>
  <c r="P227" i="2"/>
  <c r="Q227" i="2"/>
  <c r="S227" i="2"/>
  <c r="X227" i="2"/>
  <c r="Y227" i="2"/>
  <c r="Z227" i="2"/>
  <c r="AA227" i="2"/>
  <c r="N228" i="2"/>
  <c r="O228" i="2"/>
  <c r="R228" i="2" s="1"/>
  <c r="P228" i="2"/>
  <c r="Q228" i="2"/>
  <c r="S228" i="2"/>
  <c r="T228" i="2"/>
  <c r="U228" i="2" s="1"/>
  <c r="X228" i="2"/>
  <c r="Y228" i="2"/>
  <c r="Z228" i="2"/>
  <c r="AA228" i="2"/>
  <c r="N229" i="2"/>
  <c r="O229" i="2"/>
  <c r="R229" i="2" s="1"/>
  <c r="P229" i="2"/>
  <c r="Q229" i="2"/>
  <c r="S229" i="2"/>
  <c r="T229" i="2"/>
  <c r="U229" i="2" s="1"/>
  <c r="V229" i="2"/>
  <c r="W229" i="2"/>
  <c r="X229" i="2"/>
  <c r="Y229" i="2"/>
  <c r="Z229" i="2"/>
  <c r="AA229" i="2"/>
  <c r="N230" i="2"/>
  <c r="O230" i="2"/>
  <c r="R230" i="2" s="1"/>
  <c r="P230" i="2"/>
  <c r="Q230" i="2"/>
  <c r="S230" i="2"/>
  <c r="T230" i="2"/>
  <c r="U230" i="2" s="1"/>
  <c r="W230" i="2"/>
  <c r="X230" i="2"/>
  <c r="Y230" i="2"/>
  <c r="Z230" i="2"/>
  <c r="AA230" i="2"/>
  <c r="N231" i="2"/>
  <c r="O231" i="2"/>
  <c r="R231" i="2" s="1"/>
  <c r="P231" i="2"/>
  <c r="Q231" i="2"/>
  <c r="S231" i="2"/>
  <c r="T231" i="2"/>
  <c r="U231" i="2" s="1"/>
  <c r="X231" i="2"/>
  <c r="Y231" i="2"/>
  <c r="Z231" i="2"/>
  <c r="AA231" i="2"/>
  <c r="N232" i="2"/>
  <c r="O232" i="2"/>
  <c r="R232" i="2" s="1"/>
  <c r="P232" i="2"/>
  <c r="Q232" i="2"/>
  <c r="S232" i="2"/>
  <c r="T232" i="2"/>
  <c r="U232" i="2" s="1"/>
  <c r="W232" i="2"/>
  <c r="X232" i="2"/>
  <c r="Y232" i="2"/>
  <c r="Z232" i="2"/>
  <c r="AA232" i="2"/>
  <c r="N233" i="2"/>
  <c r="O233" i="2"/>
  <c r="R233" i="2" s="1"/>
  <c r="P233" i="2"/>
  <c r="Q233" i="2"/>
  <c r="S233" i="2"/>
  <c r="T233" i="2"/>
  <c r="U233" i="2" s="1"/>
  <c r="X233" i="2"/>
  <c r="Y233" i="2"/>
  <c r="Z233" i="2"/>
  <c r="AA233" i="2"/>
  <c r="N234" i="2"/>
  <c r="O234" i="2"/>
  <c r="R234" i="2" s="1"/>
  <c r="P234" i="2"/>
  <c r="Q234" i="2"/>
  <c r="S234" i="2"/>
  <c r="T234" i="2"/>
  <c r="U234" i="2" s="1"/>
  <c r="V234" i="2"/>
  <c r="W234" i="2"/>
  <c r="X234" i="2"/>
  <c r="Y234" i="2"/>
  <c r="Z234" i="2"/>
  <c r="AA234" i="2"/>
  <c r="N235" i="2"/>
  <c r="O235" i="2"/>
  <c r="P235" i="2"/>
  <c r="Q235" i="2"/>
  <c r="R235" i="2"/>
  <c r="S235" i="2"/>
  <c r="T235" i="2"/>
  <c r="U235" i="2" s="1"/>
  <c r="V235" i="2"/>
  <c r="W235" i="2"/>
  <c r="X235" i="2"/>
  <c r="Y235" i="2"/>
  <c r="Z235" i="2"/>
  <c r="AA235" i="2"/>
  <c r="N236" i="2"/>
  <c r="O236" i="2"/>
  <c r="R236" i="2" s="1"/>
  <c r="P236" i="2"/>
  <c r="Q236" i="2"/>
  <c r="S236" i="2"/>
  <c r="T236" i="2"/>
  <c r="U236" i="2" s="1"/>
  <c r="X236" i="2"/>
  <c r="Y236" i="2"/>
  <c r="Z236" i="2"/>
  <c r="AA236" i="2"/>
  <c r="N237" i="2"/>
  <c r="O237" i="2"/>
  <c r="R237" i="2" s="1"/>
  <c r="P237" i="2"/>
  <c r="Q237" i="2"/>
  <c r="S237" i="2"/>
  <c r="T237" i="2"/>
  <c r="U237" i="2" s="1"/>
  <c r="V237" i="2"/>
  <c r="W237" i="2"/>
  <c r="X237" i="2"/>
  <c r="Y237" i="2"/>
  <c r="Z237" i="2"/>
  <c r="AA237" i="2"/>
  <c r="N238" i="2"/>
  <c r="O238" i="2"/>
  <c r="R238" i="2" s="1"/>
  <c r="P238" i="2"/>
  <c r="Q238" i="2"/>
  <c r="S238" i="2"/>
  <c r="T238" i="2"/>
  <c r="U238" i="2" s="1"/>
  <c r="X238" i="2"/>
  <c r="Y238" i="2"/>
  <c r="Z238" i="2"/>
  <c r="AA238" i="2"/>
  <c r="N239" i="2"/>
  <c r="O239" i="2"/>
  <c r="P239" i="2"/>
  <c r="Q239" i="2"/>
  <c r="R239" i="2"/>
  <c r="S239" i="2"/>
  <c r="T239" i="2"/>
  <c r="U239" i="2" s="1"/>
  <c r="V239" i="2"/>
  <c r="X239" i="2"/>
  <c r="Y239" i="2"/>
  <c r="Z239" i="2"/>
  <c r="AA239" i="2"/>
  <c r="N240" i="2"/>
  <c r="O240" i="2"/>
  <c r="R240" i="2" s="1"/>
  <c r="P240" i="2"/>
  <c r="Q240" i="2"/>
  <c r="S240" i="2"/>
  <c r="T240" i="2"/>
  <c r="U240" i="2" s="1"/>
  <c r="V240" i="2"/>
  <c r="X240" i="2"/>
  <c r="Y240" i="2"/>
  <c r="Z240" i="2"/>
  <c r="AA240" i="2"/>
  <c r="N241" i="2"/>
  <c r="O241" i="2"/>
  <c r="R241" i="2" s="1"/>
  <c r="P241" i="2"/>
  <c r="Q241" i="2"/>
  <c r="S241" i="2"/>
  <c r="T241" i="2"/>
  <c r="U241" i="2" s="1"/>
  <c r="X241" i="2"/>
  <c r="Y241" i="2"/>
  <c r="Z241" i="2"/>
  <c r="AA241" i="2"/>
  <c r="N242" i="2"/>
  <c r="O242" i="2"/>
  <c r="R242" i="2" s="1"/>
  <c r="P242" i="2"/>
  <c r="Q242" i="2"/>
  <c r="S242" i="2"/>
  <c r="X242" i="2"/>
  <c r="Y242" i="2"/>
  <c r="Z242" i="2"/>
  <c r="AA242" i="2"/>
  <c r="N243" i="2"/>
  <c r="O243" i="2"/>
  <c r="R243" i="2" s="1"/>
  <c r="P243" i="2"/>
  <c r="Q243" i="2"/>
  <c r="S243" i="2"/>
  <c r="T243" i="2"/>
  <c r="U243" i="2" s="1"/>
  <c r="W243" i="2"/>
  <c r="X243" i="2"/>
  <c r="Y243" i="2"/>
  <c r="Z243" i="2"/>
  <c r="AA243" i="2"/>
  <c r="N244" i="2"/>
  <c r="O244" i="2"/>
  <c r="R244" i="2" s="1"/>
  <c r="P244" i="2"/>
  <c r="Q244" i="2"/>
  <c r="S244" i="2"/>
  <c r="T244" i="2"/>
  <c r="U244" i="2"/>
  <c r="X244" i="2"/>
  <c r="Y244" i="2"/>
  <c r="Z244" i="2"/>
  <c r="AA244" i="2"/>
  <c r="N245" i="2"/>
  <c r="O245" i="2"/>
  <c r="R245" i="2" s="1"/>
  <c r="P245" i="2"/>
  <c r="Q245" i="2"/>
  <c r="S245" i="2"/>
  <c r="T245" i="2"/>
  <c r="U245" i="2" s="1"/>
  <c r="V245" i="2"/>
  <c r="W245" i="2"/>
  <c r="X245" i="2"/>
  <c r="Y245" i="2"/>
  <c r="Z245" i="2"/>
  <c r="AA245" i="2"/>
  <c r="N246" i="2"/>
  <c r="O246" i="2"/>
  <c r="R246" i="2" s="1"/>
  <c r="P246" i="2"/>
  <c r="Q246" i="2"/>
  <c r="S246" i="2"/>
  <c r="T246" i="2"/>
  <c r="U246" i="2" s="1"/>
  <c r="W246" i="2"/>
  <c r="X246" i="2"/>
  <c r="Y246" i="2"/>
  <c r="Z246" i="2"/>
  <c r="AA246" i="2"/>
  <c r="N247" i="2"/>
  <c r="O247" i="2"/>
  <c r="R247" i="2" s="1"/>
  <c r="P247" i="2"/>
  <c r="Q247" i="2"/>
  <c r="S247" i="2"/>
  <c r="T247" i="2"/>
  <c r="U247" i="2" s="1"/>
  <c r="X247" i="2"/>
  <c r="Y247" i="2"/>
  <c r="Z247" i="2"/>
  <c r="AA247" i="2"/>
  <c r="N248" i="2"/>
  <c r="O248" i="2"/>
  <c r="P248" i="2"/>
  <c r="Q248" i="2"/>
  <c r="R248" i="2"/>
  <c r="S248" i="2"/>
  <c r="T248" i="2"/>
  <c r="U248" i="2" s="1"/>
  <c r="V248" i="2"/>
  <c r="W248" i="2"/>
  <c r="X248" i="2"/>
  <c r="Y248" i="2"/>
  <c r="Z248" i="2"/>
  <c r="AA248" i="2"/>
  <c r="N249" i="2"/>
  <c r="O249" i="2"/>
  <c r="R249" i="2" s="1"/>
  <c r="P249" i="2"/>
  <c r="Q249" i="2"/>
  <c r="S249" i="2"/>
  <c r="T249" i="2"/>
  <c r="U249" i="2" s="1"/>
  <c r="X249" i="2"/>
  <c r="Y249" i="2"/>
  <c r="Z249" i="2"/>
  <c r="AA249" i="2"/>
  <c r="N250" i="2"/>
  <c r="O250" i="2"/>
  <c r="P250" i="2"/>
  <c r="Q250" i="2"/>
  <c r="R250" i="2"/>
  <c r="S250" i="2"/>
  <c r="T250" i="2"/>
  <c r="U250" i="2" s="1"/>
  <c r="V250" i="2"/>
  <c r="W250" i="2"/>
  <c r="X250" i="2"/>
  <c r="Y250" i="2"/>
  <c r="Z250" i="2"/>
  <c r="AA250" i="2"/>
  <c r="N251" i="2"/>
  <c r="O251" i="2"/>
  <c r="R251" i="2" s="1"/>
  <c r="P251" i="2"/>
  <c r="Q251" i="2"/>
  <c r="S251" i="2"/>
  <c r="T251" i="2"/>
  <c r="U251" i="2" s="1"/>
  <c r="V251" i="2"/>
  <c r="W251" i="2"/>
  <c r="X251" i="2"/>
  <c r="Y251" i="2"/>
  <c r="Z251" i="2"/>
  <c r="AA251" i="2"/>
  <c r="N252" i="2"/>
  <c r="O252" i="2"/>
  <c r="P252" i="2"/>
  <c r="Q252" i="2"/>
  <c r="R252" i="2"/>
  <c r="S252" i="2"/>
  <c r="T252" i="2"/>
  <c r="U252" i="2" s="1"/>
  <c r="X252" i="2"/>
  <c r="Y252" i="2"/>
  <c r="Z252" i="2"/>
  <c r="AA252" i="2"/>
  <c r="N253" i="2"/>
  <c r="O253" i="2"/>
  <c r="R253" i="2" s="1"/>
  <c r="P253" i="2"/>
  <c r="Q253" i="2"/>
  <c r="S253" i="2"/>
  <c r="T253" i="2"/>
  <c r="U253" i="2" s="1"/>
  <c r="W253" i="2"/>
  <c r="X253" i="2"/>
  <c r="Y253" i="2"/>
  <c r="Z253" i="2"/>
  <c r="AA253" i="2"/>
  <c r="N254" i="2"/>
  <c r="O254" i="2"/>
  <c r="R254" i="2" s="1"/>
  <c r="P254" i="2"/>
  <c r="Q254" i="2"/>
  <c r="S254" i="2"/>
  <c r="T254" i="2"/>
  <c r="U254" i="2" s="1"/>
  <c r="X254" i="2"/>
  <c r="Y254" i="2"/>
  <c r="Z254" i="2"/>
  <c r="AA254" i="2"/>
  <c r="N255" i="2"/>
  <c r="O255" i="2"/>
  <c r="R255" i="2" s="1"/>
  <c r="P255" i="2"/>
  <c r="Q255" i="2"/>
  <c r="S255" i="2"/>
  <c r="T255" i="2"/>
  <c r="U255" i="2" s="1"/>
  <c r="V255" i="2"/>
  <c r="W255" i="2"/>
  <c r="X255" i="2"/>
  <c r="Y255" i="2"/>
  <c r="Z255" i="2"/>
  <c r="AA255" i="2"/>
  <c r="N256" i="2"/>
  <c r="O256" i="2"/>
  <c r="P256" i="2"/>
  <c r="Q256" i="2"/>
  <c r="R256" i="2"/>
  <c r="S256" i="2"/>
  <c r="T256" i="2"/>
  <c r="U256" i="2" s="1"/>
  <c r="X256" i="2"/>
  <c r="Y256" i="2"/>
  <c r="Z256" i="2"/>
  <c r="AA256" i="2"/>
  <c r="N257" i="2"/>
  <c r="O257" i="2"/>
  <c r="R257" i="2" s="1"/>
  <c r="P257" i="2"/>
  <c r="Q257" i="2"/>
  <c r="S257" i="2"/>
  <c r="T257" i="2"/>
  <c r="U257" i="2" s="1"/>
  <c r="V257" i="2"/>
  <c r="W257" i="2"/>
  <c r="X257" i="2"/>
  <c r="Y257" i="2"/>
  <c r="Z257" i="2"/>
  <c r="AA257" i="2"/>
  <c r="N258" i="2"/>
  <c r="O258" i="2"/>
  <c r="R258" i="2" s="1"/>
  <c r="P258" i="2"/>
  <c r="Q258" i="2"/>
  <c r="S258" i="2"/>
  <c r="T258" i="2"/>
  <c r="U258" i="2" s="1"/>
  <c r="X258" i="2"/>
  <c r="Y258" i="2"/>
  <c r="Z258" i="2"/>
  <c r="AA258" i="2"/>
  <c r="N259" i="2"/>
  <c r="O259" i="2"/>
  <c r="R259" i="2" s="1"/>
  <c r="P259" i="2"/>
  <c r="Q259" i="2"/>
  <c r="S259" i="2"/>
  <c r="T259" i="2"/>
  <c r="U259" i="2" s="1"/>
  <c r="V259" i="2"/>
  <c r="X259" i="2"/>
  <c r="Y259" i="2"/>
  <c r="Z259" i="2"/>
  <c r="AA259" i="2"/>
  <c r="N260" i="2"/>
  <c r="O260" i="2"/>
  <c r="R260" i="2" s="1"/>
  <c r="P260" i="2"/>
  <c r="Q260" i="2"/>
  <c r="S260" i="2"/>
  <c r="T260" i="2"/>
  <c r="U260" i="2" s="1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F39" i="9" s="1"/>
  <c r="L38" i="9"/>
  <c r="M38" i="9" s="1"/>
  <c r="K38" i="9"/>
  <c r="E38" i="9"/>
  <c r="F38" i="9" s="1"/>
  <c r="L37" i="9"/>
  <c r="M37" i="9" s="1"/>
  <c r="K37" i="9"/>
  <c r="E37" i="9"/>
  <c r="L36" i="9"/>
  <c r="M36" i="9" s="1"/>
  <c r="K36" i="9"/>
  <c r="E36" i="9"/>
  <c r="F36" i="9" s="1"/>
  <c r="M35" i="9"/>
  <c r="L35" i="9"/>
  <c r="K35" i="9"/>
  <c r="E35" i="9"/>
  <c r="F35" i="9" s="1"/>
  <c r="L34" i="9"/>
  <c r="M34" i="9" s="1"/>
  <c r="K34" i="9"/>
  <c r="E34" i="9"/>
  <c r="F34" i="9" s="1"/>
  <c r="L33" i="9"/>
  <c r="M33" i="9" s="1"/>
  <c r="K33" i="9"/>
  <c r="E33" i="9"/>
  <c r="F33" i="9" s="1"/>
  <c r="L32" i="9"/>
  <c r="M32" i="9" s="1"/>
  <c r="K32" i="9"/>
  <c r="E32" i="9"/>
  <c r="F32" i="9" s="1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F23" i="9" s="1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P4" i="2"/>
  <c r="O4" i="2"/>
  <c r="R4" i="2" s="1"/>
  <c r="N4" i="2"/>
  <c r="P3" i="2"/>
  <c r="O3" i="2"/>
  <c r="R3" i="2" s="1"/>
  <c r="N3" i="2"/>
  <c r="P2" i="2"/>
  <c r="O2" i="2"/>
  <c r="R2" i="2" s="1"/>
  <c r="N2" i="2"/>
  <c r="E17" i="8" l="1"/>
  <c r="M29" i="9"/>
  <c r="M30" i="9"/>
  <c r="M28" i="9"/>
  <c r="C16" i="8"/>
  <c r="F31" i="9"/>
  <c r="Q478" i="3"/>
  <c r="R478" i="3"/>
  <c r="S478" i="3"/>
  <c r="R18" i="3"/>
  <c r="S18" i="3"/>
  <c r="Q18" i="3"/>
  <c r="R525" i="3"/>
  <c r="S525" i="3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Q523" i="3"/>
  <c r="S523" i="3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R523" i="3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R386" i="3"/>
  <c r="V194" i="2" s="1"/>
  <c r="Q386" i="3"/>
  <c r="S386" i="3"/>
  <c r="W194" i="2" s="1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R244" i="3"/>
  <c r="V124" i="2" s="1"/>
  <c r="S244" i="3"/>
  <c r="W124" i="2" s="1"/>
  <c r="Q244" i="3"/>
  <c r="Q242" i="3"/>
  <c r="S242" i="3"/>
  <c r="W122" i="2" s="1"/>
  <c r="Q178" i="3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Q327" i="3"/>
  <c r="R327" i="3"/>
  <c r="V166" i="2" s="1"/>
  <c r="S327" i="3"/>
  <c r="W166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Q454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87" i="3"/>
  <c r="V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T91" i="2"/>
  <c r="U91" i="2" s="1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Q284" i="3"/>
  <c r="R284" i="3"/>
  <c r="V14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S288" i="3"/>
  <c r="W147" i="2" s="1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R353" i="3"/>
  <c r="V179" i="2" s="1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Q123" i="3"/>
  <c r="R123" i="3"/>
  <c r="V64" i="2" s="1"/>
  <c r="S123" i="3"/>
  <c r="W64" i="2" s="1"/>
  <c r="R110" i="3"/>
  <c r="V59" i="2" s="1"/>
  <c r="S110" i="3"/>
  <c r="W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S179" i="3"/>
  <c r="W92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200" i="3"/>
  <c r="V101" i="2" s="1"/>
  <c r="R188" i="3"/>
  <c r="Q188" i="3"/>
  <c r="S188" i="3"/>
  <c r="R179" i="3"/>
  <c r="V92" i="2" s="1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Q87" i="3"/>
  <c r="S87" i="3"/>
  <c r="W46" i="2" s="1"/>
  <c r="Q143" i="3"/>
  <c r="R143" i="3"/>
  <c r="V73" i="2" s="1"/>
  <c r="S143" i="3"/>
  <c r="W73" i="2" s="1"/>
  <c r="S129" i="3"/>
  <c r="W67" i="2" s="1"/>
  <c r="R129" i="3"/>
  <c r="V67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Q147" i="3"/>
  <c r="R147" i="3"/>
  <c r="V76" i="2" s="1"/>
  <c r="S147" i="3"/>
  <c r="W76" i="2" s="1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R92" i="3"/>
  <c r="V50" i="2" s="1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Q92" i="3"/>
  <c r="R38" i="3"/>
  <c r="S38" i="3"/>
  <c r="Q38" i="3"/>
  <c r="Q31" i="3"/>
  <c r="R31" i="3"/>
  <c r="Q28" i="3"/>
  <c r="S28" i="3"/>
  <c r="W16" i="2" s="1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R47" i="3"/>
  <c r="V27" i="2" s="1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F24" i="9"/>
  <c r="F25" i="9" s="1"/>
  <c r="D14" i="8"/>
  <c r="C14" i="8"/>
  <c r="D13" i="8"/>
  <c r="C13" i="8"/>
  <c r="D12" i="8"/>
  <c r="C12" i="8"/>
  <c r="D11" i="8"/>
  <c r="D18" i="8" s="1"/>
  <c r="C11" i="8"/>
  <c r="C18" i="8" s="1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E18" i="8" l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</calcChain>
</file>

<file path=xl/sharedStrings.xml><?xml version="1.0" encoding="utf-8"?>
<sst xmlns="http://schemas.openxmlformats.org/spreadsheetml/2006/main" count="3841" uniqueCount="465">
  <si>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</si>
  <si>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</si>
  <si>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</si>
  <si>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</si>
  <si>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</si>
  <si>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</si>
  <si>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</si>
  <si>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</si>
  <si>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</si>
  <si>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</si>
  <si>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</si>
  <si>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</si>
  <si>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</si>
  <si>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</si>
  <si>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</si>
  <si>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</si>
  <si>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</si>
  <si>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</si>
  <si>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</si>
  <si>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</si>
  <si>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</si>
  <si>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</si>
  <si>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</si>
  <si>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</si>
  <si>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</si>
  <si>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</si>
  <si>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</si>
  <si>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</si>
  <si>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</si>
  <si>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</si>
  <si>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</si>
  <si>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</si>
  <si>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</si>
  <si>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</si>
  <si>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</si>
  <si>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</si>
  <si>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</si>
  <si>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</si>
  <si>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0.01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</si>
  <si>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</si>
  <si>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</si>
  <si>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</si>
  <si>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</si>
  <si>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</si>
  <si>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</si>
  <si>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</si>
  <si>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</si>
  <si>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</si>
  <si>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</si>
  <si>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</si>
  <si>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</si>
  <si>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</si>
  <si>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</si>
  <si>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</si>
  <si>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</si>
  <si>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</si>
  <si>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</si>
  <si>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</si>
  <si>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</si>
  <si>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</si>
  <si>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</si>
  <si>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</si>
  <si>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</si>
  <si>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</si>
  <si>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</si>
  <si>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</si>
  <si>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</si>
  <si>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</si>
  <si>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</si>
  <si>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</si>
  <si>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</si>
  <si>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</si>
  <si>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</si>
  <si>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</si>
  <si>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</si>
  <si>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</si>
  <si>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</si>
  <si>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</si>
  <si>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</si>
  <si>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</si>
  <si>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</si>
  <si>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</si>
  <si>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</si>
  <si>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</si>
  <si>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</si>
  <si>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</si>
  <si>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</si>
  <si>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</si>
  <si>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</si>
  <si>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</si>
  <si>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</si>
  <si>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</si>
  <si>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</si>
  <si>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</si>
  <si>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</si>
  <si>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</si>
  <si>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</si>
  <si>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</si>
  <si>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</si>
  <si>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</si>
  <si>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</si>
  <si>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</si>
  <si>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</si>
  <si>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</si>
  <si>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</si>
  <si>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</si>
  <si>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</si>
  <si>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</si>
  <si>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</si>
  <si>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</si>
  <si>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</si>
  <si>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</si>
  <si>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</si>
  <si>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</si>
  <si>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</si>
  <si>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</si>
  <si>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</si>
  <si>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</si>
  <si>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</si>
  <si>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</si>
  <si>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</si>
  <si>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[sl 3676.10]</t>
  </si>
  <si>
    <t>[sl 3675.60]</t>
  </si>
  <si>
    <t>DEMO_strategy_03</t>
  </si>
  <si>
    <t>DEMO_strategy_01</t>
  </si>
  <si>
    <t>DEMO_strategy_02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</si>
  <si>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</si>
  <si>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</si>
  <si>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</si>
  <si>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</si>
  <si>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</si>
  <si>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</si>
  <si>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</si>
  <si>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</si>
  <si>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</si>
  <si>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</si>
  <si>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</si>
  <si>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</si>
  <si>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</si>
  <si>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</si>
  <si>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</si>
  <si>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</si>
  <si>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</si>
  <si>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</si>
  <si>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</si>
  <si>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</si>
  <si>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</si>
  <si>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</si>
  <si>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</si>
  <si>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</si>
  <si>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strategy_12_demo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</si>
  <si>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</si>
  <si>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</si>
  <si>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</si>
  <si>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</si>
  <si>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</si>
  <si>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</si>
  <si>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</si>
  <si>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</si>
  <si>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</si>
  <si>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</si>
  <si>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</si>
  <si>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</si>
  <si>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</si>
  <si>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</si>
  <si>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</si>
  <si>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</si>
  <si>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</si>
  <si>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</si>
  <si>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</si>
  <si>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</si>
  <si>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</si>
  <si>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</si>
  <si>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</si>
  <si>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</si>
  <si>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W</t>
  </si>
  <si>
    <t>L</t>
  </si>
  <si>
    <t>WR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</si>
  <si>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</si>
  <si>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</si>
  <si>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</si>
  <si>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</si>
  <si>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</si>
  <si>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</si>
  <si>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</si>
  <si>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</si>
  <si>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</si>
  <si>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</si>
  <si>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</si>
  <si>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</si>
  <si>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</si>
  <si>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</si>
  <si>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</si>
  <si>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</si>
  <si>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</si>
  <si>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</si>
  <si>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</si>
  <si>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</si>
  <si>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</si>
  <si>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</si>
  <si>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</si>
  <si>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</si>
  <si>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</si>
  <si>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</si>
  <si>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</si>
  <si>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</si>
  <si>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</si>
  <si>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</si>
  <si>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</si>
  <si>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</si>
  <si>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</si>
  <si>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</si>
  <si>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</si>
  <si>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</si>
  <si>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</si>
  <si>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</si>
  <si>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</si>
  <si>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</si>
  <si>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</si>
  <si>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</si>
  <si>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</si>
  <si>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</si>
  <si>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</si>
  <si>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</si>
  <si>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</si>
  <si>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</si>
  <si>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</si>
  <si>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</si>
  <si>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</si>
  <si>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</si>
  <si>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</si>
  <si>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</si>
  <si>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</si>
  <si>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</si>
  <si>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</si>
  <si>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</si>
  <si>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</si>
  <si>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</si>
  <si>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</si>
  <si>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</si>
  <si>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</si>
  <si>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</si>
  <si>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</si>
  <si>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</si>
  <si>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</si>
  <si>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</si>
  <si>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</si>
  <si>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</si>
  <si>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</si>
  <si>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</si>
  <si>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</si>
  <si>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</si>
  <si>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</si>
  <si>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</si>
  <si>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</si>
  <si>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</si>
  <si>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</si>
  <si>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</si>
  <si>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</si>
  <si>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</si>
  <si>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</si>
  <si>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</si>
  <si>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</si>
  <si>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</si>
  <si>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</si>
  <si>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</si>
  <si>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</si>
  <si>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</si>
  <si>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strategy_08_demo</t>
  </si>
  <si>
    <t>[sl 3655.66]</t>
  </si>
  <si>
    <t>[tp 3654.54]</t>
  </si>
  <si>
    <t>[sl 3656.50]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</si>
  <si>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</si>
  <si>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</si>
  <si>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</si>
  <si>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</si>
  <si>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</si>
  <si>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</si>
  <si>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</si>
  <si>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</si>
  <si>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</si>
  <si>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</si>
  <si>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</si>
  <si>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</si>
  <si>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</si>
  <si>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</si>
  <si>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</si>
  <si>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</si>
  <si>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</si>
  <si>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</si>
  <si>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</si>
  <si>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</si>
  <si>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</si>
  <si>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</si>
  <si>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</si>
  <si>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</si>
  <si>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</si>
  <si>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</si>
  <si>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</si>
  <si>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</si>
  <si>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</si>
  <si>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</si>
  <si>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</si>
  <si>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</si>
  <si>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</si>
  <si>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</si>
  <si>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</si>
  <si>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</si>
  <si>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</si>
  <si>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</si>
  <si>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</si>
  <si>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</si>
  <si>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</si>
  <si>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</si>
  <si>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</si>
  <si>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</si>
  <si>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</si>
  <si>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</si>
  <si>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</si>
  <si>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</si>
  <si>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</si>
  <si>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</si>
  <si>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</si>
  <si>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</si>
  <si>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</si>
  <si>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</si>
  <si>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</si>
  <si>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</si>
  <si>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</si>
  <si>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</si>
  <si>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</si>
  <si>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</si>
  <si>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</si>
  <si>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</si>
  <si>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</si>
  <si>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</si>
  <si>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</si>
  <si>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</si>
  <si>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</si>
  <si>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</si>
  <si>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</si>
  <si>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</si>
  <si>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</si>
  <si>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</si>
  <si>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</si>
  <si>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</si>
  <si>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</si>
  <si>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</si>
  <si>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</si>
  <si>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</si>
  <si>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</si>
  <si>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</si>
  <si>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</si>
  <si>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</si>
  <si>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</si>
  <si>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</si>
  <si>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</si>
  <si>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</si>
  <si>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</si>
  <si>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</si>
  <si>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</si>
  <si>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</si>
  <si>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</si>
  <si>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</si>
  <si>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</si>
  <si>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</si>
  <si>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</si>
  <si>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</si>
  <si>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</si>
  <si>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</si>
  <si>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</si>
  <si>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</si>
  <si>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</si>
  <si>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</si>
  <si>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</si>
  <si>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</si>
  <si>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</si>
  <si>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</si>
  <si>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</si>
  <si>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</si>
  <si>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</si>
  <si>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</si>
  <si>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</si>
  <si>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</si>
  <si>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</si>
  <si>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</si>
  <si>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</si>
  <si>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</si>
  <si>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</si>
  <si>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</si>
  <si>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</si>
  <si>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</si>
  <si>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</si>
  <si>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</si>
  <si>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</si>
  <si>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strategy_07_demo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</si>
  <si>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</si>
  <si>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</si>
  <si>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</si>
  <si>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</si>
  <si>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</si>
  <si>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</si>
  <si>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</si>
  <si>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</si>
  <si>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</si>
  <si>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</si>
  <si>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</si>
  <si>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</si>
  <si>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</si>
  <si>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</si>
  <si>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</si>
  <si>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</si>
  <si>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</si>
  <si>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</si>
  <si>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</si>
  <si>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</si>
  <si>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</si>
  <si>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</si>
  <si>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</si>
  <si>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</si>
  <si>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</si>
  <si>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</si>
  <si>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</si>
  <si>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</si>
  <si>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</si>
  <si>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</si>
  <si>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</si>
  <si>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</si>
  <si>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</si>
  <si>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</si>
  <si>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</si>
  <si>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</si>
  <si>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</si>
  <si>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</si>
  <si>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</si>
  <si>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</si>
  <si>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</si>
  <si>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</si>
  <si>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</si>
  <si>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</si>
  <si>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</si>
  <si>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</si>
  <si>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</si>
  <si>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</si>
  <si>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</si>
  <si>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</si>
  <si>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</si>
  <si>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</si>
  <si>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</si>
  <si>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</si>
  <si>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</si>
  <si>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</si>
  <si>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</si>
  <si>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</si>
  <si>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</si>
  <si>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</si>
  <si>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06</t>
  </si>
  <si>
    <t>11</t>
  </si>
  <si>
    <t>10</t>
  </si>
  <si>
    <t>08</t>
  </si>
  <si>
    <t>07</t>
  </si>
  <si>
    <t>04</t>
  </si>
  <si>
    <t>09</t>
  </si>
  <si>
    <t>Column Labels</t>
  </si>
  <si>
    <t>STRATEGY Comparison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</si>
</sst>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2" fontId="7" fillId="4" borderId="0" xfId="0" applyNumberFormat="1" applyFont="1" applyFill="1" applyAlignment="1">
      <alignment horizontal="right" vertical="center"/>
    </xf>
    <xf numFmtId="167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68" fontId="7" fillId="4" borderId="0" xfId="0" applyNumberFormat="1" applyFont="1" applyFill="1" applyAlignment="1">
      <alignment horizontal="right" vertical="center"/>
    </xf>
    <xf numFmtId="168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horizontal="right" vertical="center"/>
    </xf>
    <xf numFmtId="167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168" fontId="7" fillId="5" borderId="0" xfId="0" applyNumberFormat="1" applyFont="1" applyFill="1" applyAlignment="1">
      <alignment horizontal="right"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0" fillId="0" borderId="0" xfId="0" applyNumberFormat="1"/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2" xfId="0" applyNumberFormat="1" applyFont="1" applyBorder="1" applyAlignment="1">
      <alignment horizontal="center"/>
    </xf>
    <xf numFmtId="0" fontId="10" fillId="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31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9"/>
        </patternFill>
      </fill>
    </dxf>
    <dxf>
      <font>
        <color theme="0"/>
      </font>
    </dxf>
    <dxf>
      <fill>
        <patternFill patternType="solid"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general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491461921294" createdVersion="8" refreshedVersion="8" minRefreshableVersion="3" recordCount="26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8T06:09:49"/>
    </cacheField>
    <cacheField name="Position" numFmtId="0">
      <sharedItems containsString="0" containsBlank="1" containsNumber="1" containsInteger="1" minValue="442874070" maxValue="44319734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49.74" maxValue="3699.07"/>
    </cacheField>
    <cacheField name="S / L" numFmtId="0">
      <sharedItems containsString="0" containsBlank="1" containsNumber="1" minValue="3652.34" maxValue="3696.57"/>
    </cacheField>
    <cacheField name="T / P" numFmtId="0">
      <sharedItems containsString="0" containsBlank="1" containsNumber="1" minValue="3646.34" maxValue="3702.57"/>
    </cacheField>
    <cacheField name="Time2" numFmtId="0">
      <sharedItems containsBlank="1"/>
    </cacheField>
    <cacheField name="Price2" numFmtId="0">
      <sharedItems containsString="0" containsBlank="1" containsNumber="1" minValue="3646.67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3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06:09:49"/>
    </cacheField>
    <cacheField name="opening_timestamp_manila" numFmtId="0">
      <sharedItems containsNonDate="0" containsDate="1" containsString="0" containsBlank="1" minDate="2025-09-16T14:04:38" maxDate="2025-09-18T11:09:49" count="248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3">
        <s v="2025-09-17"/>
        <s v="2025-09-18"/>
        <m/>
      </sharedItems>
    </cacheField>
    <cacheField name="opening_hours_manila" numFmtId="0">
      <sharedItems containsBlank="1" count="16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m/>
      </sharedItems>
    </cacheField>
    <cacheField name="opening_day_manila" numFmtId="0">
      <sharedItems containsBlank="1" count="3">
        <s v="Wed"/>
        <s v="Thu"/>
        <m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1:09:4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1:09:4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504541319446" createdVersion="8" refreshedVersion="8" minRefreshableVersion="3" recordCount="260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8T06:09:49"/>
    </cacheField>
    <cacheField name="Position" numFmtId="0">
      <sharedItems containsString="0" containsBlank="1" containsNumber="1" containsInteger="1" minValue="442874070" maxValue="44319734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49.74" maxValue="3699.07"/>
    </cacheField>
    <cacheField name="S / L" numFmtId="0">
      <sharedItems containsString="0" containsBlank="1" containsNumber="1" minValue="3652.34" maxValue="3696.57"/>
    </cacheField>
    <cacheField name="T / P" numFmtId="0">
      <sharedItems containsString="0" containsBlank="1" containsNumber="1" minValue="3646.34" maxValue="3702.57"/>
    </cacheField>
    <cacheField name="Time2" numFmtId="0">
      <sharedItems containsBlank="1"/>
    </cacheField>
    <cacheField name="Price2" numFmtId="0">
      <sharedItems containsString="0" containsBlank="1" containsNumber="1" minValue="3646.67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3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06:09:49"/>
    </cacheField>
    <cacheField name="opening_timestamp_manila" numFmtId="0">
      <sharedItems containsNonDate="0" containsDate="1" containsString="0" containsBlank="1" minDate="2025-09-16T14:04:38" maxDate="2025-09-18T11:09:49" count="244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 count="4">
        <s v="2025-09-17"/>
        <s v="2025-09-18"/>
        <m/>
        <s v="2025-09-16" u="1"/>
      </sharedItems>
    </cacheField>
    <cacheField name="opening_hours_manila" numFmtId="0">
      <sharedItems containsBlank="1" count="23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m/>
        <s v="14" u="1"/>
        <s v="15" u="1"/>
        <s v="16" u="1"/>
        <s v="17" u="1"/>
        <s v="18" u="1"/>
        <s v="13" u="1"/>
        <s v="19" u="1"/>
      </sharedItems>
    </cacheField>
    <cacheField name="opening_day_manila" numFmtId="0">
      <sharedItems containsBlank="1" count="4">
        <s v="Wed"/>
        <s v="Thu"/>
        <m/>
        <s v="Tue" u="1"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Seconds (opening_timestamp_manila)" numFmtId="0" databaseField="0">
      <fieldGroup base="19">
        <rangePr groupBy="second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1:09:4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1:09:4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m/>
    <m/>
    <m/>
    <m/>
    <m/>
    <m/>
    <m/>
    <m/>
    <m/>
    <m/>
    <m/>
    <m/>
    <m/>
    <m/>
    <m/>
    <m/>
    <x v="9"/>
    <m/>
    <m/>
    <x v="139"/>
    <x v="2"/>
    <x v="15"/>
    <x v="2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</r>
  <r>
    <m/>
    <m/>
    <m/>
    <m/>
    <m/>
    <m/>
    <m/>
    <m/>
    <m/>
    <m/>
    <m/>
    <m/>
    <m/>
    <m/>
    <m/>
    <m/>
    <x v="9"/>
    <m/>
    <m/>
    <x v="139"/>
    <x v="2"/>
    <x v="15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K30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14">
        <item x="4"/>
        <item x="5"/>
        <item x="3"/>
        <item m="1" x="10"/>
        <item x="8"/>
        <item m="1" x="11"/>
        <item x="7"/>
        <item m="1" x="12"/>
        <item x="0"/>
        <item x="2"/>
        <item x="1"/>
        <item x="6"/>
        <item x="9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16"/>
  </colFields>
  <colItems count="1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 t="grand">
      <x/>
    </i>
  </colItems>
  <dataFields count="1">
    <dataField name="Sum of Profit" fld="12" baseField="0" baseItem="0"/>
  </dataFields>
  <formats count="22">
    <format dxfId="129">
      <pivotArea dataOnly="0" labelOnly="1" fieldPosition="0">
        <references count="1">
          <reference field="16" count="1">
            <x v="1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type="origin" dataOnly="0" labelOnly="1" outline="0" fieldPosition="0"/>
    </format>
    <format dxfId="83">
      <pivotArea field="16" type="button" dataOnly="0" labelOnly="1" outline="0" axis="axisCol" fieldPosition="0"/>
    </format>
    <format dxfId="82">
      <pivotArea type="topRight" dataOnly="0" labelOnly="1" outline="0" fieldPosition="0"/>
    </format>
    <format dxfId="81">
      <pivotArea field="20" type="button" dataOnly="0" labelOnly="1" outline="0" axis="axisRow" fieldPosition="0"/>
    </format>
    <format dxfId="80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7">
      <pivotArea dataOnly="0" labelOnly="1" grandCol="1" outline="0" fieldPosition="0"/>
    </format>
    <format dxfId="7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8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35">
      <pivotArea dataOnly="0" labelOnly="1" fieldPosition="0">
        <references count="1">
          <reference field="16" count="1">
            <x v="8"/>
          </reference>
        </references>
      </pivotArea>
    </format>
    <format dxfId="34">
      <pivotArea dataOnly="0" labelOnly="1" fieldPosition="0">
        <references count="1">
          <reference field="16" count="1">
            <x v="8"/>
          </reference>
        </references>
      </pivotArea>
    </format>
    <format dxfId="33">
      <pivotArea dataOnly="0" labelOnly="1" fieldPosition="0">
        <references count="1">
          <reference field="16" count="1">
            <x v="8"/>
          </reference>
        </references>
      </pivotArea>
    </format>
    <format dxfId="29">
      <pivotArea outline="0" collapsedLevelsAreSubtotals="1" fieldPosition="0"/>
    </format>
    <format dxfId="2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5">
      <pivotArea dataOnly="0" labelOnly="1" grandCol="1" outline="0" fieldPosition="0"/>
    </format>
    <format dxfId="21">
      <pivotArea outline="0" collapsedLevelsAreSubtotals="1" fieldPosition="0"/>
    </format>
    <format dxfId="19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7">
      <pivotArea dataOnly="0" labelOnly="1" grandCol="1" outline="0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W28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5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axis="axisRow" showAll="0">
      <items count="24">
        <item x="5"/>
        <item x="6"/>
        <item x="7"/>
        <item x="8"/>
        <item x="9"/>
        <item x="10"/>
        <item x="11"/>
        <item x="12"/>
        <item x="13"/>
        <item x="14"/>
        <item m="1" x="21"/>
        <item m="1" x="16"/>
        <item m="1" x="17"/>
        <item m="1" x="18"/>
        <item m="1" x="19"/>
        <item m="1" x="20"/>
        <item m="1" x="22"/>
        <item x="15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0"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Profit" fld="12" baseField="0" baseItem="0"/>
  </dataFields>
  <formats count="10">
    <format dxfId="6">
      <pivotArea type="all" dataOnly="0" outline="0" fieldPosition="0"/>
    </format>
    <format dxfId="7">
      <pivotArea outline="0" collapsedLevelsAreSubtotals="1" fieldPosition="0"/>
    </format>
    <format dxfId="8">
      <pivotArea dataOnly="0" labelOnly="1" fieldPosition="0">
        <references count="1">
          <reference field="16" count="9">
            <x v="3"/>
            <x v="4"/>
            <x v="5"/>
            <x v="7"/>
            <x v="8"/>
            <x v="9"/>
            <x v="10"/>
            <x v="11"/>
            <x v="12"/>
          </reference>
        </references>
      </pivotArea>
    </format>
    <format dxfId="9">
      <pivotArea dataOnly="0" labelOnly="1" grandCol="1" outline="0" fieldPosition="0"/>
    </format>
    <format dxfId="10">
      <pivotArea outline="0" collapsedLevelsAreSubtotals="1" fieldPosition="0"/>
    </format>
    <format dxfId="11">
      <pivotArea field="21" type="button" dataOnly="0" labelOnly="1" outline="0" axis="axisRow" fieldPosition="0"/>
    </format>
    <format dxfId="12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8"/>
            <x v="19"/>
            <x v="20"/>
            <x v="21"/>
            <x v="22"/>
          </reference>
        </references>
      </pivotArea>
    </format>
    <format dxfId="13">
      <pivotArea dataOnly="0" labelOnly="1" grandRow="1" outline="0" fieldPosition="0"/>
    </format>
    <format dxfId="14">
      <pivotArea dataOnly="0" labelOnly="1" fieldPosition="0">
        <references count="1">
          <reference field="16" count="9">
            <x v="3"/>
            <x v="4"/>
            <x v="5"/>
            <x v="7"/>
            <x v="8"/>
            <x v="9"/>
            <x v="10"/>
            <x v="11"/>
            <x v="12"/>
          </reference>
        </references>
      </pivotArea>
    </format>
    <format dxfId="15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4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5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22" type="button" dataOnly="0" labelOnly="1" outline="0" axis="axisRow" fieldPosition="0"/>
    </format>
    <format dxfId="45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44">
      <pivotArea dataOnly="0" labelOnly="1" grandRow="1" outline="0" fieldPosition="0"/>
    </format>
    <format dxfId="4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18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14">
        <item x="4"/>
        <item x="5"/>
        <item x="3"/>
        <item m="1" x="10"/>
        <item x="8"/>
        <item m="1" x="11"/>
        <item x="7"/>
        <item m="1" x="12"/>
        <item x="0"/>
        <item x="2"/>
        <item x="1"/>
        <item x="6"/>
        <item x="9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Profit" fld="12" baseField="0" baseItem="0"/>
  </dataFields>
  <formats count="7">
    <format dxfId="130">
      <pivotArea dataOnly="0" labelOnly="1" fieldPosition="0">
        <references count="1">
          <reference field="16" count="1">
            <x v="1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6" type="button" dataOnly="0" labelOnly="1" outline="0" axis="axisRow" fieldPosition="0"/>
    </format>
    <format dxfId="5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4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axis="axisRow" showAll="0">
      <items count="17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15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8">
    <i>
      <x/>
    </i>
    <i>
      <x v="1"/>
    </i>
    <i>
      <x v="5"/>
    </i>
    <i>
      <x v="8"/>
    </i>
    <i>
      <x v="12"/>
    </i>
    <i>
      <x v="13"/>
    </i>
    <i>
      <x v="14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>
      <items count="17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15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axis="axisRow"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1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W104"/>
  <sheetViews>
    <sheetView showGridLines="0" tabSelected="1" topLeftCell="A10" workbookViewId="0">
      <selection activeCell="I32" sqref="H32:I35"/>
    </sheetView>
  </sheetViews>
  <sheetFormatPr defaultRowHeight="15" zeroHeight="1" x14ac:dyDescent="0.25"/>
  <cols>
    <col min="1" max="1" width="17.85546875" bestFit="1" customWidth="1"/>
    <col min="2" max="2" width="19.7109375" customWidth="1"/>
    <col min="3" max="4" width="18" bestFit="1" customWidth="1"/>
    <col min="5" max="7" width="17.5703125" bestFit="1" customWidth="1"/>
    <col min="8" max="8" width="20.5703125" bestFit="1" customWidth="1"/>
    <col min="9" max="10" width="17.5703125" bestFit="1" customWidth="1"/>
    <col min="11" max="11" width="11.28515625" bestFit="1" customWidth="1"/>
    <col min="12" max="13" width="13.140625" bestFit="1" customWidth="1"/>
    <col min="14" max="16" width="17.5703125" bestFit="1" customWidth="1"/>
    <col min="17" max="19" width="18" bestFit="1" customWidth="1"/>
    <col min="20" max="22" width="17.5703125" bestFit="1" customWidth="1"/>
    <col min="23" max="23" width="11.28515625" bestFit="1" customWidth="1"/>
    <col min="24" max="25" width="17.5703125" bestFit="1" customWidth="1"/>
    <col min="26" max="26" width="11.28515625" bestFit="1" customWidth="1"/>
  </cols>
  <sheetData>
    <row r="1" spans="1:23" ht="18.75" x14ac:dyDescent="0.3">
      <c r="A1" s="27" t="s">
        <v>59</v>
      </c>
      <c r="C1" s="26">
        <v>32.25</v>
      </c>
    </row>
    <row r="2" spans="1:23" x14ac:dyDescent="0.25"/>
    <row r="3" spans="1:23" x14ac:dyDescent="0.25"/>
    <row r="4" spans="1:23" x14ac:dyDescent="0.25">
      <c r="J4" s="30"/>
      <c r="K4" s="30"/>
    </row>
    <row r="5" spans="1:23" x14ac:dyDescent="0.25">
      <c r="J5" s="30"/>
      <c r="K5" s="30"/>
    </row>
    <row r="6" spans="1:23" x14ac:dyDescent="0.25">
      <c r="J6" s="30"/>
      <c r="K6" s="30"/>
    </row>
    <row r="7" spans="1:23" ht="17.100000000000001" customHeight="1" x14ac:dyDescent="0.25">
      <c r="A7" s="27" t="s">
        <v>280</v>
      </c>
    </row>
    <row r="8" spans="1:23" ht="17.100000000000001" customHeight="1" x14ac:dyDescent="0.25">
      <c r="A8" s="48" t="s">
        <v>54</v>
      </c>
      <c r="B8" s="49" t="s">
        <v>56</v>
      </c>
      <c r="C8" s="52" t="s">
        <v>175</v>
      </c>
      <c r="D8" s="52" t="s">
        <v>176</v>
      </c>
      <c r="E8" s="52" t="s">
        <v>177</v>
      </c>
      <c r="H8" s="27" t="s">
        <v>282</v>
      </c>
      <c r="M8" s="27" t="s">
        <v>281</v>
      </c>
    </row>
    <row r="9" spans="1:23" ht="17.100000000000001" customHeight="1" x14ac:dyDescent="0.25">
      <c r="A9" s="50" t="s">
        <v>124</v>
      </c>
      <c r="B9" s="51">
        <v>3.5000000000000013</v>
      </c>
      <c r="C9" s="53">
        <f>COUNTIFS(Positions_Demo!$Q:$Q,$A9,Positions_Demo!$N:$N,"W")</f>
        <v>6</v>
      </c>
      <c r="D9" s="53">
        <f>COUNTIFS(Positions_Demo!$Q:$Q,$A9,Positions_Demo!$N:$N,"L")</f>
        <v>4</v>
      </c>
      <c r="E9" s="54">
        <f>C9/(C9+D9)</f>
        <v>0.6</v>
      </c>
      <c r="H9" s="48" t="s">
        <v>29</v>
      </c>
      <c r="I9" s="49" t="s">
        <v>279</v>
      </c>
    </row>
    <row r="10" spans="1:23" ht="17.100000000000001" customHeight="1" x14ac:dyDescent="0.25">
      <c r="A10" s="50" t="s">
        <v>125</v>
      </c>
      <c r="B10" s="51">
        <v>13.96</v>
      </c>
      <c r="C10" s="53">
        <f>COUNTIFS(Positions_Demo!$Q:$Q,$A10,Positions_Demo!$N:$N,"W")</f>
        <v>6</v>
      </c>
      <c r="D10" s="53">
        <f>COUNTIFS(Positions_Demo!$Q:$Q,$A10,Positions_Demo!$N:$N,"L")</f>
        <v>4</v>
      </c>
      <c r="E10" s="54">
        <f t="shared" ref="E10:E14" si="0">C10/(C10+D10)</f>
        <v>0.6</v>
      </c>
      <c r="H10" s="49"/>
      <c r="I10" s="49"/>
    </row>
    <row r="11" spans="1:23" ht="17.100000000000001" customHeight="1" x14ac:dyDescent="0.25">
      <c r="A11" s="50" t="s">
        <v>123</v>
      </c>
      <c r="B11" s="51">
        <v>10.039999999999999</v>
      </c>
      <c r="C11" s="53">
        <f>COUNTIFS(Positions_Demo!$Q:$Q,$A11,Positions_Demo!$N:$N,"W")</f>
        <v>7</v>
      </c>
      <c r="D11" s="53">
        <f>COUNTIFS(Positions_Demo!$Q:$Q,$A11,Positions_Demo!$N:$N,"L")</f>
        <v>5</v>
      </c>
      <c r="E11" s="54">
        <f t="shared" si="0"/>
        <v>0.58333333333333337</v>
      </c>
      <c r="H11" s="48" t="s">
        <v>54</v>
      </c>
      <c r="I11" s="49" t="s">
        <v>56</v>
      </c>
      <c r="M11" s="48" t="s">
        <v>56</v>
      </c>
      <c r="N11" s="48" t="s">
        <v>463</v>
      </c>
      <c r="O11" s="49"/>
      <c r="P11" s="49"/>
      <c r="Q11" s="49"/>
      <c r="R11" s="49"/>
      <c r="S11" s="49"/>
      <c r="T11" s="49"/>
      <c r="U11" s="49"/>
      <c r="V11" s="49"/>
      <c r="W11" s="49"/>
    </row>
    <row r="12" spans="1:23" ht="17.100000000000001" customHeight="1" x14ac:dyDescent="0.25">
      <c r="A12" s="50" t="s">
        <v>395</v>
      </c>
      <c r="B12" s="51">
        <v>-3.99</v>
      </c>
      <c r="C12" s="53">
        <f>COUNTIFS(Positions_Demo!$Q:$Q,$A12,Positions_Demo!$N:$N,"W")</f>
        <v>2</v>
      </c>
      <c r="D12" s="53">
        <f>COUNTIFS(Positions_Demo!$Q:$Q,$A12,Positions_Demo!$N:$N,"L")</f>
        <v>3</v>
      </c>
      <c r="E12" s="54">
        <f t="shared" si="0"/>
        <v>0.4</v>
      </c>
      <c r="H12" s="50" t="s">
        <v>74</v>
      </c>
      <c r="I12" s="51">
        <v>-32.900000000000006</v>
      </c>
      <c r="M12" s="57" t="s">
        <v>54</v>
      </c>
      <c r="N12" s="58" t="s">
        <v>48</v>
      </c>
      <c r="O12" s="58" t="s">
        <v>49</v>
      </c>
      <c r="P12" s="58" t="s">
        <v>53</v>
      </c>
      <c r="Q12" s="58" t="s">
        <v>123</v>
      </c>
      <c r="R12" s="58" t="s">
        <v>124</v>
      </c>
      <c r="S12" s="58" t="s">
        <v>125</v>
      </c>
      <c r="T12" s="58" t="s">
        <v>150</v>
      </c>
      <c r="U12" s="58" t="s">
        <v>268</v>
      </c>
      <c r="V12" s="58" t="s">
        <v>395</v>
      </c>
      <c r="W12" s="58" t="s">
        <v>55</v>
      </c>
    </row>
    <row r="13" spans="1:23" ht="17.100000000000001" customHeight="1" x14ac:dyDescent="0.25">
      <c r="A13" s="50" t="s">
        <v>268</v>
      </c>
      <c r="B13" s="51">
        <v>-7.57</v>
      </c>
      <c r="C13" s="53">
        <f>COUNTIFS(Positions_Demo!$Q:$Q,$A13,Positions_Demo!$N:$N,"W")</f>
        <v>6</v>
      </c>
      <c r="D13" s="53">
        <f>COUNTIFS(Positions_Demo!$Q:$Q,$A13,Positions_Demo!$N:$N,"L")</f>
        <v>8</v>
      </c>
      <c r="E13" s="54">
        <f t="shared" si="0"/>
        <v>0.42857142857142855</v>
      </c>
      <c r="H13" s="50" t="s">
        <v>277</v>
      </c>
      <c r="I13" s="51">
        <v>49.829999999999913</v>
      </c>
      <c r="M13" s="59" t="s">
        <v>72</v>
      </c>
      <c r="N13" s="60">
        <v>9.11</v>
      </c>
      <c r="O13" s="60">
        <v>9.75</v>
      </c>
      <c r="P13" s="60">
        <v>8.42</v>
      </c>
      <c r="Q13" s="60">
        <v>5.8800000000000008</v>
      </c>
      <c r="R13" s="60">
        <v>4.17</v>
      </c>
      <c r="S13" s="60">
        <v>8.98</v>
      </c>
      <c r="T13" s="60">
        <v>7.61</v>
      </c>
      <c r="U13" s="60"/>
      <c r="V13" s="60"/>
      <c r="W13" s="60">
        <v>53.92</v>
      </c>
    </row>
    <row r="14" spans="1:23" ht="17.100000000000001" customHeight="1" x14ac:dyDescent="0.25">
      <c r="A14" s="50" t="s">
        <v>48</v>
      </c>
      <c r="B14" s="51">
        <v>-3.8699999999999988</v>
      </c>
      <c r="C14" s="53">
        <f>COUNTIFS(Positions_Demo!$Q:$Q,$A14,Positions_Demo!$N:$N,"W")</f>
        <v>28</v>
      </c>
      <c r="D14" s="53">
        <f>COUNTIFS(Positions_Demo!$Q:$Q,$A14,Positions_Demo!$N:$N,"L")</f>
        <v>24</v>
      </c>
      <c r="E14" s="54">
        <f t="shared" si="0"/>
        <v>0.53846153846153844</v>
      </c>
      <c r="H14" s="50" t="s">
        <v>55</v>
      </c>
      <c r="I14" s="51">
        <v>16.929999999999907</v>
      </c>
      <c r="M14" s="59" t="s">
        <v>70</v>
      </c>
      <c r="N14" s="60">
        <v>11.76</v>
      </c>
      <c r="O14" s="60">
        <v>11.71</v>
      </c>
      <c r="P14" s="60">
        <v>14.229999999999999</v>
      </c>
      <c r="Q14" s="60"/>
      <c r="R14" s="60"/>
      <c r="S14" s="60"/>
      <c r="T14" s="60">
        <v>8</v>
      </c>
      <c r="U14" s="60"/>
      <c r="V14" s="60"/>
      <c r="W14" s="60">
        <v>45.699999999999996</v>
      </c>
    </row>
    <row r="15" spans="1:23" ht="17.100000000000001" customHeight="1" x14ac:dyDescent="0.25">
      <c r="A15" s="50" t="s">
        <v>49</v>
      </c>
      <c r="B15" s="51">
        <v>-4.4000000000000004</v>
      </c>
      <c r="C15" s="53">
        <f>COUNTIFS(Positions_Demo!$Q:$Q,$A15,Positions_Demo!$N:$N,"W")</f>
        <v>29</v>
      </c>
      <c r="D15" s="53">
        <f>COUNTIFS(Positions_Demo!$Q:$Q,$A15,Positions_Demo!$N:$N,"L")</f>
        <v>27</v>
      </c>
      <c r="E15" s="54">
        <f>C15/(C15+D15)</f>
        <v>0.5178571428571429</v>
      </c>
      <c r="M15" s="59" t="s">
        <v>71</v>
      </c>
      <c r="N15" s="60">
        <v>-9.2100000000000009</v>
      </c>
      <c r="O15" s="60">
        <v>-7.54</v>
      </c>
      <c r="P15" s="60">
        <v>-9.07</v>
      </c>
      <c r="Q15" s="60"/>
      <c r="R15" s="60"/>
      <c r="S15" s="60"/>
      <c r="T15" s="60">
        <v>-9.36</v>
      </c>
      <c r="U15" s="60">
        <v>1.6899999999999995</v>
      </c>
      <c r="V15" s="60"/>
      <c r="W15" s="60">
        <v>-33.49</v>
      </c>
    </row>
    <row r="16" spans="1:23" ht="17.100000000000001" customHeight="1" x14ac:dyDescent="0.25">
      <c r="A16" s="50" t="s">
        <v>53</v>
      </c>
      <c r="B16" s="51">
        <v>-0.66999999999999504</v>
      </c>
      <c r="C16" s="53">
        <f>COUNTIFS(Positions_Demo!$Q:$Q,$A16,Positions_Demo!$N:$N,"W")</f>
        <v>28</v>
      </c>
      <c r="D16" s="53">
        <f>COUNTIFS(Positions_Demo!$Q:$Q,$A16,Positions_Demo!$N:$N,"L")</f>
        <v>24</v>
      </c>
      <c r="E16" s="54">
        <f>C16/(C16+D16)</f>
        <v>0.53846153846153844</v>
      </c>
      <c r="M16" s="59" t="s">
        <v>461</v>
      </c>
      <c r="N16" s="60">
        <v>-0.38999999999999996</v>
      </c>
      <c r="O16" s="60">
        <v>-2.21</v>
      </c>
      <c r="P16" s="60">
        <v>-0.44999999999999996</v>
      </c>
      <c r="Q16" s="60"/>
      <c r="R16" s="60"/>
      <c r="S16" s="60"/>
      <c r="T16" s="60">
        <v>4.1900000000000004</v>
      </c>
      <c r="U16" s="60"/>
      <c r="V16" s="60"/>
      <c r="W16" s="60">
        <v>1.1400000000000006</v>
      </c>
    </row>
    <row r="17" spans="1:23" ht="17.100000000000001" customHeight="1" x14ac:dyDescent="0.25">
      <c r="A17" s="55" t="s">
        <v>150</v>
      </c>
      <c r="B17" s="51">
        <v>9.9299999999999979</v>
      </c>
      <c r="C17" s="53">
        <f>COUNTIFS(Positions_Demo!$Q:$Q,$A17,Positions_Demo!$N:$N,"W")</f>
        <v>33</v>
      </c>
      <c r="D17" s="53">
        <f>COUNTIFS(Positions_Demo!$Q:$Q,$A17,Positions_Demo!$N:$N,"L")</f>
        <v>15</v>
      </c>
      <c r="E17" s="54">
        <f>C17/(C17+D17)</f>
        <v>0.6875</v>
      </c>
      <c r="M17" s="59" t="s">
        <v>456</v>
      </c>
      <c r="N17" s="60">
        <v>3.3699999999999997</v>
      </c>
      <c r="O17" s="60">
        <v>-2.1799999999999997</v>
      </c>
      <c r="P17" s="60">
        <v>3.83</v>
      </c>
      <c r="Q17" s="60">
        <v>-6.0600000000000005</v>
      </c>
      <c r="R17" s="60">
        <v>-6.26</v>
      </c>
      <c r="S17" s="60">
        <v>-6.32</v>
      </c>
      <c r="T17" s="60">
        <v>-1.4099999999999997</v>
      </c>
      <c r="U17" s="60"/>
      <c r="V17" s="60"/>
      <c r="W17" s="60">
        <v>-15.030000000000001</v>
      </c>
    </row>
    <row r="18" spans="1:23" ht="17.100000000000001" customHeight="1" x14ac:dyDescent="0.25">
      <c r="A18" s="50" t="s">
        <v>55</v>
      </c>
      <c r="B18" s="51">
        <v>16.93</v>
      </c>
      <c r="C18" s="52">
        <f>SUM(C11:C17)</f>
        <v>133</v>
      </c>
      <c r="D18" s="52">
        <f>SUM(D11:D17)</f>
        <v>106</v>
      </c>
      <c r="E18" s="56">
        <f t="shared" ref="E18" si="1">C18/(C18+D18)</f>
        <v>0.55648535564853552</v>
      </c>
      <c r="M18" s="59" t="s">
        <v>460</v>
      </c>
      <c r="N18" s="60">
        <v>0.10000000000000009</v>
      </c>
      <c r="O18" s="60">
        <v>3.62</v>
      </c>
      <c r="P18" s="60">
        <v>1.1300000000000003</v>
      </c>
      <c r="Q18" s="60"/>
      <c r="R18" s="60"/>
      <c r="S18" s="60"/>
      <c r="T18" s="60">
        <v>0.16000000000000014</v>
      </c>
      <c r="U18" s="60">
        <v>-3.02</v>
      </c>
      <c r="V18" s="60">
        <v>-3.02</v>
      </c>
      <c r="W18" s="60">
        <v>-1.0299999999999994</v>
      </c>
    </row>
    <row r="19" spans="1:23" ht="17.100000000000001" customHeight="1" x14ac:dyDescent="0.25">
      <c r="M19" s="59" t="s">
        <v>459</v>
      </c>
      <c r="N19" s="60">
        <v>4.2</v>
      </c>
      <c r="O19" s="60">
        <v>4.46</v>
      </c>
      <c r="P19" s="60">
        <v>4.9800000000000004</v>
      </c>
      <c r="Q19" s="60"/>
      <c r="R19" s="60"/>
      <c r="S19" s="60"/>
      <c r="T19" s="60">
        <v>3.41</v>
      </c>
      <c r="U19" s="60">
        <v>0.41000000000000014</v>
      </c>
      <c r="V19" s="60">
        <v>3.46</v>
      </c>
      <c r="W19" s="60">
        <v>20.92</v>
      </c>
    </row>
    <row r="20" spans="1:23" ht="17.100000000000001" customHeight="1" x14ac:dyDescent="0.25">
      <c r="M20" s="59" t="s">
        <v>462</v>
      </c>
      <c r="N20" s="60">
        <v>-2.9099999999999997</v>
      </c>
      <c r="O20" s="60">
        <v>-7.1700000000000008</v>
      </c>
      <c r="P20" s="60">
        <v>-4.4000000000000004</v>
      </c>
      <c r="Q20" s="60">
        <v>4.62</v>
      </c>
      <c r="R20" s="60">
        <v>2.14</v>
      </c>
      <c r="S20" s="60">
        <v>5.99</v>
      </c>
      <c r="T20" s="60">
        <v>-4.4099999999999993</v>
      </c>
      <c r="U20" s="60">
        <v>-5.3</v>
      </c>
      <c r="V20" s="60"/>
      <c r="W20" s="60">
        <v>-11.439999999999998</v>
      </c>
    </row>
    <row r="21" spans="1:23" ht="17.100000000000001" customHeight="1" x14ac:dyDescent="0.25">
      <c r="M21" s="59" t="s">
        <v>458</v>
      </c>
      <c r="N21" s="60">
        <v>3.7800000000000002</v>
      </c>
      <c r="O21" s="60">
        <v>1.32</v>
      </c>
      <c r="P21" s="60">
        <v>4.25</v>
      </c>
      <c r="Q21" s="60"/>
      <c r="R21" s="60"/>
      <c r="S21" s="60"/>
      <c r="T21" s="60">
        <v>3.17</v>
      </c>
      <c r="U21" s="60">
        <v>1.68</v>
      </c>
      <c r="V21" s="60">
        <v>-1.39</v>
      </c>
      <c r="W21" s="60">
        <v>12.81</v>
      </c>
    </row>
    <row r="22" spans="1:23" ht="17.100000000000001" customHeight="1" x14ac:dyDescent="0.25">
      <c r="M22" s="59" t="s">
        <v>457</v>
      </c>
      <c r="N22" s="60">
        <v>-2.7</v>
      </c>
      <c r="O22" s="60">
        <v>-2.29</v>
      </c>
      <c r="P22" s="60">
        <v>-2.82</v>
      </c>
      <c r="Q22" s="60"/>
      <c r="R22" s="60"/>
      <c r="S22" s="60"/>
      <c r="T22" s="60">
        <v>0.17</v>
      </c>
      <c r="U22" s="60">
        <v>-3.03</v>
      </c>
      <c r="V22" s="60">
        <v>-3.04</v>
      </c>
      <c r="W22" s="60">
        <v>-13.71</v>
      </c>
    </row>
    <row r="23" spans="1:23" ht="17.100000000000001" customHeight="1" x14ac:dyDescent="0.25">
      <c r="A23" s="27" t="s">
        <v>464</v>
      </c>
      <c r="M23" s="59" t="s">
        <v>272</v>
      </c>
      <c r="N23" s="60">
        <v>-3.04</v>
      </c>
      <c r="O23" s="60">
        <v>-2.4500000000000002</v>
      </c>
      <c r="P23" s="60">
        <v>-2.99</v>
      </c>
      <c r="Q23" s="60"/>
      <c r="R23" s="60"/>
      <c r="S23" s="60"/>
      <c r="T23" s="60"/>
      <c r="U23" s="60"/>
      <c r="V23" s="60"/>
      <c r="W23" s="60">
        <v>-8.48</v>
      </c>
    </row>
    <row r="24" spans="1:23" ht="17.100000000000001" customHeight="1" x14ac:dyDescent="0.25">
      <c r="M24" s="59" t="s">
        <v>273</v>
      </c>
      <c r="N24" s="60">
        <v>-9.1999999999999993</v>
      </c>
      <c r="O24" s="60">
        <v>-7.59</v>
      </c>
      <c r="P24" s="60">
        <v>-9.08</v>
      </c>
      <c r="Q24" s="60">
        <v>6.6899999999999995</v>
      </c>
      <c r="R24" s="60">
        <v>6.61</v>
      </c>
      <c r="S24" s="60">
        <v>8.51</v>
      </c>
      <c r="T24" s="60"/>
      <c r="U24" s="60"/>
      <c r="V24" s="60"/>
      <c r="W24" s="60">
        <v>-4.0600000000000005</v>
      </c>
    </row>
    <row r="25" spans="1:23" ht="17.100000000000001" customHeight="1" x14ac:dyDescent="0.25">
      <c r="M25" s="59" t="s">
        <v>274</v>
      </c>
      <c r="N25" s="60">
        <v>-2.23</v>
      </c>
      <c r="O25" s="60">
        <v>-1.77</v>
      </c>
      <c r="P25" s="60">
        <v>-2.27</v>
      </c>
      <c r="Q25" s="60">
        <v>1.04</v>
      </c>
      <c r="R25" s="60">
        <v>2.96</v>
      </c>
      <c r="S25" s="60">
        <v>2.8499999999999996</v>
      </c>
      <c r="T25" s="60"/>
      <c r="U25" s="60"/>
      <c r="V25" s="60"/>
      <c r="W25" s="60">
        <v>0.58000000000000007</v>
      </c>
    </row>
    <row r="26" spans="1:23" ht="17.100000000000001" customHeight="1" x14ac:dyDescent="0.25">
      <c r="A26" s="48" t="s">
        <v>56</v>
      </c>
      <c r="B26" s="48" t="s">
        <v>463</v>
      </c>
      <c r="C26" s="49"/>
      <c r="D26" s="49"/>
      <c r="E26" s="49"/>
      <c r="F26" s="49"/>
      <c r="G26" s="49"/>
      <c r="H26" s="49"/>
      <c r="I26" s="49"/>
      <c r="J26" s="49"/>
      <c r="K26" s="49"/>
      <c r="M26" s="59" t="s">
        <v>275</v>
      </c>
      <c r="N26" s="60">
        <v>-6.06</v>
      </c>
      <c r="O26" s="60">
        <v>-2.16</v>
      </c>
      <c r="P26" s="60">
        <v>-5.98</v>
      </c>
      <c r="Q26" s="60">
        <v>0.92</v>
      </c>
      <c r="R26" s="60">
        <v>-3.03</v>
      </c>
      <c r="S26" s="60">
        <v>-3.03</v>
      </c>
      <c r="T26" s="60">
        <v>-1.5999999999999999</v>
      </c>
      <c r="U26" s="60"/>
      <c r="V26" s="60"/>
      <c r="W26" s="60">
        <v>-20.94</v>
      </c>
    </row>
    <row r="27" spans="1:23" ht="17.100000000000001" customHeight="1" x14ac:dyDescent="0.25">
      <c r="A27" s="48" t="s">
        <v>54</v>
      </c>
      <c r="B27" s="53" t="s">
        <v>124</v>
      </c>
      <c r="C27" s="53" t="s">
        <v>125</v>
      </c>
      <c r="D27" s="53" t="s">
        <v>123</v>
      </c>
      <c r="E27" s="53" t="s">
        <v>395</v>
      </c>
      <c r="F27" s="53" t="s">
        <v>268</v>
      </c>
      <c r="G27" s="61" t="s">
        <v>48</v>
      </c>
      <c r="H27" s="53" t="s">
        <v>49</v>
      </c>
      <c r="I27" s="53" t="s">
        <v>53</v>
      </c>
      <c r="J27" s="62" t="s">
        <v>150</v>
      </c>
      <c r="K27" s="53" t="s">
        <v>55</v>
      </c>
      <c r="M27" s="59" t="s">
        <v>276</v>
      </c>
      <c r="N27" s="60">
        <v>-0.44999999999999973</v>
      </c>
      <c r="O27" s="60">
        <v>0.10000000000000009</v>
      </c>
      <c r="P27" s="60">
        <v>-0.44999999999999973</v>
      </c>
      <c r="Q27" s="60">
        <v>-3.05</v>
      </c>
      <c r="R27" s="60">
        <v>-3.09</v>
      </c>
      <c r="S27" s="60">
        <v>-3.02</v>
      </c>
      <c r="T27" s="60">
        <v>0</v>
      </c>
      <c r="U27" s="60"/>
      <c r="V27" s="60"/>
      <c r="W27" s="60">
        <v>-9.9599999999999991</v>
      </c>
    </row>
    <row r="28" spans="1:23" ht="17.100000000000001" customHeight="1" x14ac:dyDescent="0.25">
      <c r="A28" s="50" t="s">
        <v>62</v>
      </c>
      <c r="B28" s="63">
        <v>6.5400000000000009</v>
      </c>
      <c r="C28" s="63">
        <v>8.33</v>
      </c>
      <c r="D28" s="63">
        <v>8.65</v>
      </c>
      <c r="E28" s="63"/>
      <c r="F28" s="63"/>
      <c r="G28" s="63">
        <v>-20.53</v>
      </c>
      <c r="H28" s="63">
        <v>-13.970000000000002</v>
      </c>
      <c r="I28" s="63">
        <v>-20.32</v>
      </c>
      <c r="J28" s="63">
        <v>-1.5999999999999999</v>
      </c>
      <c r="K28" s="63">
        <v>-32.9</v>
      </c>
      <c r="M28" s="59" t="s">
        <v>55</v>
      </c>
      <c r="N28" s="60">
        <v>-3.8700000000000019</v>
      </c>
      <c r="O28" s="60">
        <v>-4.3999999999999986</v>
      </c>
      <c r="P28" s="60">
        <v>-0.67000000000000037</v>
      </c>
      <c r="Q28" s="60">
        <v>10.039999999999999</v>
      </c>
      <c r="R28" s="60">
        <v>3.5000000000000018</v>
      </c>
      <c r="S28" s="60">
        <v>13.959999999999997</v>
      </c>
      <c r="T28" s="60">
        <v>9.9300000000000015</v>
      </c>
      <c r="U28" s="60">
        <v>-7.57</v>
      </c>
      <c r="V28" s="60">
        <v>-3.99</v>
      </c>
      <c r="W28" s="60">
        <v>16.93</v>
      </c>
    </row>
    <row r="29" spans="1:23" ht="17.100000000000001" customHeight="1" x14ac:dyDescent="0.25">
      <c r="A29" s="50" t="s">
        <v>278</v>
      </c>
      <c r="B29" s="63">
        <v>-3.0399999999999996</v>
      </c>
      <c r="C29" s="63">
        <v>5.6300000000000008</v>
      </c>
      <c r="D29" s="63">
        <v>1.390000000000001</v>
      </c>
      <c r="E29" s="63">
        <v>-3.99</v>
      </c>
      <c r="F29" s="63">
        <v>-7.57</v>
      </c>
      <c r="G29" s="63">
        <v>16.659999999999993</v>
      </c>
      <c r="H29" s="63">
        <v>9.5699999999999914</v>
      </c>
      <c r="I29" s="63">
        <v>19.649999999999999</v>
      </c>
      <c r="J29" s="63">
        <v>11.53</v>
      </c>
      <c r="K29" s="63">
        <v>49.829999999999984</v>
      </c>
    </row>
    <row r="30" spans="1:23" ht="17.100000000000001" customHeight="1" x14ac:dyDescent="0.25">
      <c r="A30" s="50" t="s">
        <v>55</v>
      </c>
      <c r="B30" s="63">
        <v>3.5000000000000013</v>
      </c>
      <c r="C30" s="63">
        <v>13.96</v>
      </c>
      <c r="D30" s="63">
        <v>10.040000000000001</v>
      </c>
      <c r="E30" s="63">
        <v>-3.99</v>
      </c>
      <c r="F30" s="63">
        <v>-7.57</v>
      </c>
      <c r="G30" s="63">
        <v>-3.8700000000000081</v>
      </c>
      <c r="H30" s="63">
        <v>-4.400000000000011</v>
      </c>
      <c r="I30" s="63">
        <v>-0.67000000000000171</v>
      </c>
      <c r="J30" s="63">
        <v>9.93</v>
      </c>
      <c r="K30" s="63">
        <v>16.929999999999986</v>
      </c>
    </row>
    <row r="31" spans="1:23" x14ac:dyDescent="0.25">
      <c r="H31" s="28"/>
    </row>
    <row r="32" spans="1:23" x14ac:dyDescent="0.25">
      <c r="H32" s="28"/>
    </row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B9:B17 N13:W27">
    <cfRule type="cellIs" dxfId="39" priority="4" operator="greaterThan">
      <formula>0</formula>
    </cfRule>
    <cfRule type="cellIs" dxfId="40" priority="3" operator="lessThan">
      <formula>0</formula>
    </cfRule>
  </conditionalFormatting>
  <conditionalFormatting pivot="1" sqref="B28:K29">
    <cfRule type="cellIs" dxfId="36" priority="1" operator="lessThan">
      <formula>0</formula>
    </cfRule>
    <cfRule type="cellIs" dxfId="37" priority="2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9" sqref="B3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59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63</v>
      </c>
      <c r="C4" s="29"/>
      <c r="D4" s="30"/>
      <c r="E4" s="30"/>
    </row>
    <row r="5" spans="2:13" x14ac:dyDescent="0.25">
      <c r="B5" s="31" t="s">
        <v>64</v>
      </c>
      <c r="C5" s="32">
        <f>MEDIAN(C22:C61)</f>
        <v>2.0299999999999998</v>
      </c>
    </row>
    <row r="6" spans="2:13" x14ac:dyDescent="0.25">
      <c r="B6" s="31" t="s">
        <v>66</v>
      </c>
      <c r="C6" s="32">
        <f>AVERAGE(C22:C61)</f>
        <v>0.63636363636363658</v>
      </c>
      <c r="D6" s="30"/>
      <c r="E6" s="30"/>
    </row>
    <row r="7" spans="2:13" x14ac:dyDescent="0.25">
      <c r="B7" s="31" t="s">
        <v>67</v>
      </c>
      <c r="C7" s="32">
        <f>MIN(C22:C61)</f>
        <v>-3.24</v>
      </c>
      <c r="D7" s="30"/>
      <c r="E7" s="30"/>
    </row>
    <row r="8" spans="2:13" x14ac:dyDescent="0.25">
      <c r="B8" s="31" t="s">
        <v>68</v>
      </c>
      <c r="C8" s="32">
        <f>MAX(C22:C61)</f>
        <v>4.2</v>
      </c>
      <c r="D8" s="30"/>
      <c r="E8" s="30"/>
    </row>
    <row r="9" spans="2:13" x14ac:dyDescent="0.25">
      <c r="B9" s="31" t="s">
        <v>65</v>
      </c>
      <c r="C9" s="33">
        <f>COUNTIF(E:E,"W")/(COUNTIF(E:E,"W")+COUNTIF(E:E,"L"))</f>
        <v>0.6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60</v>
      </c>
      <c r="I18" s="27" t="s">
        <v>61</v>
      </c>
      <c r="Q18" s="27" t="s">
        <v>73</v>
      </c>
    </row>
    <row r="19" spans="2:18" x14ac:dyDescent="0.25">
      <c r="B19" s="21" t="s">
        <v>29</v>
      </c>
      <c r="C19" t="s">
        <v>124</v>
      </c>
      <c r="I19" s="21" t="s">
        <v>29</v>
      </c>
      <c r="J19" t="s">
        <v>124</v>
      </c>
      <c r="Q19" s="21" t="s">
        <v>29</v>
      </c>
      <c r="R19" t="s">
        <v>124</v>
      </c>
    </row>
    <row r="20" spans="2:18" x14ac:dyDescent="0.25"/>
    <row r="21" spans="2:18" x14ac:dyDescent="0.25">
      <c r="B21" s="21" t="s">
        <v>54</v>
      </c>
      <c r="C21" t="s">
        <v>56</v>
      </c>
      <c r="D21" s="23" t="s">
        <v>57</v>
      </c>
      <c r="E21" s="24" t="s">
        <v>26</v>
      </c>
      <c r="F21" t="s">
        <v>58</v>
      </c>
      <c r="I21" s="21" t="s">
        <v>54</v>
      </c>
      <c r="J21" t="s">
        <v>56</v>
      </c>
      <c r="K21" s="23" t="s">
        <v>57</v>
      </c>
      <c r="L21" s="24" t="s">
        <v>26</v>
      </c>
      <c r="M21" t="s">
        <v>58</v>
      </c>
      <c r="Q21" s="21" t="s">
        <v>54</v>
      </c>
      <c r="R21" t="s">
        <v>56</v>
      </c>
    </row>
    <row r="22" spans="2:18" x14ac:dyDescent="0.25">
      <c r="B22" s="22">
        <v>45917.881909722222</v>
      </c>
      <c r="C22" s="47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62</v>
      </c>
      <c r="J22" s="47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74</v>
      </c>
      <c r="R22" s="47">
        <v>6.5400000000000009</v>
      </c>
    </row>
    <row r="23" spans="2:18" x14ac:dyDescent="0.25">
      <c r="B23" s="22">
        <v>45917.906921296293</v>
      </c>
      <c r="C23" s="47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278</v>
      </c>
      <c r="J23" s="47">
        <v>-3.04</v>
      </c>
      <c r="K23" s="25">
        <f t="shared" ref="K23:K62" si="2">IF(OR(I23="Grand Total",I23=""),"",K22+J23)</f>
        <v>35.75</v>
      </c>
      <c r="L23" s="24" t="str">
        <f t="shared" ref="L23:L62" si="3">IF(OR(J23="",I23="Grand Total"),"",IF(J23&lt;0,"L","W"))</f>
        <v>L</v>
      </c>
      <c r="M23">
        <f>IF(L23="","",IF(L23=L22,M22+1,1))</f>
        <v>1</v>
      </c>
      <c r="Q23" s="1" t="s">
        <v>277</v>
      </c>
      <c r="R23" s="47">
        <v>-3.04</v>
      </c>
    </row>
    <row r="24" spans="2:18" x14ac:dyDescent="0.25">
      <c r="B24" s="22">
        <v>45917.934699074074</v>
      </c>
      <c r="C24" s="47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55</v>
      </c>
      <c r="J24" s="47">
        <v>3.5000000000000009</v>
      </c>
      <c r="K24" s="25" t="str">
        <f t="shared" si="2"/>
        <v/>
      </c>
      <c r="L24" s="24" t="str">
        <f t="shared" si="3"/>
        <v/>
      </c>
      <c r="M24" t="str">
        <f t="shared" ref="M24:M62" si="5">IF(L24="","",IF(L24=L23,M23+1,1))</f>
        <v/>
      </c>
      <c r="Q24" s="1" t="s">
        <v>55</v>
      </c>
      <c r="R24" s="47">
        <v>3.5000000000000009</v>
      </c>
    </row>
    <row r="25" spans="2:18" x14ac:dyDescent="0.25">
      <c r="B25" s="22">
        <v>45917.954143518517</v>
      </c>
      <c r="C25" s="47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K25" s="25" t="str">
        <f t="shared" si="2"/>
        <v/>
      </c>
      <c r="L25" s="24" t="str">
        <f t="shared" si="3"/>
        <v/>
      </c>
      <c r="M25" t="str">
        <f t="shared" si="5"/>
        <v/>
      </c>
    </row>
    <row r="26" spans="2:18" x14ac:dyDescent="0.25">
      <c r="B26" s="22">
        <v>45917.974965277775</v>
      </c>
      <c r="C26" s="47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47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47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47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47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47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1" t="s">
        <v>55</v>
      </c>
      <c r="C32" s="47">
        <v>3.5000000000000013</v>
      </c>
      <c r="D32" s="25" t="str">
        <f t="shared" si="0"/>
        <v/>
      </c>
      <c r="E32" s="24" t="str">
        <f t="shared" si="1"/>
        <v/>
      </c>
      <c r="F32" t="str">
        <f t="shared" si="4"/>
        <v/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4:18" x14ac:dyDescent="0.25">
      <c r="D33" s="25" t="str">
        <f t="shared" si="0"/>
        <v/>
      </c>
      <c r="E33" s="24" t="str">
        <f t="shared" si="1"/>
        <v/>
      </c>
      <c r="F33" t="str">
        <f t="shared" si="4"/>
        <v/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4:18" x14ac:dyDescent="0.25">
      <c r="D34" s="25" t="str">
        <f t="shared" si="0"/>
        <v/>
      </c>
      <c r="E34" s="24" t="str">
        <f t="shared" si="1"/>
        <v/>
      </c>
      <c r="F34" t="str">
        <f t="shared" si="4"/>
        <v/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4:18" x14ac:dyDescent="0.25">
      <c r="D35" s="25" t="str">
        <f t="shared" si="0"/>
        <v/>
      </c>
      <c r="E35" s="24" t="str">
        <f t="shared" si="1"/>
        <v/>
      </c>
      <c r="F35" t="str">
        <f t="shared" si="4"/>
        <v/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73</v>
      </c>
    </row>
    <row r="36" spans="4:18" x14ac:dyDescent="0.25">
      <c r="D36" s="25" t="str">
        <f t="shared" si="0"/>
        <v/>
      </c>
      <c r="E36" s="24" t="str">
        <f t="shared" si="1"/>
        <v/>
      </c>
      <c r="F36" t="str">
        <f t="shared" si="4"/>
        <v/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124</v>
      </c>
    </row>
    <row r="37" spans="4:18" x14ac:dyDescent="0.25">
      <c r="D37" s="25" t="str">
        <f t="shared" si="0"/>
        <v/>
      </c>
      <c r="E37" s="24" t="str">
        <f t="shared" si="1"/>
        <v/>
      </c>
      <c r="F37" t="str">
        <f t="shared" si="4"/>
        <v/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4:18" x14ac:dyDescent="0.25">
      <c r="D38" s="25" t="str">
        <f t="shared" si="0"/>
        <v/>
      </c>
      <c r="E38" s="24" t="str">
        <f t="shared" si="1"/>
        <v/>
      </c>
      <c r="F38" t="str">
        <f t="shared" si="4"/>
        <v/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54</v>
      </c>
      <c r="R38" t="s">
        <v>56</v>
      </c>
    </row>
    <row r="39" spans="4:18" x14ac:dyDescent="0.25">
      <c r="D39" s="25" t="str">
        <f t="shared" si="0"/>
        <v/>
      </c>
      <c r="E39" s="24" t="str">
        <f t="shared" si="1"/>
        <v/>
      </c>
      <c r="F39" t="str">
        <f t="shared" si="4"/>
        <v/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276</v>
      </c>
      <c r="R39" s="47">
        <v>-3.09</v>
      </c>
    </row>
    <row r="40" spans="4:18" x14ac:dyDescent="0.25"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72</v>
      </c>
      <c r="R40" s="47">
        <v>4.17</v>
      </c>
    </row>
    <row r="41" spans="4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456</v>
      </c>
      <c r="R41" s="47">
        <v>-6.26</v>
      </c>
    </row>
    <row r="42" spans="4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462</v>
      </c>
      <c r="R42" s="47">
        <v>2.14</v>
      </c>
    </row>
    <row r="43" spans="4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273</v>
      </c>
      <c r="R43" s="47">
        <v>6.61</v>
      </c>
    </row>
    <row r="44" spans="4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274</v>
      </c>
      <c r="R44" s="47">
        <v>2.96</v>
      </c>
    </row>
    <row r="45" spans="4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275</v>
      </c>
      <c r="R45" s="47">
        <v>-3.03</v>
      </c>
    </row>
    <row r="46" spans="4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55</v>
      </c>
      <c r="R46" s="47">
        <v>3.5000000000000013</v>
      </c>
    </row>
    <row r="47" spans="4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</row>
    <row r="48" spans="4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</row>
    <row r="49" spans="4:13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</row>
    <row r="50" spans="4:13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</row>
    <row r="51" spans="4:13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3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3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3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3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3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3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3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3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3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3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3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3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3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114" priority="27" operator="greaterThan">
      <formula>$M$1</formula>
    </cfRule>
    <cfRule type="cellIs" dxfId="113" priority="28" operator="greaterThan">
      <formula>"31.555$G$1"</formula>
    </cfRule>
  </conditionalFormatting>
  <conditionalFormatting sqref="K22:K62">
    <cfRule type="cellIs" dxfId="112" priority="26" operator="lessThan">
      <formula>0</formula>
    </cfRule>
  </conditionalFormatting>
  <conditionalFormatting sqref="K22:K62">
    <cfRule type="cellIs" dxfId="111" priority="25" operator="lessThan">
      <formula>0</formula>
    </cfRule>
  </conditionalFormatting>
  <conditionalFormatting sqref="D22">
    <cfRule type="cellIs" dxfId="110" priority="23" operator="greaterThan">
      <formula>$M$1</formula>
    </cfRule>
    <cfRule type="cellIs" dxfId="109" priority="24" operator="greaterThan">
      <formula>"31.555$G$1"</formula>
    </cfRule>
  </conditionalFormatting>
  <conditionalFormatting sqref="D22">
    <cfRule type="cellIs" dxfId="108" priority="22" operator="lessThan">
      <formula>0</formula>
    </cfRule>
  </conditionalFormatting>
  <conditionalFormatting sqref="D22">
    <cfRule type="cellIs" dxfId="107" priority="21" operator="lessThan">
      <formula>0</formula>
    </cfRule>
  </conditionalFormatting>
  <conditionalFormatting sqref="D23:D64">
    <cfRule type="cellIs" dxfId="106" priority="19" operator="greaterThan">
      <formula>$M$1</formula>
    </cfRule>
    <cfRule type="cellIs" dxfId="105" priority="20" operator="greaterThan">
      <formula>"31.555$G$1"</formula>
    </cfRule>
  </conditionalFormatting>
  <conditionalFormatting sqref="D23:D64">
    <cfRule type="cellIs" dxfId="104" priority="18" operator="lessThan">
      <formula>0</formula>
    </cfRule>
  </conditionalFormatting>
  <conditionalFormatting sqref="D23:D64">
    <cfRule type="cellIs" dxfId="103" priority="17" operator="lessThan">
      <formula>0</formula>
    </cfRule>
  </conditionalFormatting>
  <conditionalFormatting pivot="1" sqref="C22:C28">
    <cfRule type="cellIs" dxfId="98" priority="12" operator="greaterThan">
      <formula>0</formula>
    </cfRule>
  </conditionalFormatting>
  <conditionalFormatting pivot="1" sqref="C22:C28">
    <cfRule type="cellIs" dxfId="97" priority="11" operator="lessThan">
      <formula>0</formula>
    </cfRule>
  </conditionalFormatting>
  <conditionalFormatting pivot="1" sqref="J22:J23">
    <cfRule type="cellIs" dxfId="92" priority="6" operator="greaterThan">
      <formula>0</formula>
    </cfRule>
  </conditionalFormatting>
  <conditionalFormatting pivot="1" sqref="J22:J23">
    <cfRule type="cellIs" dxfId="91" priority="5" operator="lessThan">
      <formula>0</formula>
    </cfRule>
  </conditionalFormatting>
  <conditionalFormatting pivot="1" sqref="R22:R23">
    <cfRule type="cellIs" dxfId="90" priority="4" operator="greaterThan">
      <formula>0</formula>
    </cfRule>
  </conditionalFormatting>
  <conditionalFormatting pivot="1" sqref="R22:R23">
    <cfRule type="cellIs" dxfId="89" priority="3" operator="lessThan">
      <formula>0</formula>
    </cfRule>
  </conditionalFormatting>
  <conditionalFormatting pivot="1" sqref="R39:R45">
    <cfRule type="cellIs" dxfId="88" priority="2" operator="greaterThan">
      <formula>0</formula>
    </cfRule>
  </conditionalFormatting>
  <conditionalFormatting pivot="1" sqref="R39:R4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260"/>
  <sheetViews>
    <sheetView showGridLines="0" topLeftCell="A93" workbookViewId="0">
      <selection activeCell="I120" sqref="I120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50</v>
      </c>
      <c r="Y1" s="7" t="s">
        <v>51</v>
      </c>
      <c r="Z1" s="7" t="s">
        <v>52</v>
      </c>
      <c r="AA1" s="7" t="s">
        <v>69</v>
      </c>
    </row>
    <row r="2" spans="1:27" x14ac:dyDescent="0.25">
      <c r="A2" s="35">
        <v>45917.666168981479</v>
      </c>
      <c r="B2" s="36">
        <v>442874070</v>
      </c>
      <c r="C2" s="37" t="s">
        <v>36</v>
      </c>
      <c r="D2" s="37" t="s">
        <v>37</v>
      </c>
      <c r="E2" s="37" t="s">
        <v>38</v>
      </c>
      <c r="F2" s="38">
        <v>3678.6</v>
      </c>
      <c r="G2" s="38">
        <v>3675.6</v>
      </c>
      <c r="H2" s="38">
        <v>3681.6</v>
      </c>
      <c r="I2" s="37" t="s">
        <v>75</v>
      </c>
      <c r="J2" s="38">
        <v>3675.56</v>
      </c>
      <c r="K2" s="38">
        <v>0</v>
      </c>
      <c r="L2" s="38">
        <v>0</v>
      </c>
      <c r="M2" s="39">
        <v>-3.04</v>
      </c>
      <c r="N2" s="10" t="str">
        <f>IF(M2&gt;0,"W",IF(M2&lt;0,"L","BE"))</f>
        <v>L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>$M2*0.1</f>
        <v>-0.30400000000000005</v>
      </c>
      <c r="Y2" s="13">
        <f>$M2*0.2</f>
        <v>-0.6080000000000001</v>
      </c>
      <c r="Z2" s="13">
        <f>$M2*0.3</f>
        <v>-0.91199999999999992</v>
      </c>
      <c r="AA2" s="13">
        <f>IF(M2&lt;2.9,-3,M2)</f>
        <v>-3</v>
      </c>
    </row>
    <row r="3" spans="1:27" x14ac:dyDescent="0.25">
      <c r="A3" s="40">
        <v>45917.666180555556</v>
      </c>
      <c r="B3" s="41">
        <v>442874071</v>
      </c>
      <c r="C3" s="42" t="s">
        <v>36</v>
      </c>
      <c r="D3" s="42" t="s">
        <v>37</v>
      </c>
      <c r="E3" s="42" t="s">
        <v>38</v>
      </c>
      <c r="F3" s="43">
        <v>3678.55</v>
      </c>
      <c r="G3" s="43">
        <v>3675.6</v>
      </c>
      <c r="H3" s="43">
        <v>3682.1</v>
      </c>
      <c r="I3" s="42" t="s">
        <v>75</v>
      </c>
      <c r="J3" s="43">
        <v>3675.56</v>
      </c>
      <c r="K3" s="43">
        <v>0</v>
      </c>
      <c r="L3" s="43">
        <v>0</v>
      </c>
      <c r="M3" s="44">
        <v>-2.99</v>
      </c>
      <c r="N3" s="10" t="str">
        <f t="shared" ref="N3:N66" si="0">IF(M3&gt;0,"W",IF(M3&lt;0,"L","BE"))</f>
        <v>L</v>
      </c>
      <c r="O3" s="11">
        <f t="shared" ref="O3:O66" si="1">INT(LEFT(A3,10))</f>
        <v>45917</v>
      </c>
      <c r="P3" s="12" t="str">
        <f t="shared" ref="P3:P66" si="2">TEXT(A3,"hh")</f>
        <v>15</v>
      </c>
      <c r="Q3" s="13" t="str">
        <f>VLOOKUP($B3,Deals_Demo!$H:$N,7,0)</f>
        <v>strategy_11_demo</v>
      </c>
      <c r="R3" s="13" t="str">
        <f t="shared" ref="R3:R66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66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ref="X3:X66" si="5">$M3*0.1</f>
        <v>-0.29900000000000004</v>
      </c>
      <c r="Y3" s="13">
        <f t="shared" ref="Y3:Y66" si="6">$M3*0.2</f>
        <v>-0.59800000000000009</v>
      </c>
      <c r="Z3" s="13">
        <f t="shared" ref="Z3:Z66" si="7">$M3*0.3</f>
        <v>-0.89700000000000002</v>
      </c>
      <c r="AA3" s="13">
        <f t="shared" ref="AA3:AA66" si="8">IF(M3&lt;2.9,-3,M3)</f>
        <v>-3</v>
      </c>
    </row>
    <row r="4" spans="1:27" x14ac:dyDescent="0.25">
      <c r="A4" s="35">
        <v>45917.666180555556</v>
      </c>
      <c r="B4" s="36">
        <v>442874073</v>
      </c>
      <c r="C4" s="37" t="s">
        <v>36</v>
      </c>
      <c r="D4" s="37" t="s">
        <v>37</v>
      </c>
      <c r="E4" s="37" t="s">
        <v>38</v>
      </c>
      <c r="F4" s="38">
        <v>3678.55</v>
      </c>
      <c r="G4" s="38">
        <v>3676.1</v>
      </c>
      <c r="H4" s="38">
        <v>3681.6</v>
      </c>
      <c r="I4" s="37" t="s">
        <v>76</v>
      </c>
      <c r="J4" s="38">
        <v>3676.1</v>
      </c>
      <c r="K4" s="38">
        <v>0</v>
      </c>
      <c r="L4" s="38">
        <v>0</v>
      </c>
      <c r="M4" s="3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40">
        <v>45917.670358796298</v>
      </c>
      <c r="B5" s="41">
        <v>442879091</v>
      </c>
      <c r="C5" s="42" t="s">
        <v>36</v>
      </c>
      <c r="D5" s="42" t="s">
        <v>37</v>
      </c>
      <c r="E5" s="42" t="s">
        <v>38</v>
      </c>
      <c r="F5" s="43">
        <v>3675.65</v>
      </c>
      <c r="G5" s="43">
        <v>3676.36</v>
      </c>
      <c r="H5" s="43">
        <v>3680.17</v>
      </c>
      <c r="I5" s="42" t="s">
        <v>77</v>
      </c>
      <c r="J5" s="43">
        <v>3676.33</v>
      </c>
      <c r="K5" s="43">
        <v>0</v>
      </c>
      <c r="L5" s="43">
        <v>0</v>
      </c>
      <c r="M5" s="44">
        <v>0.68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ref="AA5:AA68" si="14">IF(M5&lt;2.9,-3,M5)</f>
        <v>-3</v>
      </c>
    </row>
    <row r="6" spans="1:27" x14ac:dyDescent="0.25">
      <c r="A6" s="35">
        <v>45917.673576388886</v>
      </c>
      <c r="B6" s="36">
        <v>442884874</v>
      </c>
      <c r="C6" s="37" t="s">
        <v>36</v>
      </c>
      <c r="D6" s="37" t="s">
        <v>37</v>
      </c>
      <c r="E6" s="37" t="s">
        <v>38</v>
      </c>
      <c r="F6" s="38">
        <v>3676.65</v>
      </c>
      <c r="G6" s="38">
        <v>3679.11</v>
      </c>
      <c r="H6" s="37"/>
      <c r="I6" s="37" t="s">
        <v>78</v>
      </c>
      <c r="J6" s="38">
        <v>3679.06</v>
      </c>
      <c r="K6" s="38">
        <v>0</v>
      </c>
      <c r="L6" s="38">
        <v>0</v>
      </c>
      <c r="M6" s="39">
        <v>2.41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si="14"/>
        <v>-3</v>
      </c>
    </row>
    <row r="7" spans="1:27" x14ac:dyDescent="0.25">
      <c r="A7" s="40">
        <v>45917.673587962963</v>
      </c>
      <c r="B7" s="41">
        <v>442884879</v>
      </c>
      <c r="C7" s="42" t="s">
        <v>36</v>
      </c>
      <c r="D7" s="42" t="s">
        <v>37</v>
      </c>
      <c r="E7" s="42" t="s">
        <v>38</v>
      </c>
      <c r="F7" s="43">
        <v>3676.65</v>
      </c>
      <c r="G7" s="43">
        <v>3679.12</v>
      </c>
      <c r="H7" s="43">
        <v>3682.61</v>
      </c>
      <c r="I7" s="42" t="s">
        <v>78</v>
      </c>
      <c r="J7" s="43">
        <v>3679.06</v>
      </c>
      <c r="K7" s="43">
        <v>0</v>
      </c>
      <c r="L7" s="43">
        <v>0</v>
      </c>
      <c r="M7" s="44">
        <v>2.41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si="14"/>
        <v>-3</v>
      </c>
    </row>
    <row r="8" spans="1:27" x14ac:dyDescent="0.25">
      <c r="A8" s="35">
        <v>45917.677743055552</v>
      </c>
      <c r="B8" s="36">
        <v>442887666</v>
      </c>
      <c r="C8" s="37" t="s">
        <v>36</v>
      </c>
      <c r="D8" s="37" t="s">
        <v>37</v>
      </c>
      <c r="E8" s="37" t="s">
        <v>38</v>
      </c>
      <c r="F8" s="38">
        <v>3678.04</v>
      </c>
      <c r="G8" s="38">
        <v>3675.53</v>
      </c>
      <c r="H8" s="38">
        <v>3681.03</v>
      </c>
      <c r="I8" s="37" t="s">
        <v>79</v>
      </c>
      <c r="J8" s="38">
        <v>3675.42</v>
      </c>
      <c r="K8" s="38">
        <v>0</v>
      </c>
      <c r="L8" s="38">
        <v>0</v>
      </c>
      <c r="M8" s="39">
        <v>-2.62</v>
      </c>
      <c r="N8" s="10" t="str">
        <f t="shared" si="9"/>
        <v>L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14"/>
        <v>-3</v>
      </c>
    </row>
    <row r="9" spans="1:27" x14ac:dyDescent="0.25">
      <c r="A9" s="40">
        <v>45917.677754629629</v>
      </c>
      <c r="B9" s="41">
        <v>442887668</v>
      </c>
      <c r="C9" s="42" t="s">
        <v>36</v>
      </c>
      <c r="D9" s="42" t="s">
        <v>37</v>
      </c>
      <c r="E9" s="42" t="s">
        <v>38</v>
      </c>
      <c r="F9" s="43">
        <v>3678.02</v>
      </c>
      <c r="G9" s="43">
        <v>3675.04</v>
      </c>
      <c r="H9" s="43">
        <v>3681.04</v>
      </c>
      <c r="I9" s="42" t="s">
        <v>80</v>
      </c>
      <c r="J9" s="43">
        <v>3675</v>
      </c>
      <c r="K9" s="43">
        <v>0</v>
      </c>
      <c r="L9" s="43">
        <v>0</v>
      </c>
      <c r="M9" s="44">
        <v>-3.02</v>
      </c>
      <c r="N9" s="10" t="str">
        <f t="shared" si="9"/>
        <v>L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14"/>
        <v>-3</v>
      </c>
    </row>
    <row r="10" spans="1:27" x14ac:dyDescent="0.25">
      <c r="A10" s="35">
        <v>45917.677754629629</v>
      </c>
      <c r="B10" s="36">
        <v>442887669</v>
      </c>
      <c r="C10" s="37" t="s">
        <v>36</v>
      </c>
      <c r="D10" s="37" t="s">
        <v>37</v>
      </c>
      <c r="E10" s="37" t="s">
        <v>38</v>
      </c>
      <c r="F10" s="38">
        <v>3677.94</v>
      </c>
      <c r="G10" s="38">
        <v>3675.04</v>
      </c>
      <c r="H10" s="38">
        <v>3681.54</v>
      </c>
      <c r="I10" s="37" t="s">
        <v>80</v>
      </c>
      <c r="J10" s="38">
        <v>3675</v>
      </c>
      <c r="K10" s="38">
        <v>0</v>
      </c>
      <c r="L10" s="38">
        <v>0</v>
      </c>
      <c r="M10" s="39">
        <v>-2.94</v>
      </c>
      <c r="N10" s="10" t="str">
        <f t="shared" si="9"/>
        <v>L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14"/>
        <v>-3</v>
      </c>
    </row>
    <row r="11" spans="1:27" x14ac:dyDescent="0.25">
      <c r="A11" s="40">
        <v>45917.679131944446</v>
      </c>
      <c r="B11" s="41">
        <v>442888597</v>
      </c>
      <c r="C11" s="42" t="s">
        <v>36</v>
      </c>
      <c r="D11" s="42" t="s">
        <v>37</v>
      </c>
      <c r="E11" s="42" t="s">
        <v>38</v>
      </c>
      <c r="F11" s="43">
        <v>3677.06</v>
      </c>
      <c r="G11" s="43">
        <v>3674.06</v>
      </c>
      <c r="H11" s="43">
        <v>3681.56</v>
      </c>
      <c r="I11" s="42" t="s">
        <v>81</v>
      </c>
      <c r="J11" s="43">
        <v>3674.05</v>
      </c>
      <c r="K11" s="43">
        <v>0</v>
      </c>
      <c r="L11" s="43">
        <v>0</v>
      </c>
      <c r="M11" s="44">
        <v>-3.01</v>
      </c>
      <c r="N11" s="10" t="str">
        <f t="shared" si="9"/>
        <v>L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14"/>
        <v>-3</v>
      </c>
    </row>
    <row r="12" spans="1:27" x14ac:dyDescent="0.25">
      <c r="A12" s="35">
        <v>45917.684224537035</v>
      </c>
      <c r="B12" s="36">
        <v>442892951</v>
      </c>
      <c r="C12" s="37" t="s">
        <v>36</v>
      </c>
      <c r="D12" s="37" t="s">
        <v>39</v>
      </c>
      <c r="E12" s="37" t="s">
        <v>38</v>
      </c>
      <c r="F12" s="38">
        <v>3675.51</v>
      </c>
      <c r="G12" s="38">
        <v>3678.51</v>
      </c>
      <c r="H12" s="38">
        <v>3672.01</v>
      </c>
      <c r="I12" s="37" t="s">
        <v>82</v>
      </c>
      <c r="J12" s="38">
        <v>3678.61</v>
      </c>
      <c r="K12" s="38">
        <v>0</v>
      </c>
      <c r="L12" s="38">
        <v>0</v>
      </c>
      <c r="M12" s="39">
        <v>-3.1</v>
      </c>
      <c r="N12" s="10" t="str">
        <f t="shared" si="9"/>
        <v>L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14"/>
        <v>-3</v>
      </c>
    </row>
    <row r="13" spans="1:27" x14ac:dyDescent="0.25">
      <c r="A13" s="40">
        <v>45917.684236111112</v>
      </c>
      <c r="B13" s="41">
        <v>442892954</v>
      </c>
      <c r="C13" s="42" t="s">
        <v>36</v>
      </c>
      <c r="D13" s="42" t="s">
        <v>39</v>
      </c>
      <c r="E13" s="42" t="s">
        <v>38</v>
      </c>
      <c r="F13" s="43">
        <v>3675.52</v>
      </c>
      <c r="G13" s="43">
        <v>3678.01</v>
      </c>
      <c r="H13" s="43">
        <v>3672.51</v>
      </c>
      <c r="I13" s="42" t="s">
        <v>83</v>
      </c>
      <c r="J13" s="43">
        <v>3678.06</v>
      </c>
      <c r="K13" s="43">
        <v>0</v>
      </c>
      <c r="L13" s="43">
        <v>0</v>
      </c>
      <c r="M13" s="44">
        <v>-2.54</v>
      </c>
      <c r="N13" s="10" t="str">
        <f t="shared" si="9"/>
        <v>L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14"/>
        <v>-3</v>
      </c>
    </row>
    <row r="14" spans="1:27" x14ac:dyDescent="0.25">
      <c r="A14" s="35">
        <v>45917.684236111112</v>
      </c>
      <c r="B14" s="36">
        <v>442892955</v>
      </c>
      <c r="C14" s="37" t="s">
        <v>36</v>
      </c>
      <c r="D14" s="37" t="s">
        <v>39</v>
      </c>
      <c r="E14" s="37" t="s">
        <v>38</v>
      </c>
      <c r="F14" s="38">
        <v>3675.48</v>
      </c>
      <c r="G14" s="38">
        <v>3678.51</v>
      </c>
      <c r="H14" s="38">
        <v>3672.51</v>
      </c>
      <c r="I14" s="37" t="s">
        <v>82</v>
      </c>
      <c r="J14" s="38">
        <v>3678.61</v>
      </c>
      <c r="K14" s="38">
        <v>0</v>
      </c>
      <c r="L14" s="38">
        <v>0</v>
      </c>
      <c r="M14" s="39">
        <v>-3.13</v>
      </c>
      <c r="N14" s="10" t="str">
        <f t="shared" si="9"/>
        <v>L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14"/>
        <v>-3</v>
      </c>
    </row>
    <row r="15" spans="1:27" x14ac:dyDescent="0.25">
      <c r="A15" s="40">
        <v>45917.688854166663</v>
      </c>
      <c r="B15" s="41">
        <v>442896085</v>
      </c>
      <c r="C15" s="42" t="s">
        <v>36</v>
      </c>
      <c r="D15" s="42" t="s">
        <v>37</v>
      </c>
      <c r="E15" s="42" t="s">
        <v>38</v>
      </c>
      <c r="F15" s="43">
        <v>3677.35</v>
      </c>
      <c r="G15" s="43">
        <v>3676.88</v>
      </c>
      <c r="H15" s="43">
        <v>3681.84</v>
      </c>
      <c r="I15" s="42" t="s">
        <v>84</v>
      </c>
      <c r="J15" s="43">
        <v>3681.85</v>
      </c>
      <c r="K15" s="43">
        <v>0</v>
      </c>
      <c r="L15" s="43">
        <v>0</v>
      </c>
      <c r="M15" s="44">
        <v>4.5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14"/>
        <v>4.5</v>
      </c>
    </row>
    <row r="16" spans="1:27" x14ac:dyDescent="0.25">
      <c r="A16" s="35">
        <v>45917.694525462961</v>
      </c>
      <c r="B16" s="36">
        <v>442903050</v>
      </c>
      <c r="C16" s="37" t="s">
        <v>36</v>
      </c>
      <c r="D16" s="37" t="s">
        <v>37</v>
      </c>
      <c r="E16" s="37" t="s">
        <v>38</v>
      </c>
      <c r="F16" s="38">
        <v>3680.46</v>
      </c>
      <c r="G16" s="38">
        <v>3678.03</v>
      </c>
      <c r="H16" s="38">
        <v>3683.53</v>
      </c>
      <c r="I16" s="37" t="s">
        <v>85</v>
      </c>
      <c r="J16" s="38">
        <v>3678.03</v>
      </c>
      <c r="K16" s="38">
        <v>0</v>
      </c>
      <c r="L16" s="38">
        <v>0</v>
      </c>
      <c r="M16" s="39">
        <v>-2.4300000000000002</v>
      </c>
      <c r="N16" s="10" t="str">
        <f t="shared" si="9"/>
        <v>L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14"/>
        <v>-3</v>
      </c>
    </row>
    <row r="17" spans="1:27" x14ac:dyDescent="0.25">
      <c r="A17" s="40">
        <v>45917.694537037038</v>
      </c>
      <c r="B17" s="41">
        <v>442903055</v>
      </c>
      <c r="C17" s="42" t="s">
        <v>36</v>
      </c>
      <c r="D17" s="42" t="s">
        <v>37</v>
      </c>
      <c r="E17" s="42" t="s">
        <v>38</v>
      </c>
      <c r="F17" s="43">
        <v>3680.45</v>
      </c>
      <c r="G17" s="43">
        <v>3677.46</v>
      </c>
      <c r="H17" s="43">
        <v>3683.96</v>
      </c>
      <c r="I17" s="42" t="s">
        <v>86</v>
      </c>
      <c r="J17" s="43">
        <v>3677.41</v>
      </c>
      <c r="K17" s="43">
        <v>0</v>
      </c>
      <c r="L17" s="43">
        <v>0</v>
      </c>
      <c r="M17" s="44">
        <v>-3.04</v>
      </c>
      <c r="N17" s="10" t="str">
        <f t="shared" si="9"/>
        <v>L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14"/>
        <v>-3</v>
      </c>
    </row>
    <row r="18" spans="1:27" x14ac:dyDescent="0.25">
      <c r="A18" s="35">
        <v>45917.694537037038</v>
      </c>
      <c r="B18" s="36">
        <v>442903057</v>
      </c>
      <c r="C18" s="37" t="s">
        <v>36</v>
      </c>
      <c r="D18" s="37" t="s">
        <v>37</v>
      </c>
      <c r="E18" s="37" t="s">
        <v>38</v>
      </c>
      <c r="F18" s="38">
        <v>3680.46</v>
      </c>
      <c r="G18" s="38">
        <v>3677.46</v>
      </c>
      <c r="H18" s="38">
        <v>3683.46</v>
      </c>
      <c r="I18" s="37" t="s">
        <v>86</v>
      </c>
      <c r="J18" s="38">
        <v>3677.41</v>
      </c>
      <c r="K18" s="38">
        <v>0</v>
      </c>
      <c r="L18" s="38">
        <v>0</v>
      </c>
      <c r="M18" s="39">
        <v>-3.05</v>
      </c>
      <c r="N18" s="10" t="str">
        <f t="shared" si="9"/>
        <v>L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14"/>
        <v>-3</v>
      </c>
    </row>
    <row r="19" spans="1:27" x14ac:dyDescent="0.25">
      <c r="A19" s="40">
        <v>45917.698587962965</v>
      </c>
      <c r="B19" s="41">
        <v>442906378</v>
      </c>
      <c r="C19" s="42" t="s">
        <v>36</v>
      </c>
      <c r="D19" s="42" t="s">
        <v>37</v>
      </c>
      <c r="E19" s="42" t="s">
        <v>38</v>
      </c>
      <c r="F19" s="43">
        <v>3678.35</v>
      </c>
      <c r="G19" s="43">
        <v>3679.87</v>
      </c>
      <c r="H19" s="43">
        <v>3682.87</v>
      </c>
      <c r="I19" s="42" t="s">
        <v>87</v>
      </c>
      <c r="J19" s="43">
        <v>3682.87</v>
      </c>
      <c r="K19" s="43">
        <v>0</v>
      </c>
      <c r="L19" s="43">
        <v>0</v>
      </c>
      <c r="M19" s="44">
        <v>4.5199999999999996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14"/>
        <v>4.5199999999999996</v>
      </c>
    </row>
    <row r="20" spans="1:27" x14ac:dyDescent="0.25">
      <c r="A20" s="35">
        <v>45917.698587962965</v>
      </c>
      <c r="B20" s="36">
        <v>442906390</v>
      </c>
      <c r="C20" s="37" t="s">
        <v>36</v>
      </c>
      <c r="D20" s="37" t="s">
        <v>37</v>
      </c>
      <c r="E20" s="37" t="s">
        <v>38</v>
      </c>
      <c r="F20" s="38">
        <v>3678.33</v>
      </c>
      <c r="G20" s="38">
        <v>3682.56</v>
      </c>
      <c r="H20" s="37"/>
      <c r="I20" s="37" t="s">
        <v>88</v>
      </c>
      <c r="J20" s="38">
        <v>3682.53</v>
      </c>
      <c r="K20" s="38">
        <v>0</v>
      </c>
      <c r="L20" s="38">
        <v>0</v>
      </c>
      <c r="M20" s="39">
        <v>4.2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14"/>
        <v>4.2</v>
      </c>
    </row>
    <row r="21" spans="1:27" x14ac:dyDescent="0.25">
      <c r="A21" s="40">
        <v>45917.698587962965</v>
      </c>
      <c r="B21" s="41">
        <v>442906392</v>
      </c>
      <c r="C21" s="42" t="s">
        <v>36</v>
      </c>
      <c r="D21" s="42" t="s">
        <v>37</v>
      </c>
      <c r="E21" s="42" t="s">
        <v>38</v>
      </c>
      <c r="F21" s="43">
        <v>3678.32</v>
      </c>
      <c r="G21" s="43">
        <v>3681.73</v>
      </c>
      <c r="H21" s="43">
        <v>3684.33</v>
      </c>
      <c r="I21" s="42" t="s">
        <v>89</v>
      </c>
      <c r="J21" s="43">
        <v>3684.42</v>
      </c>
      <c r="K21" s="43">
        <v>0</v>
      </c>
      <c r="L21" s="43">
        <v>0</v>
      </c>
      <c r="M21" s="44">
        <v>6.1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14"/>
        <v>6.1</v>
      </c>
    </row>
    <row r="22" spans="1:27" x14ac:dyDescent="0.25">
      <c r="A22" s="35">
        <v>45917.721608796295</v>
      </c>
      <c r="B22" s="36">
        <v>442925881</v>
      </c>
      <c r="C22" s="37" t="s">
        <v>36</v>
      </c>
      <c r="D22" s="37" t="s">
        <v>37</v>
      </c>
      <c r="E22" s="37" t="s">
        <v>38</v>
      </c>
      <c r="F22" s="38">
        <v>3683.82</v>
      </c>
      <c r="G22" s="38">
        <v>3684.28</v>
      </c>
      <c r="H22" s="38">
        <v>3686.96</v>
      </c>
      <c r="I22" s="37" t="s">
        <v>90</v>
      </c>
      <c r="J22" s="38">
        <v>3684.25</v>
      </c>
      <c r="K22" s="38">
        <v>0</v>
      </c>
      <c r="L22" s="38">
        <v>0</v>
      </c>
      <c r="M22" s="39">
        <v>0.43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14"/>
        <v>-3</v>
      </c>
    </row>
    <row r="23" spans="1:27" x14ac:dyDescent="0.25">
      <c r="A23" s="40">
        <v>45917.721608796295</v>
      </c>
      <c r="B23" s="41">
        <v>442925884</v>
      </c>
      <c r="C23" s="42" t="s">
        <v>36</v>
      </c>
      <c r="D23" s="42" t="s">
        <v>37</v>
      </c>
      <c r="E23" s="42" t="s">
        <v>38</v>
      </c>
      <c r="F23" s="43">
        <v>3683.76</v>
      </c>
      <c r="G23" s="43">
        <v>3684.28</v>
      </c>
      <c r="H23" s="43">
        <v>3686.82</v>
      </c>
      <c r="I23" s="42" t="s">
        <v>90</v>
      </c>
      <c r="J23" s="43">
        <v>3684.25</v>
      </c>
      <c r="K23" s="43">
        <v>0</v>
      </c>
      <c r="L23" s="43">
        <v>0</v>
      </c>
      <c r="M23" s="44">
        <v>0.49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14"/>
        <v>-3</v>
      </c>
    </row>
    <row r="24" spans="1:27" x14ac:dyDescent="0.25">
      <c r="A24" s="35">
        <v>45917.721620370372</v>
      </c>
      <c r="B24" s="36">
        <v>442925888</v>
      </c>
      <c r="C24" s="37" t="s">
        <v>36</v>
      </c>
      <c r="D24" s="37" t="s">
        <v>37</v>
      </c>
      <c r="E24" s="37" t="s">
        <v>38</v>
      </c>
      <c r="F24" s="38">
        <v>3683.82</v>
      </c>
      <c r="G24" s="38">
        <v>3684.28</v>
      </c>
      <c r="H24" s="38">
        <v>3687.32</v>
      </c>
      <c r="I24" s="37" t="s">
        <v>90</v>
      </c>
      <c r="J24" s="38">
        <v>3684.25</v>
      </c>
      <c r="K24" s="38">
        <v>0</v>
      </c>
      <c r="L24" s="38">
        <v>0</v>
      </c>
      <c r="M24" s="39">
        <v>0.43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14"/>
        <v>-3</v>
      </c>
    </row>
    <row r="25" spans="1:27" x14ac:dyDescent="0.25">
      <c r="A25" s="40">
        <v>45917.726365740738</v>
      </c>
      <c r="B25" s="41">
        <v>442929514</v>
      </c>
      <c r="C25" s="42" t="s">
        <v>36</v>
      </c>
      <c r="D25" s="42" t="s">
        <v>37</v>
      </c>
      <c r="E25" s="42" t="s">
        <v>38</v>
      </c>
      <c r="F25" s="43">
        <v>3682.57</v>
      </c>
      <c r="G25" s="43">
        <v>3684.61</v>
      </c>
      <c r="H25" s="42"/>
      <c r="I25" s="42" t="s">
        <v>91</v>
      </c>
      <c r="J25" s="43">
        <v>3684.6</v>
      </c>
      <c r="K25" s="43">
        <v>0</v>
      </c>
      <c r="L25" s="43">
        <v>0</v>
      </c>
      <c r="M25" s="44">
        <v>2.0299999999999998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14"/>
        <v>-3</v>
      </c>
    </row>
    <row r="26" spans="1:27" x14ac:dyDescent="0.25">
      <c r="A26" s="35">
        <v>45917.726365740738</v>
      </c>
      <c r="B26" s="36">
        <v>442929515</v>
      </c>
      <c r="C26" s="37" t="s">
        <v>36</v>
      </c>
      <c r="D26" s="37" t="s">
        <v>37</v>
      </c>
      <c r="E26" s="37" t="s">
        <v>38</v>
      </c>
      <c r="F26" s="38">
        <v>3682.57</v>
      </c>
      <c r="G26" s="38">
        <v>3684.61</v>
      </c>
      <c r="H26" s="38">
        <v>3688.57</v>
      </c>
      <c r="I26" s="37" t="s">
        <v>91</v>
      </c>
      <c r="J26" s="38">
        <v>3684.6</v>
      </c>
      <c r="K26" s="38">
        <v>0</v>
      </c>
      <c r="L26" s="38">
        <v>0</v>
      </c>
      <c r="M26" s="39">
        <v>2.0299999999999998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14"/>
        <v>-3</v>
      </c>
    </row>
    <row r="27" spans="1:27" x14ac:dyDescent="0.25">
      <c r="A27" s="40">
        <v>45917.733310185184</v>
      </c>
      <c r="B27" s="41">
        <v>442934114</v>
      </c>
      <c r="C27" s="42" t="s">
        <v>36</v>
      </c>
      <c r="D27" s="42" t="s">
        <v>37</v>
      </c>
      <c r="E27" s="42" t="s">
        <v>38</v>
      </c>
      <c r="F27" s="43">
        <v>3683.38</v>
      </c>
      <c r="G27" s="43">
        <v>3684.44</v>
      </c>
      <c r="H27" s="43">
        <v>3687.86</v>
      </c>
      <c r="I27" s="42" t="s">
        <v>92</v>
      </c>
      <c r="J27" s="43">
        <v>3684.42</v>
      </c>
      <c r="K27" s="43">
        <v>0</v>
      </c>
      <c r="L27" s="43">
        <v>0</v>
      </c>
      <c r="M27" s="44">
        <v>1.04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14"/>
        <v>-3</v>
      </c>
    </row>
    <row r="28" spans="1:27" x14ac:dyDescent="0.25">
      <c r="A28" s="35">
        <v>45917.737812500003</v>
      </c>
      <c r="B28" s="36">
        <v>442936578</v>
      </c>
      <c r="C28" s="37" t="s">
        <v>36</v>
      </c>
      <c r="D28" s="37" t="s">
        <v>37</v>
      </c>
      <c r="E28" s="37" t="s">
        <v>38</v>
      </c>
      <c r="F28" s="38">
        <v>3684.71</v>
      </c>
      <c r="G28" s="38">
        <v>3684.99</v>
      </c>
      <c r="H28" s="38">
        <v>3687.58</v>
      </c>
      <c r="I28" s="37" t="s">
        <v>93</v>
      </c>
      <c r="J28" s="38">
        <v>3684.99</v>
      </c>
      <c r="K28" s="38">
        <v>0</v>
      </c>
      <c r="L28" s="38">
        <v>0</v>
      </c>
      <c r="M28" s="39">
        <v>0.28000000000000003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14"/>
        <v>-3</v>
      </c>
    </row>
    <row r="29" spans="1:27" x14ac:dyDescent="0.25">
      <c r="A29" s="40">
        <v>45917.737812500003</v>
      </c>
      <c r="B29" s="41">
        <v>442936579</v>
      </c>
      <c r="C29" s="42" t="s">
        <v>36</v>
      </c>
      <c r="D29" s="42" t="s">
        <v>37</v>
      </c>
      <c r="E29" s="42" t="s">
        <v>38</v>
      </c>
      <c r="F29" s="43">
        <v>3684.69</v>
      </c>
      <c r="G29" s="43">
        <v>3684.99</v>
      </c>
      <c r="H29" s="43">
        <v>3688.21</v>
      </c>
      <c r="I29" s="42" t="s">
        <v>93</v>
      </c>
      <c r="J29" s="43">
        <v>3684.99</v>
      </c>
      <c r="K29" s="43">
        <v>0</v>
      </c>
      <c r="L29" s="43">
        <v>0</v>
      </c>
      <c r="M29" s="44">
        <v>0.3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14"/>
        <v>-3</v>
      </c>
    </row>
    <row r="30" spans="1:27" x14ac:dyDescent="0.25">
      <c r="A30" s="35">
        <v>45917.737824074073</v>
      </c>
      <c r="B30" s="36">
        <v>442936580</v>
      </c>
      <c r="C30" s="37" t="s">
        <v>36</v>
      </c>
      <c r="D30" s="37" t="s">
        <v>37</v>
      </c>
      <c r="E30" s="37" t="s">
        <v>38</v>
      </c>
      <c r="F30" s="38">
        <v>3684.69</v>
      </c>
      <c r="G30" s="38">
        <v>3684.99</v>
      </c>
      <c r="H30" s="38">
        <v>3687.71</v>
      </c>
      <c r="I30" s="37" t="s">
        <v>93</v>
      </c>
      <c r="J30" s="38">
        <v>3684.99</v>
      </c>
      <c r="K30" s="38">
        <v>0</v>
      </c>
      <c r="L30" s="38">
        <v>0</v>
      </c>
      <c r="M30" s="39">
        <v>0.3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14"/>
        <v>-3</v>
      </c>
    </row>
    <row r="31" spans="1:27" x14ac:dyDescent="0.25">
      <c r="A31" s="40">
        <v>45917.745798611111</v>
      </c>
      <c r="B31" s="41">
        <v>442940492</v>
      </c>
      <c r="C31" s="42" t="s">
        <v>36</v>
      </c>
      <c r="D31" s="42" t="s">
        <v>37</v>
      </c>
      <c r="E31" s="42" t="s">
        <v>38</v>
      </c>
      <c r="F31" s="43">
        <v>3683.89</v>
      </c>
      <c r="G31" s="43">
        <v>3684.77</v>
      </c>
      <c r="H31" s="43">
        <v>3689.89</v>
      </c>
      <c r="I31" s="42" t="s">
        <v>94</v>
      </c>
      <c r="J31" s="43">
        <v>3684.71</v>
      </c>
      <c r="K31" s="43">
        <v>0</v>
      </c>
      <c r="L31" s="43">
        <v>0</v>
      </c>
      <c r="M31" s="44">
        <v>0.82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14"/>
        <v>-3</v>
      </c>
    </row>
    <row r="32" spans="1:27" x14ac:dyDescent="0.25">
      <c r="A32" s="35">
        <v>45917.745810185188</v>
      </c>
      <c r="B32" s="36">
        <v>442940496</v>
      </c>
      <c r="C32" s="37" t="s">
        <v>36</v>
      </c>
      <c r="D32" s="37" t="s">
        <v>37</v>
      </c>
      <c r="E32" s="37" t="s">
        <v>38</v>
      </c>
      <c r="F32" s="38">
        <v>3683.78</v>
      </c>
      <c r="G32" s="38">
        <v>3684.75</v>
      </c>
      <c r="H32" s="37"/>
      <c r="I32" s="37" t="s">
        <v>94</v>
      </c>
      <c r="J32" s="38">
        <v>3684.71</v>
      </c>
      <c r="K32" s="38">
        <v>0</v>
      </c>
      <c r="L32" s="38">
        <v>0</v>
      </c>
      <c r="M32" s="39">
        <v>0.93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14"/>
        <v>-3</v>
      </c>
    </row>
    <row r="33" spans="1:27" x14ac:dyDescent="0.25">
      <c r="A33" s="40">
        <v>45917.748692129629</v>
      </c>
      <c r="B33" s="41">
        <v>442942538</v>
      </c>
      <c r="C33" s="42" t="s">
        <v>36</v>
      </c>
      <c r="D33" s="42" t="s">
        <v>39</v>
      </c>
      <c r="E33" s="42" t="s">
        <v>38</v>
      </c>
      <c r="F33" s="43">
        <v>3683.15</v>
      </c>
      <c r="G33" s="43">
        <v>3685.64</v>
      </c>
      <c r="H33" s="43">
        <v>3680.14</v>
      </c>
      <c r="I33" s="42" t="s">
        <v>95</v>
      </c>
      <c r="J33" s="43">
        <v>3685.65</v>
      </c>
      <c r="K33" s="43">
        <v>0</v>
      </c>
      <c r="L33" s="43">
        <v>0</v>
      </c>
      <c r="M33" s="44">
        <v>-2.5</v>
      </c>
      <c r="N33" s="10" t="str">
        <f t="shared" si="9"/>
        <v>L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14"/>
        <v>-3</v>
      </c>
    </row>
    <row r="34" spans="1:27" x14ac:dyDescent="0.25">
      <c r="A34" s="35">
        <v>45917.748692129629</v>
      </c>
      <c r="B34" s="36">
        <v>442942542</v>
      </c>
      <c r="C34" s="37" t="s">
        <v>36</v>
      </c>
      <c r="D34" s="37" t="s">
        <v>39</v>
      </c>
      <c r="E34" s="37" t="s">
        <v>38</v>
      </c>
      <c r="F34" s="38">
        <v>3683.15</v>
      </c>
      <c r="G34" s="38">
        <v>3686.15</v>
      </c>
      <c r="H34" s="38">
        <v>3679.65</v>
      </c>
      <c r="I34" s="37" t="s">
        <v>96</v>
      </c>
      <c r="J34" s="38">
        <v>3686.15</v>
      </c>
      <c r="K34" s="38">
        <v>0</v>
      </c>
      <c r="L34" s="38">
        <v>0</v>
      </c>
      <c r="M34" s="39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40">
        <v>45917.748703703706</v>
      </c>
      <c r="B35" s="41">
        <v>442942544</v>
      </c>
      <c r="C35" s="42" t="s">
        <v>36</v>
      </c>
      <c r="D35" s="42" t="s">
        <v>39</v>
      </c>
      <c r="E35" s="42" t="s">
        <v>38</v>
      </c>
      <c r="F35" s="43">
        <v>3683.15</v>
      </c>
      <c r="G35" s="43">
        <v>3686.15</v>
      </c>
      <c r="H35" s="43">
        <v>3680.15</v>
      </c>
      <c r="I35" s="42" t="s">
        <v>96</v>
      </c>
      <c r="J35" s="43">
        <v>3686.15</v>
      </c>
      <c r="K35" s="43">
        <v>0</v>
      </c>
      <c r="L35" s="43">
        <v>0</v>
      </c>
      <c r="M35" s="44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35">
        <v>45917.758414351854</v>
      </c>
      <c r="B36" s="36">
        <v>442947400</v>
      </c>
      <c r="C36" s="37" t="s">
        <v>36</v>
      </c>
      <c r="D36" s="37" t="s">
        <v>37</v>
      </c>
      <c r="E36" s="37" t="s">
        <v>38</v>
      </c>
      <c r="F36" s="38">
        <v>3685.23</v>
      </c>
      <c r="G36" s="38">
        <v>3685.26</v>
      </c>
      <c r="H36" s="38">
        <v>3688.23</v>
      </c>
      <c r="I36" s="37" t="s">
        <v>97</v>
      </c>
      <c r="J36" s="38">
        <v>3685.26</v>
      </c>
      <c r="K36" s="38">
        <v>0</v>
      </c>
      <c r="L36" s="38">
        <v>0</v>
      </c>
      <c r="M36" s="39">
        <v>0.03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14"/>
        <v>-3</v>
      </c>
    </row>
    <row r="37" spans="1:27" x14ac:dyDescent="0.25">
      <c r="A37" s="40">
        <v>45917.760034722225</v>
      </c>
      <c r="B37" s="41">
        <v>442949291</v>
      </c>
      <c r="C37" s="42" t="s">
        <v>36</v>
      </c>
      <c r="D37" s="42" t="s">
        <v>37</v>
      </c>
      <c r="E37" s="42" t="s">
        <v>38</v>
      </c>
      <c r="F37" s="43">
        <v>3685.85</v>
      </c>
      <c r="G37" s="43">
        <v>3682.88</v>
      </c>
      <c r="H37" s="43">
        <v>3689.38</v>
      </c>
      <c r="I37" s="42" t="s">
        <v>98</v>
      </c>
      <c r="J37" s="43">
        <v>3682.82</v>
      </c>
      <c r="K37" s="43">
        <v>0</v>
      </c>
      <c r="L37" s="43">
        <v>0</v>
      </c>
      <c r="M37" s="44">
        <v>-3.03</v>
      </c>
      <c r="N37" s="10" t="str">
        <f t="shared" si="9"/>
        <v>L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14"/>
        <v>-3</v>
      </c>
    </row>
    <row r="38" spans="1:27" x14ac:dyDescent="0.25">
      <c r="A38" s="35">
        <v>45917.760034722225</v>
      </c>
      <c r="B38" s="36">
        <v>442949294</v>
      </c>
      <c r="C38" s="37" t="s">
        <v>36</v>
      </c>
      <c r="D38" s="37" t="s">
        <v>37</v>
      </c>
      <c r="E38" s="37" t="s">
        <v>38</v>
      </c>
      <c r="F38" s="38">
        <v>3685.87</v>
      </c>
      <c r="G38" s="38">
        <v>3682.85</v>
      </c>
      <c r="H38" s="38">
        <v>3688.85</v>
      </c>
      <c r="I38" s="37" t="s">
        <v>98</v>
      </c>
      <c r="J38" s="38">
        <v>3682.82</v>
      </c>
      <c r="K38" s="38">
        <v>0</v>
      </c>
      <c r="L38" s="38">
        <v>0</v>
      </c>
      <c r="M38" s="39">
        <v>-3.05</v>
      </c>
      <c r="N38" s="10" t="str">
        <f t="shared" si="9"/>
        <v>L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14"/>
        <v>-3</v>
      </c>
    </row>
    <row r="39" spans="1:27" x14ac:dyDescent="0.25">
      <c r="A39" s="40">
        <v>45917.761076388888</v>
      </c>
      <c r="B39" s="41">
        <v>442950199</v>
      </c>
      <c r="C39" s="42" t="s">
        <v>36</v>
      </c>
      <c r="D39" s="42" t="s">
        <v>37</v>
      </c>
      <c r="E39" s="42" t="s">
        <v>38</v>
      </c>
      <c r="F39" s="43">
        <v>3685.57</v>
      </c>
      <c r="G39" s="43">
        <v>3685.32</v>
      </c>
      <c r="H39" s="43">
        <v>3688.57</v>
      </c>
      <c r="I39" s="42" t="s">
        <v>99</v>
      </c>
      <c r="J39" s="43">
        <v>3685.31</v>
      </c>
      <c r="K39" s="43">
        <v>0</v>
      </c>
      <c r="L39" s="43">
        <v>0</v>
      </c>
      <c r="M39" s="44">
        <v>-0.26</v>
      </c>
      <c r="N39" s="10" t="str">
        <f t="shared" si="9"/>
        <v>L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14"/>
        <v>-3</v>
      </c>
    </row>
    <row r="40" spans="1:27" x14ac:dyDescent="0.25">
      <c r="A40" s="35">
        <v>45917.766631944447</v>
      </c>
      <c r="B40" s="36">
        <v>442952638</v>
      </c>
      <c r="C40" s="37" t="s">
        <v>36</v>
      </c>
      <c r="D40" s="37" t="s">
        <v>37</v>
      </c>
      <c r="E40" s="37" t="s">
        <v>38</v>
      </c>
      <c r="F40" s="38">
        <v>3686.21</v>
      </c>
      <c r="G40" s="38">
        <v>3683.21</v>
      </c>
      <c r="H40" s="37"/>
      <c r="I40" s="37" t="s">
        <v>100</v>
      </c>
      <c r="J40" s="38">
        <v>3683.18</v>
      </c>
      <c r="K40" s="38">
        <v>0</v>
      </c>
      <c r="L40" s="38">
        <v>0</v>
      </c>
      <c r="M40" s="39">
        <v>-3.03</v>
      </c>
      <c r="N40" s="10" t="str">
        <f t="shared" si="9"/>
        <v>L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14"/>
        <v>-3</v>
      </c>
    </row>
    <row r="41" spans="1:27" x14ac:dyDescent="0.25">
      <c r="A41" s="40">
        <v>45917.766643518517</v>
      </c>
      <c r="B41" s="41">
        <v>442952641</v>
      </c>
      <c r="C41" s="42" t="s">
        <v>36</v>
      </c>
      <c r="D41" s="42" t="s">
        <v>37</v>
      </c>
      <c r="E41" s="42" t="s">
        <v>38</v>
      </c>
      <c r="F41" s="43">
        <v>3686.21</v>
      </c>
      <c r="G41" s="43">
        <v>3683.21</v>
      </c>
      <c r="H41" s="43">
        <v>3692.21</v>
      </c>
      <c r="I41" s="42" t="s">
        <v>100</v>
      </c>
      <c r="J41" s="43">
        <v>3683.18</v>
      </c>
      <c r="K41" s="43">
        <v>0</v>
      </c>
      <c r="L41" s="43">
        <v>0</v>
      </c>
      <c r="M41" s="44">
        <v>-3.03</v>
      </c>
      <c r="N41" s="10" t="str">
        <f t="shared" si="9"/>
        <v>L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14"/>
        <v>-3</v>
      </c>
    </row>
    <row r="42" spans="1:27" x14ac:dyDescent="0.25">
      <c r="A42" s="35">
        <v>45917.770798611113</v>
      </c>
      <c r="B42" s="36">
        <v>442954728</v>
      </c>
      <c r="C42" s="37" t="s">
        <v>36</v>
      </c>
      <c r="D42" s="37" t="s">
        <v>37</v>
      </c>
      <c r="E42" s="37" t="s">
        <v>38</v>
      </c>
      <c r="F42" s="38">
        <v>3685.35</v>
      </c>
      <c r="G42" s="38">
        <v>3686.31</v>
      </c>
      <c r="H42" s="38">
        <v>3689.85</v>
      </c>
      <c r="I42" s="37" t="s">
        <v>101</v>
      </c>
      <c r="J42" s="38">
        <v>3686.27</v>
      </c>
      <c r="K42" s="38">
        <v>0</v>
      </c>
      <c r="L42" s="38">
        <v>0</v>
      </c>
      <c r="M42" s="39">
        <v>0.92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14"/>
        <v>-3</v>
      </c>
    </row>
    <row r="43" spans="1:27" x14ac:dyDescent="0.25">
      <c r="A43" s="40">
        <v>45917.784918981481</v>
      </c>
      <c r="B43" s="41">
        <v>442960760</v>
      </c>
      <c r="C43" s="42" t="s">
        <v>36</v>
      </c>
      <c r="D43" s="42" t="s">
        <v>39</v>
      </c>
      <c r="E43" s="42" t="s">
        <v>38</v>
      </c>
      <c r="F43" s="43">
        <v>3684.72</v>
      </c>
      <c r="G43" s="43">
        <v>3684.1</v>
      </c>
      <c r="H43" s="43">
        <v>3681.76</v>
      </c>
      <c r="I43" s="42" t="s">
        <v>102</v>
      </c>
      <c r="J43" s="43">
        <v>3684.11</v>
      </c>
      <c r="K43" s="43">
        <v>0</v>
      </c>
      <c r="L43" s="43">
        <v>0</v>
      </c>
      <c r="M43" s="44">
        <v>0.61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14"/>
        <v>-3</v>
      </c>
    </row>
    <row r="44" spans="1:27" x14ac:dyDescent="0.25">
      <c r="A44" s="35">
        <v>45917.784918981481</v>
      </c>
      <c r="B44" s="36">
        <v>442960761</v>
      </c>
      <c r="C44" s="37" t="s">
        <v>36</v>
      </c>
      <c r="D44" s="37" t="s">
        <v>39</v>
      </c>
      <c r="E44" s="37" t="s">
        <v>38</v>
      </c>
      <c r="F44" s="38">
        <v>3684.72</v>
      </c>
      <c r="G44" s="38">
        <v>3684.44</v>
      </c>
      <c r="H44" s="38">
        <v>3683.22</v>
      </c>
      <c r="I44" s="37" t="s">
        <v>103</v>
      </c>
      <c r="J44" s="38">
        <v>3683.21</v>
      </c>
      <c r="K44" s="38">
        <v>0</v>
      </c>
      <c r="L44" s="38">
        <v>0</v>
      </c>
      <c r="M44" s="39">
        <v>1.51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14"/>
        <v>-3</v>
      </c>
    </row>
    <row r="45" spans="1:27" x14ac:dyDescent="0.25">
      <c r="A45" s="40">
        <v>45917.789317129631</v>
      </c>
      <c r="B45" s="41">
        <v>442962317</v>
      </c>
      <c r="C45" s="42" t="s">
        <v>36</v>
      </c>
      <c r="D45" s="42" t="s">
        <v>39</v>
      </c>
      <c r="E45" s="42" t="s">
        <v>38</v>
      </c>
      <c r="F45" s="43">
        <v>3683.65</v>
      </c>
      <c r="G45" s="43">
        <v>3686.74</v>
      </c>
      <c r="H45" s="43">
        <v>3682.24</v>
      </c>
      <c r="I45" s="42" t="s">
        <v>104</v>
      </c>
      <c r="J45" s="43">
        <v>3686.76</v>
      </c>
      <c r="K45" s="43">
        <v>0</v>
      </c>
      <c r="L45" s="43">
        <v>0</v>
      </c>
      <c r="M45" s="44">
        <v>-3.11</v>
      </c>
      <c r="N45" s="10" t="str">
        <f t="shared" si="9"/>
        <v>L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14"/>
        <v>-3</v>
      </c>
    </row>
    <row r="46" spans="1:27" x14ac:dyDescent="0.25">
      <c r="A46" s="35">
        <v>45917.789317129631</v>
      </c>
      <c r="B46" s="36">
        <v>442962318</v>
      </c>
      <c r="C46" s="37" t="s">
        <v>36</v>
      </c>
      <c r="D46" s="37" t="s">
        <v>39</v>
      </c>
      <c r="E46" s="37" t="s">
        <v>38</v>
      </c>
      <c r="F46" s="38">
        <v>3683.65</v>
      </c>
      <c r="G46" s="38">
        <v>3686.65</v>
      </c>
      <c r="H46" s="38">
        <v>3680.65</v>
      </c>
      <c r="I46" s="37" t="s">
        <v>105</v>
      </c>
      <c r="J46" s="38">
        <v>3686.66</v>
      </c>
      <c r="K46" s="38">
        <v>0</v>
      </c>
      <c r="L46" s="38">
        <v>0</v>
      </c>
      <c r="M46" s="39">
        <v>-3.01</v>
      </c>
      <c r="N46" s="10" t="str">
        <f t="shared" si="9"/>
        <v>L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14"/>
        <v>-3</v>
      </c>
    </row>
    <row r="47" spans="1:27" x14ac:dyDescent="0.25">
      <c r="A47" s="40">
        <v>45917.789317129631</v>
      </c>
      <c r="B47" s="41">
        <v>442962319</v>
      </c>
      <c r="C47" s="42" t="s">
        <v>36</v>
      </c>
      <c r="D47" s="42" t="s">
        <v>39</v>
      </c>
      <c r="E47" s="42" t="s">
        <v>38</v>
      </c>
      <c r="F47" s="43">
        <v>3683.71</v>
      </c>
      <c r="G47" s="43">
        <v>3686.65</v>
      </c>
      <c r="H47" s="43">
        <v>3680.15</v>
      </c>
      <c r="I47" s="42" t="s">
        <v>105</v>
      </c>
      <c r="J47" s="43">
        <v>3686.66</v>
      </c>
      <c r="K47" s="43">
        <v>0</v>
      </c>
      <c r="L47" s="43">
        <v>0</v>
      </c>
      <c r="M47" s="44">
        <v>-2.95</v>
      </c>
      <c r="N47" s="10" t="str">
        <f t="shared" si="9"/>
        <v>L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14"/>
        <v>-3</v>
      </c>
    </row>
    <row r="48" spans="1:27" x14ac:dyDescent="0.25">
      <c r="A48" s="35">
        <v>45917.790821759256</v>
      </c>
      <c r="B48" s="36">
        <v>442962640</v>
      </c>
      <c r="C48" s="37" t="s">
        <v>36</v>
      </c>
      <c r="D48" s="37" t="s">
        <v>39</v>
      </c>
      <c r="E48" s="37" t="s">
        <v>38</v>
      </c>
      <c r="F48" s="38">
        <v>3683.9</v>
      </c>
      <c r="G48" s="38">
        <v>3686.4</v>
      </c>
      <c r="H48" s="38">
        <v>3680.9</v>
      </c>
      <c r="I48" s="37" t="s">
        <v>106</v>
      </c>
      <c r="J48" s="38">
        <v>3686.44</v>
      </c>
      <c r="K48" s="38">
        <v>0</v>
      </c>
      <c r="L48" s="38">
        <v>0</v>
      </c>
      <c r="M48" s="39">
        <v>-2.54</v>
      </c>
      <c r="N48" s="10" t="str">
        <f t="shared" si="9"/>
        <v>L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14"/>
        <v>-3</v>
      </c>
    </row>
    <row r="49" spans="1:27" x14ac:dyDescent="0.25">
      <c r="A49" s="40">
        <v>45917.793020833335</v>
      </c>
      <c r="B49" s="41">
        <v>442964017</v>
      </c>
      <c r="C49" s="42" t="s">
        <v>36</v>
      </c>
      <c r="D49" s="42" t="s">
        <v>37</v>
      </c>
      <c r="E49" s="42" t="s">
        <v>38</v>
      </c>
      <c r="F49" s="43">
        <v>3685.66</v>
      </c>
      <c r="G49" s="43">
        <v>3682.66</v>
      </c>
      <c r="H49" s="43">
        <v>3691.66</v>
      </c>
      <c r="I49" s="42" t="s">
        <v>107</v>
      </c>
      <c r="J49" s="43">
        <v>3682.64</v>
      </c>
      <c r="K49" s="43">
        <v>0</v>
      </c>
      <c r="L49" s="43">
        <v>0</v>
      </c>
      <c r="M49" s="44">
        <v>-3.02</v>
      </c>
      <c r="N49" s="10" t="str">
        <f t="shared" si="9"/>
        <v>L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14"/>
        <v>-3</v>
      </c>
    </row>
    <row r="50" spans="1:27" x14ac:dyDescent="0.25">
      <c r="A50" s="35">
        <v>45917.793032407404</v>
      </c>
      <c r="B50" s="36">
        <v>442964021</v>
      </c>
      <c r="C50" s="37" t="s">
        <v>36</v>
      </c>
      <c r="D50" s="37" t="s">
        <v>37</v>
      </c>
      <c r="E50" s="37" t="s">
        <v>38</v>
      </c>
      <c r="F50" s="38">
        <v>3685.45</v>
      </c>
      <c r="G50" s="38">
        <v>3682.45</v>
      </c>
      <c r="H50" s="37"/>
      <c r="I50" s="37" t="s">
        <v>108</v>
      </c>
      <c r="J50" s="38">
        <v>3682.36</v>
      </c>
      <c r="K50" s="38">
        <v>0</v>
      </c>
      <c r="L50" s="38">
        <v>0</v>
      </c>
      <c r="M50" s="39">
        <v>-3.09</v>
      </c>
      <c r="N50" s="10" t="str">
        <f t="shared" si="9"/>
        <v>L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14"/>
        <v>-3</v>
      </c>
    </row>
    <row r="51" spans="1:27" x14ac:dyDescent="0.25">
      <c r="A51" s="40">
        <v>45917.796377314815</v>
      </c>
      <c r="B51" s="41">
        <v>442965083</v>
      </c>
      <c r="C51" s="42" t="s">
        <v>36</v>
      </c>
      <c r="D51" s="42" t="s">
        <v>37</v>
      </c>
      <c r="E51" s="42" t="s">
        <v>38</v>
      </c>
      <c r="F51" s="43">
        <v>3685.92</v>
      </c>
      <c r="G51" s="43">
        <v>3687.48</v>
      </c>
      <c r="H51" s="43">
        <v>3689.42</v>
      </c>
      <c r="I51" s="42" t="s">
        <v>109</v>
      </c>
      <c r="J51" s="43">
        <v>3687.47</v>
      </c>
      <c r="K51" s="43">
        <v>0</v>
      </c>
      <c r="L51" s="43">
        <v>0</v>
      </c>
      <c r="M51" s="44">
        <v>1.55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14"/>
        <v>-3</v>
      </c>
    </row>
    <row r="52" spans="1:27" x14ac:dyDescent="0.25">
      <c r="A52" s="35">
        <v>45917.796377314815</v>
      </c>
      <c r="B52" s="36">
        <v>442965084</v>
      </c>
      <c r="C52" s="37" t="s">
        <v>36</v>
      </c>
      <c r="D52" s="37" t="s">
        <v>37</v>
      </c>
      <c r="E52" s="37" t="s">
        <v>38</v>
      </c>
      <c r="F52" s="38">
        <v>3685.92</v>
      </c>
      <c r="G52" s="38">
        <v>3687.48</v>
      </c>
      <c r="H52" s="38">
        <v>3688.92</v>
      </c>
      <c r="I52" s="37" t="s">
        <v>109</v>
      </c>
      <c r="J52" s="38">
        <v>3687.47</v>
      </c>
      <c r="K52" s="38">
        <v>0</v>
      </c>
      <c r="L52" s="38">
        <v>0</v>
      </c>
      <c r="M52" s="39">
        <v>1.55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14"/>
        <v>-3</v>
      </c>
    </row>
    <row r="53" spans="1:27" x14ac:dyDescent="0.25">
      <c r="A53" s="40">
        <v>45917.796377314815</v>
      </c>
      <c r="B53" s="41">
        <v>442965087</v>
      </c>
      <c r="C53" s="42" t="s">
        <v>36</v>
      </c>
      <c r="D53" s="42" t="s">
        <v>37</v>
      </c>
      <c r="E53" s="42" t="s">
        <v>38</v>
      </c>
      <c r="F53" s="43">
        <v>3685.92</v>
      </c>
      <c r="G53" s="43">
        <v>3686.21</v>
      </c>
      <c r="H53" s="43">
        <v>3687.42</v>
      </c>
      <c r="I53" s="42" t="s">
        <v>110</v>
      </c>
      <c r="J53" s="43">
        <v>3687.44</v>
      </c>
      <c r="K53" s="43">
        <v>0</v>
      </c>
      <c r="L53" s="43">
        <v>0</v>
      </c>
      <c r="M53" s="44">
        <v>1.52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14"/>
        <v>-3</v>
      </c>
    </row>
    <row r="54" spans="1:27" x14ac:dyDescent="0.25">
      <c r="A54" s="35">
        <v>45917.796388888892</v>
      </c>
      <c r="B54" s="36">
        <v>442965089</v>
      </c>
      <c r="C54" s="37" t="s">
        <v>36</v>
      </c>
      <c r="D54" s="37" t="s">
        <v>37</v>
      </c>
      <c r="E54" s="37" t="s">
        <v>38</v>
      </c>
      <c r="F54" s="38">
        <v>3685.92</v>
      </c>
      <c r="G54" s="38">
        <v>3687.47</v>
      </c>
      <c r="H54" s="38">
        <v>3688.92</v>
      </c>
      <c r="I54" s="37" t="s">
        <v>109</v>
      </c>
      <c r="J54" s="38">
        <v>3687.47</v>
      </c>
      <c r="K54" s="38">
        <v>0</v>
      </c>
      <c r="L54" s="38">
        <v>0</v>
      </c>
      <c r="M54" s="39">
        <v>1.55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14"/>
        <v>-3</v>
      </c>
    </row>
    <row r="55" spans="1:27" x14ac:dyDescent="0.25">
      <c r="A55" s="40">
        <v>45917.810034722221</v>
      </c>
      <c r="B55" s="41">
        <v>442970672</v>
      </c>
      <c r="C55" s="42" t="s">
        <v>36</v>
      </c>
      <c r="D55" s="42" t="s">
        <v>37</v>
      </c>
      <c r="E55" s="42" t="s">
        <v>38</v>
      </c>
      <c r="F55" s="43">
        <v>3688.02</v>
      </c>
      <c r="G55" s="43">
        <v>3684.94</v>
      </c>
      <c r="H55" s="43">
        <v>3689.44</v>
      </c>
      <c r="I55" s="42" t="s">
        <v>111</v>
      </c>
      <c r="J55" s="43">
        <v>3684.94</v>
      </c>
      <c r="K55" s="43">
        <v>0</v>
      </c>
      <c r="L55" s="43">
        <v>0</v>
      </c>
      <c r="M55" s="44">
        <v>-3.08</v>
      </c>
      <c r="N55" s="10" t="str">
        <f t="shared" si="9"/>
        <v>L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14"/>
        <v>-3</v>
      </c>
    </row>
    <row r="56" spans="1:27" x14ac:dyDescent="0.25">
      <c r="A56" s="35">
        <v>45917.813043981485</v>
      </c>
      <c r="B56" s="36">
        <v>442971545</v>
      </c>
      <c r="C56" s="37" t="s">
        <v>36</v>
      </c>
      <c r="D56" s="37" t="s">
        <v>37</v>
      </c>
      <c r="E56" s="37" t="s">
        <v>38</v>
      </c>
      <c r="F56" s="38">
        <v>3687.74</v>
      </c>
      <c r="G56" s="38">
        <v>3684.77</v>
      </c>
      <c r="H56" s="38">
        <v>3691.27</v>
      </c>
      <c r="I56" s="37" t="s">
        <v>112</v>
      </c>
      <c r="J56" s="38">
        <v>3684.71</v>
      </c>
      <c r="K56" s="38">
        <v>0</v>
      </c>
      <c r="L56" s="38">
        <v>0</v>
      </c>
      <c r="M56" s="39">
        <v>-3.03</v>
      </c>
      <c r="N56" s="10" t="str">
        <f t="shared" si="9"/>
        <v>L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14"/>
        <v>-3</v>
      </c>
    </row>
    <row r="57" spans="1:27" x14ac:dyDescent="0.25">
      <c r="A57" s="40">
        <v>45917.813043981485</v>
      </c>
      <c r="B57" s="41">
        <v>442971547</v>
      </c>
      <c r="C57" s="42" t="s">
        <v>36</v>
      </c>
      <c r="D57" s="42" t="s">
        <v>37</v>
      </c>
      <c r="E57" s="42" t="s">
        <v>38</v>
      </c>
      <c r="F57" s="43">
        <v>3687.74</v>
      </c>
      <c r="G57" s="43">
        <v>3684.74</v>
      </c>
      <c r="H57" s="43">
        <v>3690.74</v>
      </c>
      <c r="I57" s="42" t="s">
        <v>112</v>
      </c>
      <c r="J57" s="43">
        <v>3684.71</v>
      </c>
      <c r="K57" s="43">
        <v>0</v>
      </c>
      <c r="L57" s="43">
        <v>0</v>
      </c>
      <c r="M57" s="44">
        <v>-3.03</v>
      </c>
      <c r="N57" s="10" t="str">
        <f t="shared" si="9"/>
        <v>L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14"/>
        <v>-3</v>
      </c>
    </row>
    <row r="58" spans="1:27" x14ac:dyDescent="0.25">
      <c r="A58" s="35">
        <v>45917.813043981485</v>
      </c>
      <c r="B58" s="36">
        <v>442971548</v>
      </c>
      <c r="C58" s="37" t="s">
        <v>36</v>
      </c>
      <c r="D58" s="37" t="s">
        <v>37</v>
      </c>
      <c r="E58" s="37" t="s">
        <v>38</v>
      </c>
      <c r="F58" s="38">
        <v>3687.72</v>
      </c>
      <c r="G58" s="38">
        <v>3685.24</v>
      </c>
      <c r="H58" s="38">
        <v>3690.74</v>
      </c>
      <c r="I58" s="37" t="s">
        <v>113</v>
      </c>
      <c r="J58" s="38">
        <v>3685.24</v>
      </c>
      <c r="K58" s="38">
        <v>0</v>
      </c>
      <c r="L58" s="38">
        <v>0</v>
      </c>
      <c r="M58" s="39">
        <v>-2.48</v>
      </c>
      <c r="N58" s="10" t="str">
        <f t="shared" si="9"/>
        <v>L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14"/>
        <v>-3</v>
      </c>
    </row>
    <row r="59" spans="1:27" x14ac:dyDescent="0.25">
      <c r="A59" s="40">
        <v>45917.823576388888</v>
      </c>
      <c r="B59" s="41">
        <v>442974926</v>
      </c>
      <c r="C59" s="42" t="s">
        <v>36</v>
      </c>
      <c r="D59" s="42" t="s">
        <v>37</v>
      </c>
      <c r="E59" s="42" t="s">
        <v>38</v>
      </c>
      <c r="F59" s="43">
        <v>3687.21</v>
      </c>
      <c r="G59" s="43">
        <v>3684.21</v>
      </c>
      <c r="H59" s="43">
        <v>3691.71</v>
      </c>
      <c r="I59" s="42" t="s">
        <v>114</v>
      </c>
      <c r="J59" s="43">
        <v>3684.16</v>
      </c>
      <c r="K59" s="43">
        <v>0</v>
      </c>
      <c r="L59" s="43">
        <v>0</v>
      </c>
      <c r="M59" s="44">
        <v>-3.05</v>
      </c>
      <c r="N59" s="10" t="str">
        <f t="shared" si="9"/>
        <v>L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14"/>
        <v>-3</v>
      </c>
    </row>
    <row r="60" spans="1:27" x14ac:dyDescent="0.25">
      <c r="A60" s="35">
        <v>45917.832256944443</v>
      </c>
      <c r="B60" s="36">
        <v>442977818</v>
      </c>
      <c r="C60" s="37" t="s">
        <v>36</v>
      </c>
      <c r="D60" s="37" t="s">
        <v>39</v>
      </c>
      <c r="E60" s="37" t="s">
        <v>38</v>
      </c>
      <c r="F60" s="38">
        <v>3684.65</v>
      </c>
      <c r="G60" s="38">
        <v>3683.62</v>
      </c>
      <c r="H60" s="38">
        <v>3681.62</v>
      </c>
      <c r="I60" s="37" t="s">
        <v>115</v>
      </c>
      <c r="J60" s="38">
        <v>3683.62</v>
      </c>
      <c r="K60" s="38">
        <v>0</v>
      </c>
      <c r="L60" s="38">
        <v>0</v>
      </c>
      <c r="M60" s="39">
        <v>1.03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14"/>
        <v>-3</v>
      </c>
    </row>
    <row r="61" spans="1:27" x14ac:dyDescent="0.25">
      <c r="A61" s="40">
        <v>45917.832256944443</v>
      </c>
      <c r="B61" s="41">
        <v>442977821</v>
      </c>
      <c r="C61" s="42" t="s">
        <v>36</v>
      </c>
      <c r="D61" s="42" t="s">
        <v>39</v>
      </c>
      <c r="E61" s="42" t="s">
        <v>38</v>
      </c>
      <c r="F61" s="43">
        <v>3684.65</v>
      </c>
      <c r="G61" s="43">
        <v>3683.62</v>
      </c>
      <c r="H61" s="43">
        <v>3681.15</v>
      </c>
      <c r="I61" s="42" t="s">
        <v>115</v>
      </c>
      <c r="J61" s="43">
        <v>3683.62</v>
      </c>
      <c r="K61" s="43">
        <v>0</v>
      </c>
      <c r="L61" s="43">
        <v>0</v>
      </c>
      <c r="M61" s="44">
        <v>1.03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14"/>
        <v>-3</v>
      </c>
    </row>
    <row r="62" spans="1:27" x14ac:dyDescent="0.25">
      <c r="A62" s="35">
        <v>45917.832256944443</v>
      </c>
      <c r="B62" s="36">
        <v>442977822</v>
      </c>
      <c r="C62" s="37" t="s">
        <v>36</v>
      </c>
      <c r="D62" s="37" t="s">
        <v>39</v>
      </c>
      <c r="E62" s="37" t="s">
        <v>38</v>
      </c>
      <c r="F62" s="38">
        <v>3684.65</v>
      </c>
      <c r="G62" s="38">
        <v>3683.62</v>
      </c>
      <c r="H62" s="38">
        <v>3681.65</v>
      </c>
      <c r="I62" s="37" t="s">
        <v>115</v>
      </c>
      <c r="J62" s="38">
        <v>3683.62</v>
      </c>
      <c r="K62" s="38">
        <v>0</v>
      </c>
      <c r="L62" s="38">
        <v>0</v>
      </c>
      <c r="M62" s="39">
        <v>1.03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14"/>
        <v>-3</v>
      </c>
    </row>
    <row r="63" spans="1:27" x14ac:dyDescent="0.25">
      <c r="A63" s="40">
        <v>45917.832268518519</v>
      </c>
      <c r="B63" s="41">
        <v>442977823</v>
      </c>
      <c r="C63" s="42" t="s">
        <v>36</v>
      </c>
      <c r="D63" s="42" t="s">
        <v>39</v>
      </c>
      <c r="E63" s="42" t="s">
        <v>38</v>
      </c>
      <c r="F63" s="43">
        <v>3684.66</v>
      </c>
      <c r="G63" s="43">
        <v>3687.65</v>
      </c>
      <c r="H63" s="43">
        <v>3683.15</v>
      </c>
      <c r="I63" s="42" t="s">
        <v>116</v>
      </c>
      <c r="J63" s="43">
        <v>3683.1</v>
      </c>
      <c r="K63" s="43">
        <v>0</v>
      </c>
      <c r="L63" s="43">
        <v>0</v>
      </c>
      <c r="M63" s="44">
        <v>1.56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14"/>
        <v>-3</v>
      </c>
    </row>
    <row r="64" spans="1:27" x14ac:dyDescent="0.25">
      <c r="A64" s="35">
        <v>45917.837581018517</v>
      </c>
      <c r="B64" s="36">
        <v>442980771</v>
      </c>
      <c r="C64" s="37" t="s">
        <v>36</v>
      </c>
      <c r="D64" s="37" t="s">
        <v>39</v>
      </c>
      <c r="E64" s="37" t="s">
        <v>38</v>
      </c>
      <c r="F64" s="38">
        <v>3683.15</v>
      </c>
      <c r="G64" s="38">
        <v>3686.15</v>
      </c>
      <c r="H64" s="38">
        <v>3681.65</v>
      </c>
      <c r="I64" s="37" t="s">
        <v>117</v>
      </c>
      <c r="J64" s="38">
        <v>3681.65</v>
      </c>
      <c r="K64" s="38">
        <v>0</v>
      </c>
      <c r="L64" s="38">
        <v>0</v>
      </c>
      <c r="M64" s="39">
        <v>1.5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14"/>
        <v>-3</v>
      </c>
    </row>
    <row r="65" spans="1:27" x14ac:dyDescent="0.25">
      <c r="A65" s="40">
        <v>45917.83792824074</v>
      </c>
      <c r="B65" s="41">
        <v>442981056</v>
      </c>
      <c r="C65" s="42" t="s">
        <v>36</v>
      </c>
      <c r="D65" s="42" t="s">
        <v>39</v>
      </c>
      <c r="E65" s="42" t="s">
        <v>38</v>
      </c>
      <c r="F65" s="43">
        <v>3683.38</v>
      </c>
      <c r="G65" s="43">
        <v>3682.47</v>
      </c>
      <c r="H65" s="43">
        <v>3680.46</v>
      </c>
      <c r="I65" s="42" t="s">
        <v>118</v>
      </c>
      <c r="J65" s="43">
        <v>3680.4</v>
      </c>
      <c r="K65" s="43">
        <v>0</v>
      </c>
      <c r="L65" s="43">
        <v>0</v>
      </c>
      <c r="M65" s="44">
        <v>2.98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14"/>
        <v>2.98</v>
      </c>
    </row>
    <row r="66" spans="1:27" x14ac:dyDescent="0.25">
      <c r="A66" s="35">
        <v>45917.83792824074</v>
      </c>
      <c r="B66" s="36">
        <v>442981059</v>
      </c>
      <c r="C66" s="37" t="s">
        <v>36</v>
      </c>
      <c r="D66" s="37" t="s">
        <v>39</v>
      </c>
      <c r="E66" s="37" t="s">
        <v>38</v>
      </c>
      <c r="F66" s="38">
        <v>3683.38</v>
      </c>
      <c r="G66" s="38">
        <v>3682.47</v>
      </c>
      <c r="H66" s="38">
        <v>3679.88</v>
      </c>
      <c r="I66" s="37" t="s">
        <v>119</v>
      </c>
      <c r="J66" s="38">
        <v>3679.81</v>
      </c>
      <c r="K66" s="38">
        <v>0</v>
      </c>
      <c r="L66" s="38">
        <v>0</v>
      </c>
      <c r="M66" s="39">
        <v>3.57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14"/>
        <v>3.57</v>
      </c>
    </row>
    <row r="67" spans="1:27" x14ac:dyDescent="0.25">
      <c r="A67" s="40">
        <v>45917.83792824074</v>
      </c>
      <c r="B67" s="41">
        <v>442981061</v>
      </c>
      <c r="C67" s="42" t="s">
        <v>36</v>
      </c>
      <c r="D67" s="42" t="s">
        <v>39</v>
      </c>
      <c r="E67" s="42" t="s">
        <v>38</v>
      </c>
      <c r="F67" s="43">
        <v>3683.38</v>
      </c>
      <c r="G67" s="43">
        <v>3682.47</v>
      </c>
      <c r="H67" s="43">
        <v>3680.38</v>
      </c>
      <c r="I67" s="42" t="s">
        <v>120</v>
      </c>
      <c r="J67" s="43">
        <v>3680.38</v>
      </c>
      <c r="K67" s="43">
        <v>0</v>
      </c>
      <c r="L67" s="43">
        <v>0</v>
      </c>
      <c r="M67" s="44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35">
        <v>45917.849733796298</v>
      </c>
      <c r="B68" s="36">
        <v>442987088</v>
      </c>
      <c r="C68" s="37" t="s">
        <v>36</v>
      </c>
      <c r="D68" s="37" t="s">
        <v>39</v>
      </c>
      <c r="E68" s="37" t="s">
        <v>38</v>
      </c>
      <c r="F68" s="38">
        <v>3681.02</v>
      </c>
      <c r="G68" s="38">
        <v>3684.02</v>
      </c>
      <c r="H68" s="38">
        <v>3677.52</v>
      </c>
      <c r="I68" s="37" t="s">
        <v>178</v>
      </c>
      <c r="J68" s="38">
        <v>3684.13</v>
      </c>
      <c r="K68" s="38">
        <v>0</v>
      </c>
      <c r="L68" s="38">
        <v>0</v>
      </c>
      <c r="M68" s="39">
        <v>-3.11</v>
      </c>
      <c r="N68" s="10" t="str">
        <f t="shared" si="9"/>
        <v>L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15"/>
        <v>-0.311</v>
      </c>
      <c r="Y68" s="13">
        <f t="shared" si="16"/>
        <v>-0.622</v>
      </c>
      <c r="Z68" s="13">
        <f t="shared" si="17"/>
        <v>-0.93299999999999994</v>
      </c>
      <c r="AA68" s="13">
        <f t="shared" si="14"/>
        <v>-3</v>
      </c>
    </row>
    <row r="69" spans="1:27" x14ac:dyDescent="0.25">
      <c r="A69" s="40">
        <v>45917.849733796298</v>
      </c>
      <c r="B69" s="41">
        <v>442987091</v>
      </c>
      <c r="C69" s="42" t="s">
        <v>36</v>
      </c>
      <c r="D69" s="42" t="s">
        <v>39</v>
      </c>
      <c r="E69" s="42" t="s">
        <v>38</v>
      </c>
      <c r="F69" s="43">
        <v>3681.02</v>
      </c>
      <c r="G69" s="43">
        <v>3684.02</v>
      </c>
      <c r="H69" s="43">
        <v>3679.52</v>
      </c>
      <c r="I69" s="42" t="s">
        <v>178</v>
      </c>
      <c r="J69" s="43">
        <v>3684.13</v>
      </c>
      <c r="K69" s="43">
        <v>0</v>
      </c>
      <c r="L69" s="43">
        <v>0</v>
      </c>
      <c r="M69" s="44">
        <v>-3.11</v>
      </c>
      <c r="N69" s="10" t="str">
        <f t="shared" ref="N69:N132" si="18">IF(M69&gt;0,"W",IF(M69&lt;0,"L","BE"))</f>
        <v>L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15"/>
        <v>-0.311</v>
      </c>
      <c r="Y69" s="13">
        <f t="shared" si="16"/>
        <v>-0.622</v>
      </c>
      <c r="Z69" s="13">
        <f t="shared" si="17"/>
        <v>-0.93299999999999994</v>
      </c>
      <c r="AA69" s="13">
        <f t="shared" ref="AA69:AA132" si="23">IF(M69&lt;2.9,-3,M69)</f>
        <v>-3</v>
      </c>
    </row>
    <row r="70" spans="1:27" x14ac:dyDescent="0.25">
      <c r="A70" s="35">
        <v>45917.849733796298</v>
      </c>
      <c r="B70" s="36">
        <v>442987094</v>
      </c>
      <c r="C70" s="37" t="s">
        <v>36</v>
      </c>
      <c r="D70" s="37" t="s">
        <v>39</v>
      </c>
      <c r="E70" s="37" t="s">
        <v>38</v>
      </c>
      <c r="F70" s="38">
        <v>3681.05</v>
      </c>
      <c r="G70" s="38">
        <v>3684.02</v>
      </c>
      <c r="H70" s="38">
        <v>3678.02</v>
      </c>
      <c r="I70" s="37" t="s">
        <v>178</v>
      </c>
      <c r="J70" s="38">
        <v>3684.13</v>
      </c>
      <c r="K70" s="38">
        <v>0</v>
      </c>
      <c r="L70" s="38">
        <v>0</v>
      </c>
      <c r="M70" s="39">
        <v>-3.08</v>
      </c>
      <c r="N70" s="10" t="str">
        <f t="shared" si="18"/>
        <v>L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15"/>
        <v>-0.30800000000000005</v>
      </c>
      <c r="Y70" s="13">
        <f t="shared" si="16"/>
        <v>-0.6160000000000001</v>
      </c>
      <c r="Z70" s="13">
        <f t="shared" si="17"/>
        <v>-0.92399999999999993</v>
      </c>
      <c r="AA70" s="13">
        <f t="shared" si="23"/>
        <v>-3</v>
      </c>
    </row>
    <row r="71" spans="1:27" x14ac:dyDescent="0.25">
      <c r="A71" s="40">
        <v>45917.849733796298</v>
      </c>
      <c r="B71" s="41">
        <v>442987096</v>
      </c>
      <c r="C71" s="42" t="s">
        <v>36</v>
      </c>
      <c r="D71" s="42" t="s">
        <v>39</v>
      </c>
      <c r="E71" s="42" t="s">
        <v>38</v>
      </c>
      <c r="F71" s="43">
        <v>3681.05</v>
      </c>
      <c r="G71" s="43">
        <v>3683.52</v>
      </c>
      <c r="H71" s="43">
        <v>3678.02</v>
      </c>
      <c r="I71" s="42" t="s">
        <v>179</v>
      </c>
      <c r="J71" s="43">
        <v>3683.53</v>
      </c>
      <c r="K71" s="43">
        <v>0</v>
      </c>
      <c r="L71" s="43">
        <v>0</v>
      </c>
      <c r="M71" s="44">
        <v>-2.48</v>
      </c>
      <c r="N71" s="10" t="str">
        <f t="shared" si="18"/>
        <v>L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15"/>
        <v>-0.248</v>
      </c>
      <c r="Y71" s="13">
        <f t="shared" si="16"/>
        <v>-0.496</v>
      </c>
      <c r="Z71" s="13">
        <f t="shared" si="17"/>
        <v>-0.74399999999999999</v>
      </c>
      <c r="AA71" s="13">
        <f t="shared" si="23"/>
        <v>-3</v>
      </c>
    </row>
    <row r="72" spans="1:27" x14ac:dyDescent="0.25">
      <c r="A72" s="35">
        <v>45917.852743055555</v>
      </c>
      <c r="B72" s="36">
        <v>442989123</v>
      </c>
      <c r="C72" s="37" t="s">
        <v>36</v>
      </c>
      <c r="D72" s="37" t="s">
        <v>39</v>
      </c>
      <c r="E72" s="37" t="s">
        <v>38</v>
      </c>
      <c r="F72" s="38">
        <v>3682.24</v>
      </c>
      <c r="G72" s="38">
        <v>3685.2</v>
      </c>
      <c r="H72" s="38">
        <v>3677.7</v>
      </c>
      <c r="I72" s="37" t="s">
        <v>180</v>
      </c>
      <c r="J72" s="38">
        <v>3685.25</v>
      </c>
      <c r="K72" s="38">
        <v>0</v>
      </c>
      <c r="L72" s="38">
        <v>0</v>
      </c>
      <c r="M72" s="39">
        <v>-3.01</v>
      </c>
      <c r="N72" s="10" t="str">
        <f t="shared" si="18"/>
        <v>L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15"/>
        <v>-0.30099999999999999</v>
      </c>
      <c r="Y72" s="13">
        <f t="shared" si="16"/>
        <v>-0.60199999999999998</v>
      </c>
      <c r="Z72" s="13">
        <f t="shared" si="17"/>
        <v>-0.90299999999999991</v>
      </c>
      <c r="AA72" s="13">
        <f t="shared" si="23"/>
        <v>-3</v>
      </c>
    </row>
    <row r="73" spans="1:27" x14ac:dyDescent="0.25">
      <c r="A73" s="40">
        <v>45917.855520833335</v>
      </c>
      <c r="B73" s="41">
        <v>442991015</v>
      </c>
      <c r="C73" s="42" t="s">
        <v>36</v>
      </c>
      <c r="D73" s="42" t="s">
        <v>37</v>
      </c>
      <c r="E73" s="42" t="s">
        <v>38</v>
      </c>
      <c r="F73" s="43">
        <v>3683.95</v>
      </c>
      <c r="G73" s="43">
        <v>3688.13</v>
      </c>
      <c r="H73" s="42"/>
      <c r="I73" s="42" t="s">
        <v>181</v>
      </c>
      <c r="J73" s="43">
        <v>3688.12</v>
      </c>
      <c r="K73" s="43">
        <v>0</v>
      </c>
      <c r="L73" s="43">
        <v>0</v>
      </c>
      <c r="M73" s="44">
        <v>4.17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0.41700000000000004</v>
      </c>
      <c r="Y73" s="13">
        <f t="shared" si="16"/>
        <v>0.83400000000000007</v>
      </c>
      <c r="Z73" s="13">
        <f t="shared" si="17"/>
        <v>1.2509999999999999</v>
      </c>
      <c r="AA73" s="13">
        <f t="shared" si="23"/>
        <v>4.17</v>
      </c>
    </row>
    <row r="74" spans="1:27" x14ac:dyDescent="0.25">
      <c r="A74" s="35">
        <v>45917.855532407404</v>
      </c>
      <c r="B74" s="36">
        <v>442991017</v>
      </c>
      <c r="C74" s="37" t="s">
        <v>36</v>
      </c>
      <c r="D74" s="37" t="s">
        <v>37</v>
      </c>
      <c r="E74" s="37" t="s">
        <v>38</v>
      </c>
      <c r="F74" s="38">
        <v>3683.95</v>
      </c>
      <c r="G74" s="38">
        <v>3685.9</v>
      </c>
      <c r="H74" s="38">
        <v>3689.95</v>
      </c>
      <c r="I74" s="37" t="s">
        <v>182</v>
      </c>
      <c r="J74" s="38">
        <v>3692.93</v>
      </c>
      <c r="K74" s="38">
        <v>0</v>
      </c>
      <c r="L74" s="38">
        <v>0</v>
      </c>
      <c r="M74" s="39">
        <v>8.98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0.89800000000000013</v>
      </c>
      <c r="Y74" s="13">
        <f t="shared" si="16"/>
        <v>1.7960000000000003</v>
      </c>
      <c r="Z74" s="13">
        <f t="shared" si="17"/>
        <v>2.694</v>
      </c>
      <c r="AA74" s="13">
        <f t="shared" si="23"/>
        <v>8.98</v>
      </c>
    </row>
    <row r="75" spans="1:27" x14ac:dyDescent="0.25">
      <c r="A75" s="40">
        <v>45917.860381944447</v>
      </c>
      <c r="B75" s="41">
        <v>442993026</v>
      </c>
      <c r="C75" s="42" t="s">
        <v>36</v>
      </c>
      <c r="D75" s="42" t="s">
        <v>37</v>
      </c>
      <c r="E75" s="42" t="s">
        <v>38</v>
      </c>
      <c r="F75" s="43">
        <v>3684.53</v>
      </c>
      <c r="G75" s="43">
        <v>3684.51</v>
      </c>
      <c r="H75" s="43">
        <v>3686</v>
      </c>
      <c r="I75" s="42" t="s">
        <v>183</v>
      </c>
      <c r="J75" s="43">
        <v>3686</v>
      </c>
      <c r="K75" s="43">
        <v>0</v>
      </c>
      <c r="L75" s="43">
        <v>0</v>
      </c>
      <c r="M75" s="44">
        <v>1.47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0.14699999999999999</v>
      </c>
      <c r="Y75" s="13">
        <f t="shared" si="16"/>
        <v>0.29399999999999998</v>
      </c>
      <c r="Z75" s="13">
        <f t="shared" si="17"/>
        <v>0.441</v>
      </c>
      <c r="AA75" s="13">
        <f t="shared" si="23"/>
        <v>-3</v>
      </c>
    </row>
    <row r="76" spans="1:27" x14ac:dyDescent="0.25">
      <c r="A76" s="35">
        <v>45917.860381944447</v>
      </c>
      <c r="B76" s="36">
        <v>442993027</v>
      </c>
      <c r="C76" s="37" t="s">
        <v>36</v>
      </c>
      <c r="D76" s="37" t="s">
        <v>37</v>
      </c>
      <c r="E76" s="37" t="s">
        <v>38</v>
      </c>
      <c r="F76" s="38">
        <v>3684.53</v>
      </c>
      <c r="G76" s="38">
        <v>3686.44</v>
      </c>
      <c r="H76" s="38">
        <v>3688.03</v>
      </c>
      <c r="I76" s="37" t="s">
        <v>184</v>
      </c>
      <c r="J76" s="38">
        <v>3686.44</v>
      </c>
      <c r="K76" s="38">
        <v>0</v>
      </c>
      <c r="L76" s="38">
        <v>0</v>
      </c>
      <c r="M76" s="39">
        <v>1.91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0.191</v>
      </c>
      <c r="Y76" s="13">
        <f t="shared" si="16"/>
        <v>0.38200000000000001</v>
      </c>
      <c r="Z76" s="13">
        <f t="shared" si="17"/>
        <v>0.57299999999999995</v>
      </c>
      <c r="AA76" s="13">
        <f t="shared" si="23"/>
        <v>-3</v>
      </c>
    </row>
    <row r="77" spans="1:27" x14ac:dyDescent="0.25">
      <c r="A77" s="40">
        <v>45917.860381944447</v>
      </c>
      <c r="B77" s="41">
        <v>442993028</v>
      </c>
      <c r="C77" s="42" t="s">
        <v>36</v>
      </c>
      <c r="D77" s="42" t="s">
        <v>37</v>
      </c>
      <c r="E77" s="42" t="s">
        <v>38</v>
      </c>
      <c r="F77" s="43">
        <v>3684.5</v>
      </c>
      <c r="G77" s="43">
        <v>3686.11</v>
      </c>
      <c r="H77" s="43">
        <v>3687.53</v>
      </c>
      <c r="I77" s="42" t="s">
        <v>185</v>
      </c>
      <c r="J77" s="43">
        <v>3687.53</v>
      </c>
      <c r="K77" s="43">
        <v>0</v>
      </c>
      <c r="L77" s="43">
        <v>0</v>
      </c>
      <c r="M77" s="44">
        <v>3.03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0.30299999999999999</v>
      </c>
      <c r="Y77" s="13">
        <f t="shared" si="16"/>
        <v>0.60599999999999998</v>
      </c>
      <c r="Z77" s="13">
        <f t="shared" si="17"/>
        <v>0.90899999999999992</v>
      </c>
      <c r="AA77" s="13">
        <f t="shared" si="23"/>
        <v>3.03</v>
      </c>
    </row>
    <row r="78" spans="1:27" x14ac:dyDescent="0.25">
      <c r="A78" s="35">
        <v>45917.860381944447</v>
      </c>
      <c r="B78" s="36">
        <v>442993029</v>
      </c>
      <c r="C78" s="37" t="s">
        <v>36</v>
      </c>
      <c r="D78" s="37" t="s">
        <v>37</v>
      </c>
      <c r="E78" s="37" t="s">
        <v>38</v>
      </c>
      <c r="F78" s="38">
        <v>3684.5</v>
      </c>
      <c r="G78" s="38">
        <v>3686.11</v>
      </c>
      <c r="H78" s="38">
        <v>3687.53</v>
      </c>
      <c r="I78" s="37" t="s">
        <v>185</v>
      </c>
      <c r="J78" s="38">
        <v>3687.53</v>
      </c>
      <c r="K78" s="38">
        <v>0</v>
      </c>
      <c r="L78" s="38">
        <v>0</v>
      </c>
      <c r="M78" s="39">
        <v>3.03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0.30299999999999999</v>
      </c>
      <c r="Y78" s="13">
        <f t="shared" si="16"/>
        <v>0.60599999999999998</v>
      </c>
      <c r="Z78" s="13">
        <f t="shared" si="17"/>
        <v>0.90899999999999992</v>
      </c>
      <c r="AA78" s="13">
        <f t="shared" si="23"/>
        <v>3.03</v>
      </c>
    </row>
    <row r="79" spans="1:27" x14ac:dyDescent="0.25">
      <c r="A79" s="40">
        <v>45917.862476851849</v>
      </c>
      <c r="B79" s="41">
        <v>442994072</v>
      </c>
      <c r="C79" s="42" t="s">
        <v>36</v>
      </c>
      <c r="D79" s="42" t="s">
        <v>37</v>
      </c>
      <c r="E79" s="42" t="s">
        <v>38</v>
      </c>
      <c r="F79" s="43">
        <v>3684.04</v>
      </c>
      <c r="G79" s="43">
        <v>3685.79</v>
      </c>
      <c r="H79" s="43">
        <v>3688.54</v>
      </c>
      <c r="I79" s="42" t="s">
        <v>182</v>
      </c>
      <c r="J79" s="43">
        <v>3692.93</v>
      </c>
      <c r="K79" s="43">
        <v>0</v>
      </c>
      <c r="L79" s="43">
        <v>0</v>
      </c>
      <c r="M79" s="44">
        <v>8.89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0.88900000000000012</v>
      </c>
      <c r="Y79" s="13">
        <f t="shared" si="16"/>
        <v>1.7780000000000002</v>
      </c>
      <c r="Z79" s="13">
        <f t="shared" si="17"/>
        <v>2.6670000000000003</v>
      </c>
      <c r="AA79" s="13">
        <f t="shared" si="23"/>
        <v>8.89</v>
      </c>
    </row>
    <row r="80" spans="1:27" x14ac:dyDescent="0.25">
      <c r="A80" s="35">
        <v>45917.869293981479</v>
      </c>
      <c r="B80" s="36">
        <v>442997210</v>
      </c>
      <c r="C80" s="37" t="s">
        <v>36</v>
      </c>
      <c r="D80" s="37" t="s">
        <v>37</v>
      </c>
      <c r="E80" s="37" t="s">
        <v>38</v>
      </c>
      <c r="F80" s="38">
        <v>3685.99</v>
      </c>
      <c r="G80" s="38">
        <v>3686.09</v>
      </c>
      <c r="H80" s="38">
        <v>3687.5</v>
      </c>
      <c r="I80" s="37" t="s">
        <v>185</v>
      </c>
      <c r="J80" s="38">
        <v>3687.53</v>
      </c>
      <c r="K80" s="38">
        <v>0</v>
      </c>
      <c r="L80" s="38">
        <v>0</v>
      </c>
      <c r="M80" s="39">
        <v>1.54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0.15400000000000003</v>
      </c>
      <c r="Y80" s="13">
        <f t="shared" si="16"/>
        <v>0.30800000000000005</v>
      </c>
      <c r="Z80" s="13">
        <f t="shared" si="17"/>
        <v>0.46199999999999997</v>
      </c>
      <c r="AA80" s="13">
        <f t="shared" si="23"/>
        <v>-3</v>
      </c>
    </row>
    <row r="81" spans="1:27" x14ac:dyDescent="0.25">
      <c r="A81" s="40">
        <v>45917.873229166667</v>
      </c>
      <c r="B81" s="41">
        <v>443000266</v>
      </c>
      <c r="C81" s="42" t="s">
        <v>36</v>
      </c>
      <c r="D81" s="42" t="s">
        <v>37</v>
      </c>
      <c r="E81" s="42" t="s">
        <v>38</v>
      </c>
      <c r="F81" s="43">
        <v>3686.75</v>
      </c>
      <c r="G81" s="43">
        <v>3683.75</v>
      </c>
      <c r="H81" s="43">
        <v>3689.75</v>
      </c>
      <c r="I81" s="42" t="s">
        <v>182</v>
      </c>
      <c r="J81" s="43">
        <v>3692.93</v>
      </c>
      <c r="K81" s="43">
        <v>0</v>
      </c>
      <c r="L81" s="43">
        <v>0</v>
      </c>
      <c r="M81" s="44">
        <v>6.18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0.61799999999999999</v>
      </c>
      <c r="Y81" s="13">
        <f t="shared" si="16"/>
        <v>1.236</v>
      </c>
      <c r="Z81" s="13">
        <f t="shared" si="17"/>
        <v>1.8539999999999999</v>
      </c>
      <c r="AA81" s="13">
        <f t="shared" si="23"/>
        <v>6.18</v>
      </c>
    </row>
    <row r="82" spans="1:27" x14ac:dyDescent="0.25">
      <c r="A82" s="35">
        <v>45917.873229166667</v>
      </c>
      <c r="B82" s="36">
        <v>443000267</v>
      </c>
      <c r="C82" s="37" t="s">
        <v>36</v>
      </c>
      <c r="D82" s="37" t="s">
        <v>37</v>
      </c>
      <c r="E82" s="37" t="s">
        <v>38</v>
      </c>
      <c r="F82" s="38">
        <v>3686.73</v>
      </c>
      <c r="G82" s="38">
        <v>3684.25</v>
      </c>
      <c r="H82" s="38">
        <v>3689.75</v>
      </c>
      <c r="I82" s="37" t="s">
        <v>182</v>
      </c>
      <c r="J82" s="38">
        <v>3692.93</v>
      </c>
      <c r="K82" s="38">
        <v>0</v>
      </c>
      <c r="L82" s="38">
        <v>0</v>
      </c>
      <c r="M82" s="39">
        <v>6.2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0.62000000000000011</v>
      </c>
      <c r="Y82" s="13">
        <f t="shared" si="16"/>
        <v>1.2400000000000002</v>
      </c>
      <c r="Z82" s="13">
        <f t="shared" si="17"/>
        <v>1.8599999999999999</v>
      </c>
      <c r="AA82" s="13">
        <f t="shared" si="23"/>
        <v>6.2</v>
      </c>
    </row>
    <row r="83" spans="1:27" x14ac:dyDescent="0.25">
      <c r="A83" s="40">
        <v>45917.873229166667</v>
      </c>
      <c r="B83" s="41">
        <v>443000269</v>
      </c>
      <c r="C83" s="42" t="s">
        <v>36</v>
      </c>
      <c r="D83" s="42" t="s">
        <v>37</v>
      </c>
      <c r="E83" s="42" t="s">
        <v>38</v>
      </c>
      <c r="F83" s="43">
        <v>3686.72</v>
      </c>
      <c r="G83" s="43">
        <v>3683.75</v>
      </c>
      <c r="H83" s="43">
        <v>3688.25</v>
      </c>
      <c r="I83" s="42" t="s">
        <v>182</v>
      </c>
      <c r="J83" s="43">
        <v>3692.93</v>
      </c>
      <c r="K83" s="43">
        <v>0</v>
      </c>
      <c r="L83" s="43">
        <v>0</v>
      </c>
      <c r="M83" s="44">
        <v>6.21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0.621</v>
      </c>
      <c r="Y83" s="13">
        <f t="shared" si="16"/>
        <v>1.242</v>
      </c>
      <c r="Z83" s="13">
        <f t="shared" si="17"/>
        <v>1.863</v>
      </c>
      <c r="AA83" s="13">
        <f t="shared" si="23"/>
        <v>6.21</v>
      </c>
    </row>
    <row r="84" spans="1:27" x14ac:dyDescent="0.25">
      <c r="A84" s="35">
        <v>45917.873692129629</v>
      </c>
      <c r="B84" s="36">
        <v>443000809</v>
      </c>
      <c r="C84" s="37" t="s">
        <v>36</v>
      </c>
      <c r="D84" s="37" t="s">
        <v>37</v>
      </c>
      <c r="E84" s="37" t="s">
        <v>38</v>
      </c>
      <c r="F84" s="38">
        <v>3686.88</v>
      </c>
      <c r="G84" s="38">
        <v>3683.8</v>
      </c>
      <c r="H84" s="38">
        <v>3690.3</v>
      </c>
      <c r="I84" s="37" t="s">
        <v>182</v>
      </c>
      <c r="J84" s="38">
        <v>3692.93</v>
      </c>
      <c r="K84" s="38">
        <v>0</v>
      </c>
      <c r="L84" s="38">
        <v>0</v>
      </c>
      <c r="M84" s="39">
        <v>6.05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0.60499999999999998</v>
      </c>
      <c r="Y84" s="13">
        <f t="shared" si="16"/>
        <v>1.21</v>
      </c>
      <c r="Z84" s="13">
        <f t="shared" si="17"/>
        <v>1.8149999999999999</v>
      </c>
      <c r="AA84" s="13">
        <f t="shared" si="23"/>
        <v>6.05</v>
      </c>
    </row>
    <row r="85" spans="1:27" x14ac:dyDescent="0.25">
      <c r="A85" s="40">
        <v>45917.883414351854</v>
      </c>
      <c r="B85" s="41">
        <v>443037794</v>
      </c>
      <c r="C85" s="42" t="s">
        <v>36</v>
      </c>
      <c r="D85" s="42" t="s">
        <v>37</v>
      </c>
      <c r="E85" s="42" t="s">
        <v>38</v>
      </c>
      <c r="F85" s="43">
        <v>3699.07</v>
      </c>
      <c r="G85" s="43">
        <v>3696.04</v>
      </c>
      <c r="H85" s="43">
        <v>3700.54</v>
      </c>
      <c r="I85" s="42" t="s">
        <v>186</v>
      </c>
      <c r="J85" s="43">
        <v>3696.02</v>
      </c>
      <c r="K85" s="43">
        <v>0</v>
      </c>
      <c r="L85" s="43">
        <v>0</v>
      </c>
      <c r="M85" s="44">
        <v>-3.05</v>
      </c>
      <c r="N85" s="10" t="str">
        <f t="shared" si="18"/>
        <v>L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15"/>
        <v>-0.30499999999999999</v>
      </c>
      <c r="Y85" s="13">
        <f t="shared" si="16"/>
        <v>-0.61</v>
      </c>
      <c r="Z85" s="13">
        <f t="shared" si="17"/>
        <v>-0.91499999999999992</v>
      </c>
      <c r="AA85" s="13">
        <f t="shared" si="23"/>
        <v>-3</v>
      </c>
    </row>
    <row r="86" spans="1:27" x14ac:dyDescent="0.25">
      <c r="A86" s="35">
        <v>45917.883414351854</v>
      </c>
      <c r="B86" s="36">
        <v>443037805</v>
      </c>
      <c r="C86" s="37" t="s">
        <v>36</v>
      </c>
      <c r="D86" s="37" t="s">
        <v>37</v>
      </c>
      <c r="E86" s="37" t="s">
        <v>38</v>
      </c>
      <c r="F86" s="38">
        <v>3698.97</v>
      </c>
      <c r="G86" s="38">
        <v>3696.07</v>
      </c>
      <c r="H86" s="38">
        <v>3702.07</v>
      </c>
      <c r="I86" s="37" t="s">
        <v>186</v>
      </c>
      <c r="J86" s="38">
        <v>3696.02</v>
      </c>
      <c r="K86" s="38">
        <v>0</v>
      </c>
      <c r="L86" s="38">
        <v>0</v>
      </c>
      <c r="M86" s="39">
        <v>-2.95</v>
      </c>
      <c r="N86" s="10" t="str">
        <f t="shared" si="18"/>
        <v>L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15"/>
        <v>-0.29500000000000004</v>
      </c>
      <c r="Y86" s="13">
        <f t="shared" si="16"/>
        <v>-0.59000000000000008</v>
      </c>
      <c r="Z86" s="13">
        <f t="shared" si="17"/>
        <v>-0.88500000000000001</v>
      </c>
      <c r="AA86" s="13">
        <f t="shared" si="23"/>
        <v>-3</v>
      </c>
    </row>
    <row r="87" spans="1:27" x14ac:dyDescent="0.25">
      <c r="A87" s="40">
        <v>45917.883414351854</v>
      </c>
      <c r="B87" s="41">
        <v>443037880</v>
      </c>
      <c r="C87" s="42" t="s">
        <v>36</v>
      </c>
      <c r="D87" s="42" t="s">
        <v>37</v>
      </c>
      <c r="E87" s="42" t="s">
        <v>38</v>
      </c>
      <c r="F87" s="43">
        <v>3698.99</v>
      </c>
      <c r="G87" s="43">
        <v>3696.07</v>
      </c>
      <c r="H87" s="43">
        <v>3702.57</v>
      </c>
      <c r="I87" s="42" t="s">
        <v>186</v>
      </c>
      <c r="J87" s="43">
        <v>3696.02</v>
      </c>
      <c r="K87" s="43">
        <v>0</v>
      </c>
      <c r="L87" s="43">
        <v>0</v>
      </c>
      <c r="M87" s="44">
        <v>-2.97</v>
      </c>
      <c r="N87" s="10" t="str">
        <f t="shared" si="18"/>
        <v>L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15"/>
        <v>-0.29700000000000004</v>
      </c>
      <c r="Y87" s="13">
        <f t="shared" si="16"/>
        <v>-0.59400000000000008</v>
      </c>
      <c r="Z87" s="13">
        <f t="shared" si="17"/>
        <v>-0.89100000000000001</v>
      </c>
      <c r="AA87" s="13">
        <f t="shared" si="23"/>
        <v>-3</v>
      </c>
    </row>
    <row r="88" spans="1:27" x14ac:dyDescent="0.25">
      <c r="A88" s="35">
        <v>45917.883414351854</v>
      </c>
      <c r="B88" s="36">
        <v>443037883</v>
      </c>
      <c r="C88" s="37" t="s">
        <v>36</v>
      </c>
      <c r="D88" s="37" t="s">
        <v>37</v>
      </c>
      <c r="E88" s="37" t="s">
        <v>38</v>
      </c>
      <c r="F88" s="38">
        <v>3698.97</v>
      </c>
      <c r="G88" s="38">
        <v>3696.57</v>
      </c>
      <c r="H88" s="38">
        <v>3702.07</v>
      </c>
      <c r="I88" s="37" t="s">
        <v>187</v>
      </c>
      <c r="J88" s="38">
        <v>3696.57</v>
      </c>
      <c r="K88" s="38">
        <v>0</v>
      </c>
      <c r="L88" s="38">
        <v>0</v>
      </c>
      <c r="M88" s="39">
        <v>-2.4</v>
      </c>
      <c r="N88" s="10" t="str">
        <f t="shared" si="18"/>
        <v>L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15"/>
        <v>-0.24</v>
      </c>
      <c r="Y88" s="13">
        <f t="shared" si="16"/>
        <v>-0.48</v>
      </c>
      <c r="Z88" s="13">
        <f t="shared" si="17"/>
        <v>-0.72</v>
      </c>
      <c r="AA88" s="13">
        <f t="shared" si="23"/>
        <v>-3</v>
      </c>
    </row>
    <row r="89" spans="1:27" x14ac:dyDescent="0.25">
      <c r="A89" s="40">
        <v>45917.892326388886</v>
      </c>
      <c r="B89" s="41">
        <v>443055815</v>
      </c>
      <c r="C89" s="42" t="s">
        <v>36</v>
      </c>
      <c r="D89" s="42" t="s">
        <v>39</v>
      </c>
      <c r="E89" s="42" t="s">
        <v>38</v>
      </c>
      <c r="F89" s="43">
        <v>3685.93</v>
      </c>
      <c r="G89" s="43">
        <v>3688.91</v>
      </c>
      <c r="H89" s="43">
        <v>3684.41</v>
      </c>
      <c r="I89" s="42" t="s">
        <v>188</v>
      </c>
      <c r="J89" s="43">
        <v>3684.37</v>
      </c>
      <c r="K89" s="43">
        <v>0</v>
      </c>
      <c r="L89" s="43">
        <v>0</v>
      </c>
      <c r="M89" s="44">
        <v>1.56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0.15600000000000003</v>
      </c>
      <c r="Y89" s="13">
        <f t="shared" si="16"/>
        <v>0.31200000000000006</v>
      </c>
      <c r="Z89" s="13">
        <f t="shared" si="17"/>
        <v>0.46799999999999997</v>
      </c>
      <c r="AA89" s="13">
        <f t="shared" si="23"/>
        <v>-3</v>
      </c>
    </row>
    <row r="90" spans="1:27" x14ac:dyDescent="0.25">
      <c r="A90" s="35">
        <v>45917.892326388886</v>
      </c>
      <c r="B90" s="36">
        <v>443055818</v>
      </c>
      <c r="C90" s="37" t="s">
        <v>36</v>
      </c>
      <c r="D90" s="37" t="s">
        <v>39</v>
      </c>
      <c r="E90" s="37" t="s">
        <v>38</v>
      </c>
      <c r="F90" s="38">
        <v>3685.96</v>
      </c>
      <c r="G90" s="38">
        <v>3685.68</v>
      </c>
      <c r="H90" s="38">
        <v>3682.43</v>
      </c>
      <c r="I90" s="37" t="s">
        <v>189</v>
      </c>
      <c r="J90" s="38">
        <v>3685.68</v>
      </c>
      <c r="K90" s="38">
        <v>0</v>
      </c>
      <c r="L90" s="38">
        <v>0</v>
      </c>
      <c r="M90" s="39">
        <v>0.28000000000000003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15"/>
        <v>2.8000000000000004E-2</v>
      </c>
      <c r="Y90" s="13">
        <f t="shared" si="16"/>
        <v>5.6000000000000008E-2</v>
      </c>
      <c r="Z90" s="13">
        <f t="shared" si="17"/>
        <v>8.4000000000000005E-2</v>
      </c>
      <c r="AA90" s="13">
        <f t="shared" si="23"/>
        <v>-3</v>
      </c>
    </row>
    <row r="91" spans="1:27" x14ac:dyDescent="0.25">
      <c r="A91" s="40">
        <v>45917.892326388886</v>
      </c>
      <c r="B91" s="41">
        <v>443055821</v>
      </c>
      <c r="C91" s="42" t="s">
        <v>36</v>
      </c>
      <c r="D91" s="42" t="s">
        <v>39</v>
      </c>
      <c r="E91" s="42" t="s">
        <v>38</v>
      </c>
      <c r="F91" s="43">
        <v>3685.83</v>
      </c>
      <c r="G91" s="43">
        <v>3685.68</v>
      </c>
      <c r="H91" s="43">
        <v>3682.93</v>
      </c>
      <c r="I91" s="42" t="s">
        <v>189</v>
      </c>
      <c r="J91" s="43">
        <v>3685.68</v>
      </c>
      <c r="K91" s="43">
        <v>0</v>
      </c>
      <c r="L91" s="43">
        <v>0</v>
      </c>
      <c r="M91" s="44">
        <v>0.15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15"/>
        <v>1.4999999999999999E-2</v>
      </c>
      <c r="Y91" s="13">
        <f t="shared" si="16"/>
        <v>0.03</v>
      </c>
      <c r="Z91" s="13">
        <f t="shared" si="17"/>
        <v>4.4999999999999998E-2</v>
      </c>
      <c r="AA91" s="13">
        <f t="shared" si="23"/>
        <v>-3</v>
      </c>
    </row>
    <row r="92" spans="1:27" x14ac:dyDescent="0.25">
      <c r="A92" s="35">
        <v>45917.892326388886</v>
      </c>
      <c r="B92" s="36">
        <v>443055825</v>
      </c>
      <c r="C92" s="37" t="s">
        <v>36</v>
      </c>
      <c r="D92" s="37" t="s">
        <v>39</v>
      </c>
      <c r="E92" s="37" t="s">
        <v>38</v>
      </c>
      <c r="F92" s="38">
        <v>3685.57</v>
      </c>
      <c r="G92" s="38">
        <v>3685.62</v>
      </c>
      <c r="H92" s="38">
        <v>3682.93</v>
      </c>
      <c r="I92" s="37" t="s">
        <v>189</v>
      </c>
      <c r="J92" s="38">
        <v>3685.68</v>
      </c>
      <c r="K92" s="38">
        <v>0</v>
      </c>
      <c r="L92" s="38">
        <v>0</v>
      </c>
      <c r="M92" s="39">
        <v>-0.11</v>
      </c>
      <c r="N92" s="10" t="str">
        <f t="shared" si="18"/>
        <v>L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15"/>
        <v>-1.1000000000000001E-2</v>
      </c>
      <c r="Y92" s="13">
        <f t="shared" si="16"/>
        <v>-2.2000000000000002E-2</v>
      </c>
      <c r="Z92" s="13">
        <f t="shared" si="17"/>
        <v>-3.3000000000000002E-2</v>
      </c>
      <c r="AA92" s="13">
        <f t="shared" si="23"/>
        <v>-3</v>
      </c>
    </row>
    <row r="93" spans="1:27" x14ac:dyDescent="0.25">
      <c r="A93" s="40">
        <v>45917.89267361111</v>
      </c>
      <c r="B93" s="41">
        <v>443056055</v>
      </c>
      <c r="C93" s="42" t="s">
        <v>36</v>
      </c>
      <c r="D93" s="42" t="s">
        <v>39</v>
      </c>
      <c r="E93" s="42" t="s">
        <v>38</v>
      </c>
      <c r="F93" s="43">
        <v>3685.91</v>
      </c>
      <c r="G93" s="43">
        <v>3689.08</v>
      </c>
      <c r="H93" s="43">
        <v>3684.58</v>
      </c>
      <c r="I93" s="42" t="s">
        <v>190</v>
      </c>
      <c r="J93" s="43">
        <v>3684.5</v>
      </c>
      <c r="K93" s="43">
        <v>0</v>
      </c>
      <c r="L93" s="43">
        <v>0</v>
      </c>
      <c r="M93" s="44">
        <v>1.41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0.14099999999999999</v>
      </c>
      <c r="Y93" s="13">
        <f t="shared" si="16"/>
        <v>0.28199999999999997</v>
      </c>
      <c r="Z93" s="13">
        <f t="shared" si="17"/>
        <v>0.42299999999999999</v>
      </c>
      <c r="AA93" s="13">
        <f t="shared" si="23"/>
        <v>-3</v>
      </c>
    </row>
    <row r="94" spans="1:27" x14ac:dyDescent="0.25">
      <c r="A94" s="35">
        <v>45917.89267361111</v>
      </c>
      <c r="B94" s="36">
        <v>443056057</v>
      </c>
      <c r="C94" s="37" t="s">
        <v>36</v>
      </c>
      <c r="D94" s="37" t="s">
        <v>39</v>
      </c>
      <c r="E94" s="37" t="s">
        <v>38</v>
      </c>
      <c r="F94" s="38">
        <v>3685.71</v>
      </c>
      <c r="G94" s="38">
        <v>3684.97</v>
      </c>
      <c r="H94" s="38">
        <v>3682.87</v>
      </c>
      <c r="I94" s="37" t="s">
        <v>191</v>
      </c>
      <c r="J94" s="38">
        <v>3682.81</v>
      </c>
      <c r="K94" s="38">
        <v>0</v>
      </c>
      <c r="L94" s="38">
        <v>0</v>
      </c>
      <c r="M94" s="39">
        <v>2.9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0.28999999999999998</v>
      </c>
      <c r="Y94" s="13">
        <f t="shared" si="16"/>
        <v>0.57999999999999996</v>
      </c>
      <c r="Z94" s="13">
        <f t="shared" si="17"/>
        <v>0.87</v>
      </c>
      <c r="AA94" s="13">
        <f t="shared" si="23"/>
        <v>2.9</v>
      </c>
    </row>
    <row r="95" spans="1:27" x14ac:dyDescent="0.25">
      <c r="A95" s="40">
        <v>45917.89267361111</v>
      </c>
      <c r="B95" s="41">
        <v>443056058</v>
      </c>
      <c r="C95" s="42" t="s">
        <v>36</v>
      </c>
      <c r="D95" s="42" t="s">
        <v>39</v>
      </c>
      <c r="E95" s="42" t="s">
        <v>38</v>
      </c>
      <c r="F95" s="43">
        <v>3685.74</v>
      </c>
      <c r="G95" s="43">
        <v>3684.98</v>
      </c>
      <c r="H95" s="43">
        <v>3682.87</v>
      </c>
      <c r="I95" s="42" t="s">
        <v>191</v>
      </c>
      <c r="J95" s="43">
        <v>3682.81</v>
      </c>
      <c r="K95" s="43">
        <v>0</v>
      </c>
      <c r="L95" s="43">
        <v>0</v>
      </c>
      <c r="M95" s="44">
        <v>2.93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0.29300000000000004</v>
      </c>
      <c r="Y95" s="13">
        <f t="shared" si="16"/>
        <v>0.58600000000000008</v>
      </c>
      <c r="Z95" s="13">
        <f t="shared" si="17"/>
        <v>0.879</v>
      </c>
      <c r="AA95" s="13">
        <f t="shared" si="23"/>
        <v>2.93</v>
      </c>
    </row>
    <row r="96" spans="1:27" x14ac:dyDescent="0.25">
      <c r="A96" s="35">
        <v>45917.89267361111</v>
      </c>
      <c r="B96" s="36">
        <v>443056060</v>
      </c>
      <c r="C96" s="37" t="s">
        <v>36</v>
      </c>
      <c r="D96" s="37" t="s">
        <v>39</v>
      </c>
      <c r="E96" s="37" t="s">
        <v>38</v>
      </c>
      <c r="F96" s="38">
        <v>3685.83</v>
      </c>
      <c r="G96" s="38">
        <v>3685</v>
      </c>
      <c r="H96" s="38">
        <v>3682.37</v>
      </c>
      <c r="I96" s="37" t="s">
        <v>192</v>
      </c>
      <c r="J96" s="38">
        <v>3682.03</v>
      </c>
      <c r="K96" s="38">
        <v>0</v>
      </c>
      <c r="L96" s="38">
        <v>0</v>
      </c>
      <c r="M96" s="39">
        <v>3.8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0.38</v>
      </c>
      <c r="Y96" s="13">
        <f t="shared" si="16"/>
        <v>0.76</v>
      </c>
      <c r="Z96" s="13">
        <f t="shared" si="17"/>
        <v>1.1399999999999999</v>
      </c>
      <c r="AA96" s="13">
        <f t="shared" si="23"/>
        <v>3.8</v>
      </c>
    </row>
    <row r="97" spans="1:27" x14ac:dyDescent="0.25">
      <c r="A97" s="40">
        <v>45917.895451388889</v>
      </c>
      <c r="B97" s="41">
        <v>443057989</v>
      </c>
      <c r="C97" s="42" t="s">
        <v>36</v>
      </c>
      <c r="D97" s="42" t="s">
        <v>39</v>
      </c>
      <c r="E97" s="42" t="s">
        <v>38</v>
      </c>
      <c r="F97" s="43">
        <v>3683.73</v>
      </c>
      <c r="G97" s="43">
        <v>3686.81</v>
      </c>
      <c r="H97" s="43">
        <v>3682.31</v>
      </c>
      <c r="I97" s="42" t="s">
        <v>193</v>
      </c>
      <c r="J97" s="43">
        <v>3682.29</v>
      </c>
      <c r="K97" s="43">
        <v>0</v>
      </c>
      <c r="L97" s="43">
        <v>0</v>
      </c>
      <c r="M97" s="44">
        <v>1.44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0.14399999999999999</v>
      </c>
      <c r="Y97" s="13">
        <f t="shared" si="16"/>
        <v>0.28799999999999998</v>
      </c>
      <c r="Z97" s="13">
        <f t="shared" si="17"/>
        <v>0.432</v>
      </c>
      <c r="AA97" s="13">
        <f t="shared" si="23"/>
        <v>-3</v>
      </c>
    </row>
    <row r="98" spans="1:27" x14ac:dyDescent="0.25">
      <c r="A98" s="35">
        <v>45917.895451388889</v>
      </c>
      <c r="B98" s="36">
        <v>443057990</v>
      </c>
      <c r="C98" s="37" t="s">
        <v>36</v>
      </c>
      <c r="D98" s="37" t="s">
        <v>39</v>
      </c>
      <c r="E98" s="37" t="s">
        <v>38</v>
      </c>
      <c r="F98" s="38">
        <v>3683.88</v>
      </c>
      <c r="G98" s="38">
        <v>3683.9</v>
      </c>
      <c r="H98" s="38">
        <v>3680.73</v>
      </c>
      <c r="I98" s="37" t="s">
        <v>194</v>
      </c>
      <c r="J98" s="38">
        <v>3684.84</v>
      </c>
      <c r="K98" s="38">
        <v>0</v>
      </c>
      <c r="L98" s="38">
        <v>0</v>
      </c>
      <c r="M98" s="39">
        <v>-0.96</v>
      </c>
      <c r="N98" s="10" t="str">
        <f t="shared" si="18"/>
        <v>L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15"/>
        <v>-9.6000000000000002E-2</v>
      </c>
      <c r="Y98" s="13">
        <f t="shared" si="16"/>
        <v>-0.192</v>
      </c>
      <c r="Z98" s="13">
        <f t="shared" si="17"/>
        <v>-0.28799999999999998</v>
      </c>
      <c r="AA98" s="13">
        <f t="shared" si="23"/>
        <v>-3</v>
      </c>
    </row>
    <row r="99" spans="1:27" x14ac:dyDescent="0.25">
      <c r="A99" s="40">
        <v>45917.895451388889</v>
      </c>
      <c r="B99" s="41">
        <v>443057991</v>
      </c>
      <c r="C99" s="42" t="s">
        <v>36</v>
      </c>
      <c r="D99" s="42" t="s">
        <v>39</v>
      </c>
      <c r="E99" s="42" t="s">
        <v>38</v>
      </c>
      <c r="F99" s="43">
        <v>3684.01</v>
      </c>
      <c r="G99" s="43">
        <v>3683.9</v>
      </c>
      <c r="H99" s="43">
        <v>3680.23</v>
      </c>
      <c r="I99" s="42" t="s">
        <v>194</v>
      </c>
      <c r="J99" s="43">
        <v>3684.84</v>
      </c>
      <c r="K99" s="43">
        <v>0</v>
      </c>
      <c r="L99" s="43">
        <v>0</v>
      </c>
      <c r="M99" s="44">
        <v>-0.83</v>
      </c>
      <c r="N99" s="10" t="str">
        <f t="shared" si="18"/>
        <v>L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15"/>
        <v>-8.3000000000000004E-2</v>
      </c>
      <c r="Y99" s="13">
        <f t="shared" si="16"/>
        <v>-0.16600000000000001</v>
      </c>
      <c r="Z99" s="13">
        <f t="shared" si="17"/>
        <v>-0.24899999999999997</v>
      </c>
      <c r="AA99" s="13">
        <f t="shared" si="23"/>
        <v>-3</v>
      </c>
    </row>
    <row r="100" spans="1:27" x14ac:dyDescent="0.25">
      <c r="A100" s="35">
        <v>45917.895451388889</v>
      </c>
      <c r="B100" s="36">
        <v>443057993</v>
      </c>
      <c r="C100" s="37" t="s">
        <v>36</v>
      </c>
      <c r="D100" s="37" t="s">
        <v>39</v>
      </c>
      <c r="E100" s="37" t="s">
        <v>38</v>
      </c>
      <c r="F100" s="38">
        <v>3684.54</v>
      </c>
      <c r="G100" s="38">
        <v>3683.74</v>
      </c>
      <c r="H100" s="38">
        <v>3680.73</v>
      </c>
      <c r="I100" s="37" t="s">
        <v>194</v>
      </c>
      <c r="J100" s="38">
        <v>3683.88</v>
      </c>
      <c r="K100" s="38">
        <v>0</v>
      </c>
      <c r="L100" s="38">
        <v>0</v>
      </c>
      <c r="M100" s="39">
        <v>0.66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15"/>
        <v>6.6000000000000003E-2</v>
      </c>
      <c r="Y100" s="13">
        <f t="shared" si="16"/>
        <v>0.13200000000000001</v>
      </c>
      <c r="Z100" s="13">
        <f t="shared" si="17"/>
        <v>0.19800000000000001</v>
      </c>
      <c r="AA100" s="13">
        <f t="shared" si="23"/>
        <v>-3</v>
      </c>
    </row>
    <row r="101" spans="1:27" x14ac:dyDescent="0.25">
      <c r="A101" s="40">
        <v>45917.89603009259</v>
      </c>
      <c r="B101" s="41">
        <v>443058463</v>
      </c>
      <c r="C101" s="42" t="s">
        <v>36</v>
      </c>
      <c r="D101" s="42" t="s">
        <v>39</v>
      </c>
      <c r="E101" s="42" t="s">
        <v>38</v>
      </c>
      <c r="F101" s="43">
        <v>3683.58</v>
      </c>
      <c r="G101" s="43">
        <v>3686.64</v>
      </c>
      <c r="H101" s="43">
        <v>3682.14</v>
      </c>
      <c r="I101" s="42" t="s">
        <v>195</v>
      </c>
      <c r="J101" s="43">
        <v>3681.77</v>
      </c>
      <c r="K101" s="43">
        <v>0</v>
      </c>
      <c r="L101" s="43">
        <v>0</v>
      </c>
      <c r="M101" s="44">
        <v>1.81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0.18100000000000002</v>
      </c>
      <c r="Y101" s="13">
        <f t="shared" si="16"/>
        <v>0.36200000000000004</v>
      </c>
      <c r="Z101" s="13">
        <f t="shared" si="17"/>
        <v>0.54300000000000004</v>
      </c>
      <c r="AA101" s="13">
        <f t="shared" si="23"/>
        <v>-3</v>
      </c>
    </row>
    <row r="102" spans="1:27" x14ac:dyDescent="0.25">
      <c r="A102" s="35">
        <v>45917.89603009259</v>
      </c>
      <c r="B102" s="36">
        <v>443058467</v>
      </c>
      <c r="C102" s="37" t="s">
        <v>36</v>
      </c>
      <c r="D102" s="37" t="s">
        <v>39</v>
      </c>
      <c r="E102" s="37" t="s">
        <v>38</v>
      </c>
      <c r="F102" s="38">
        <v>3683.54</v>
      </c>
      <c r="G102" s="38">
        <v>3686.58</v>
      </c>
      <c r="H102" s="38">
        <v>3680.08</v>
      </c>
      <c r="I102" s="37" t="s">
        <v>196</v>
      </c>
      <c r="J102" s="38">
        <v>3679.84</v>
      </c>
      <c r="K102" s="38">
        <v>0</v>
      </c>
      <c r="L102" s="38">
        <v>0</v>
      </c>
      <c r="M102" s="39">
        <v>3.7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0.37000000000000005</v>
      </c>
      <c r="Y102" s="13">
        <f t="shared" si="16"/>
        <v>0.7400000000000001</v>
      </c>
      <c r="Z102" s="13">
        <f t="shared" si="17"/>
        <v>1.1100000000000001</v>
      </c>
      <c r="AA102" s="13">
        <f t="shared" si="23"/>
        <v>3.7</v>
      </c>
    </row>
    <row r="103" spans="1:27" x14ac:dyDescent="0.25">
      <c r="A103" s="40">
        <v>45917.89603009259</v>
      </c>
      <c r="B103" s="41">
        <v>443058471</v>
      </c>
      <c r="C103" s="42" t="s">
        <v>36</v>
      </c>
      <c r="D103" s="42" t="s">
        <v>39</v>
      </c>
      <c r="E103" s="42" t="s">
        <v>38</v>
      </c>
      <c r="F103" s="43">
        <v>3683.36</v>
      </c>
      <c r="G103" s="43">
        <v>3686.08</v>
      </c>
      <c r="H103" s="43">
        <v>3680.58</v>
      </c>
      <c r="I103" s="42" t="s">
        <v>197</v>
      </c>
      <c r="J103" s="43">
        <v>3680.35</v>
      </c>
      <c r="K103" s="43">
        <v>0</v>
      </c>
      <c r="L103" s="43">
        <v>0</v>
      </c>
      <c r="M103" s="44">
        <v>3.01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0.30099999999999999</v>
      </c>
      <c r="Y103" s="13">
        <f t="shared" si="16"/>
        <v>0.60199999999999998</v>
      </c>
      <c r="Z103" s="13">
        <f t="shared" si="17"/>
        <v>0.90299999999999991</v>
      </c>
      <c r="AA103" s="13">
        <f t="shared" si="23"/>
        <v>3.01</v>
      </c>
    </row>
    <row r="104" spans="1:27" x14ac:dyDescent="0.25">
      <c r="A104" s="35">
        <v>45917.89603009259</v>
      </c>
      <c r="B104" s="36">
        <v>443058474</v>
      </c>
      <c r="C104" s="37" t="s">
        <v>36</v>
      </c>
      <c r="D104" s="37" t="s">
        <v>39</v>
      </c>
      <c r="E104" s="37" t="s">
        <v>38</v>
      </c>
      <c r="F104" s="38">
        <v>3683.13</v>
      </c>
      <c r="G104" s="38">
        <v>3686.58</v>
      </c>
      <c r="H104" s="38">
        <v>3680.58</v>
      </c>
      <c r="I104" s="37" t="s">
        <v>197</v>
      </c>
      <c r="J104" s="38">
        <v>3680.35</v>
      </c>
      <c r="K104" s="38">
        <v>0</v>
      </c>
      <c r="L104" s="38">
        <v>0</v>
      </c>
      <c r="M104" s="39">
        <v>2.78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0.27799999999999997</v>
      </c>
      <c r="Y104" s="13">
        <f t="shared" si="16"/>
        <v>0.55599999999999994</v>
      </c>
      <c r="Z104" s="13">
        <f t="shared" si="17"/>
        <v>0.83399999999999996</v>
      </c>
      <c r="AA104" s="13">
        <f t="shared" si="23"/>
        <v>-3</v>
      </c>
    </row>
    <row r="105" spans="1:27" x14ac:dyDescent="0.25">
      <c r="A105" s="40">
        <v>45917.90320601852</v>
      </c>
      <c r="B105" s="41">
        <v>443073342</v>
      </c>
      <c r="C105" s="42" t="s">
        <v>36</v>
      </c>
      <c r="D105" s="42" t="s">
        <v>39</v>
      </c>
      <c r="E105" s="42" t="s">
        <v>38</v>
      </c>
      <c r="F105" s="43">
        <v>3672.34</v>
      </c>
      <c r="G105" s="43">
        <v>3674.6</v>
      </c>
      <c r="H105" s="43">
        <v>3669.1</v>
      </c>
      <c r="I105" s="42" t="s">
        <v>198</v>
      </c>
      <c r="J105" s="43">
        <v>3674.72</v>
      </c>
      <c r="K105" s="43">
        <v>0</v>
      </c>
      <c r="L105" s="43">
        <v>0</v>
      </c>
      <c r="M105" s="44">
        <v>-2.38</v>
      </c>
      <c r="N105" s="10" t="str">
        <f t="shared" si="18"/>
        <v>L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15"/>
        <v>-0.23799999999999999</v>
      </c>
      <c r="Y105" s="13">
        <f t="shared" si="16"/>
        <v>-0.47599999999999998</v>
      </c>
      <c r="Z105" s="13">
        <f t="shared" si="17"/>
        <v>-0.71399999999999997</v>
      </c>
      <c r="AA105" s="13">
        <f t="shared" si="23"/>
        <v>-3</v>
      </c>
    </row>
    <row r="106" spans="1:27" x14ac:dyDescent="0.25">
      <c r="A106" s="35">
        <v>45917.903668981482</v>
      </c>
      <c r="B106" s="36">
        <v>443074337</v>
      </c>
      <c r="C106" s="37" t="s">
        <v>36</v>
      </c>
      <c r="D106" s="37" t="s">
        <v>39</v>
      </c>
      <c r="E106" s="37" t="s">
        <v>38</v>
      </c>
      <c r="F106" s="38">
        <v>3672.12</v>
      </c>
      <c r="G106" s="38">
        <v>3675.09</v>
      </c>
      <c r="H106" s="38">
        <v>3670.59</v>
      </c>
      <c r="I106" s="37" t="s">
        <v>199</v>
      </c>
      <c r="J106" s="38">
        <v>3670.42</v>
      </c>
      <c r="K106" s="38">
        <v>0</v>
      </c>
      <c r="L106" s="38">
        <v>0</v>
      </c>
      <c r="M106" s="39">
        <v>1.7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0.17</v>
      </c>
      <c r="Y106" s="13">
        <f t="shared" si="16"/>
        <v>0.34</v>
      </c>
      <c r="Z106" s="13">
        <f t="shared" si="17"/>
        <v>0.51</v>
      </c>
      <c r="AA106" s="13">
        <f t="shared" si="23"/>
        <v>-3</v>
      </c>
    </row>
    <row r="107" spans="1:27" x14ac:dyDescent="0.25">
      <c r="A107" s="40">
        <v>45917.903668981482</v>
      </c>
      <c r="B107" s="41">
        <v>443074338</v>
      </c>
      <c r="C107" s="42" t="s">
        <v>36</v>
      </c>
      <c r="D107" s="42" t="s">
        <v>39</v>
      </c>
      <c r="E107" s="42" t="s">
        <v>38</v>
      </c>
      <c r="F107" s="43">
        <v>3672.37</v>
      </c>
      <c r="G107" s="43">
        <v>3671.86</v>
      </c>
      <c r="H107" s="43">
        <v>3668.62</v>
      </c>
      <c r="I107" s="42" t="s">
        <v>200</v>
      </c>
      <c r="J107" s="43">
        <v>3668.56</v>
      </c>
      <c r="K107" s="43">
        <v>0</v>
      </c>
      <c r="L107" s="43">
        <v>0</v>
      </c>
      <c r="M107" s="44">
        <v>3.81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0.38100000000000001</v>
      </c>
      <c r="Y107" s="13">
        <f t="shared" si="16"/>
        <v>0.76200000000000001</v>
      </c>
      <c r="Z107" s="13">
        <f t="shared" si="17"/>
        <v>1.143</v>
      </c>
      <c r="AA107" s="13">
        <f t="shared" si="23"/>
        <v>3.81</v>
      </c>
    </row>
    <row r="108" spans="1:27" x14ac:dyDescent="0.25">
      <c r="A108" s="35">
        <v>45917.903668981482</v>
      </c>
      <c r="B108" s="36">
        <v>443074340</v>
      </c>
      <c r="C108" s="37" t="s">
        <v>36</v>
      </c>
      <c r="D108" s="37" t="s">
        <v>39</v>
      </c>
      <c r="E108" s="37" t="s">
        <v>38</v>
      </c>
      <c r="F108" s="38">
        <v>3672.46</v>
      </c>
      <c r="G108" s="38">
        <v>3672</v>
      </c>
      <c r="H108" s="38">
        <v>3669.12</v>
      </c>
      <c r="I108" s="37" t="s">
        <v>201</v>
      </c>
      <c r="J108" s="38">
        <v>3668.89</v>
      </c>
      <c r="K108" s="38">
        <v>0</v>
      </c>
      <c r="L108" s="38">
        <v>0</v>
      </c>
      <c r="M108" s="39">
        <v>3.57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0.35699999999999998</v>
      </c>
      <c r="Y108" s="13">
        <f t="shared" si="16"/>
        <v>0.71399999999999997</v>
      </c>
      <c r="Z108" s="13">
        <f t="shared" si="17"/>
        <v>1.071</v>
      </c>
      <c r="AA108" s="13">
        <f t="shared" si="23"/>
        <v>3.57</v>
      </c>
    </row>
    <row r="109" spans="1:27" x14ac:dyDescent="0.25">
      <c r="A109" s="40">
        <v>45917.903668981482</v>
      </c>
      <c r="B109" s="41">
        <v>443074341</v>
      </c>
      <c r="C109" s="42" t="s">
        <v>36</v>
      </c>
      <c r="D109" s="42" t="s">
        <v>39</v>
      </c>
      <c r="E109" s="42" t="s">
        <v>38</v>
      </c>
      <c r="F109" s="43">
        <v>3672.64</v>
      </c>
      <c r="G109" s="43">
        <v>3671.83</v>
      </c>
      <c r="H109" s="43">
        <v>3669.12</v>
      </c>
      <c r="I109" s="42" t="s">
        <v>201</v>
      </c>
      <c r="J109" s="43">
        <v>3668.89</v>
      </c>
      <c r="K109" s="43">
        <v>0</v>
      </c>
      <c r="L109" s="43">
        <v>0</v>
      </c>
      <c r="M109" s="44">
        <v>3.75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0.375</v>
      </c>
      <c r="Y109" s="13">
        <f t="shared" si="16"/>
        <v>0.75</v>
      </c>
      <c r="Z109" s="13">
        <f t="shared" si="17"/>
        <v>1.125</v>
      </c>
      <c r="AA109" s="13">
        <f t="shared" si="23"/>
        <v>3.75</v>
      </c>
    </row>
    <row r="110" spans="1:27" x14ac:dyDescent="0.25">
      <c r="A110" s="35">
        <v>45917.90828703704</v>
      </c>
      <c r="B110" s="36">
        <v>443083370</v>
      </c>
      <c r="C110" s="37" t="s">
        <v>36</v>
      </c>
      <c r="D110" s="37" t="s">
        <v>39</v>
      </c>
      <c r="E110" s="37" t="s">
        <v>38</v>
      </c>
      <c r="F110" s="38">
        <v>3662.49</v>
      </c>
      <c r="G110" s="38">
        <v>3665.68</v>
      </c>
      <c r="H110" s="38">
        <v>3661.18</v>
      </c>
      <c r="I110" s="37" t="s">
        <v>202</v>
      </c>
      <c r="J110" s="38">
        <v>3660.9</v>
      </c>
      <c r="K110" s="38">
        <v>0</v>
      </c>
      <c r="L110" s="38">
        <v>0</v>
      </c>
      <c r="M110" s="39">
        <v>1.59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0.15900000000000003</v>
      </c>
      <c r="Y110" s="13">
        <f t="shared" si="16"/>
        <v>0.31800000000000006</v>
      </c>
      <c r="Z110" s="13">
        <f t="shared" si="17"/>
        <v>0.47699999999999998</v>
      </c>
      <c r="AA110" s="13">
        <f t="shared" si="23"/>
        <v>-3</v>
      </c>
    </row>
    <row r="111" spans="1:27" x14ac:dyDescent="0.25">
      <c r="A111" s="40">
        <v>45917.90829861111</v>
      </c>
      <c r="B111" s="41">
        <v>443083372</v>
      </c>
      <c r="C111" s="42" t="s">
        <v>36</v>
      </c>
      <c r="D111" s="42" t="s">
        <v>39</v>
      </c>
      <c r="E111" s="42" t="s">
        <v>38</v>
      </c>
      <c r="F111" s="43">
        <v>3662.54</v>
      </c>
      <c r="G111" s="43">
        <v>3662.58</v>
      </c>
      <c r="H111" s="43">
        <v>3659.49</v>
      </c>
      <c r="I111" s="42" t="s">
        <v>203</v>
      </c>
      <c r="J111" s="43">
        <v>3663.04</v>
      </c>
      <c r="K111" s="43">
        <v>0</v>
      </c>
      <c r="L111" s="43">
        <v>0</v>
      </c>
      <c r="M111" s="44">
        <v>-0.5</v>
      </c>
      <c r="N111" s="10" t="str">
        <f t="shared" si="18"/>
        <v>L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15"/>
        <v>-0.05</v>
      </c>
      <c r="Y111" s="13">
        <f t="shared" si="16"/>
        <v>-0.1</v>
      </c>
      <c r="Z111" s="13">
        <f t="shared" si="17"/>
        <v>-0.15</v>
      </c>
      <c r="AA111" s="13">
        <f t="shared" si="23"/>
        <v>-3</v>
      </c>
    </row>
    <row r="112" spans="1:27" x14ac:dyDescent="0.25">
      <c r="A112" s="35">
        <v>45917.90829861111</v>
      </c>
      <c r="B112" s="36">
        <v>443083379</v>
      </c>
      <c r="C112" s="37" t="s">
        <v>36</v>
      </c>
      <c r="D112" s="37" t="s">
        <v>39</v>
      </c>
      <c r="E112" s="37" t="s">
        <v>38</v>
      </c>
      <c r="F112" s="38">
        <v>3662.82</v>
      </c>
      <c r="G112" s="38">
        <v>3662.58</v>
      </c>
      <c r="H112" s="38">
        <v>3659.49</v>
      </c>
      <c r="I112" s="37" t="s">
        <v>203</v>
      </c>
      <c r="J112" s="38">
        <v>3663.04</v>
      </c>
      <c r="K112" s="38">
        <v>0</v>
      </c>
      <c r="L112" s="38">
        <v>0</v>
      </c>
      <c r="M112" s="39">
        <v>-0.22</v>
      </c>
      <c r="N112" s="10" t="str">
        <f t="shared" si="18"/>
        <v>L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15"/>
        <v>-2.2000000000000002E-2</v>
      </c>
      <c r="Y112" s="13">
        <f t="shared" si="16"/>
        <v>-4.4000000000000004E-2</v>
      </c>
      <c r="Z112" s="13">
        <f t="shared" si="17"/>
        <v>-6.6000000000000003E-2</v>
      </c>
      <c r="AA112" s="13">
        <f t="shared" si="23"/>
        <v>-3</v>
      </c>
    </row>
    <row r="113" spans="1:27" x14ac:dyDescent="0.25">
      <c r="A113" s="40">
        <v>45917.90829861111</v>
      </c>
      <c r="B113" s="41">
        <v>443083386</v>
      </c>
      <c r="C113" s="42" t="s">
        <v>36</v>
      </c>
      <c r="D113" s="42" t="s">
        <v>39</v>
      </c>
      <c r="E113" s="42" t="s">
        <v>38</v>
      </c>
      <c r="F113" s="43">
        <v>3662.82</v>
      </c>
      <c r="G113" s="43">
        <v>3662.68</v>
      </c>
      <c r="H113" s="43">
        <v>3658.99</v>
      </c>
      <c r="I113" s="42" t="s">
        <v>203</v>
      </c>
      <c r="J113" s="43">
        <v>3663.04</v>
      </c>
      <c r="K113" s="43">
        <v>0</v>
      </c>
      <c r="L113" s="43">
        <v>0</v>
      </c>
      <c r="M113" s="44">
        <v>-0.22</v>
      </c>
      <c r="N113" s="10" t="str">
        <f t="shared" si="18"/>
        <v>L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15"/>
        <v>-2.2000000000000002E-2</v>
      </c>
      <c r="Y113" s="13">
        <f t="shared" si="16"/>
        <v>-4.4000000000000004E-2</v>
      </c>
      <c r="Z113" s="13">
        <f t="shared" si="17"/>
        <v>-6.6000000000000003E-2</v>
      </c>
      <c r="AA113" s="13">
        <f t="shared" si="23"/>
        <v>-3</v>
      </c>
    </row>
    <row r="114" spans="1:27" x14ac:dyDescent="0.25">
      <c r="A114" s="35">
        <v>45917.908634259256</v>
      </c>
      <c r="B114" s="36">
        <v>443083702</v>
      </c>
      <c r="C114" s="37" t="s">
        <v>36</v>
      </c>
      <c r="D114" s="37" t="s">
        <v>39</v>
      </c>
      <c r="E114" s="37" t="s">
        <v>38</v>
      </c>
      <c r="F114" s="38">
        <v>3662.76</v>
      </c>
      <c r="G114" s="38">
        <v>3665.89</v>
      </c>
      <c r="H114" s="38">
        <v>3661.39</v>
      </c>
      <c r="I114" s="37" t="s">
        <v>204</v>
      </c>
      <c r="J114" s="38">
        <v>3661.36</v>
      </c>
      <c r="K114" s="38">
        <v>0</v>
      </c>
      <c r="L114" s="38">
        <v>0</v>
      </c>
      <c r="M114" s="39">
        <v>1.4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0.13999999999999999</v>
      </c>
      <c r="Y114" s="13">
        <f t="shared" si="16"/>
        <v>0.27999999999999997</v>
      </c>
      <c r="Z114" s="13">
        <f t="shared" si="17"/>
        <v>0.42</v>
      </c>
      <c r="AA114" s="13">
        <f t="shared" si="23"/>
        <v>-3</v>
      </c>
    </row>
    <row r="115" spans="1:27" x14ac:dyDescent="0.25">
      <c r="A115" s="40">
        <v>45917.908645833333</v>
      </c>
      <c r="B115" s="41">
        <v>443083704</v>
      </c>
      <c r="C115" s="42" t="s">
        <v>36</v>
      </c>
      <c r="D115" s="42" t="s">
        <v>39</v>
      </c>
      <c r="E115" s="42" t="s">
        <v>38</v>
      </c>
      <c r="F115" s="43">
        <v>3662.8</v>
      </c>
      <c r="G115" s="43">
        <v>3665.26</v>
      </c>
      <c r="H115" s="43">
        <v>3659.76</v>
      </c>
      <c r="I115" s="42" t="s">
        <v>205</v>
      </c>
      <c r="J115" s="43">
        <v>3659.68</v>
      </c>
      <c r="K115" s="43">
        <v>0</v>
      </c>
      <c r="L115" s="43">
        <v>0</v>
      </c>
      <c r="M115" s="44">
        <v>3.12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0.31200000000000006</v>
      </c>
      <c r="Y115" s="13">
        <f t="shared" si="16"/>
        <v>0.62400000000000011</v>
      </c>
      <c r="Z115" s="13">
        <f t="shared" si="17"/>
        <v>0.93599999999999994</v>
      </c>
      <c r="AA115" s="13">
        <f t="shared" si="23"/>
        <v>3.12</v>
      </c>
    </row>
    <row r="116" spans="1:27" x14ac:dyDescent="0.25">
      <c r="A116" s="35">
        <v>45917.908645833333</v>
      </c>
      <c r="B116" s="36">
        <v>443083705</v>
      </c>
      <c r="C116" s="37" t="s">
        <v>36</v>
      </c>
      <c r="D116" s="37" t="s">
        <v>39</v>
      </c>
      <c r="E116" s="37" t="s">
        <v>38</v>
      </c>
      <c r="F116" s="38">
        <v>3662.78</v>
      </c>
      <c r="G116" s="38">
        <v>3661.7</v>
      </c>
      <c r="H116" s="38">
        <v>3659.26</v>
      </c>
      <c r="I116" s="37" t="s">
        <v>206</v>
      </c>
      <c r="J116" s="38">
        <v>3659.11</v>
      </c>
      <c r="K116" s="38">
        <v>0</v>
      </c>
      <c r="L116" s="38">
        <v>0</v>
      </c>
      <c r="M116" s="39">
        <v>3.67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0.36699999999999999</v>
      </c>
      <c r="Y116" s="13">
        <f t="shared" si="16"/>
        <v>0.73399999999999999</v>
      </c>
      <c r="Z116" s="13">
        <f t="shared" si="17"/>
        <v>1.101</v>
      </c>
      <c r="AA116" s="13">
        <f t="shared" si="23"/>
        <v>3.67</v>
      </c>
    </row>
    <row r="117" spans="1:27" x14ac:dyDescent="0.25">
      <c r="A117" s="40">
        <v>45917.908645833333</v>
      </c>
      <c r="B117" s="41">
        <v>443083707</v>
      </c>
      <c r="C117" s="42" t="s">
        <v>36</v>
      </c>
      <c r="D117" s="42" t="s">
        <v>39</v>
      </c>
      <c r="E117" s="42" t="s">
        <v>38</v>
      </c>
      <c r="F117" s="43">
        <v>3662.73</v>
      </c>
      <c r="G117" s="43">
        <v>3665.76</v>
      </c>
      <c r="H117" s="43">
        <v>3659.76</v>
      </c>
      <c r="I117" s="42" t="s">
        <v>205</v>
      </c>
      <c r="J117" s="43">
        <v>3659.68</v>
      </c>
      <c r="K117" s="43">
        <v>0</v>
      </c>
      <c r="L117" s="43">
        <v>0</v>
      </c>
      <c r="M117" s="44">
        <v>3.05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0.30499999999999999</v>
      </c>
      <c r="Y117" s="13">
        <f t="shared" si="16"/>
        <v>0.61</v>
      </c>
      <c r="Z117" s="13">
        <f t="shared" si="17"/>
        <v>0.91499999999999992</v>
      </c>
      <c r="AA117" s="13">
        <f t="shared" si="23"/>
        <v>3.05</v>
      </c>
    </row>
    <row r="118" spans="1:27" x14ac:dyDescent="0.25">
      <c r="A118" s="35">
        <v>45917.913958333331</v>
      </c>
      <c r="B118" s="36">
        <v>443094434</v>
      </c>
      <c r="C118" s="37" t="s">
        <v>36</v>
      </c>
      <c r="D118" s="37" t="s">
        <v>39</v>
      </c>
      <c r="E118" s="37" t="s">
        <v>38</v>
      </c>
      <c r="F118" s="38">
        <v>3650.16</v>
      </c>
      <c r="G118" s="38">
        <v>3653.76</v>
      </c>
      <c r="H118" s="38">
        <v>3647.26</v>
      </c>
      <c r="I118" s="37" t="s">
        <v>207</v>
      </c>
      <c r="J118" s="38">
        <v>3647.25</v>
      </c>
      <c r="K118" s="38">
        <v>0</v>
      </c>
      <c r="L118" s="38">
        <v>0</v>
      </c>
      <c r="M118" s="39">
        <v>2.91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0.29100000000000004</v>
      </c>
      <c r="Y118" s="13">
        <f t="shared" si="16"/>
        <v>0.58200000000000007</v>
      </c>
      <c r="Z118" s="13">
        <f t="shared" si="17"/>
        <v>0.873</v>
      </c>
      <c r="AA118" s="13">
        <f t="shared" si="23"/>
        <v>2.91</v>
      </c>
    </row>
    <row r="119" spans="1:27" x14ac:dyDescent="0.25">
      <c r="A119" s="40">
        <v>45917.913969907408</v>
      </c>
      <c r="B119" s="41">
        <v>443094439</v>
      </c>
      <c r="C119" s="42" t="s">
        <v>36</v>
      </c>
      <c r="D119" s="42" t="s">
        <v>39</v>
      </c>
      <c r="E119" s="42" t="s">
        <v>38</v>
      </c>
      <c r="F119" s="43">
        <v>3650.19</v>
      </c>
      <c r="G119" s="43">
        <v>3652.66</v>
      </c>
      <c r="H119" s="43">
        <v>3647.16</v>
      </c>
      <c r="I119" s="42" t="s">
        <v>207</v>
      </c>
      <c r="J119" s="43">
        <v>3647.13</v>
      </c>
      <c r="K119" s="43">
        <v>0</v>
      </c>
      <c r="L119" s="43">
        <v>0</v>
      </c>
      <c r="M119" s="44">
        <v>3.06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0.30600000000000005</v>
      </c>
      <c r="Y119" s="13">
        <f t="shared" si="16"/>
        <v>0.6120000000000001</v>
      </c>
      <c r="Z119" s="13">
        <f t="shared" si="17"/>
        <v>0.91799999999999993</v>
      </c>
      <c r="AA119" s="13">
        <f t="shared" si="23"/>
        <v>3.06</v>
      </c>
    </row>
    <row r="120" spans="1:27" x14ac:dyDescent="0.25">
      <c r="A120" s="35">
        <v>45917.913969907408</v>
      </c>
      <c r="B120" s="36">
        <v>443094442</v>
      </c>
      <c r="C120" s="37" t="s">
        <v>36</v>
      </c>
      <c r="D120" s="37" t="s">
        <v>39</v>
      </c>
      <c r="E120" s="37" t="s">
        <v>38</v>
      </c>
      <c r="F120" s="38">
        <v>3650.19</v>
      </c>
      <c r="G120" s="38">
        <v>3653.16</v>
      </c>
      <c r="H120" s="38">
        <v>3647.16</v>
      </c>
      <c r="I120" s="37" t="s">
        <v>207</v>
      </c>
      <c r="J120" s="38">
        <v>3647.13</v>
      </c>
      <c r="K120" s="38">
        <v>0</v>
      </c>
      <c r="L120" s="38">
        <v>0</v>
      </c>
      <c r="M120" s="39">
        <v>3.06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0.30600000000000005</v>
      </c>
      <c r="Y120" s="13">
        <f t="shared" si="16"/>
        <v>0.6120000000000001</v>
      </c>
      <c r="Z120" s="13">
        <f t="shared" si="17"/>
        <v>0.91799999999999993</v>
      </c>
      <c r="AA120" s="13">
        <f t="shared" si="23"/>
        <v>3.06</v>
      </c>
    </row>
    <row r="121" spans="1:27" x14ac:dyDescent="0.25">
      <c r="A121" s="40">
        <v>45917.913969907408</v>
      </c>
      <c r="B121" s="41">
        <v>443094444</v>
      </c>
      <c r="C121" s="42" t="s">
        <v>36</v>
      </c>
      <c r="D121" s="42" t="s">
        <v>39</v>
      </c>
      <c r="E121" s="42" t="s">
        <v>38</v>
      </c>
      <c r="F121" s="43">
        <v>3650.14</v>
      </c>
      <c r="G121" s="43">
        <v>3653.16</v>
      </c>
      <c r="H121" s="43">
        <v>3648.66</v>
      </c>
      <c r="I121" s="42" t="s">
        <v>208</v>
      </c>
      <c r="J121" s="43">
        <v>3648.5</v>
      </c>
      <c r="K121" s="43">
        <v>0</v>
      </c>
      <c r="L121" s="43">
        <v>0</v>
      </c>
      <c r="M121" s="44">
        <v>1.64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0.16400000000000001</v>
      </c>
      <c r="Y121" s="13">
        <f t="shared" si="16"/>
        <v>0.32800000000000001</v>
      </c>
      <c r="Z121" s="13">
        <f t="shared" si="17"/>
        <v>0.49199999999999994</v>
      </c>
      <c r="AA121" s="13">
        <f t="shared" si="23"/>
        <v>-3</v>
      </c>
    </row>
    <row r="122" spans="1:27" x14ac:dyDescent="0.25">
      <c r="A122" s="35">
        <v>45917.915694444448</v>
      </c>
      <c r="B122" s="36">
        <v>443096807</v>
      </c>
      <c r="C122" s="37" t="s">
        <v>36</v>
      </c>
      <c r="D122" s="37" t="s">
        <v>39</v>
      </c>
      <c r="E122" s="37" t="s">
        <v>38</v>
      </c>
      <c r="F122" s="38">
        <v>3649.84</v>
      </c>
      <c r="G122" s="38">
        <v>3653.06</v>
      </c>
      <c r="H122" s="38">
        <v>3648.56</v>
      </c>
      <c r="I122" s="37" t="s">
        <v>209</v>
      </c>
      <c r="J122" s="38">
        <v>3653.08</v>
      </c>
      <c r="K122" s="38">
        <v>0</v>
      </c>
      <c r="L122" s="38">
        <v>0</v>
      </c>
      <c r="M122" s="39">
        <v>-3.24</v>
      </c>
      <c r="N122" s="10" t="str">
        <f t="shared" si="18"/>
        <v>L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15"/>
        <v>-0.32400000000000007</v>
      </c>
      <c r="Y122" s="13">
        <f t="shared" si="16"/>
        <v>-0.64800000000000013</v>
      </c>
      <c r="Z122" s="13">
        <f t="shared" si="17"/>
        <v>-0.97199999999999998</v>
      </c>
      <c r="AA122" s="13">
        <f t="shared" si="23"/>
        <v>-3</v>
      </c>
    </row>
    <row r="123" spans="1:27" x14ac:dyDescent="0.25">
      <c r="A123" s="40">
        <v>45917.915706018517</v>
      </c>
      <c r="B123" s="41">
        <v>443096811</v>
      </c>
      <c r="C123" s="42" t="s">
        <v>36</v>
      </c>
      <c r="D123" s="42" t="s">
        <v>39</v>
      </c>
      <c r="E123" s="42" t="s">
        <v>38</v>
      </c>
      <c r="F123" s="43">
        <v>3649.77</v>
      </c>
      <c r="G123" s="43">
        <v>3652.34</v>
      </c>
      <c r="H123" s="43">
        <v>3646.84</v>
      </c>
      <c r="I123" s="42" t="s">
        <v>210</v>
      </c>
      <c r="J123" s="43">
        <v>3652.45</v>
      </c>
      <c r="K123" s="43">
        <v>0</v>
      </c>
      <c r="L123" s="43">
        <v>0</v>
      </c>
      <c r="M123" s="44">
        <v>-2.68</v>
      </c>
      <c r="N123" s="10" t="str">
        <f t="shared" si="18"/>
        <v>L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15"/>
        <v>-0.26800000000000002</v>
      </c>
      <c r="Y123" s="13">
        <f t="shared" si="16"/>
        <v>-0.53600000000000003</v>
      </c>
      <c r="Z123" s="13">
        <f t="shared" si="17"/>
        <v>-0.80400000000000005</v>
      </c>
      <c r="AA123" s="13">
        <f t="shared" si="23"/>
        <v>-3</v>
      </c>
    </row>
    <row r="124" spans="1:27" x14ac:dyDescent="0.25">
      <c r="A124" s="35">
        <v>45917.915706018517</v>
      </c>
      <c r="B124" s="36">
        <v>443096813</v>
      </c>
      <c r="C124" s="37" t="s">
        <v>36</v>
      </c>
      <c r="D124" s="37" t="s">
        <v>39</v>
      </c>
      <c r="E124" s="37" t="s">
        <v>38</v>
      </c>
      <c r="F124" s="38">
        <v>3649.95</v>
      </c>
      <c r="G124" s="38">
        <v>3652.84</v>
      </c>
      <c r="H124" s="38">
        <v>3646.34</v>
      </c>
      <c r="I124" s="37" t="s">
        <v>210</v>
      </c>
      <c r="J124" s="38">
        <v>3652.94</v>
      </c>
      <c r="K124" s="38">
        <v>0</v>
      </c>
      <c r="L124" s="38">
        <v>0</v>
      </c>
      <c r="M124" s="39">
        <v>-2.99</v>
      </c>
      <c r="N124" s="10" t="str">
        <f t="shared" si="18"/>
        <v>L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15"/>
        <v>-0.29900000000000004</v>
      </c>
      <c r="Y124" s="13">
        <f t="shared" si="16"/>
        <v>-0.59800000000000009</v>
      </c>
      <c r="Z124" s="13">
        <f t="shared" si="17"/>
        <v>-0.89700000000000002</v>
      </c>
      <c r="AA124" s="13">
        <f t="shared" si="23"/>
        <v>-3</v>
      </c>
    </row>
    <row r="125" spans="1:27" x14ac:dyDescent="0.25">
      <c r="A125" s="40">
        <v>45917.915706018517</v>
      </c>
      <c r="B125" s="41">
        <v>443096816</v>
      </c>
      <c r="C125" s="42" t="s">
        <v>36</v>
      </c>
      <c r="D125" s="42" t="s">
        <v>39</v>
      </c>
      <c r="E125" s="42" t="s">
        <v>38</v>
      </c>
      <c r="F125" s="43">
        <v>3651.08</v>
      </c>
      <c r="G125" s="43">
        <v>3652.84</v>
      </c>
      <c r="H125" s="43">
        <v>3646.84</v>
      </c>
      <c r="I125" s="42" t="s">
        <v>210</v>
      </c>
      <c r="J125" s="43">
        <v>3652.94</v>
      </c>
      <c r="K125" s="43">
        <v>0</v>
      </c>
      <c r="L125" s="43">
        <v>0</v>
      </c>
      <c r="M125" s="44">
        <v>-1.86</v>
      </c>
      <c r="N125" s="10" t="str">
        <f t="shared" si="18"/>
        <v>L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15"/>
        <v>-0.18600000000000003</v>
      </c>
      <c r="Y125" s="13">
        <f t="shared" si="16"/>
        <v>-0.37200000000000005</v>
      </c>
      <c r="Z125" s="13">
        <f t="shared" si="17"/>
        <v>-0.55800000000000005</v>
      </c>
      <c r="AA125" s="13">
        <f t="shared" si="23"/>
        <v>-3</v>
      </c>
    </row>
    <row r="126" spans="1:27" x14ac:dyDescent="0.25">
      <c r="A126" s="35">
        <v>45917.916041666664</v>
      </c>
      <c r="B126" s="36">
        <v>443097191</v>
      </c>
      <c r="C126" s="37" t="s">
        <v>36</v>
      </c>
      <c r="D126" s="37" t="s">
        <v>39</v>
      </c>
      <c r="E126" s="37" t="s">
        <v>38</v>
      </c>
      <c r="F126" s="38">
        <v>3650.47</v>
      </c>
      <c r="G126" s="38">
        <v>3653.55</v>
      </c>
      <c r="H126" s="38">
        <v>3649.05</v>
      </c>
      <c r="I126" s="37" t="s">
        <v>211</v>
      </c>
      <c r="J126" s="38">
        <v>3648.73</v>
      </c>
      <c r="K126" s="38">
        <v>0</v>
      </c>
      <c r="L126" s="38">
        <v>0</v>
      </c>
      <c r="M126" s="39">
        <v>1.74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0.17400000000000002</v>
      </c>
      <c r="Y126" s="13">
        <f t="shared" si="16"/>
        <v>0.34800000000000003</v>
      </c>
      <c r="Z126" s="13">
        <f t="shared" si="17"/>
        <v>0.52200000000000002</v>
      </c>
      <c r="AA126" s="13">
        <f t="shared" si="23"/>
        <v>-3</v>
      </c>
    </row>
    <row r="127" spans="1:27" x14ac:dyDescent="0.25">
      <c r="A127" s="40">
        <v>45917.91605324074</v>
      </c>
      <c r="B127" s="41">
        <v>443097195</v>
      </c>
      <c r="C127" s="42" t="s">
        <v>36</v>
      </c>
      <c r="D127" s="42" t="s">
        <v>39</v>
      </c>
      <c r="E127" s="42" t="s">
        <v>38</v>
      </c>
      <c r="F127" s="43">
        <v>3650.4</v>
      </c>
      <c r="G127" s="43">
        <v>3652.97</v>
      </c>
      <c r="H127" s="43">
        <v>3647.47</v>
      </c>
      <c r="I127" s="42" t="s">
        <v>212</v>
      </c>
      <c r="J127" s="43">
        <v>3647.43</v>
      </c>
      <c r="K127" s="43">
        <v>0</v>
      </c>
      <c r="L127" s="43">
        <v>0</v>
      </c>
      <c r="M127" s="44">
        <v>2.97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0.29700000000000004</v>
      </c>
      <c r="Y127" s="13">
        <f t="shared" si="16"/>
        <v>0.59400000000000008</v>
      </c>
      <c r="Z127" s="13">
        <f t="shared" si="17"/>
        <v>0.89100000000000001</v>
      </c>
      <c r="AA127" s="13">
        <f t="shared" si="23"/>
        <v>2.97</v>
      </c>
    </row>
    <row r="128" spans="1:27" x14ac:dyDescent="0.25">
      <c r="A128" s="35">
        <v>45917.91605324074</v>
      </c>
      <c r="B128" s="36">
        <v>443097198</v>
      </c>
      <c r="C128" s="37" t="s">
        <v>36</v>
      </c>
      <c r="D128" s="37" t="s">
        <v>39</v>
      </c>
      <c r="E128" s="37" t="s">
        <v>38</v>
      </c>
      <c r="F128" s="38">
        <v>3649.95</v>
      </c>
      <c r="G128" s="38">
        <v>3653.47</v>
      </c>
      <c r="H128" s="38">
        <v>3647.47</v>
      </c>
      <c r="I128" s="37" t="s">
        <v>212</v>
      </c>
      <c r="J128" s="38">
        <v>3647.43</v>
      </c>
      <c r="K128" s="38">
        <v>0</v>
      </c>
      <c r="L128" s="38">
        <v>0</v>
      </c>
      <c r="M128" s="39">
        <v>2.52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0.252</v>
      </c>
      <c r="Y128" s="13">
        <f t="shared" si="16"/>
        <v>0.504</v>
      </c>
      <c r="Z128" s="13">
        <f t="shared" si="17"/>
        <v>0.75600000000000001</v>
      </c>
      <c r="AA128" s="13">
        <f t="shared" si="23"/>
        <v>-3</v>
      </c>
    </row>
    <row r="129" spans="1:27" x14ac:dyDescent="0.25">
      <c r="A129" s="40">
        <v>45917.91605324074</v>
      </c>
      <c r="B129" s="41">
        <v>443097201</v>
      </c>
      <c r="C129" s="42" t="s">
        <v>36</v>
      </c>
      <c r="D129" s="42" t="s">
        <v>39</v>
      </c>
      <c r="E129" s="42" t="s">
        <v>38</v>
      </c>
      <c r="F129" s="43">
        <v>3649.74</v>
      </c>
      <c r="G129" s="43">
        <v>3653.47</v>
      </c>
      <c r="H129" s="43">
        <v>3646.97</v>
      </c>
      <c r="I129" s="42" t="s">
        <v>213</v>
      </c>
      <c r="J129" s="43">
        <v>3646.67</v>
      </c>
      <c r="K129" s="43">
        <v>0</v>
      </c>
      <c r="L129" s="43">
        <v>0</v>
      </c>
      <c r="M129" s="44">
        <v>3.07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0.307</v>
      </c>
      <c r="Y129" s="13">
        <f t="shared" si="16"/>
        <v>0.61399999999999999</v>
      </c>
      <c r="Z129" s="13">
        <f t="shared" si="17"/>
        <v>0.92099999999999993</v>
      </c>
      <c r="AA129" s="13">
        <f t="shared" si="23"/>
        <v>3.07</v>
      </c>
    </row>
    <row r="130" spans="1:27" x14ac:dyDescent="0.25">
      <c r="A130" s="35">
        <v>45917.918124999997</v>
      </c>
      <c r="B130" s="36">
        <v>443099678</v>
      </c>
      <c r="C130" s="37" t="s">
        <v>36</v>
      </c>
      <c r="D130" s="37" t="s">
        <v>39</v>
      </c>
      <c r="E130" s="37" t="s">
        <v>38</v>
      </c>
      <c r="F130" s="38">
        <v>3649.95</v>
      </c>
      <c r="G130" s="38">
        <v>3653.13</v>
      </c>
      <c r="H130" s="38">
        <v>3648.63</v>
      </c>
      <c r="I130" s="37" t="s">
        <v>214</v>
      </c>
      <c r="J130" s="38">
        <v>3653.23</v>
      </c>
      <c r="K130" s="38">
        <v>0</v>
      </c>
      <c r="L130" s="38">
        <v>0</v>
      </c>
      <c r="M130" s="39">
        <v>-3.28</v>
      </c>
      <c r="N130" s="10" t="str">
        <f t="shared" si="18"/>
        <v>L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15"/>
        <v>-0.32800000000000001</v>
      </c>
      <c r="Y130" s="13">
        <f t="shared" si="16"/>
        <v>-0.65600000000000003</v>
      </c>
      <c r="Z130" s="13">
        <f t="shared" si="17"/>
        <v>-0.98399999999999987</v>
      </c>
      <c r="AA130" s="13">
        <f t="shared" si="23"/>
        <v>-3</v>
      </c>
    </row>
    <row r="131" spans="1:27" x14ac:dyDescent="0.25">
      <c r="A131" s="40">
        <v>45917.918136574073</v>
      </c>
      <c r="B131" s="41">
        <v>443099681</v>
      </c>
      <c r="C131" s="42" t="s">
        <v>36</v>
      </c>
      <c r="D131" s="42" t="s">
        <v>39</v>
      </c>
      <c r="E131" s="42" t="s">
        <v>38</v>
      </c>
      <c r="F131" s="43">
        <v>3649.89</v>
      </c>
      <c r="G131" s="43">
        <v>3653.11</v>
      </c>
      <c r="H131" s="43">
        <v>3647.11</v>
      </c>
      <c r="I131" s="42" t="s">
        <v>214</v>
      </c>
      <c r="J131" s="43">
        <v>3653.23</v>
      </c>
      <c r="K131" s="43">
        <v>0</v>
      </c>
      <c r="L131" s="43">
        <v>0</v>
      </c>
      <c r="M131" s="44">
        <v>-3.34</v>
      </c>
      <c r="N131" s="10" t="str">
        <f t="shared" si="18"/>
        <v>L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24">$M131*0.1</f>
        <v>-0.33400000000000002</v>
      </c>
      <c r="Y131" s="13">
        <f t="shared" ref="Y131:Y194" si="25">$M131*0.2</f>
        <v>-0.66800000000000004</v>
      </c>
      <c r="Z131" s="13">
        <f t="shared" ref="Z131:Z194" si="26">$M131*0.3</f>
        <v>-1.002</v>
      </c>
      <c r="AA131" s="13">
        <f t="shared" si="23"/>
        <v>-3</v>
      </c>
    </row>
    <row r="132" spans="1:27" x14ac:dyDescent="0.25">
      <c r="A132" s="35">
        <v>45917.918136574073</v>
      </c>
      <c r="B132" s="36">
        <v>443099682</v>
      </c>
      <c r="C132" s="37" t="s">
        <v>36</v>
      </c>
      <c r="D132" s="37" t="s">
        <v>39</v>
      </c>
      <c r="E132" s="37" t="s">
        <v>38</v>
      </c>
      <c r="F132" s="38">
        <v>3650.06</v>
      </c>
      <c r="G132" s="38">
        <v>3653.11</v>
      </c>
      <c r="H132" s="38">
        <v>3646.61</v>
      </c>
      <c r="I132" s="37" t="s">
        <v>214</v>
      </c>
      <c r="J132" s="38">
        <v>3653.23</v>
      </c>
      <c r="K132" s="38">
        <v>0</v>
      </c>
      <c r="L132" s="38">
        <v>0</v>
      </c>
      <c r="M132" s="39">
        <v>-3.17</v>
      </c>
      <c r="N132" s="10" t="str">
        <f t="shared" si="18"/>
        <v>L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24"/>
        <v>-0.317</v>
      </c>
      <c r="Y132" s="13">
        <f t="shared" si="25"/>
        <v>-0.63400000000000001</v>
      </c>
      <c r="Z132" s="13">
        <f t="shared" si="26"/>
        <v>-0.95099999999999996</v>
      </c>
      <c r="AA132" s="13">
        <f t="shared" si="23"/>
        <v>-3</v>
      </c>
    </row>
    <row r="133" spans="1:27" x14ac:dyDescent="0.25">
      <c r="A133" s="40">
        <v>45917.918136574073</v>
      </c>
      <c r="B133" s="41">
        <v>443099684</v>
      </c>
      <c r="C133" s="42" t="s">
        <v>36</v>
      </c>
      <c r="D133" s="42" t="s">
        <v>39</v>
      </c>
      <c r="E133" s="42" t="s">
        <v>38</v>
      </c>
      <c r="F133" s="43">
        <v>3650.13</v>
      </c>
      <c r="G133" s="43">
        <v>3652.61</v>
      </c>
      <c r="H133" s="43">
        <v>3647.11</v>
      </c>
      <c r="I133" s="42" t="s">
        <v>215</v>
      </c>
      <c r="J133" s="43">
        <v>3652.67</v>
      </c>
      <c r="K133" s="43">
        <v>0</v>
      </c>
      <c r="L133" s="43">
        <v>0</v>
      </c>
      <c r="M133" s="44">
        <v>-2.54</v>
      </c>
      <c r="N133" s="10" t="str">
        <f t="shared" ref="N133:N196" si="27">IF(M133&gt;0,"W",IF(M133&lt;0,"L","BE"))</f>
        <v>L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24"/>
        <v>-0.254</v>
      </c>
      <c r="Y133" s="13">
        <f t="shared" si="25"/>
        <v>-0.50800000000000001</v>
      </c>
      <c r="Z133" s="13">
        <f t="shared" si="26"/>
        <v>-0.76200000000000001</v>
      </c>
      <c r="AA133" s="13">
        <f t="shared" ref="AA133:AA196" si="32">IF(M133&lt;2.9,-3,M133)</f>
        <v>-3</v>
      </c>
    </row>
    <row r="134" spans="1:27" x14ac:dyDescent="0.25">
      <c r="A134" s="35">
        <v>45917.918356481481</v>
      </c>
      <c r="B134" s="36">
        <v>443099924</v>
      </c>
      <c r="C134" s="37" t="s">
        <v>36</v>
      </c>
      <c r="D134" s="37" t="s">
        <v>39</v>
      </c>
      <c r="E134" s="37" t="s">
        <v>38</v>
      </c>
      <c r="F134" s="38">
        <v>3652.6</v>
      </c>
      <c r="G134" s="38">
        <v>3655.66</v>
      </c>
      <c r="H134" s="38">
        <v>3649.16</v>
      </c>
      <c r="I134" s="37" t="s">
        <v>216</v>
      </c>
      <c r="J134" s="38">
        <v>3655.91</v>
      </c>
      <c r="K134" s="38">
        <v>0</v>
      </c>
      <c r="L134" s="38">
        <v>0</v>
      </c>
      <c r="M134" s="39">
        <v>-3.31</v>
      </c>
      <c r="N134" s="10" t="str">
        <f t="shared" si="27"/>
        <v>L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24"/>
        <v>-0.33100000000000002</v>
      </c>
      <c r="Y134" s="13">
        <f t="shared" si="25"/>
        <v>-0.66200000000000003</v>
      </c>
      <c r="Z134" s="13">
        <f t="shared" si="26"/>
        <v>-0.99299999999999999</v>
      </c>
      <c r="AA134" s="13">
        <f t="shared" si="32"/>
        <v>-3</v>
      </c>
    </row>
    <row r="135" spans="1:27" x14ac:dyDescent="0.25">
      <c r="A135" s="40">
        <v>45917.924259259256</v>
      </c>
      <c r="B135" s="41">
        <v>443105099</v>
      </c>
      <c r="C135" s="42" t="s">
        <v>36</v>
      </c>
      <c r="D135" s="42" t="s">
        <v>39</v>
      </c>
      <c r="E135" s="42" t="s">
        <v>38</v>
      </c>
      <c r="F135" s="43">
        <v>3658.42</v>
      </c>
      <c r="G135" s="43">
        <v>3661.04</v>
      </c>
      <c r="H135" s="43">
        <v>3654.54</v>
      </c>
      <c r="I135" s="42" t="s">
        <v>217</v>
      </c>
      <c r="J135" s="43">
        <v>3654.28</v>
      </c>
      <c r="K135" s="43">
        <v>0</v>
      </c>
      <c r="L135" s="43">
        <v>0</v>
      </c>
      <c r="M135" s="44">
        <v>4.1399999999999997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0.41399999999999998</v>
      </c>
      <c r="Y135" s="13">
        <f t="shared" si="25"/>
        <v>0.82799999999999996</v>
      </c>
      <c r="Z135" s="13">
        <f t="shared" si="26"/>
        <v>1.2419999999999998</v>
      </c>
      <c r="AA135" s="13">
        <f t="shared" si="32"/>
        <v>4.1399999999999997</v>
      </c>
    </row>
    <row r="136" spans="1:27" x14ac:dyDescent="0.25">
      <c r="A136" s="35">
        <v>45917.930092592593</v>
      </c>
      <c r="B136" s="36">
        <v>443109666</v>
      </c>
      <c r="C136" s="37" t="s">
        <v>36</v>
      </c>
      <c r="D136" s="37" t="s">
        <v>39</v>
      </c>
      <c r="E136" s="37" t="s">
        <v>38</v>
      </c>
      <c r="F136" s="38">
        <v>3653.5</v>
      </c>
      <c r="G136" s="38">
        <v>3656.5</v>
      </c>
      <c r="H136" s="38">
        <v>3650</v>
      </c>
      <c r="I136" s="37" t="s">
        <v>218</v>
      </c>
      <c r="J136" s="38">
        <v>3656.86</v>
      </c>
      <c r="K136" s="38">
        <v>0</v>
      </c>
      <c r="L136" s="38">
        <v>0</v>
      </c>
      <c r="M136" s="39">
        <v>-3.36</v>
      </c>
      <c r="N136" s="10" t="str">
        <f t="shared" si="27"/>
        <v>L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24"/>
        <v>-0.33600000000000002</v>
      </c>
      <c r="Y136" s="13">
        <f t="shared" si="25"/>
        <v>-0.67200000000000004</v>
      </c>
      <c r="Z136" s="13">
        <f t="shared" si="26"/>
        <v>-1.008</v>
      </c>
      <c r="AA136" s="13">
        <f t="shared" si="32"/>
        <v>-3</v>
      </c>
    </row>
    <row r="137" spans="1:27" x14ac:dyDescent="0.25">
      <c r="A137" s="40">
        <v>45917.939467592594</v>
      </c>
      <c r="B137" s="41">
        <v>443116392</v>
      </c>
      <c r="C137" s="42" t="s">
        <v>36</v>
      </c>
      <c r="D137" s="42" t="s">
        <v>39</v>
      </c>
      <c r="E137" s="42" t="s">
        <v>38</v>
      </c>
      <c r="F137" s="43">
        <v>3660.15</v>
      </c>
      <c r="G137" s="43">
        <v>3663.04</v>
      </c>
      <c r="H137" s="43">
        <v>3656.54</v>
      </c>
      <c r="I137" s="42" t="s">
        <v>283</v>
      </c>
      <c r="J137" s="43">
        <v>3663.17</v>
      </c>
      <c r="K137" s="43">
        <v>0</v>
      </c>
      <c r="L137" s="43">
        <v>0</v>
      </c>
      <c r="M137" s="44">
        <v>-3.02</v>
      </c>
      <c r="N137" s="10" t="str">
        <f t="shared" si="27"/>
        <v>L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24"/>
        <v>-0.30200000000000005</v>
      </c>
      <c r="Y137" s="13">
        <f t="shared" si="25"/>
        <v>-0.60400000000000009</v>
      </c>
      <c r="Z137" s="13">
        <f t="shared" si="26"/>
        <v>-0.90599999999999992</v>
      </c>
      <c r="AA137" s="13">
        <f t="shared" si="32"/>
        <v>-3</v>
      </c>
    </row>
    <row r="138" spans="1:27" x14ac:dyDescent="0.25">
      <c r="A138" s="35">
        <v>45917.939583333333</v>
      </c>
      <c r="B138" s="36">
        <v>443116447</v>
      </c>
      <c r="C138" s="37" t="s">
        <v>36</v>
      </c>
      <c r="D138" s="37" t="s">
        <v>37</v>
      </c>
      <c r="E138" s="37" t="s">
        <v>38</v>
      </c>
      <c r="F138" s="38">
        <v>3661.29</v>
      </c>
      <c r="G138" s="38">
        <v>3658.32</v>
      </c>
      <c r="H138" s="38">
        <v>3664.82</v>
      </c>
      <c r="I138" s="37" t="s">
        <v>284</v>
      </c>
      <c r="J138" s="38">
        <v>3658.31</v>
      </c>
      <c r="K138" s="38">
        <v>0</v>
      </c>
      <c r="L138" s="38">
        <v>0</v>
      </c>
      <c r="M138" s="39">
        <v>-2.98</v>
      </c>
      <c r="N138" s="10" t="str">
        <f t="shared" si="27"/>
        <v>L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24"/>
        <v>-0.29799999999999999</v>
      </c>
      <c r="Y138" s="13">
        <f t="shared" si="25"/>
        <v>-0.59599999999999997</v>
      </c>
      <c r="Z138" s="13">
        <f t="shared" si="26"/>
        <v>-0.89400000000000002</v>
      </c>
      <c r="AA138" s="13">
        <f t="shared" si="32"/>
        <v>-3</v>
      </c>
    </row>
    <row r="139" spans="1:27" x14ac:dyDescent="0.25">
      <c r="A139" s="40">
        <v>45917.939583333333</v>
      </c>
      <c r="B139" s="41">
        <v>443116451</v>
      </c>
      <c r="C139" s="42" t="s">
        <v>36</v>
      </c>
      <c r="D139" s="42" t="s">
        <v>37</v>
      </c>
      <c r="E139" s="42" t="s">
        <v>38</v>
      </c>
      <c r="F139" s="43">
        <v>3661.23</v>
      </c>
      <c r="G139" s="43">
        <v>3658.79</v>
      </c>
      <c r="H139" s="43">
        <v>3664.29</v>
      </c>
      <c r="I139" s="42" t="s">
        <v>284</v>
      </c>
      <c r="J139" s="43">
        <v>3658.72</v>
      </c>
      <c r="K139" s="43">
        <v>0</v>
      </c>
      <c r="L139" s="43">
        <v>0</v>
      </c>
      <c r="M139" s="44">
        <v>-2.5099999999999998</v>
      </c>
      <c r="N139" s="10" t="str">
        <f t="shared" si="27"/>
        <v>L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24"/>
        <v>-0.251</v>
      </c>
      <c r="Y139" s="13">
        <f t="shared" si="25"/>
        <v>-0.502</v>
      </c>
      <c r="Z139" s="13">
        <f t="shared" si="26"/>
        <v>-0.75299999999999989</v>
      </c>
      <c r="AA139" s="13">
        <f t="shared" si="32"/>
        <v>-3</v>
      </c>
    </row>
    <row r="140" spans="1:27" x14ac:dyDescent="0.25">
      <c r="A140" s="35">
        <v>45917.939583333333</v>
      </c>
      <c r="B140" s="36">
        <v>443116453</v>
      </c>
      <c r="C140" s="37" t="s">
        <v>36</v>
      </c>
      <c r="D140" s="37" t="s">
        <v>37</v>
      </c>
      <c r="E140" s="37" t="s">
        <v>38</v>
      </c>
      <c r="F140" s="38">
        <v>3661.03</v>
      </c>
      <c r="G140" s="38">
        <v>3658.29</v>
      </c>
      <c r="H140" s="38">
        <v>3664.29</v>
      </c>
      <c r="I140" s="37" t="s">
        <v>285</v>
      </c>
      <c r="J140" s="38">
        <v>3658.12</v>
      </c>
      <c r="K140" s="38">
        <v>0</v>
      </c>
      <c r="L140" s="38">
        <v>0</v>
      </c>
      <c r="M140" s="39">
        <v>-2.91</v>
      </c>
      <c r="N140" s="10" t="str">
        <f t="shared" si="27"/>
        <v>L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24"/>
        <v>-0.29100000000000004</v>
      </c>
      <c r="Y140" s="13">
        <f t="shared" si="25"/>
        <v>-0.58200000000000007</v>
      </c>
      <c r="Z140" s="13">
        <f t="shared" si="26"/>
        <v>-0.873</v>
      </c>
      <c r="AA140" s="13">
        <f t="shared" si="32"/>
        <v>-3</v>
      </c>
    </row>
    <row r="141" spans="1:27" x14ac:dyDescent="0.25">
      <c r="A141" s="40">
        <v>45917.939583333333</v>
      </c>
      <c r="B141" s="41">
        <v>443116454</v>
      </c>
      <c r="C141" s="42" t="s">
        <v>36</v>
      </c>
      <c r="D141" s="42" t="s">
        <v>37</v>
      </c>
      <c r="E141" s="42" t="s">
        <v>38</v>
      </c>
      <c r="F141" s="43">
        <v>3661.14</v>
      </c>
      <c r="G141" s="43">
        <v>3658.29</v>
      </c>
      <c r="H141" s="43">
        <v>3662.79</v>
      </c>
      <c r="I141" s="42" t="s">
        <v>285</v>
      </c>
      <c r="J141" s="43">
        <v>3658.12</v>
      </c>
      <c r="K141" s="43">
        <v>0</v>
      </c>
      <c r="L141" s="43">
        <v>0</v>
      </c>
      <c r="M141" s="44">
        <v>-3.02</v>
      </c>
      <c r="N141" s="10" t="str">
        <f t="shared" si="27"/>
        <v>L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24"/>
        <v>-0.30200000000000005</v>
      </c>
      <c r="Y141" s="13">
        <f t="shared" si="25"/>
        <v>-0.60400000000000009</v>
      </c>
      <c r="Z141" s="13">
        <f t="shared" si="26"/>
        <v>-0.90599999999999992</v>
      </c>
      <c r="AA141" s="13">
        <f t="shared" si="32"/>
        <v>-3</v>
      </c>
    </row>
    <row r="142" spans="1:27" x14ac:dyDescent="0.25">
      <c r="A142" s="35">
        <v>45917.942939814813</v>
      </c>
      <c r="B142" s="36">
        <v>443118670</v>
      </c>
      <c r="C142" s="37" t="s">
        <v>36</v>
      </c>
      <c r="D142" s="37" t="s">
        <v>39</v>
      </c>
      <c r="E142" s="37" t="s">
        <v>38</v>
      </c>
      <c r="F142" s="38">
        <v>3661.22</v>
      </c>
      <c r="G142" s="38">
        <v>3664.2</v>
      </c>
      <c r="H142" s="38">
        <v>3657.7</v>
      </c>
      <c r="I142" s="37" t="s">
        <v>286</v>
      </c>
      <c r="J142" s="38">
        <v>3657.6</v>
      </c>
      <c r="K142" s="38">
        <v>0</v>
      </c>
      <c r="L142" s="38">
        <v>0</v>
      </c>
      <c r="M142" s="39">
        <v>3.62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0.36200000000000004</v>
      </c>
      <c r="Y142" s="13">
        <f t="shared" si="25"/>
        <v>0.72400000000000009</v>
      </c>
      <c r="Z142" s="13">
        <f t="shared" si="26"/>
        <v>1.0860000000000001</v>
      </c>
      <c r="AA142" s="13">
        <f t="shared" si="32"/>
        <v>3.62</v>
      </c>
    </row>
    <row r="143" spans="1:27" x14ac:dyDescent="0.25">
      <c r="A143" s="40">
        <v>45917.953703703701</v>
      </c>
      <c r="B143" s="41">
        <v>443124351</v>
      </c>
      <c r="C143" s="42" t="s">
        <v>36</v>
      </c>
      <c r="D143" s="42" t="s">
        <v>39</v>
      </c>
      <c r="E143" s="42" t="s">
        <v>38</v>
      </c>
      <c r="F143" s="43">
        <v>3658.02</v>
      </c>
      <c r="G143" s="43">
        <v>3661.07</v>
      </c>
      <c r="H143" s="43">
        <v>3656.57</v>
      </c>
      <c r="I143" s="42" t="s">
        <v>287</v>
      </c>
      <c r="J143" s="43">
        <v>3661.08</v>
      </c>
      <c r="K143" s="43">
        <v>0</v>
      </c>
      <c r="L143" s="43">
        <v>0</v>
      </c>
      <c r="M143" s="44">
        <v>-3.06</v>
      </c>
      <c r="N143" s="10" t="str">
        <f t="shared" si="27"/>
        <v>L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24"/>
        <v>-0.30600000000000005</v>
      </c>
      <c r="Y143" s="13">
        <f t="shared" si="25"/>
        <v>-0.6120000000000001</v>
      </c>
      <c r="Z143" s="13">
        <f t="shared" si="26"/>
        <v>-0.91799999999999993</v>
      </c>
      <c r="AA143" s="13">
        <f t="shared" si="32"/>
        <v>-3</v>
      </c>
    </row>
    <row r="144" spans="1:27" x14ac:dyDescent="0.25">
      <c r="A144" s="35">
        <v>45917.953703703701</v>
      </c>
      <c r="B144" s="36">
        <v>443124352</v>
      </c>
      <c r="C144" s="37" t="s">
        <v>36</v>
      </c>
      <c r="D144" s="37" t="s">
        <v>39</v>
      </c>
      <c r="E144" s="37" t="s">
        <v>38</v>
      </c>
      <c r="F144" s="38">
        <v>3658.06</v>
      </c>
      <c r="G144" s="38">
        <v>3661.02</v>
      </c>
      <c r="H144" s="38">
        <v>3655.02</v>
      </c>
      <c r="I144" s="37" t="s">
        <v>288</v>
      </c>
      <c r="J144" s="38">
        <v>3661.02</v>
      </c>
      <c r="K144" s="38">
        <v>0</v>
      </c>
      <c r="L144" s="38">
        <v>0</v>
      </c>
      <c r="M144" s="39">
        <v>-2.96</v>
      </c>
      <c r="N144" s="10" t="str">
        <f t="shared" si="27"/>
        <v>L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24"/>
        <v>-0.29599999999999999</v>
      </c>
      <c r="Y144" s="13">
        <f t="shared" si="25"/>
        <v>-0.59199999999999997</v>
      </c>
      <c r="Z144" s="13">
        <f t="shared" si="26"/>
        <v>-0.88800000000000001</v>
      </c>
      <c r="AA144" s="13">
        <f t="shared" si="32"/>
        <v>-3</v>
      </c>
    </row>
    <row r="145" spans="1:27" x14ac:dyDescent="0.25">
      <c r="A145" s="40">
        <v>45917.953703703701</v>
      </c>
      <c r="B145" s="41">
        <v>443124353</v>
      </c>
      <c r="C145" s="42" t="s">
        <v>36</v>
      </c>
      <c r="D145" s="42" t="s">
        <v>39</v>
      </c>
      <c r="E145" s="42" t="s">
        <v>38</v>
      </c>
      <c r="F145" s="43">
        <v>3658.1</v>
      </c>
      <c r="G145" s="43">
        <v>3661.02</v>
      </c>
      <c r="H145" s="43">
        <v>3654.52</v>
      </c>
      <c r="I145" s="42" t="s">
        <v>288</v>
      </c>
      <c r="J145" s="43">
        <v>3661.02</v>
      </c>
      <c r="K145" s="43">
        <v>0</v>
      </c>
      <c r="L145" s="43">
        <v>0</v>
      </c>
      <c r="M145" s="44">
        <v>-2.92</v>
      </c>
      <c r="N145" s="10" t="str">
        <f t="shared" si="27"/>
        <v>L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24"/>
        <v>-0.29199999999999998</v>
      </c>
      <c r="Y145" s="13">
        <f t="shared" si="25"/>
        <v>-0.58399999999999996</v>
      </c>
      <c r="Z145" s="13">
        <f t="shared" si="26"/>
        <v>-0.876</v>
      </c>
      <c r="AA145" s="13">
        <f t="shared" si="32"/>
        <v>-3</v>
      </c>
    </row>
    <row r="146" spans="1:27" x14ac:dyDescent="0.25">
      <c r="A146" s="35">
        <v>45917.953703703701</v>
      </c>
      <c r="B146" s="36">
        <v>443124354</v>
      </c>
      <c r="C146" s="37" t="s">
        <v>36</v>
      </c>
      <c r="D146" s="37" t="s">
        <v>39</v>
      </c>
      <c r="E146" s="37" t="s">
        <v>38</v>
      </c>
      <c r="F146" s="38">
        <v>3658.13</v>
      </c>
      <c r="G146" s="38">
        <v>3660.52</v>
      </c>
      <c r="H146" s="38">
        <v>3655.02</v>
      </c>
      <c r="I146" s="37" t="s">
        <v>289</v>
      </c>
      <c r="J146" s="38">
        <v>3660.62</v>
      </c>
      <c r="K146" s="38">
        <v>0</v>
      </c>
      <c r="L146" s="38">
        <v>0</v>
      </c>
      <c r="M146" s="39">
        <v>-2.4900000000000002</v>
      </c>
      <c r="N146" s="10" t="str">
        <f t="shared" si="27"/>
        <v>L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24"/>
        <v>-0.24900000000000003</v>
      </c>
      <c r="Y146" s="13">
        <f t="shared" si="25"/>
        <v>-0.49800000000000005</v>
      </c>
      <c r="Z146" s="13">
        <f t="shared" si="26"/>
        <v>-0.747</v>
      </c>
      <c r="AA146" s="13">
        <f t="shared" si="32"/>
        <v>-3</v>
      </c>
    </row>
    <row r="147" spans="1:27" x14ac:dyDescent="0.25">
      <c r="A147" s="40">
        <v>45917.954282407409</v>
      </c>
      <c r="B147" s="41">
        <v>443124689</v>
      </c>
      <c r="C147" s="42" t="s">
        <v>36</v>
      </c>
      <c r="D147" s="42" t="s">
        <v>39</v>
      </c>
      <c r="E147" s="42" t="s">
        <v>38</v>
      </c>
      <c r="F147" s="43">
        <v>3659.01</v>
      </c>
      <c r="G147" s="43">
        <v>3662.01</v>
      </c>
      <c r="H147" s="43">
        <v>3655.51</v>
      </c>
      <c r="I147" s="42" t="s">
        <v>290</v>
      </c>
      <c r="J147" s="43">
        <v>3655.39</v>
      </c>
      <c r="K147" s="43">
        <v>0</v>
      </c>
      <c r="L147" s="43">
        <v>0</v>
      </c>
      <c r="M147" s="44">
        <v>3.62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0.36200000000000004</v>
      </c>
      <c r="Y147" s="13">
        <f t="shared" si="25"/>
        <v>0.72400000000000009</v>
      </c>
      <c r="Z147" s="13">
        <f t="shared" si="26"/>
        <v>1.0860000000000001</v>
      </c>
      <c r="AA147" s="13">
        <f t="shared" si="32"/>
        <v>3.62</v>
      </c>
    </row>
    <row r="148" spans="1:27" x14ac:dyDescent="0.25">
      <c r="A148" s="35">
        <v>45917.971053240741</v>
      </c>
      <c r="B148" s="36">
        <v>443131211</v>
      </c>
      <c r="C148" s="37" t="s">
        <v>36</v>
      </c>
      <c r="D148" s="37" t="s">
        <v>39</v>
      </c>
      <c r="E148" s="37" t="s">
        <v>38</v>
      </c>
      <c r="F148" s="38">
        <v>3658.56</v>
      </c>
      <c r="G148" s="38">
        <v>3658.62</v>
      </c>
      <c r="H148" s="38">
        <v>3657.12</v>
      </c>
      <c r="I148" s="37" t="s">
        <v>291</v>
      </c>
      <c r="J148" s="38">
        <v>3656.95</v>
      </c>
      <c r="K148" s="38">
        <v>0</v>
      </c>
      <c r="L148" s="38">
        <v>0</v>
      </c>
      <c r="M148" s="39">
        <v>1.61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0.16100000000000003</v>
      </c>
      <c r="Y148" s="13">
        <f t="shared" si="25"/>
        <v>0.32200000000000006</v>
      </c>
      <c r="Z148" s="13">
        <f t="shared" si="26"/>
        <v>0.48299999999999998</v>
      </c>
      <c r="AA148" s="13">
        <f t="shared" si="32"/>
        <v>-3</v>
      </c>
    </row>
    <row r="149" spans="1:27" x14ac:dyDescent="0.25">
      <c r="A149" s="40">
        <v>45917.971064814818</v>
      </c>
      <c r="B149" s="41">
        <v>443131214</v>
      </c>
      <c r="C149" s="42" t="s">
        <v>36</v>
      </c>
      <c r="D149" s="42" t="s">
        <v>39</v>
      </c>
      <c r="E149" s="42" t="s">
        <v>38</v>
      </c>
      <c r="F149" s="43">
        <v>3658.56</v>
      </c>
      <c r="G149" s="43">
        <v>3658.27</v>
      </c>
      <c r="H149" s="43">
        <v>3655.56</v>
      </c>
      <c r="I149" s="42" t="s">
        <v>292</v>
      </c>
      <c r="J149" s="43">
        <v>3658.27</v>
      </c>
      <c r="K149" s="43">
        <v>0</v>
      </c>
      <c r="L149" s="43">
        <v>0</v>
      </c>
      <c r="M149" s="44">
        <v>0.28999999999999998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24"/>
        <v>2.8999999999999998E-2</v>
      </c>
      <c r="Y149" s="13">
        <f t="shared" si="25"/>
        <v>5.7999999999999996E-2</v>
      </c>
      <c r="Z149" s="13">
        <f t="shared" si="26"/>
        <v>8.6999999999999994E-2</v>
      </c>
      <c r="AA149" s="13">
        <f t="shared" si="32"/>
        <v>-3</v>
      </c>
    </row>
    <row r="150" spans="1:27" x14ac:dyDescent="0.25">
      <c r="A150" s="35">
        <v>45917.971064814818</v>
      </c>
      <c r="B150" s="36">
        <v>443131215</v>
      </c>
      <c r="C150" s="37" t="s">
        <v>36</v>
      </c>
      <c r="D150" s="37" t="s">
        <v>39</v>
      </c>
      <c r="E150" s="37" t="s">
        <v>38</v>
      </c>
      <c r="F150" s="38">
        <v>3658.54</v>
      </c>
      <c r="G150" s="38">
        <v>3658.27</v>
      </c>
      <c r="H150" s="38">
        <v>3655.06</v>
      </c>
      <c r="I150" s="37" t="s">
        <v>292</v>
      </c>
      <c r="J150" s="38">
        <v>3658.27</v>
      </c>
      <c r="K150" s="38">
        <v>0</v>
      </c>
      <c r="L150" s="38">
        <v>0</v>
      </c>
      <c r="M150" s="39">
        <v>0.27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24"/>
        <v>2.7000000000000003E-2</v>
      </c>
      <c r="Y150" s="13">
        <f t="shared" si="25"/>
        <v>5.4000000000000006E-2</v>
      </c>
      <c r="Z150" s="13">
        <f t="shared" si="26"/>
        <v>8.1000000000000003E-2</v>
      </c>
      <c r="AA150" s="13">
        <f t="shared" si="32"/>
        <v>-3</v>
      </c>
    </row>
    <row r="151" spans="1:27" x14ac:dyDescent="0.25">
      <c r="A151" s="40">
        <v>45917.971064814818</v>
      </c>
      <c r="B151" s="41">
        <v>443131216</v>
      </c>
      <c r="C151" s="42" t="s">
        <v>36</v>
      </c>
      <c r="D151" s="42" t="s">
        <v>39</v>
      </c>
      <c r="E151" s="42" t="s">
        <v>38</v>
      </c>
      <c r="F151" s="43">
        <v>3658.6</v>
      </c>
      <c r="G151" s="43">
        <v>3658.27</v>
      </c>
      <c r="H151" s="43">
        <v>3655.56</v>
      </c>
      <c r="I151" s="42" t="s">
        <v>292</v>
      </c>
      <c r="J151" s="43">
        <v>3658.27</v>
      </c>
      <c r="K151" s="43">
        <v>0</v>
      </c>
      <c r="L151" s="43">
        <v>0</v>
      </c>
      <c r="M151" s="44">
        <v>0.33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24"/>
        <v>3.3000000000000002E-2</v>
      </c>
      <c r="Y151" s="13">
        <f t="shared" si="25"/>
        <v>6.6000000000000003E-2</v>
      </c>
      <c r="Z151" s="13">
        <f t="shared" si="26"/>
        <v>9.9000000000000005E-2</v>
      </c>
      <c r="AA151" s="13">
        <f t="shared" si="32"/>
        <v>-3</v>
      </c>
    </row>
    <row r="152" spans="1:27" x14ac:dyDescent="0.25">
      <c r="A152" s="35">
        <v>45917.975219907406</v>
      </c>
      <c r="B152" s="36">
        <v>443132270</v>
      </c>
      <c r="C152" s="37" t="s">
        <v>36</v>
      </c>
      <c r="D152" s="37" t="s">
        <v>39</v>
      </c>
      <c r="E152" s="37" t="s">
        <v>38</v>
      </c>
      <c r="F152" s="38">
        <v>3657.97</v>
      </c>
      <c r="G152" s="38">
        <v>3661.01</v>
      </c>
      <c r="H152" s="38">
        <v>3656.51</v>
      </c>
      <c r="I152" s="37" t="s">
        <v>290</v>
      </c>
      <c r="J152" s="38">
        <v>3655.39</v>
      </c>
      <c r="K152" s="38">
        <v>0</v>
      </c>
      <c r="L152" s="38">
        <v>0</v>
      </c>
      <c r="M152" s="39">
        <v>2.58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0.25800000000000001</v>
      </c>
      <c r="Y152" s="13">
        <f t="shared" si="25"/>
        <v>0.51600000000000001</v>
      </c>
      <c r="Z152" s="13">
        <f t="shared" si="26"/>
        <v>0.77400000000000002</v>
      </c>
      <c r="AA152" s="13">
        <f t="shared" si="32"/>
        <v>-3</v>
      </c>
    </row>
    <row r="153" spans="1:27" x14ac:dyDescent="0.25">
      <c r="A153" s="40">
        <v>45917.975335648145</v>
      </c>
      <c r="B153" s="41">
        <v>443132277</v>
      </c>
      <c r="C153" s="42" t="s">
        <v>36</v>
      </c>
      <c r="D153" s="42" t="s">
        <v>39</v>
      </c>
      <c r="E153" s="42" t="s">
        <v>38</v>
      </c>
      <c r="F153" s="43">
        <v>3657.95</v>
      </c>
      <c r="G153" s="43">
        <v>3658.65</v>
      </c>
      <c r="H153" s="43">
        <v>3654.45</v>
      </c>
      <c r="I153" s="42" t="s">
        <v>293</v>
      </c>
      <c r="J153" s="43">
        <v>3658.67</v>
      </c>
      <c r="K153" s="43">
        <v>0</v>
      </c>
      <c r="L153" s="43">
        <v>0</v>
      </c>
      <c r="M153" s="44">
        <v>-0.72</v>
      </c>
      <c r="N153" s="10" t="str">
        <f t="shared" si="27"/>
        <v>L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24"/>
        <v>-7.1999999999999995E-2</v>
      </c>
      <c r="Y153" s="13">
        <f t="shared" si="25"/>
        <v>-0.14399999999999999</v>
      </c>
      <c r="Z153" s="13">
        <f t="shared" si="26"/>
        <v>-0.216</v>
      </c>
      <c r="AA153" s="13">
        <f t="shared" si="32"/>
        <v>-3</v>
      </c>
    </row>
    <row r="154" spans="1:27" x14ac:dyDescent="0.25">
      <c r="A154" s="35">
        <v>45917.975347222222</v>
      </c>
      <c r="B154" s="36">
        <v>443132279</v>
      </c>
      <c r="C154" s="37" t="s">
        <v>36</v>
      </c>
      <c r="D154" s="37" t="s">
        <v>39</v>
      </c>
      <c r="E154" s="37" t="s">
        <v>38</v>
      </c>
      <c r="F154" s="38">
        <v>3657.95</v>
      </c>
      <c r="G154" s="38">
        <v>3660.45</v>
      </c>
      <c r="H154" s="38">
        <v>3654.95</v>
      </c>
      <c r="I154" s="37" t="s">
        <v>294</v>
      </c>
      <c r="J154" s="38">
        <v>3660.45</v>
      </c>
      <c r="K154" s="38">
        <v>0</v>
      </c>
      <c r="L154" s="38">
        <v>0</v>
      </c>
      <c r="M154" s="39">
        <v>-2.5</v>
      </c>
      <c r="N154" s="10" t="str">
        <f t="shared" si="27"/>
        <v>L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24"/>
        <v>-0.25</v>
      </c>
      <c r="Y154" s="13">
        <f t="shared" si="25"/>
        <v>-0.5</v>
      </c>
      <c r="Z154" s="13">
        <f t="shared" si="26"/>
        <v>-0.75</v>
      </c>
      <c r="AA154" s="13">
        <f t="shared" si="32"/>
        <v>-3</v>
      </c>
    </row>
    <row r="155" spans="1:27" x14ac:dyDescent="0.25">
      <c r="A155" s="40">
        <v>45917.975347222222</v>
      </c>
      <c r="B155" s="41">
        <v>443132280</v>
      </c>
      <c r="C155" s="42" t="s">
        <v>36</v>
      </c>
      <c r="D155" s="42" t="s">
        <v>39</v>
      </c>
      <c r="E155" s="42" t="s">
        <v>38</v>
      </c>
      <c r="F155" s="43">
        <v>3657.95</v>
      </c>
      <c r="G155" s="43">
        <v>3658.65</v>
      </c>
      <c r="H155" s="43">
        <v>3654.95</v>
      </c>
      <c r="I155" s="42" t="s">
        <v>293</v>
      </c>
      <c r="J155" s="43">
        <v>3658.67</v>
      </c>
      <c r="K155" s="43">
        <v>0</v>
      </c>
      <c r="L155" s="43">
        <v>0</v>
      </c>
      <c r="M155" s="44">
        <v>-0.72</v>
      </c>
      <c r="N155" s="10" t="str">
        <f t="shared" si="27"/>
        <v>L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24"/>
        <v>-7.1999999999999995E-2</v>
      </c>
      <c r="Y155" s="13">
        <f t="shared" si="25"/>
        <v>-0.14399999999999999</v>
      </c>
      <c r="Z155" s="13">
        <f t="shared" si="26"/>
        <v>-0.216</v>
      </c>
      <c r="AA155" s="13">
        <f t="shared" si="32"/>
        <v>-3</v>
      </c>
    </row>
    <row r="156" spans="1:27" x14ac:dyDescent="0.25">
      <c r="A156" s="35">
        <v>45918.047210648147</v>
      </c>
      <c r="B156" s="36">
        <v>443141588</v>
      </c>
      <c r="C156" s="37" t="s">
        <v>36</v>
      </c>
      <c r="D156" s="37" t="s">
        <v>39</v>
      </c>
      <c r="E156" s="37" t="s">
        <v>38</v>
      </c>
      <c r="F156" s="38">
        <v>3658.06</v>
      </c>
      <c r="G156" s="38">
        <v>3660.82</v>
      </c>
      <c r="H156" s="38">
        <v>3651.82</v>
      </c>
      <c r="I156" s="37" t="s">
        <v>295</v>
      </c>
      <c r="J156" s="38">
        <v>3661.1</v>
      </c>
      <c r="K156" s="38">
        <v>0</v>
      </c>
      <c r="L156" s="38">
        <v>0</v>
      </c>
      <c r="M156" s="39">
        <v>-3.04</v>
      </c>
      <c r="N156" s="10" t="str">
        <f t="shared" si="27"/>
        <v>L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24"/>
        <v>-0.30400000000000005</v>
      </c>
      <c r="Y156" s="13">
        <f t="shared" si="25"/>
        <v>-0.6080000000000001</v>
      </c>
      <c r="Z156" s="13">
        <f t="shared" si="26"/>
        <v>-0.91199999999999992</v>
      </c>
      <c r="AA156" s="13">
        <f t="shared" si="32"/>
        <v>-3</v>
      </c>
    </row>
    <row r="157" spans="1:27" x14ac:dyDescent="0.25">
      <c r="A157" s="40">
        <v>45918.047210648147</v>
      </c>
      <c r="B157" s="41">
        <v>443141589</v>
      </c>
      <c r="C157" s="42" t="s">
        <v>36</v>
      </c>
      <c r="D157" s="42" t="s">
        <v>39</v>
      </c>
      <c r="E157" s="42" t="s">
        <v>38</v>
      </c>
      <c r="F157" s="43">
        <v>3658.08</v>
      </c>
      <c r="G157" s="43">
        <v>3660.82</v>
      </c>
      <c r="H157" s="42"/>
      <c r="I157" s="42" t="s">
        <v>295</v>
      </c>
      <c r="J157" s="43">
        <v>3661.1</v>
      </c>
      <c r="K157" s="43">
        <v>0</v>
      </c>
      <c r="L157" s="43">
        <v>0</v>
      </c>
      <c r="M157" s="44">
        <v>-3.02</v>
      </c>
      <c r="N157" s="10" t="str">
        <f t="shared" si="27"/>
        <v>L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24"/>
        <v>-0.30200000000000005</v>
      </c>
      <c r="Y157" s="13">
        <f t="shared" si="25"/>
        <v>-0.60400000000000009</v>
      </c>
      <c r="Z157" s="13">
        <f t="shared" si="26"/>
        <v>-0.90599999999999992</v>
      </c>
      <c r="AA157" s="13">
        <f t="shared" si="32"/>
        <v>-3</v>
      </c>
    </row>
    <row r="158" spans="1:27" x14ac:dyDescent="0.25">
      <c r="A158" s="35">
        <v>45918.04859953704</v>
      </c>
      <c r="B158" s="36">
        <v>443141856</v>
      </c>
      <c r="C158" s="37" t="s">
        <v>36</v>
      </c>
      <c r="D158" s="37" t="s">
        <v>39</v>
      </c>
      <c r="E158" s="37" t="s">
        <v>38</v>
      </c>
      <c r="F158" s="38">
        <v>3658.55</v>
      </c>
      <c r="G158" s="38">
        <v>3661.55</v>
      </c>
      <c r="H158" s="38">
        <v>3654.05</v>
      </c>
      <c r="I158" s="37" t="s">
        <v>296</v>
      </c>
      <c r="J158" s="38">
        <v>3661.61</v>
      </c>
      <c r="K158" s="38">
        <v>0</v>
      </c>
      <c r="L158" s="38">
        <v>0</v>
      </c>
      <c r="M158" s="39">
        <v>-3.06</v>
      </c>
      <c r="N158" s="10" t="str">
        <f t="shared" si="27"/>
        <v>L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24"/>
        <v>-0.30600000000000005</v>
      </c>
      <c r="Y158" s="13">
        <f t="shared" si="25"/>
        <v>-0.6120000000000001</v>
      </c>
      <c r="Z158" s="13">
        <f t="shared" si="26"/>
        <v>-0.91799999999999993</v>
      </c>
      <c r="AA158" s="13">
        <f t="shared" si="32"/>
        <v>-3</v>
      </c>
    </row>
    <row r="159" spans="1:27" x14ac:dyDescent="0.25">
      <c r="A159" s="40">
        <v>45918.054618055554</v>
      </c>
      <c r="B159" s="41">
        <v>443143294</v>
      </c>
      <c r="C159" s="42" t="s">
        <v>36</v>
      </c>
      <c r="D159" s="42" t="s">
        <v>37</v>
      </c>
      <c r="E159" s="42" t="s">
        <v>38</v>
      </c>
      <c r="F159" s="43">
        <v>3663.41</v>
      </c>
      <c r="G159" s="43">
        <v>3663.33</v>
      </c>
      <c r="H159" s="43">
        <v>3664.89</v>
      </c>
      <c r="I159" s="42" t="s">
        <v>297</v>
      </c>
      <c r="J159" s="43">
        <v>3665.01</v>
      </c>
      <c r="K159" s="43">
        <v>0</v>
      </c>
      <c r="L159" s="43">
        <v>0</v>
      </c>
      <c r="M159" s="44">
        <v>1.6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0.16000000000000003</v>
      </c>
      <c r="Y159" s="13">
        <f t="shared" si="25"/>
        <v>0.32000000000000006</v>
      </c>
      <c r="Z159" s="13">
        <f t="shared" si="26"/>
        <v>0.48</v>
      </c>
      <c r="AA159" s="13">
        <f t="shared" si="32"/>
        <v>-3</v>
      </c>
    </row>
    <row r="160" spans="1:27" x14ac:dyDescent="0.25">
      <c r="A160" s="35">
        <v>45918.054618055554</v>
      </c>
      <c r="B160" s="36">
        <v>443143295</v>
      </c>
      <c r="C160" s="37" t="s">
        <v>36</v>
      </c>
      <c r="D160" s="37" t="s">
        <v>37</v>
      </c>
      <c r="E160" s="37" t="s">
        <v>38</v>
      </c>
      <c r="F160" s="38">
        <v>3663.42</v>
      </c>
      <c r="G160" s="38">
        <v>3663.75</v>
      </c>
      <c r="H160" s="38">
        <v>3666.91</v>
      </c>
      <c r="I160" s="37" t="s">
        <v>298</v>
      </c>
      <c r="J160" s="38">
        <v>3663.75</v>
      </c>
      <c r="K160" s="38">
        <v>0</v>
      </c>
      <c r="L160" s="38">
        <v>0</v>
      </c>
      <c r="M160" s="39">
        <v>0.33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24"/>
        <v>3.3000000000000002E-2</v>
      </c>
      <c r="Y160" s="13">
        <f t="shared" si="25"/>
        <v>6.6000000000000003E-2</v>
      </c>
      <c r="Z160" s="13">
        <f t="shared" si="26"/>
        <v>9.9000000000000005E-2</v>
      </c>
      <c r="AA160" s="13">
        <f t="shared" si="32"/>
        <v>-3</v>
      </c>
    </row>
    <row r="161" spans="1:27" x14ac:dyDescent="0.25">
      <c r="A161" s="40">
        <v>45918.054629629631</v>
      </c>
      <c r="B161" s="41">
        <v>443143296</v>
      </c>
      <c r="C161" s="42" t="s">
        <v>36</v>
      </c>
      <c r="D161" s="42" t="s">
        <v>37</v>
      </c>
      <c r="E161" s="42" t="s">
        <v>38</v>
      </c>
      <c r="F161" s="43">
        <v>3663.42</v>
      </c>
      <c r="G161" s="43">
        <v>3663.75</v>
      </c>
      <c r="H161" s="43">
        <v>3666.41</v>
      </c>
      <c r="I161" s="42" t="s">
        <v>298</v>
      </c>
      <c r="J161" s="43">
        <v>3663.75</v>
      </c>
      <c r="K161" s="43">
        <v>0</v>
      </c>
      <c r="L161" s="43">
        <v>0</v>
      </c>
      <c r="M161" s="44">
        <v>0.33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24"/>
        <v>3.3000000000000002E-2</v>
      </c>
      <c r="Y161" s="13">
        <f t="shared" si="25"/>
        <v>6.6000000000000003E-2</v>
      </c>
      <c r="Z161" s="13">
        <f t="shared" si="26"/>
        <v>9.9000000000000005E-2</v>
      </c>
      <c r="AA161" s="13">
        <f t="shared" si="32"/>
        <v>-3</v>
      </c>
    </row>
    <row r="162" spans="1:27" x14ac:dyDescent="0.25">
      <c r="A162" s="35">
        <v>45918.054629629631</v>
      </c>
      <c r="B162" s="36">
        <v>443143297</v>
      </c>
      <c r="C162" s="37" t="s">
        <v>36</v>
      </c>
      <c r="D162" s="37" t="s">
        <v>37</v>
      </c>
      <c r="E162" s="37" t="s">
        <v>38</v>
      </c>
      <c r="F162" s="38">
        <v>3663.42</v>
      </c>
      <c r="G162" s="38">
        <v>3663.76</v>
      </c>
      <c r="H162" s="38">
        <v>3666.41</v>
      </c>
      <c r="I162" s="37" t="s">
        <v>299</v>
      </c>
      <c r="J162" s="38">
        <v>3663.76</v>
      </c>
      <c r="K162" s="38">
        <v>0</v>
      </c>
      <c r="L162" s="38">
        <v>0</v>
      </c>
      <c r="M162" s="39">
        <v>0.34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24"/>
        <v>3.4000000000000002E-2</v>
      </c>
      <c r="Y162" s="13">
        <f t="shared" si="25"/>
        <v>6.8000000000000005E-2</v>
      </c>
      <c r="Z162" s="13">
        <f t="shared" si="26"/>
        <v>0.10200000000000001</v>
      </c>
      <c r="AA162" s="13">
        <f t="shared" si="32"/>
        <v>-3</v>
      </c>
    </row>
    <row r="163" spans="1:27" x14ac:dyDescent="0.25">
      <c r="A163" s="40">
        <v>45918.061215277776</v>
      </c>
      <c r="B163" s="41">
        <v>443144330</v>
      </c>
      <c r="C163" s="42" t="s">
        <v>36</v>
      </c>
      <c r="D163" s="42" t="s">
        <v>37</v>
      </c>
      <c r="E163" s="42" t="s">
        <v>38</v>
      </c>
      <c r="F163" s="43">
        <v>3664.18</v>
      </c>
      <c r="G163" s="43">
        <v>3661.18</v>
      </c>
      <c r="H163" s="43">
        <v>3665.68</v>
      </c>
      <c r="I163" s="42" t="s">
        <v>300</v>
      </c>
      <c r="J163" s="43">
        <v>3661.17</v>
      </c>
      <c r="K163" s="43">
        <v>0</v>
      </c>
      <c r="L163" s="43">
        <v>0</v>
      </c>
      <c r="M163" s="44">
        <v>-3.01</v>
      </c>
      <c r="N163" s="10" t="str">
        <f t="shared" si="27"/>
        <v>L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24"/>
        <v>-0.30099999999999999</v>
      </c>
      <c r="Y163" s="13">
        <f t="shared" si="25"/>
        <v>-0.60199999999999998</v>
      </c>
      <c r="Z163" s="13">
        <f t="shared" si="26"/>
        <v>-0.90299999999999991</v>
      </c>
      <c r="AA163" s="13">
        <f t="shared" si="32"/>
        <v>-3</v>
      </c>
    </row>
    <row r="164" spans="1:27" x14ac:dyDescent="0.25">
      <c r="A164" s="35">
        <v>45918.061678240738</v>
      </c>
      <c r="B164" s="36">
        <v>443144361</v>
      </c>
      <c r="C164" s="37" t="s">
        <v>36</v>
      </c>
      <c r="D164" s="37" t="s">
        <v>37</v>
      </c>
      <c r="E164" s="37" t="s">
        <v>38</v>
      </c>
      <c r="F164" s="38">
        <v>3664.02</v>
      </c>
      <c r="G164" s="38">
        <v>3661.52</v>
      </c>
      <c r="H164" s="38">
        <v>3667.02</v>
      </c>
      <c r="I164" s="37" t="s">
        <v>301</v>
      </c>
      <c r="J164" s="38">
        <v>3661.51</v>
      </c>
      <c r="K164" s="38">
        <v>0</v>
      </c>
      <c r="L164" s="38">
        <v>0</v>
      </c>
      <c r="M164" s="39">
        <v>-2.5099999999999998</v>
      </c>
      <c r="N164" s="10" t="str">
        <f t="shared" si="27"/>
        <v>L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24"/>
        <v>-0.251</v>
      </c>
      <c r="Y164" s="13">
        <f t="shared" si="25"/>
        <v>-0.502</v>
      </c>
      <c r="Z164" s="13">
        <f t="shared" si="26"/>
        <v>-0.75299999999999989</v>
      </c>
      <c r="AA164" s="13">
        <f t="shared" si="32"/>
        <v>-3</v>
      </c>
    </row>
    <row r="165" spans="1:27" x14ac:dyDescent="0.25">
      <c r="A165" s="40">
        <v>45918.061678240738</v>
      </c>
      <c r="B165" s="41">
        <v>443144362</v>
      </c>
      <c r="C165" s="42" t="s">
        <v>36</v>
      </c>
      <c r="D165" s="42" t="s">
        <v>37</v>
      </c>
      <c r="E165" s="42" t="s">
        <v>38</v>
      </c>
      <c r="F165" s="43">
        <v>3664.02</v>
      </c>
      <c r="G165" s="43">
        <v>3665.43</v>
      </c>
      <c r="H165" s="43">
        <v>3667.02</v>
      </c>
      <c r="I165" s="42" t="s">
        <v>302</v>
      </c>
      <c r="J165" s="43">
        <v>3667.05</v>
      </c>
      <c r="K165" s="43">
        <v>0</v>
      </c>
      <c r="L165" s="43">
        <v>0</v>
      </c>
      <c r="M165" s="44">
        <v>3.03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0.30299999999999999</v>
      </c>
      <c r="Y165" s="13">
        <f t="shared" si="25"/>
        <v>0.60599999999999998</v>
      </c>
      <c r="Z165" s="13">
        <f t="shared" si="26"/>
        <v>0.90899999999999992</v>
      </c>
      <c r="AA165" s="13">
        <f t="shared" si="32"/>
        <v>3.03</v>
      </c>
    </row>
    <row r="166" spans="1:27" x14ac:dyDescent="0.25">
      <c r="A166" s="35">
        <v>45918.061689814815</v>
      </c>
      <c r="B166" s="36">
        <v>443144363</v>
      </c>
      <c r="C166" s="37" t="s">
        <v>36</v>
      </c>
      <c r="D166" s="37" t="s">
        <v>37</v>
      </c>
      <c r="E166" s="37" t="s">
        <v>38</v>
      </c>
      <c r="F166" s="38">
        <v>3664.02</v>
      </c>
      <c r="G166" s="38">
        <v>3666.18</v>
      </c>
      <c r="H166" s="38">
        <v>3667.52</v>
      </c>
      <c r="I166" s="37" t="s">
        <v>303</v>
      </c>
      <c r="J166" s="38">
        <v>3667.52</v>
      </c>
      <c r="K166" s="38">
        <v>0</v>
      </c>
      <c r="L166" s="38">
        <v>0</v>
      </c>
      <c r="M166" s="39">
        <v>3.5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0.35000000000000003</v>
      </c>
      <c r="Y166" s="13">
        <f t="shared" si="25"/>
        <v>0.70000000000000007</v>
      </c>
      <c r="Z166" s="13">
        <f t="shared" si="26"/>
        <v>1.05</v>
      </c>
      <c r="AA166" s="13">
        <f t="shared" si="32"/>
        <v>3.5</v>
      </c>
    </row>
    <row r="167" spans="1:27" x14ac:dyDescent="0.25">
      <c r="A167" s="40">
        <v>45918.068055555559</v>
      </c>
      <c r="B167" s="41">
        <v>443146056</v>
      </c>
      <c r="C167" s="42" t="s">
        <v>36</v>
      </c>
      <c r="D167" s="42" t="s">
        <v>39</v>
      </c>
      <c r="E167" s="42" t="s">
        <v>38</v>
      </c>
      <c r="F167" s="43">
        <v>3662.13</v>
      </c>
      <c r="G167" s="43">
        <v>3665.13</v>
      </c>
      <c r="H167" s="43">
        <v>3656.13</v>
      </c>
      <c r="I167" s="42" t="s">
        <v>304</v>
      </c>
      <c r="J167" s="43">
        <v>3665.41</v>
      </c>
      <c r="K167" s="43">
        <v>0</v>
      </c>
      <c r="L167" s="43">
        <v>0</v>
      </c>
      <c r="M167" s="44">
        <v>-3.28</v>
      </c>
      <c r="N167" s="10" t="str">
        <f t="shared" si="27"/>
        <v>L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24"/>
        <v>-0.32800000000000001</v>
      </c>
      <c r="Y167" s="13">
        <f t="shared" si="25"/>
        <v>-0.65600000000000003</v>
      </c>
      <c r="Z167" s="13">
        <f t="shared" si="26"/>
        <v>-0.98399999999999987</v>
      </c>
      <c r="AA167" s="13">
        <f t="shared" si="32"/>
        <v>-3</v>
      </c>
    </row>
    <row r="168" spans="1:27" x14ac:dyDescent="0.25">
      <c r="A168" s="35">
        <v>45918.068055555559</v>
      </c>
      <c r="B168" s="36">
        <v>443146058</v>
      </c>
      <c r="C168" s="37" t="s">
        <v>36</v>
      </c>
      <c r="D168" s="37" t="s">
        <v>39</v>
      </c>
      <c r="E168" s="37" t="s">
        <v>38</v>
      </c>
      <c r="F168" s="38">
        <v>3662.17</v>
      </c>
      <c r="G168" s="38">
        <v>3665.13</v>
      </c>
      <c r="H168" s="37"/>
      <c r="I168" s="37" t="s">
        <v>304</v>
      </c>
      <c r="J168" s="38">
        <v>3665.41</v>
      </c>
      <c r="K168" s="38">
        <v>0</v>
      </c>
      <c r="L168" s="38">
        <v>0</v>
      </c>
      <c r="M168" s="39">
        <v>-3.24</v>
      </c>
      <c r="N168" s="10" t="str">
        <f t="shared" si="27"/>
        <v>L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24"/>
        <v>-0.32400000000000007</v>
      </c>
      <c r="Y168" s="13">
        <f t="shared" si="25"/>
        <v>-0.64800000000000013</v>
      </c>
      <c r="Z168" s="13">
        <f t="shared" si="26"/>
        <v>-0.97199999999999998</v>
      </c>
      <c r="AA168" s="13">
        <f t="shared" si="32"/>
        <v>-3</v>
      </c>
    </row>
    <row r="169" spans="1:27" x14ac:dyDescent="0.25">
      <c r="A169" s="40">
        <v>45918.069432870368</v>
      </c>
      <c r="B169" s="41">
        <v>443146223</v>
      </c>
      <c r="C169" s="42" t="s">
        <v>36</v>
      </c>
      <c r="D169" s="42" t="s">
        <v>39</v>
      </c>
      <c r="E169" s="42" t="s">
        <v>38</v>
      </c>
      <c r="F169" s="43">
        <v>3661.89</v>
      </c>
      <c r="G169" s="43">
        <v>3664.89</v>
      </c>
      <c r="H169" s="43">
        <v>3657.39</v>
      </c>
      <c r="I169" s="42" t="s">
        <v>305</v>
      </c>
      <c r="J169" s="43">
        <v>3664.89</v>
      </c>
      <c r="K169" s="43">
        <v>0</v>
      </c>
      <c r="L169" s="43">
        <v>0</v>
      </c>
      <c r="M169" s="44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35">
        <v>45918.08829861111</v>
      </c>
      <c r="B170" s="36">
        <v>443150580</v>
      </c>
      <c r="C170" s="37" t="s">
        <v>36</v>
      </c>
      <c r="D170" s="37" t="s">
        <v>37</v>
      </c>
      <c r="E170" s="37" t="s">
        <v>38</v>
      </c>
      <c r="F170" s="38">
        <v>3664.57</v>
      </c>
      <c r="G170" s="38">
        <v>3661.43</v>
      </c>
      <c r="H170" s="38">
        <v>3665.93</v>
      </c>
      <c r="I170" s="37" t="s">
        <v>306</v>
      </c>
      <c r="J170" s="38">
        <v>3665.93</v>
      </c>
      <c r="K170" s="38">
        <v>0</v>
      </c>
      <c r="L170" s="38">
        <v>0</v>
      </c>
      <c r="M170" s="39">
        <v>1.36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0.13600000000000001</v>
      </c>
      <c r="Y170" s="13">
        <f t="shared" si="25"/>
        <v>0.27200000000000002</v>
      </c>
      <c r="Z170" s="13">
        <f t="shared" si="26"/>
        <v>0.40800000000000003</v>
      </c>
      <c r="AA170" s="13">
        <f t="shared" si="32"/>
        <v>-3</v>
      </c>
    </row>
    <row r="171" spans="1:27" x14ac:dyDescent="0.25">
      <c r="A171" s="40">
        <v>45918.08829861111</v>
      </c>
      <c r="B171" s="41">
        <v>443150581</v>
      </c>
      <c r="C171" s="42" t="s">
        <v>36</v>
      </c>
      <c r="D171" s="42" t="s">
        <v>37</v>
      </c>
      <c r="E171" s="42" t="s">
        <v>38</v>
      </c>
      <c r="F171" s="43">
        <v>3664.57</v>
      </c>
      <c r="G171" s="43">
        <v>3666.27</v>
      </c>
      <c r="H171" s="43">
        <v>3667.57</v>
      </c>
      <c r="I171" s="42" t="s">
        <v>307</v>
      </c>
      <c r="J171" s="43">
        <v>3667.59</v>
      </c>
      <c r="K171" s="43">
        <v>0</v>
      </c>
      <c r="L171" s="43">
        <v>0</v>
      </c>
      <c r="M171" s="44">
        <v>3.02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0.30200000000000005</v>
      </c>
      <c r="Y171" s="13">
        <f t="shared" si="25"/>
        <v>0.60400000000000009</v>
      </c>
      <c r="Z171" s="13">
        <f t="shared" si="26"/>
        <v>0.90599999999999992</v>
      </c>
      <c r="AA171" s="13">
        <f t="shared" si="32"/>
        <v>3.02</v>
      </c>
    </row>
    <row r="172" spans="1:27" x14ac:dyDescent="0.25">
      <c r="A172" s="35">
        <v>45918.096284722225</v>
      </c>
      <c r="B172" s="36">
        <v>443152612</v>
      </c>
      <c r="C172" s="37" t="s">
        <v>36</v>
      </c>
      <c r="D172" s="37" t="s">
        <v>37</v>
      </c>
      <c r="E172" s="37" t="s">
        <v>38</v>
      </c>
      <c r="F172" s="38">
        <v>3667.83</v>
      </c>
      <c r="G172" s="38">
        <v>3664.83</v>
      </c>
      <c r="H172" s="38">
        <v>3669.33</v>
      </c>
      <c r="I172" s="37" t="s">
        <v>308</v>
      </c>
      <c r="J172" s="38">
        <v>3669.58</v>
      </c>
      <c r="K172" s="38">
        <v>0</v>
      </c>
      <c r="L172" s="38">
        <v>0</v>
      </c>
      <c r="M172" s="39">
        <v>1.75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0.17500000000000002</v>
      </c>
      <c r="Y172" s="13">
        <f t="shared" si="25"/>
        <v>0.35000000000000003</v>
      </c>
      <c r="Z172" s="13">
        <f t="shared" si="26"/>
        <v>0.52500000000000002</v>
      </c>
      <c r="AA172" s="13">
        <f t="shared" si="32"/>
        <v>-3</v>
      </c>
    </row>
    <row r="173" spans="1:27" x14ac:dyDescent="0.25">
      <c r="A173" s="40">
        <v>45918.096284722225</v>
      </c>
      <c r="B173" s="41">
        <v>443152614</v>
      </c>
      <c r="C173" s="42" t="s">
        <v>36</v>
      </c>
      <c r="D173" s="42" t="s">
        <v>37</v>
      </c>
      <c r="E173" s="42" t="s">
        <v>38</v>
      </c>
      <c r="F173" s="43">
        <v>3667.83</v>
      </c>
      <c r="G173" s="43">
        <v>3669.57</v>
      </c>
      <c r="H173" s="43">
        <v>3670.83</v>
      </c>
      <c r="I173" s="42" t="s">
        <v>309</v>
      </c>
      <c r="J173" s="43">
        <v>3671.06</v>
      </c>
      <c r="K173" s="43">
        <v>0</v>
      </c>
      <c r="L173" s="43">
        <v>0</v>
      </c>
      <c r="M173" s="44">
        <v>3.23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0.32300000000000001</v>
      </c>
      <c r="Y173" s="13">
        <f t="shared" si="25"/>
        <v>0.64600000000000002</v>
      </c>
      <c r="Z173" s="13">
        <f t="shared" si="26"/>
        <v>0.96899999999999997</v>
      </c>
      <c r="AA173" s="13">
        <f t="shared" si="32"/>
        <v>3.23</v>
      </c>
    </row>
    <row r="174" spans="1:27" x14ac:dyDescent="0.25">
      <c r="A174" s="35">
        <v>45918.096284722225</v>
      </c>
      <c r="B174" s="36">
        <v>443152617</v>
      </c>
      <c r="C174" s="37" t="s">
        <v>36</v>
      </c>
      <c r="D174" s="37" t="s">
        <v>37</v>
      </c>
      <c r="E174" s="37" t="s">
        <v>38</v>
      </c>
      <c r="F174" s="38">
        <v>3667.83</v>
      </c>
      <c r="G174" s="38">
        <v>3669.57</v>
      </c>
      <c r="H174" s="38">
        <v>3670.83</v>
      </c>
      <c r="I174" s="37" t="s">
        <v>309</v>
      </c>
      <c r="J174" s="38">
        <v>3671.06</v>
      </c>
      <c r="K174" s="38">
        <v>0</v>
      </c>
      <c r="L174" s="38">
        <v>0</v>
      </c>
      <c r="M174" s="39">
        <v>3.23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0.32300000000000001</v>
      </c>
      <c r="Y174" s="13">
        <f t="shared" si="25"/>
        <v>0.64600000000000002</v>
      </c>
      <c r="Z174" s="13">
        <f t="shared" si="26"/>
        <v>0.96899999999999997</v>
      </c>
      <c r="AA174" s="13">
        <f t="shared" si="32"/>
        <v>3.23</v>
      </c>
    </row>
    <row r="175" spans="1:27" x14ac:dyDescent="0.25">
      <c r="A175" s="40">
        <v>45918.096296296295</v>
      </c>
      <c r="B175" s="41">
        <v>443152618</v>
      </c>
      <c r="C175" s="42" t="s">
        <v>36</v>
      </c>
      <c r="D175" s="42" t="s">
        <v>37</v>
      </c>
      <c r="E175" s="42" t="s">
        <v>38</v>
      </c>
      <c r="F175" s="43">
        <v>3667.73</v>
      </c>
      <c r="G175" s="43">
        <v>3669.68</v>
      </c>
      <c r="H175" s="43">
        <v>3671.33</v>
      </c>
      <c r="I175" s="42" t="s">
        <v>310</v>
      </c>
      <c r="J175" s="43">
        <v>3671.97</v>
      </c>
      <c r="K175" s="43">
        <v>0</v>
      </c>
      <c r="L175" s="43">
        <v>0</v>
      </c>
      <c r="M175" s="44">
        <v>4.24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0.42400000000000004</v>
      </c>
      <c r="Y175" s="13">
        <f t="shared" si="25"/>
        <v>0.84800000000000009</v>
      </c>
      <c r="Z175" s="13">
        <f t="shared" si="26"/>
        <v>1.272</v>
      </c>
      <c r="AA175" s="13">
        <f t="shared" si="32"/>
        <v>4.24</v>
      </c>
    </row>
    <row r="176" spans="1:27" x14ac:dyDescent="0.25">
      <c r="A176" s="35">
        <v>45918.103113425925</v>
      </c>
      <c r="B176" s="36">
        <v>443154231</v>
      </c>
      <c r="C176" s="37" t="s">
        <v>36</v>
      </c>
      <c r="D176" s="37" t="s">
        <v>37</v>
      </c>
      <c r="E176" s="37" t="s">
        <v>38</v>
      </c>
      <c r="F176" s="38">
        <v>3670.2</v>
      </c>
      <c r="G176" s="38">
        <v>3667.26</v>
      </c>
      <c r="H176" s="38">
        <v>3671.76</v>
      </c>
      <c r="I176" s="37" t="s">
        <v>311</v>
      </c>
      <c r="J176" s="38">
        <v>3667.25</v>
      </c>
      <c r="K176" s="38">
        <v>0</v>
      </c>
      <c r="L176" s="38">
        <v>0</v>
      </c>
      <c r="M176" s="39">
        <v>-2.95</v>
      </c>
      <c r="N176" s="10" t="str">
        <f t="shared" si="27"/>
        <v>L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24"/>
        <v>-0.29500000000000004</v>
      </c>
      <c r="Y176" s="13">
        <f t="shared" si="25"/>
        <v>-0.59000000000000008</v>
      </c>
      <c r="Z176" s="13">
        <f t="shared" si="26"/>
        <v>-0.88500000000000001</v>
      </c>
      <c r="AA176" s="13">
        <f t="shared" si="32"/>
        <v>-3</v>
      </c>
    </row>
    <row r="177" spans="1:27" x14ac:dyDescent="0.25">
      <c r="A177" s="40">
        <v>45918.103113425925</v>
      </c>
      <c r="B177" s="41">
        <v>443154232</v>
      </c>
      <c r="C177" s="42" t="s">
        <v>36</v>
      </c>
      <c r="D177" s="42" t="s">
        <v>37</v>
      </c>
      <c r="E177" s="42" t="s">
        <v>38</v>
      </c>
      <c r="F177" s="43">
        <v>3670.23</v>
      </c>
      <c r="G177" s="43">
        <v>3667.2</v>
      </c>
      <c r="H177" s="43">
        <v>3673.7</v>
      </c>
      <c r="I177" s="42" t="s">
        <v>312</v>
      </c>
      <c r="J177" s="43">
        <v>3667.12</v>
      </c>
      <c r="K177" s="43">
        <v>0</v>
      </c>
      <c r="L177" s="43">
        <v>0</v>
      </c>
      <c r="M177" s="44">
        <v>-3.11</v>
      </c>
      <c r="N177" s="10" t="str">
        <f t="shared" si="27"/>
        <v>L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24"/>
        <v>-0.311</v>
      </c>
      <c r="Y177" s="13">
        <f t="shared" si="25"/>
        <v>-0.622</v>
      </c>
      <c r="Z177" s="13">
        <f t="shared" si="26"/>
        <v>-0.93299999999999994</v>
      </c>
      <c r="AA177" s="13">
        <f t="shared" si="32"/>
        <v>-3</v>
      </c>
    </row>
    <row r="178" spans="1:27" x14ac:dyDescent="0.25">
      <c r="A178" s="35">
        <v>45918.103113425925</v>
      </c>
      <c r="B178" s="36">
        <v>443154234</v>
      </c>
      <c r="C178" s="37" t="s">
        <v>36</v>
      </c>
      <c r="D178" s="37" t="s">
        <v>37</v>
      </c>
      <c r="E178" s="37" t="s">
        <v>38</v>
      </c>
      <c r="F178" s="38">
        <v>3670.25</v>
      </c>
      <c r="G178" s="38">
        <v>3667.2</v>
      </c>
      <c r="H178" s="38">
        <v>3673.2</v>
      </c>
      <c r="I178" s="37" t="s">
        <v>312</v>
      </c>
      <c r="J178" s="38">
        <v>3667.12</v>
      </c>
      <c r="K178" s="38">
        <v>0</v>
      </c>
      <c r="L178" s="38">
        <v>0</v>
      </c>
      <c r="M178" s="39">
        <v>-3.13</v>
      </c>
      <c r="N178" s="10" t="str">
        <f t="shared" si="27"/>
        <v>L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24"/>
        <v>-0.313</v>
      </c>
      <c r="Y178" s="13">
        <f t="shared" si="25"/>
        <v>-0.626</v>
      </c>
      <c r="Z178" s="13">
        <f t="shared" si="26"/>
        <v>-0.93899999999999995</v>
      </c>
      <c r="AA178" s="13">
        <f t="shared" si="32"/>
        <v>-3</v>
      </c>
    </row>
    <row r="179" spans="1:27" x14ac:dyDescent="0.25">
      <c r="A179" s="40">
        <v>45918.103125000001</v>
      </c>
      <c r="B179" s="41">
        <v>443154235</v>
      </c>
      <c r="C179" s="42" t="s">
        <v>36</v>
      </c>
      <c r="D179" s="42" t="s">
        <v>37</v>
      </c>
      <c r="E179" s="42" t="s">
        <v>38</v>
      </c>
      <c r="F179" s="43">
        <v>3670.29</v>
      </c>
      <c r="G179" s="43">
        <v>3667.7</v>
      </c>
      <c r="H179" s="43">
        <v>3673.2</v>
      </c>
      <c r="I179" s="42" t="s">
        <v>313</v>
      </c>
      <c r="J179" s="43">
        <v>3667.66</v>
      </c>
      <c r="K179" s="43">
        <v>0</v>
      </c>
      <c r="L179" s="43">
        <v>0</v>
      </c>
      <c r="M179" s="44">
        <v>-2.63</v>
      </c>
      <c r="N179" s="10" t="str">
        <f t="shared" si="27"/>
        <v>L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24"/>
        <v>-0.26300000000000001</v>
      </c>
      <c r="Y179" s="13">
        <f t="shared" si="25"/>
        <v>-0.52600000000000002</v>
      </c>
      <c r="Z179" s="13">
        <f t="shared" si="26"/>
        <v>-0.78899999999999992</v>
      </c>
      <c r="AA179" s="13">
        <f t="shared" si="32"/>
        <v>-3</v>
      </c>
    </row>
    <row r="180" spans="1:27" x14ac:dyDescent="0.25">
      <c r="A180" s="35">
        <v>45918.10496527778</v>
      </c>
      <c r="B180" s="36">
        <v>443154980</v>
      </c>
      <c r="C180" s="37" t="s">
        <v>36</v>
      </c>
      <c r="D180" s="37" t="s">
        <v>37</v>
      </c>
      <c r="E180" s="37" t="s">
        <v>38</v>
      </c>
      <c r="F180" s="38">
        <v>3670.27</v>
      </c>
      <c r="G180" s="38">
        <v>3667.3</v>
      </c>
      <c r="H180" s="38">
        <v>3673.8</v>
      </c>
      <c r="I180" s="37" t="s">
        <v>311</v>
      </c>
      <c r="J180" s="38">
        <v>3667.25</v>
      </c>
      <c r="K180" s="38">
        <v>0</v>
      </c>
      <c r="L180" s="38">
        <v>0</v>
      </c>
      <c r="M180" s="39">
        <v>-3.02</v>
      </c>
      <c r="N180" s="10" t="str">
        <f t="shared" si="27"/>
        <v>L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24"/>
        <v>-0.30200000000000005</v>
      </c>
      <c r="Y180" s="13">
        <f t="shared" si="25"/>
        <v>-0.60400000000000009</v>
      </c>
      <c r="Z180" s="13">
        <f t="shared" si="26"/>
        <v>-0.90599999999999992</v>
      </c>
      <c r="AA180" s="13">
        <f t="shared" si="32"/>
        <v>-3</v>
      </c>
    </row>
    <row r="181" spans="1:27" x14ac:dyDescent="0.25">
      <c r="A181" s="40">
        <v>45918.10496527778</v>
      </c>
      <c r="B181" s="41">
        <v>443154981</v>
      </c>
      <c r="C181" s="42" t="s">
        <v>36</v>
      </c>
      <c r="D181" s="42" t="s">
        <v>37</v>
      </c>
      <c r="E181" s="42" t="s">
        <v>38</v>
      </c>
      <c r="F181" s="43">
        <v>3670.27</v>
      </c>
      <c r="G181" s="43">
        <v>3667.27</v>
      </c>
      <c r="H181" s="43">
        <v>3673.77</v>
      </c>
      <c r="I181" s="42" t="s">
        <v>311</v>
      </c>
      <c r="J181" s="43">
        <v>3667.25</v>
      </c>
      <c r="K181" s="43">
        <v>0</v>
      </c>
      <c r="L181" s="43">
        <v>0</v>
      </c>
      <c r="M181" s="44">
        <v>-3.02</v>
      </c>
      <c r="N181" s="10" t="str">
        <f t="shared" si="27"/>
        <v>L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24"/>
        <v>-0.30200000000000005</v>
      </c>
      <c r="Y181" s="13">
        <f t="shared" si="25"/>
        <v>-0.60400000000000009</v>
      </c>
      <c r="Z181" s="13">
        <f t="shared" si="26"/>
        <v>-0.90599999999999992</v>
      </c>
      <c r="AA181" s="13">
        <f t="shared" si="32"/>
        <v>-3</v>
      </c>
    </row>
    <row r="182" spans="1:27" x14ac:dyDescent="0.25">
      <c r="A182" s="35">
        <v>45918.12903935185</v>
      </c>
      <c r="B182" s="36">
        <v>443160702</v>
      </c>
      <c r="C182" s="37" t="s">
        <v>36</v>
      </c>
      <c r="D182" s="37" t="s">
        <v>39</v>
      </c>
      <c r="E182" s="37" t="s">
        <v>38</v>
      </c>
      <c r="F182" s="38">
        <v>3667.49</v>
      </c>
      <c r="G182" s="38">
        <v>3670.49</v>
      </c>
      <c r="H182" s="38">
        <v>3665.99</v>
      </c>
      <c r="I182" s="37" t="s">
        <v>314</v>
      </c>
      <c r="J182" s="38">
        <v>3665.75</v>
      </c>
      <c r="K182" s="38">
        <v>0</v>
      </c>
      <c r="L182" s="38">
        <v>0</v>
      </c>
      <c r="M182" s="39">
        <v>1.74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0.17400000000000002</v>
      </c>
      <c r="Y182" s="13">
        <f t="shared" si="25"/>
        <v>0.34800000000000003</v>
      </c>
      <c r="Z182" s="13">
        <f t="shared" si="26"/>
        <v>0.52200000000000002</v>
      </c>
      <c r="AA182" s="13">
        <f t="shared" si="32"/>
        <v>-3</v>
      </c>
    </row>
    <row r="183" spans="1:27" x14ac:dyDescent="0.25">
      <c r="A183" s="40">
        <v>45918.12903935185</v>
      </c>
      <c r="B183" s="41">
        <v>443160704</v>
      </c>
      <c r="C183" s="42" t="s">
        <v>36</v>
      </c>
      <c r="D183" s="42" t="s">
        <v>39</v>
      </c>
      <c r="E183" s="42" t="s">
        <v>38</v>
      </c>
      <c r="F183" s="43">
        <v>3667.49</v>
      </c>
      <c r="G183" s="43">
        <v>3665.95</v>
      </c>
      <c r="H183" s="43">
        <v>3663.99</v>
      </c>
      <c r="I183" s="42" t="s">
        <v>315</v>
      </c>
      <c r="J183" s="43">
        <v>3663.99</v>
      </c>
      <c r="K183" s="43">
        <v>0</v>
      </c>
      <c r="L183" s="43">
        <v>0</v>
      </c>
      <c r="M183" s="44">
        <v>3.5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0.35000000000000003</v>
      </c>
      <c r="Y183" s="13">
        <f t="shared" si="25"/>
        <v>0.70000000000000007</v>
      </c>
      <c r="Z183" s="13">
        <f t="shared" si="26"/>
        <v>1.05</v>
      </c>
      <c r="AA183" s="13">
        <f t="shared" si="32"/>
        <v>3.5</v>
      </c>
    </row>
    <row r="184" spans="1:27" x14ac:dyDescent="0.25">
      <c r="A184" s="35">
        <v>45918.12903935185</v>
      </c>
      <c r="B184" s="36">
        <v>443160705</v>
      </c>
      <c r="C184" s="37" t="s">
        <v>36</v>
      </c>
      <c r="D184" s="37" t="s">
        <v>39</v>
      </c>
      <c r="E184" s="37" t="s">
        <v>38</v>
      </c>
      <c r="F184" s="38">
        <v>3667.49</v>
      </c>
      <c r="G184" s="38">
        <v>3666.1</v>
      </c>
      <c r="H184" s="38">
        <v>3664.49</v>
      </c>
      <c r="I184" s="37" t="s">
        <v>316</v>
      </c>
      <c r="J184" s="38">
        <v>3664.43</v>
      </c>
      <c r="K184" s="38">
        <v>0</v>
      </c>
      <c r="L184" s="38">
        <v>0</v>
      </c>
      <c r="M184" s="39">
        <v>3.06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0.30600000000000005</v>
      </c>
      <c r="Y184" s="13">
        <f t="shared" si="25"/>
        <v>0.6120000000000001</v>
      </c>
      <c r="Z184" s="13">
        <f t="shared" si="26"/>
        <v>0.91799999999999993</v>
      </c>
      <c r="AA184" s="13">
        <f t="shared" si="32"/>
        <v>3.06</v>
      </c>
    </row>
    <row r="185" spans="1:27" x14ac:dyDescent="0.25">
      <c r="A185" s="40">
        <v>45918.129050925927</v>
      </c>
      <c r="B185" s="41">
        <v>443160706</v>
      </c>
      <c r="C185" s="42" t="s">
        <v>36</v>
      </c>
      <c r="D185" s="42" t="s">
        <v>39</v>
      </c>
      <c r="E185" s="42" t="s">
        <v>38</v>
      </c>
      <c r="F185" s="43">
        <v>3667.49</v>
      </c>
      <c r="G185" s="43">
        <v>3666.1</v>
      </c>
      <c r="H185" s="43">
        <v>3664.49</v>
      </c>
      <c r="I185" s="42" t="s">
        <v>316</v>
      </c>
      <c r="J185" s="43">
        <v>3664.43</v>
      </c>
      <c r="K185" s="43">
        <v>0</v>
      </c>
      <c r="L185" s="43">
        <v>0</v>
      </c>
      <c r="M185" s="44">
        <v>3.06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0.30600000000000005</v>
      </c>
      <c r="Y185" s="13">
        <f t="shared" si="25"/>
        <v>0.6120000000000001</v>
      </c>
      <c r="Z185" s="13">
        <f t="shared" si="26"/>
        <v>0.91799999999999993</v>
      </c>
      <c r="AA185" s="13">
        <f t="shared" si="32"/>
        <v>3.06</v>
      </c>
    </row>
    <row r="186" spans="1:27" x14ac:dyDescent="0.25">
      <c r="A186" s="35">
        <v>45918.133784722224</v>
      </c>
      <c r="B186" s="36">
        <v>443162800</v>
      </c>
      <c r="C186" s="37" t="s">
        <v>36</v>
      </c>
      <c r="D186" s="37" t="s">
        <v>39</v>
      </c>
      <c r="E186" s="37" t="s">
        <v>38</v>
      </c>
      <c r="F186" s="38">
        <v>3664.49</v>
      </c>
      <c r="G186" s="38">
        <v>3667.49</v>
      </c>
      <c r="H186" s="38">
        <v>3662.99</v>
      </c>
      <c r="I186" s="37" t="s">
        <v>317</v>
      </c>
      <c r="J186" s="38">
        <v>3662.99</v>
      </c>
      <c r="K186" s="38">
        <v>0</v>
      </c>
      <c r="L186" s="38">
        <v>0</v>
      </c>
      <c r="M186" s="39">
        <v>1.5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0.15000000000000002</v>
      </c>
      <c r="Y186" s="13">
        <f t="shared" si="25"/>
        <v>0.30000000000000004</v>
      </c>
      <c r="Z186" s="13">
        <f t="shared" si="26"/>
        <v>0.44999999999999996</v>
      </c>
      <c r="AA186" s="13">
        <f t="shared" si="32"/>
        <v>-3</v>
      </c>
    </row>
    <row r="187" spans="1:27" x14ac:dyDescent="0.25">
      <c r="A187" s="40">
        <v>45918.133784722224</v>
      </c>
      <c r="B187" s="41">
        <v>443162801</v>
      </c>
      <c r="C187" s="42" t="s">
        <v>36</v>
      </c>
      <c r="D187" s="42" t="s">
        <v>39</v>
      </c>
      <c r="E187" s="42" t="s">
        <v>38</v>
      </c>
      <c r="F187" s="43">
        <v>3664.32</v>
      </c>
      <c r="G187" s="43">
        <v>3663.69</v>
      </c>
      <c r="H187" s="43">
        <v>3661.49</v>
      </c>
      <c r="I187" s="42" t="s">
        <v>318</v>
      </c>
      <c r="J187" s="43">
        <v>3663.76</v>
      </c>
      <c r="K187" s="43">
        <v>0</v>
      </c>
      <c r="L187" s="43">
        <v>0</v>
      </c>
      <c r="M187" s="44">
        <v>0.56000000000000005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24"/>
        <v>5.6000000000000008E-2</v>
      </c>
      <c r="Y187" s="13">
        <f t="shared" si="25"/>
        <v>0.11200000000000002</v>
      </c>
      <c r="Z187" s="13">
        <f t="shared" si="26"/>
        <v>0.16800000000000001</v>
      </c>
      <c r="AA187" s="13">
        <f t="shared" si="32"/>
        <v>-3</v>
      </c>
    </row>
    <row r="188" spans="1:27" x14ac:dyDescent="0.25">
      <c r="A188" s="35">
        <v>45918.133784722224</v>
      </c>
      <c r="B188" s="36">
        <v>443162804</v>
      </c>
      <c r="C188" s="37" t="s">
        <v>36</v>
      </c>
      <c r="D188" s="37" t="s">
        <v>39</v>
      </c>
      <c r="E188" s="37" t="s">
        <v>38</v>
      </c>
      <c r="F188" s="38">
        <v>3664.55</v>
      </c>
      <c r="G188" s="38">
        <v>3663.69</v>
      </c>
      <c r="H188" s="38">
        <v>3661.49</v>
      </c>
      <c r="I188" s="37" t="s">
        <v>318</v>
      </c>
      <c r="J188" s="38">
        <v>3663.76</v>
      </c>
      <c r="K188" s="38">
        <v>0</v>
      </c>
      <c r="L188" s="38">
        <v>0</v>
      </c>
      <c r="M188" s="39">
        <v>0.79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24"/>
        <v>7.9000000000000015E-2</v>
      </c>
      <c r="Y188" s="13">
        <f t="shared" si="25"/>
        <v>0.15800000000000003</v>
      </c>
      <c r="Z188" s="13">
        <f t="shared" si="26"/>
        <v>0.23699999999999999</v>
      </c>
      <c r="AA188" s="13">
        <f t="shared" si="32"/>
        <v>-3</v>
      </c>
    </row>
    <row r="189" spans="1:27" x14ac:dyDescent="0.25">
      <c r="A189" s="40">
        <v>45918.133796296293</v>
      </c>
      <c r="B189" s="41">
        <v>443162805</v>
      </c>
      <c r="C189" s="42" t="s">
        <v>36</v>
      </c>
      <c r="D189" s="42" t="s">
        <v>39</v>
      </c>
      <c r="E189" s="42" t="s">
        <v>38</v>
      </c>
      <c r="F189" s="43">
        <v>3664.44</v>
      </c>
      <c r="G189" s="43">
        <v>3663.69</v>
      </c>
      <c r="H189" s="43">
        <v>3660.99</v>
      </c>
      <c r="I189" s="42" t="s">
        <v>318</v>
      </c>
      <c r="J189" s="43">
        <v>3663.76</v>
      </c>
      <c r="K189" s="43">
        <v>0</v>
      </c>
      <c r="L189" s="43">
        <v>0</v>
      </c>
      <c r="M189" s="44">
        <v>0.68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24"/>
        <v>6.8000000000000005E-2</v>
      </c>
      <c r="Y189" s="13">
        <f t="shared" si="25"/>
        <v>0.13600000000000001</v>
      </c>
      <c r="Z189" s="13">
        <f t="shared" si="26"/>
        <v>0.20400000000000001</v>
      </c>
      <c r="AA189" s="13">
        <f t="shared" si="32"/>
        <v>-3</v>
      </c>
    </row>
    <row r="190" spans="1:27" x14ac:dyDescent="0.25">
      <c r="A190" s="35">
        <v>45918.141423611109</v>
      </c>
      <c r="B190" s="36">
        <v>443163800</v>
      </c>
      <c r="C190" s="37" t="s">
        <v>36</v>
      </c>
      <c r="D190" s="37" t="s">
        <v>39</v>
      </c>
      <c r="E190" s="37" t="s">
        <v>38</v>
      </c>
      <c r="F190" s="38">
        <v>3663.48</v>
      </c>
      <c r="G190" s="38">
        <v>3663.27</v>
      </c>
      <c r="H190" s="38">
        <v>3661.92</v>
      </c>
      <c r="I190" s="37" t="s">
        <v>319</v>
      </c>
      <c r="J190" s="38">
        <v>3661.91</v>
      </c>
      <c r="K190" s="38">
        <v>0</v>
      </c>
      <c r="L190" s="38">
        <v>0</v>
      </c>
      <c r="M190" s="39">
        <v>1.57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0.15700000000000003</v>
      </c>
      <c r="Y190" s="13">
        <f t="shared" si="25"/>
        <v>0.31400000000000006</v>
      </c>
      <c r="Z190" s="13">
        <f t="shared" si="26"/>
        <v>0.47099999999999997</v>
      </c>
      <c r="AA190" s="13">
        <f t="shared" si="32"/>
        <v>-3</v>
      </c>
    </row>
    <row r="191" spans="1:27" x14ac:dyDescent="0.25">
      <c r="A191" s="40">
        <v>45918.141539351855</v>
      </c>
      <c r="B191" s="41">
        <v>443163826</v>
      </c>
      <c r="C191" s="42" t="s">
        <v>36</v>
      </c>
      <c r="D191" s="42" t="s">
        <v>39</v>
      </c>
      <c r="E191" s="42" t="s">
        <v>38</v>
      </c>
      <c r="F191" s="43">
        <v>3663.65</v>
      </c>
      <c r="G191" s="43">
        <v>3663.22</v>
      </c>
      <c r="H191" s="43">
        <v>3660.65</v>
      </c>
      <c r="I191" s="42" t="s">
        <v>320</v>
      </c>
      <c r="J191" s="43">
        <v>3663.22</v>
      </c>
      <c r="K191" s="43">
        <v>0</v>
      </c>
      <c r="L191" s="43">
        <v>0</v>
      </c>
      <c r="M191" s="44">
        <v>0.43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24"/>
        <v>4.3000000000000003E-2</v>
      </c>
      <c r="Y191" s="13">
        <f t="shared" si="25"/>
        <v>8.6000000000000007E-2</v>
      </c>
      <c r="Z191" s="13">
        <f t="shared" si="26"/>
        <v>0.129</v>
      </c>
      <c r="AA191" s="13">
        <f t="shared" si="32"/>
        <v>-3</v>
      </c>
    </row>
    <row r="192" spans="1:27" x14ac:dyDescent="0.25">
      <c r="A192" s="35">
        <v>45918.141539351855</v>
      </c>
      <c r="B192" s="36">
        <v>443163827</v>
      </c>
      <c r="C192" s="37" t="s">
        <v>36</v>
      </c>
      <c r="D192" s="37" t="s">
        <v>39</v>
      </c>
      <c r="E192" s="37" t="s">
        <v>38</v>
      </c>
      <c r="F192" s="38">
        <v>3663.65</v>
      </c>
      <c r="G192" s="38">
        <v>3663.22</v>
      </c>
      <c r="H192" s="38">
        <v>3660.65</v>
      </c>
      <c r="I192" s="37" t="s">
        <v>320</v>
      </c>
      <c r="J192" s="38">
        <v>3663.22</v>
      </c>
      <c r="K192" s="38">
        <v>0</v>
      </c>
      <c r="L192" s="38">
        <v>0</v>
      </c>
      <c r="M192" s="39">
        <v>0.43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24"/>
        <v>4.3000000000000003E-2</v>
      </c>
      <c r="Y192" s="13">
        <f t="shared" si="25"/>
        <v>8.6000000000000007E-2</v>
      </c>
      <c r="Z192" s="13">
        <f t="shared" si="26"/>
        <v>0.129</v>
      </c>
      <c r="AA192" s="13">
        <f t="shared" si="32"/>
        <v>-3</v>
      </c>
    </row>
    <row r="193" spans="1:27" x14ac:dyDescent="0.25">
      <c r="A193" s="40">
        <v>45918.141539351855</v>
      </c>
      <c r="B193" s="41">
        <v>443163828</v>
      </c>
      <c r="C193" s="42" t="s">
        <v>36</v>
      </c>
      <c r="D193" s="42" t="s">
        <v>39</v>
      </c>
      <c r="E193" s="42" t="s">
        <v>38</v>
      </c>
      <c r="F193" s="43">
        <v>3663.64</v>
      </c>
      <c r="G193" s="43">
        <v>3663.19</v>
      </c>
      <c r="H193" s="43">
        <v>3660.15</v>
      </c>
      <c r="I193" s="42" t="s">
        <v>320</v>
      </c>
      <c r="J193" s="43">
        <v>3663.22</v>
      </c>
      <c r="K193" s="43">
        <v>0</v>
      </c>
      <c r="L193" s="43">
        <v>0</v>
      </c>
      <c r="M193" s="44">
        <v>0.42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24"/>
        <v>4.2000000000000003E-2</v>
      </c>
      <c r="Y193" s="13">
        <f t="shared" si="25"/>
        <v>8.4000000000000005E-2</v>
      </c>
      <c r="Z193" s="13">
        <f t="shared" si="26"/>
        <v>0.126</v>
      </c>
      <c r="AA193" s="13">
        <f t="shared" si="32"/>
        <v>-3</v>
      </c>
    </row>
    <row r="194" spans="1:27" x14ac:dyDescent="0.25">
      <c r="A194" s="35">
        <v>45918.144548611112</v>
      </c>
      <c r="B194" s="36">
        <v>443164859</v>
      </c>
      <c r="C194" s="37" t="s">
        <v>36</v>
      </c>
      <c r="D194" s="37" t="s">
        <v>39</v>
      </c>
      <c r="E194" s="37" t="s">
        <v>38</v>
      </c>
      <c r="F194" s="38">
        <v>3662.69</v>
      </c>
      <c r="G194" s="38">
        <v>3665.69</v>
      </c>
      <c r="H194" s="38">
        <v>3661.19</v>
      </c>
      <c r="I194" s="37" t="s">
        <v>321</v>
      </c>
      <c r="J194" s="38">
        <v>3661</v>
      </c>
      <c r="K194" s="38">
        <v>0</v>
      </c>
      <c r="L194" s="38">
        <v>0</v>
      </c>
      <c r="M194" s="39">
        <v>1.69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0.16900000000000001</v>
      </c>
      <c r="Y194" s="13">
        <f t="shared" si="25"/>
        <v>0.33800000000000002</v>
      </c>
      <c r="Z194" s="13">
        <f t="shared" si="26"/>
        <v>0.50700000000000001</v>
      </c>
      <c r="AA194" s="13">
        <f t="shared" si="32"/>
        <v>-3</v>
      </c>
    </row>
    <row r="195" spans="1:27" x14ac:dyDescent="0.25">
      <c r="A195" s="40">
        <v>45918.144548611112</v>
      </c>
      <c r="B195" s="41">
        <v>443164860</v>
      </c>
      <c r="C195" s="42" t="s">
        <v>36</v>
      </c>
      <c r="D195" s="42" t="s">
        <v>39</v>
      </c>
      <c r="E195" s="42" t="s">
        <v>38</v>
      </c>
      <c r="F195" s="43">
        <v>3662.69</v>
      </c>
      <c r="G195" s="43">
        <v>3661.7</v>
      </c>
      <c r="H195" s="43">
        <v>3659.69</v>
      </c>
      <c r="I195" s="42" t="s">
        <v>322</v>
      </c>
      <c r="J195" s="43">
        <v>3659.68</v>
      </c>
      <c r="K195" s="43">
        <v>0</v>
      </c>
      <c r="L195" s="43">
        <v>0</v>
      </c>
      <c r="M195" s="44">
        <v>3.01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0.30099999999999999</v>
      </c>
      <c r="Y195" s="13">
        <f t="shared" ref="Y195:Y258" si="34">$M195*0.2</f>
        <v>0.60199999999999998</v>
      </c>
      <c r="Z195" s="13">
        <f t="shared" ref="Z195:Z258" si="35">$M195*0.3</f>
        <v>0.90299999999999991</v>
      </c>
      <c r="AA195" s="13">
        <f t="shared" si="32"/>
        <v>3.01</v>
      </c>
    </row>
    <row r="196" spans="1:27" x14ac:dyDescent="0.25">
      <c r="A196" s="35">
        <v>45918.144548611112</v>
      </c>
      <c r="B196" s="36">
        <v>443164861</v>
      </c>
      <c r="C196" s="37" t="s">
        <v>36</v>
      </c>
      <c r="D196" s="37" t="s">
        <v>39</v>
      </c>
      <c r="E196" s="37" t="s">
        <v>38</v>
      </c>
      <c r="F196" s="38">
        <v>3662.64</v>
      </c>
      <c r="G196" s="38">
        <v>3661.06</v>
      </c>
      <c r="H196" s="38">
        <v>3659.19</v>
      </c>
      <c r="I196" s="37" t="s">
        <v>323</v>
      </c>
      <c r="J196" s="38">
        <v>3659.17</v>
      </c>
      <c r="K196" s="38">
        <v>0</v>
      </c>
      <c r="L196" s="38">
        <v>0</v>
      </c>
      <c r="M196" s="39">
        <v>3.47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0.34700000000000003</v>
      </c>
      <c r="Y196" s="13">
        <f t="shared" si="34"/>
        <v>0.69400000000000006</v>
      </c>
      <c r="Z196" s="13">
        <f t="shared" si="35"/>
        <v>1.0409999999999999</v>
      </c>
      <c r="AA196" s="13">
        <f t="shared" si="32"/>
        <v>3.47</v>
      </c>
    </row>
    <row r="197" spans="1:27" x14ac:dyDescent="0.25">
      <c r="A197" s="40">
        <v>45918.144548611112</v>
      </c>
      <c r="B197" s="41">
        <v>443164862</v>
      </c>
      <c r="C197" s="42" t="s">
        <v>36</v>
      </c>
      <c r="D197" s="42" t="s">
        <v>39</v>
      </c>
      <c r="E197" s="42" t="s">
        <v>38</v>
      </c>
      <c r="F197" s="43">
        <v>3662.64</v>
      </c>
      <c r="G197" s="43">
        <v>3661.69</v>
      </c>
      <c r="H197" s="43">
        <v>3659.69</v>
      </c>
      <c r="I197" s="42" t="s">
        <v>322</v>
      </c>
      <c r="J197" s="43">
        <v>3659.68</v>
      </c>
      <c r="K197" s="43">
        <v>0</v>
      </c>
      <c r="L197" s="43">
        <v>0</v>
      </c>
      <c r="M197" s="44">
        <v>2.96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0.29599999999999999</v>
      </c>
      <c r="Y197" s="13">
        <f t="shared" si="34"/>
        <v>0.59199999999999997</v>
      </c>
      <c r="Z197" s="13">
        <f t="shared" si="35"/>
        <v>0.88800000000000001</v>
      </c>
      <c r="AA197" s="13">
        <f t="shared" ref="AA197:AA260" si="41">IF(M197&lt;2.9,-3,M197)</f>
        <v>2.96</v>
      </c>
    </row>
    <row r="198" spans="1:27" x14ac:dyDescent="0.25">
      <c r="A198" s="35">
        <v>45918.146284722221</v>
      </c>
      <c r="B198" s="36">
        <v>443165010</v>
      </c>
      <c r="C198" s="37" t="s">
        <v>36</v>
      </c>
      <c r="D198" s="37" t="s">
        <v>39</v>
      </c>
      <c r="E198" s="37" t="s">
        <v>38</v>
      </c>
      <c r="F198" s="38">
        <v>3663.14</v>
      </c>
      <c r="G198" s="38">
        <v>3662.01</v>
      </c>
      <c r="H198" s="38">
        <v>3659.68</v>
      </c>
      <c r="I198" s="37" t="s">
        <v>322</v>
      </c>
      <c r="J198" s="38">
        <v>3659.68</v>
      </c>
      <c r="K198" s="38">
        <v>0</v>
      </c>
      <c r="L198" s="38">
        <v>0</v>
      </c>
      <c r="M198" s="39">
        <v>3.46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0.34600000000000003</v>
      </c>
      <c r="Y198" s="13">
        <f t="shared" si="34"/>
        <v>0.69200000000000006</v>
      </c>
      <c r="Z198" s="13">
        <f t="shared" si="35"/>
        <v>1.038</v>
      </c>
      <c r="AA198" s="13">
        <f t="shared" si="41"/>
        <v>3.46</v>
      </c>
    </row>
    <row r="199" spans="1:27" x14ac:dyDescent="0.25">
      <c r="A199" s="40">
        <v>45918.146284722221</v>
      </c>
      <c r="B199" s="41">
        <v>443165011</v>
      </c>
      <c r="C199" s="42" t="s">
        <v>36</v>
      </c>
      <c r="D199" s="42" t="s">
        <v>39</v>
      </c>
      <c r="E199" s="42" t="s">
        <v>38</v>
      </c>
      <c r="F199" s="43">
        <v>3663.14</v>
      </c>
      <c r="G199" s="43">
        <v>3662.01</v>
      </c>
      <c r="H199" s="43">
        <v>3659.68</v>
      </c>
      <c r="I199" s="42" t="s">
        <v>322</v>
      </c>
      <c r="J199" s="43">
        <v>3659.68</v>
      </c>
      <c r="K199" s="43">
        <v>0</v>
      </c>
      <c r="L199" s="43">
        <v>0</v>
      </c>
      <c r="M199" s="44">
        <v>3.46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0.34600000000000003</v>
      </c>
      <c r="Y199" s="13">
        <f t="shared" si="34"/>
        <v>0.69200000000000006</v>
      </c>
      <c r="Z199" s="13">
        <f t="shared" si="35"/>
        <v>1.038</v>
      </c>
      <c r="AA199" s="13">
        <f t="shared" si="41"/>
        <v>3.46</v>
      </c>
    </row>
    <row r="200" spans="1:27" x14ac:dyDescent="0.25">
      <c r="A200" s="35">
        <v>45918.155659722222</v>
      </c>
      <c r="B200" s="36">
        <v>443167731</v>
      </c>
      <c r="C200" s="37" t="s">
        <v>36</v>
      </c>
      <c r="D200" s="37" t="s">
        <v>39</v>
      </c>
      <c r="E200" s="37" t="s">
        <v>38</v>
      </c>
      <c r="F200" s="38">
        <v>3659.56</v>
      </c>
      <c r="G200" s="38">
        <v>3662.56</v>
      </c>
      <c r="H200" s="38">
        <v>3658.06</v>
      </c>
      <c r="I200" s="37" t="s">
        <v>324</v>
      </c>
      <c r="J200" s="38">
        <v>3662.65</v>
      </c>
      <c r="K200" s="38">
        <v>0</v>
      </c>
      <c r="L200" s="38">
        <v>0</v>
      </c>
      <c r="M200" s="39">
        <v>-3.09</v>
      </c>
      <c r="N200" s="10" t="str">
        <f t="shared" si="36"/>
        <v>L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3"/>
        <v>-0.309</v>
      </c>
      <c r="Y200" s="13">
        <f t="shared" si="34"/>
        <v>-0.61799999999999999</v>
      </c>
      <c r="Z200" s="13">
        <f t="shared" si="35"/>
        <v>-0.92699999999999994</v>
      </c>
      <c r="AA200" s="13">
        <f t="shared" si="41"/>
        <v>-3</v>
      </c>
    </row>
    <row r="201" spans="1:27" x14ac:dyDescent="0.25">
      <c r="A201" s="40">
        <v>45918.155659722222</v>
      </c>
      <c r="B201" s="41">
        <v>443167732</v>
      </c>
      <c r="C201" s="42" t="s">
        <v>36</v>
      </c>
      <c r="D201" s="42" t="s">
        <v>39</v>
      </c>
      <c r="E201" s="42" t="s">
        <v>38</v>
      </c>
      <c r="F201" s="43">
        <v>3659.56</v>
      </c>
      <c r="G201" s="43">
        <v>3662.06</v>
      </c>
      <c r="H201" s="43">
        <v>3656.56</v>
      </c>
      <c r="I201" s="42" t="s">
        <v>325</v>
      </c>
      <c r="J201" s="43">
        <v>3662.11</v>
      </c>
      <c r="K201" s="43">
        <v>0</v>
      </c>
      <c r="L201" s="43">
        <v>0</v>
      </c>
      <c r="M201" s="44">
        <v>-2.5499999999999998</v>
      </c>
      <c r="N201" s="10" t="str">
        <f t="shared" si="36"/>
        <v>L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3"/>
        <v>-0.255</v>
      </c>
      <c r="Y201" s="13">
        <f t="shared" si="34"/>
        <v>-0.51</v>
      </c>
      <c r="Z201" s="13">
        <f t="shared" si="35"/>
        <v>-0.7649999999999999</v>
      </c>
      <c r="AA201" s="13">
        <f t="shared" si="41"/>
        <v>-3</v>
      </c>
    </row>
    <row r="202" spans="1:27" x14ac:dyDescent="0.25">
      <c r="A202" s="35">
        <v>45918.155659722222</v>
      </c>
      <c r="B202" s="36">
        <v>443167733</v>
      </c>
      <c r="C202" s="37" t="s">
        <v>36</v>
      </c>
      <c r="D202" s="37" t="s">
        <v>39</v>
      </c>
      <c r="E202" s="37" t="s">
        <v>38</v>
      </c>
      <c r="F202" s="38">
        <v>3659.56</v>
      </c>
      <c r="G202" s="38">
        <v>3662.56</v>
      </c>
      <c r="H202" s="38">
        <v>3656.56</v>
      </c>
      <c r="I202" s="37" t="s">
        <v>324</v>
      </c>
      <c r="J202" s="38">
        <v>3662.65</v>
      </c>
      <c r="K202" s="38">
        <v>0</v>
      </c>
      <c r="L202" s="38">
        <v>0</v>
      </c>
      <c r="M202" s="39">
        <v>-3.09</v>
      </c>
      <c r="N202" s="10" t="str">
        <f t="shared" si="36"/>
        <v>L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3"/>
        <v>-0.309</v>
      </c>
      <c r="Y202" s="13">
        <f t="shared" si="34"/>
        <v>-0.61799999999999999</v>
      </c>
      <c r="Z202" s="13">
        <f t="shared" si="35"/>
        <v>-0.92699999999999994</v>
      </c>
      <c r="AA202" s="13">
        <f t="shared" si="41"/>
        <v>-3</v>
      </c>
    </row>
    <row r="203" spans="1:27" x14ac:dyDescent="0.25">
      <c r="A203" s="40">
        <v>45918.155659722222</v>
      </c>
      <c r="B203" s="41">
        <v>443167734</v>
      </c>
      <c r="C203" s="42" t="s">
        <v>36</v>
      </c>
      <c r="D203" s="42" t="s">
        <v>39</v>
      </c>
      <c r="E203" s="42" t="s">
        <v>38</v>
      </c>
      <c r="F203" s="43">
        <v>3659.56</v>
      </c>
      <c r="G203" s="43">
        <v>3662.56</v>
      </c>
      <c r="H203" s="43">
        <v>3656.06</v>
      </c>
      <c r="I203" s="42" t="s">
        <v>324</v>
      </c>
      <c r="J203" s="43">
        <v>3662.65</v>
      </c>
      <c r="K203" s="43">
        <v>0</v>
      </c>
      <c r="L203" s="43">
        <v>0</v>
      </c>
      <c r="M203" s="44">
        <v>-3.09</v>
      </c>
      <c r="N203" s="10" t="str">
        <f t="shared" si="36"/>
        <v>L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3"/>
        <v>-0.309</v>
      </c>
      <c r="Y203" s="13">
        <f t="shared" si="34"/>
        <v>-0.61799999999999999</v>
      </c>
      <c r="Z203" s="13">
        <f t="shared" si="35"/>
        <v>-0.92699999999999994</v>
      </c>
      <c r="AA203" s="13">
        <f t="shared" si="41"/>
        <v>-3</v>
      </c>
    </row>
    <row r="204" spans="1:27" x14ac:dyDescent="0.25">
      <c r="A204" s="35">
        <v>45918.156469907408</v>
      </c>
      <c r="B204" s="36">
        <v>443167890</v>
      </c>
      <c r="C204" s="37" t="s">
        <v>36</v>
      </c>
      <c r="D204" s="37" t="s">
        <v>39</v>
      </c>
      <c r="E204" s="37" t="s">
        <v>38</v>
      </c>
      <c r="F204" s="38">
        <v>3660.2</v>
      </c>
      <c r="G204" s="38">
        <v>3663.2</v>
      </c>
      <c r="H204" s="38">
        <v>3656.7</v>
      </c>
      <c r="I204" s="37" t="s">
        <v>326</v>
      </c>
      <c r="J204" s="38">
        <v>3663.25</v>
      </c>
      <c r="K204" s="38">
        <v>0</v>
      </c>
      <c r="L204" s="38">
        <v>0</v>
      </c>
      <c r="M204" s="39">
        <v>-3.05</v>
      </c>
      <c r="N204" s="10" t="str">
        <f t="shared" si="36"/>
        <v>L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3"/>
        <v>-0.30499999999999999</v>
      </c>
      <c r="Y204" s="13">
        <f t="shared" si="34"/>
        <v>-0.61</v>
      </c>
      <c r="Z204" s="13">
        <f t="shared" si="35"/>
        <v>-0.91499999999999992</v>
      </c>
      <c r="AA204" s="13">
        <f t="shared" si="41"/>
        <v>-3</v>
      </c>
    </row>
    <row r="205" spans="1:27" x14ac:dyDescent="0.25">
      <c r="A205" s="40">
        <v>45918.16815972222</v>
      </c>
      <c r="B205" s="41">
        <v>443173042</v>
      </c>
      <c r="C205" s="42" t="s">
        <v>36</v>
      </c>
      <c r="D205" s="42" t="s">
        <v>37</v>
      </c>
      <c r="E205" s="42" t="s">
        <v>38</v>
      </c>
      <c r="F205" s="43">
        <v>3666</v>
      </c>
      <c r="G205" s="43">
        <v>3662.99</v>
      </c>
      <c r="H205" s="43">
        <v>3667.49</v>
      </c>
      <c r="I205" s="42" t="s">
        <v>327</v>
      </c>
      <c r="J205" s="43">
        <v>3662.99</v>
      </c>
      <c r="K205" s="43">
        <v>0</v>
      </c>
      <c r="L205" s="43">
        <v>0</v>
      </c>
      <c r="M205" s="44">
        <v>-3.01</v>
      </c>
      <c r="N205" s="10" t="str">
        <f t="shared" si="36"/>
        <v>L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3"/>
        <v>-0.30099999999999999</v>
      </c>
      <c r="Y205" s="13">
        <f t="shared" si="34"/>
        <v>-0.60199999999999998</v>
      </c>
      <c r="Z205" s="13">
        <f t="shared" si="35"/>
        <v>-0.90299999999999991</v>
      </c>
      <c r="AA205" s="13">
        <f t="shared" si="41"/>
        <v>-3</v>
      </c>
    </row>
    <row r="206" spans="1:27" x14ac:dyDescent="0.25">
      <c r="A206" s="35">
        <v>45918.16815972222</v>
      </c>
      <c r="B206" s="36">
        <v>443173043</v>
      </c>
      <c r="C206" s="37" t="s">
        <v>36</v>
      </c>
      <c r="D206" s="37" t="s">
        <v>37</v>
      </c>
      <c r="E206" s="37" t="s">
        <v>38</v>
      </c>
      <c r="F206" s="38">
        <v>3665.97</v>
      </c>
      <c r="G206" s="38">
        <v>3662.97</v>
      </c>
      <c r="H206" s="38">
        <v>3668.97</v>
      </c>
      <c r="I206" s="37" t="s">
        <v>328</v>
      </c>
      <c r="J206" s="38">
        <v>3662.97</v>
      </c>
      <c r="K206" s="38">
        <v>0</v>
      </c>
      <c r="L206" s="38">
        <v>0</v>
      </c>
      <c r="M206" s="39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40">
        <v>45918.16815972222</v>
      </c>
      <c r="B207" s="41">
        <v>443173044</v>
      </c>
      <c r="C207" s="42" t="s">
        <v>36</v>
      </c>
      <c r="D207" s="42" t="s">
        <v>37</v>
      </c>
      <c r="E207" s="42" t="s">
        <v>38</v>
      </c>
      <c r="F207" s="43">
        <v>3665.9</v>
      </c>
      <c r="G207" s="43">
        <v>3663.47</v>
      </c>
      <c r="H207" s="43">
        <v>3668.97</v>
      </c>
      <c r="I207" s="42" t="s">
        <v>329</v>
      </c>
      <c r="J207" s="43">
        <v>3663.42</v>
      </c>
      <c r="K207" s="43">
        <v>0</v>
      </c>
      <c r="L207" s="43">
        <v>0</v>
      </c>
      <c r="M207" s="44">
        <v>-2.48</v>
      </c>
      <c r="N207" s="10" t="str">
        <f t="shared" si="36"/>
        <v>L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3"/>
        <v>-0.248</v>
      </c>
      <c r="Y207" s="13">
        <f t="shared" si="34"/>
        <v>-0.496</v>
      </c>
      <c r="Z207" s="13">
        <f t="shared" si="35"/>
        <v>-0.74399999999999999</v>
      </c>
      <c r="AA207" s="13">
        <f t="shared" si="41"/>
        <v>-3</v>
      </c>
    </row>
    <row r="208" spans="1:27" x14ac:dyDescent="0.25">
      <c r="A208" s="35">
        <v>45918.16815972222</v>
      </c>
      <c r="B208" s="36">
        <v>443173045</v>
      </c>
      <c r="C208" s="37" t="s">
        <v>36</v>
      </c>
      <c r="D208" s="37" t="s">
        <v>37</v>
      </c>
      <c r="E208" s="37" t="s">
        <v>38</v>
      </c>
      <c r="F208" s="38">
        <v>3665.88</v>
      </c>
      <c r="G208" s="38">
        <v>3662.97</v>
      </c>
      <c r="H208" s="38">
        <v>3669.47</v>
      </c>
      <c r="I208" s="37" t="s">
        <v>328</v>
      </c>
      <c r="J208" s="38">
        <v>3662.97</v>
      </c>
      <c r="K208" s="38">
        <v>0</v>
      </c>
      <c r="L208" s="38">
        <v>0</v>
      </c>
      <c r="M208" s="39">
        <v>-2.91</v>
      </c>
      <c r="N208" s="10" t="str">
        <f t="shared" si="36"/>
        <v>L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3"/>
        <v>-0.29100000000000004</v>
      </c>
      <c r="Y208" s="13">
        <f t="shared" si="34"/>
        <v>-0.58200000000000007</v>
      </c>
      <c r="Z208" s="13">
        <f t="shared" si="35"/>
        <v>-0.873</v>
      </c>
      <c r="AA208" s="13">
        <f t="shared" si="41"/>
        <v>-3</v>
      </c>
    </row>
    <row r="209" spans="1:27" x14ac:dyDescent="0.25">
      <c r="A209" s="40">
        <v>45918.169432870367</v>
      </c>
      <c r="B209" s="41">
        <v>443174155</v>
      </c>
      <c r="C209" s="42" t="s">
        <v>36</v>
      </c>
      <c r="D209" s="42" t="s">
        <v>39</v>
      </c>
      <c r="E209" s="42" t="s">
        <v>38</v>
      </c>
      <c r="F209" s="43">
        <v>3662.55</v>
      </c>
      <c r="G209" s="43">
        <v>3660.57</v>
      </c>
      <c r="H209" s="43">
        <v>3656.57</v>
      </c>
      <c r="I209" s="42" t="s">
        <v>330</v>
      </c>
      <c r="J209" s="43">
        <v>3656.56</v>
      </c>
      <c r="K209" s="43">
        <v>0</v>
      </c>
      <c r="L209" s="43">
        <v>0</v>
      </c>
      <c r="M209" s="44">
        <v>5.99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0.59900000000000009</v>
      </c>
      <c r="Y209" s="13">
        <f t="shared" si="34"/>
        <v>1.1980000000000002</v>
      </c>
      <c r="Z209" s="13">
        <f t="shared" si="35"/>
        <v>1.7969999999999999</v>
      </c>
      <c r="AA209" s="13">
        <f t="shared" si="41"/>
        <v>5.99</v>
      </c>
    </row>
    <row r="210" spans="1:27" x14ac:dyDescent="0.25">
      <c r="A210" s="35">
        <v>45918.169432870367</v>
      </c>
      <c r="B210" s="36">
        <v>443174180</v>
      </c>
      <c r="C210" s="37" t="s">
        <v>36</v>
      </c>
      <c r="D210" s="37" t="s">
        <v>39</v>
      </c>
      <c r="E210" s="37" t="s">
        <v>38</v>
      </c>
      <c r="F210" s="38">
        <v>3662.41</v>
      </c>
      <c r="G210" s="38">
        <v>3660.23</v>
      </c>
      <c r="H210" s="37"/>
      <c r="I210" s="37" t="s">
        <v>331</v>
      </c>
      <c r="J210" s="38">
        <v>3660.27</v>
      </c>
      <c r="K210" s="38">
        <v>0</v>
      </c>
      <c r="L210" s="38">
        <v>0</v>
      </c>
      <c r="M210" s="39">
        <v>2.14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0.21400000000000002</v>
      </c>
      <c r="Y210" s="13">
        <f t="shared" si="34"/>
        <v>0.42800000000000005</v>
      </c>
      <c r="Z210" s="13">
        <f t="shared" si="35"/>
        <v>0.64200000000000002</v>
      </c>
      <c r="AA210" s="13">
        <f t="shared" si="41"/>
        <v>-3</v>
      </c>
    </row>
    <row r="211" spans="1:27" x14ac:dyDescent="0.25">
      <c r="A211" s="40">
        <v>45918.169456018521</v>
      </c>
      <c r="B211" s="41">
        <v>443174338</v>
      </c>
      <c r="C211" s="42" t="s">
        <v>36</v>
      </c>
      <c r="D211" s="42" t="s">
        <v>39</v>
      </c>
      <c r="E211" s="42" t="s">
        <v>38</v>
      </c>
      <c r="F211" s="43">
        <v>3661.92</v>
      </c>
      <c r="G211" s="43">
        <v>3662.81</v>
      </c>
      <c r="H211" s="43">
        <v>3657.36</v>
      </c>
      <c r="I211" s="42" t="s">
        <v>332</v>
      </c>
      <c r="J211" s="43">
        <v>3657.3</v>
      </c>
      <c r="K211" s="43">
        <v>0</v>
      </c>
      <c r="L211" s="43">
        <v>0</v>
      </c>
      <c r="M211" s="44">
        <v>4.62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0.46200000000000002</v>
      </c>
      <c r="Y211" s="13">
        <f t="shared" si="34"/>
        <v>0.92400000000000004</v>
      </c>
      <c r="Z211" s="13">
        <f t="shared" si="35"/>
        <v>1.3859999999999999</v>
      </c>
      <c r="AA211" s="13">
        <f t="shared" si="41"/>
        <v>4.62</v>
      </c>
    </row>
    <row r="212" spans="1:27" x14ac:dyDescent="0.25">
      <c r="A212" s="35">
        <v>45918.175219907411</v>
      </c>
      <c r="B212" s="36">
        <v>443176844</v>
      </c>
      <c r="C212" s="37" t="s">
        <v>36</v>
      </c>
      <c r="D212" s="37" t="s">
        <v>39</v>
      </c>
      <c r="E212" s="37" t="s">
        <v>38</v>
      </c>
      <c r="F212" s="38">
        <v>3658.85</v>
      </c>
      <c r="G212" s="38">
        <v>3661.85</v>
      </c>
      <c r="H212" s="38">
        <v>3657.35</v>
      </c>
      <c r="I212" s="37" t="s">
        <v>333</v>
      </c>
      <c r="J212" s="38">
        <v>3657.29</v>
      </c>
      <c r="K212" s="38">
        <v>0</v>
      </c>
      <c r="L212" s="38">
        <v>0</v>
      </c>
      <c r="M212" s="39">
        <v>1.56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0.15600000000000003</v>
      </c>
      <c r="Y212" s="13">
        <f t="shared" si="34"/>
        <v>0.31200000000000006</v>
      </c>
      <c r="Z212" s="13">
        <f t="shared" si="35"/>
        <v>0.46799999999999997</v>
      </c>
      <c r="AA212" s="13">
        <f t="shared" si="41"/>
        <v>-3</v>
      </c>
    </row>
    <row r="213" spans="1:27" x14ac:dyDescent="0.25">
      <c r="A213" s="40">
        <v>45918.175219907411</v>
      </c>
      <c r="B213" s="41">
        <v>443176846</v>
      </c>
      <c r="C213" s="42" t="s">
        <v>36</v>
      </c>
      <c r="D213" s="42" t="s">
        <v>39</v>
      </c>
      <c r="E213" s="42" t="s">
        <v>38</v>
      </c>
      <c r="F213" s="43">
        <v>3658.85</v>
      </c>
      <c r="G213" s="43">
        <v>3658.62</v>
      </c>
      <c r="H213" s="43">
        <v>3655.85</v>
      </c>
      <c r="I213" s="42" t="s">
        <v>334</v>
      </c>
      <c r="J213" s="43">
        <v>3655.61</v>
      </c>
      <c r="K213" s="43">
        <v>0</v>
      </c>
      <c r="L213" s="43">
        <v>0</v>
      </c>
      <c r="M213" s="44">
        <v>3.24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0.32400000000000007</v>
      </c>
      <c r="Y213" s="13">
        <f t="shared" si="34"/>
        <v>0.64800000000000013</v>
      </c>
      <c r="Z213" s="13">
        <f t="shared" si="35"/>
        <v>0.97199999999999998</v>
      </c>
      <c r="AA213" s="13">
        <f t="shared" si="41"/>
        <v>3.24</v>
      </c>
    </row>
    <row r="214" spans="1:27" x14ac:dyDescent="0.25">
      <c r="A214" s="35">
        <v>45918.175219907411</v>
      </c>
      <c r="B214" s="36">
        <v>443176847</v>
      </c>
      <c r="C214" s="37" t="s">
        <v>36</v>
      </c>
      <c r="D214" s="37" t="s">
        <v>39</v>
      </c>
      <c r="E214" s="37" t="s">
        <v>38</v>
      </c>
      <c r="F214" s="38">
        <v>3658.86</v>
      </c>
      <c r="G214" s="38">
        <v>3661.35</v>
      </c>
      <c r="H214" s="38">
        <v>3655.85</v>
      </c>
      <c r="I214" s="37" t="s">
        <v>335</v>
      </c>
      <c r="J214" s="38">
        <v>3661.43</v>
      </c>
      <c r="K214" s="38">
        <v>0</v>
      </c>
      <c r="L214" s="38">
        <v>0</v>
      </c>
      <c r="M214" s="39">
        <v>-2.57</v>
      </c>
      <c r="N214" s="10" t="str">
        <f t="shared" si="36"/>
        <v>L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3"/>
        <v>-0.25700000000000001</v>
      </c>
      <c r="Y214" s="13">
        <f t="shared" si="34"/>
        <v>-0.51400000000000001</v>
      </c>
      <c r="Z214" s="13">
        <f t="shared" si="35"/>
        <v>-0.77099999999999991</v>
      </c>
      <c r="AA214" s="13">
        <f t="shared" si="41"/>
        <v>-3</v>
      </c>
    </row>
    <row r="215" spans="1:27" x14ac:dyDescent="0.25">
      <c r="A215" s="40">
        <v>45918.175219907411</v>
      </c>
      <c r="B215" s="41">
        <v>443176848</v>
      </c>
      <c r="C215" s="42" t="s">
        <v>36</v>
      </c>
      <c r="D215" s="42" t="s">
        <v>39</v>
      </c>
      <c r="E215" s="42" t="s">
        <v>38</v>
      </c>
      <c r="F215" s="43">
        <v>3658.86</v>
      </c>
      <c r="G215" s="43">
        <v>3657.66</v>
      </c>
      <c r="H215" s="43">
        <v>3655.35</v>
      </c>
      <c r="I215" s="42" t="s">
        <v>336</v>
      </c>
      <c r="J215" s="43">
        <v>3655.34</v>
      </c>
      <c r="K215" s="43">
        <v>0</v>
      </c>
      <c r="L215" s="43">
        <v>0</v>
      </c>
      <c r="M215" s="44">
        <v>3.52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0.35200000000000004</v>
      </c>
      <c r="Y215" s="13">
        <f t="shared" si="34"/>
        <v>0.70400000000000007</v>
      </c>
      <c r="Z215" s="13">
        <f t="shared" si="35"/>
        <v>1.056</v>
      </c>
      <c r="AA215" s="13">
        <f t="shared" si="41"/>
        <v>3.52</v>
      </c>
    </row>
    <row r="216" spans="1:27" x14ac:dyDescent="0.25">
      <c r="A216" s="35">
        <v>45918.184131944443</v>
      </c>
      <c r="B216" s="36">
        <v>443179581</v>
      </c>
      <c r="C216" s="37" t="s">
        <v>36</v>
      </c>
      <c r="D216" s="37" t="s">
        <v>39</v>
      </c>
      <c r="E216" s="37" t="s">
        <v>38</v>
      </c>
      <c r="F216" s="38">
        <v>3654.67</v>
      </c>
      <c r="G216" s="38">
        <v>3657.77</v>
      </c>
      <c r="H216" s="38">
        <v>3653.27</v>
      </c>
      <c r="I216" s="37" t="s">
        <v>337</v>
      </c>
      <c r="J216" s="38">
        <v>3657.9</v>
      </c>
      <c r="K216" s="38">
        <v>0</v>
      </c>
      <c r="L216" s="38">
        <v>0</v>
      </c>
      <c r="M216" s="39">
        <v>-3.23</v>
      </c>
      <c r="N216" s="10" t="str">
        <f t="shared" si="36"/>
        <v>L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3"/>
        <v>-0.32300000000000001</v>
      </c>
      <c r="Y216" s="13">
        <f t="shared" si="34"/>
        <v>-0.64600000000000002</v>
      </c>
      <c r="Z216" s="13">
        <f t="shared" si="35"/>
        <v>-0.96899999999999997</v>
      </c>
      <c r="AA216" s="13">
        <f t="shared" si="41"/>
        <v>-3</v>
      </c>
    </row>
    <row r="217" spans="1:27" x14ac:dyDescent="0.25">
      <c r="A217" s="40">
        <v>45918.184131944443</v>
      </c>
      <c r="B217" s="41">
        <v>443179582</v>
      </c>
      <c r="C217" s="42" t="s">
        <v>36</v>
      </c>
      <c r="D217" s="42" t="s">
        <v>39</v>
      </c>
      <c r="E217" s="42" t="s">
        <v>38</v>
      </c>
      <c r="F217" s="43">
        <v>3654.69</v>
      </c>
      <c r="G217" s="43">
        <v>3657.67</v>
      </c>
      <c r="H217" s="43">
        <v>3651.17</v>
      </c>
      <c r="I217" s="42" t="s">
        <v>337</v>
      </c>
      <c r="J217" s="43">
        <v>3657.9</v>
      </c>
      <c r="K217" s="43">
        <v>0</v>
      </c>
      <c r="L217" s="43">
        <v>0</v>
      </c>
      <c r="M217" s="44">
        <v>-3.21</v>
      </c>
      <c r="N217" s="10" t="str">
        <f t="shared" si="36"/>
        <v>L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3"/>
        <v>-0.32100000000000001</v>
      </c>
      <c r="Y217" s="13">
        <f t="shared" si="34"/>
        <v>-0.64200000000000002</v>
      </c>
      <c r="Z217" s="13">
        <f t="shared" si="35"/>
        <v>-0.96299999999999997</v>
      </c>
      <c r="AA217" s="13">
        <f t="shared" si="41"/>
        <v>-3</v>
      </c>
    </row>
    <row r="218" spans="1:27" x14ac:dyDescent="0.25">
      <c r="A218" s="35">
        <v>45918.184131944443</v>
      </c>
      <c r="B218" s="36">
        <v>443179584</v>
      </c>
      <c r="C218" s="37" t="s">
        <v>36</v>
      </c>
      <c r="D218" s="37" t="s">
        <v>39</v>
      </c>
      <c r="E218" s="37" t="s">
        <v>38</v>
      </c>
      <c r="F218" s="38">
        <v>3654.71</v>
      </c>
      <c r="G218" s="38">
        <v>3657.67</v>
      </c>
      <c r="H218" s="38">
        <v>3651.67</v>
      </c>
      <c r="I218" s="37" t="s">
        <v>337</v>
      </c>
      <c r="J218" s="38">
        <v>3657.9</v>
      </c>
      <c r="K218" s="38">
        <v>0</v>
      </c>
      <c r="L218" s="38">
        <v>0</v>
      </c>
      <c r="M218" s="39">
        <v>-3.19</v>
      </c>
      <c r="N218" s="10" t="str">
        <f t="shared" si="36"/>
        <v>L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3"/>
        <v>-0.31900000000000001</v>
      </c>
      <c r="Y218" s="13">
        <f t="shared" si="34"/>
        <v>-0.63800000000000001</v>
      </c>
      <c r="Z218" s="13">
        <f t="shared" si="35"/>
        <v>-0.95699999999999996</v>
      </c>
      <c r="AA218" s="13">
        <f t="shared" si="41"/>
        <v>-3</v>
      </c>
    </row>
    <row r="219" spans="1:27" x14ac:dyDescent="0.25">
      <c r="A219" s="40">
        <v>45918.184131944443</v>
      </c>
      <c r="B219" s="41">
        <v>443179586</v>
      </c>
      <c r="C219" s="42" t="s">
        <v>36</v>
      </c>
      <c r="D219" s="42" t="s">
        <v>39</v>
      </c>
      <c r="E219" s="42" t="s">
        <v>38</v>
      </c>
      <c r="F219" s="43">
        <v>3654.71</v>
      </c>
      <c r="G219" s="43">
        <v>3657.17</v>
      </c>
      <c r="H219" s="43">
        <v>3651.67</v>
      </c>
      <c r="I219" s="42" t="s">
        <v>338</v>
      </c>
      <c r="J219" s="43">
        <v>3657.24</v>
      </c>
      <c r="K219" s="43">
        <v>0</v>
      </c>
      <c r="L219" s="43">
        <v>0</v>
      </c>
      <c r="M219" s="44">
        <v>-2.5299999999999998</v>
      </c>
      <c r="N219" s="10" t="str">
        <f t="shared" si="36"/>
        <v>L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3"/>
        <v>-0.253</v>
      </c>
      <c r="Y219" s="13">
        <f t="shared" si="34"/>
        <v>-0.50600000000000001</v>
      </c>
      <c r="Z219" s="13">
        <f t="shared" si="35"/>
        <v>-0.7589999999999999</v>
      </c>
      <c r="AA219" s="13">
        <f t="shared" si="41"/>
        <v>-3</v>
      </c>
    </row>
    <row r="220" spans="1:27" x14ac:dyDescent="0.25">
      <c r="A220" s="35">
        <v>45918.184710648151</v>
      </c>
      <c r="B220" s="36">
        <v>443179681</v>
      </c>
      <c r="C220" s="37" t="s">
        <v>36</v>
      </c>
      <c r="D220" s="37" t="s">
        <v>39</v>
      </c>
      <c r="E220" s="37" t="s">
        <v>38</v>
      </c>
      <c r="F220" s="38">
        <v>3655.8</v>
      </c>
      <c r="G220" s="38">
        <v>3655</v>
      </c>
      <c r="H220" s="38">
        <v>3652.34</v>
      </c>
      <c r="I220" s="37" t="s">
        <v>339</v>
      </c>
      <c r="J220" s="38">
        <v>3655</v>
      </c>
      <c r="K220" s="38">
        <v>0</v>
      </c>
      <c r="L220" s="38">
        <v>0</v>
      </c>
      <c r="M220" s="39">
        <v>0.8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3"/>
        <v>8.0000000000000016E-2</v>
      </c>
      <c r="Y220" s="13">
        <f t="shared" si="34"/>
        <v>0.16000000000000003</v>
      </c>
      <c r="Z220" s="13">
        <f t="shared" si="35"/>
        <v>0.24</v>
      </c>
      <c r="AA220" s="13">
        <f t="shared" si="41"/>
        <v>-3</v>
      </c>
    </row>
    <row r="221" spans="1:27" x14ac:dyDescent="0.25">
      <c r="A221" s="40">
        <v>45918.186793981484</v>
      </c>
      <c r="B221" s="41">
        <v>443180410</v>
      </c>
      <c r="C221" s="42" t="s">
        <v>36</v>
      </c>
      <c r="D221" s="42" t="s">
        <v>39</v>
      </c>
      <c r="E221" s="42" t="s">
        <v>38</v>
      </c>
      <c r="F221" s="43">
        <v>3655.94</v>
      </c>
      <c r="G221" s="43">
        <v>3658.94</v>
      </c>
      <c r="H221" s="43">
        <v>3654.44</v>
      </c>
      <c r="I221" s="42" t="s">
        <v>340</v>
      </c>
      <c r="J221" s="43">
        <v>3654.37</v>
      </c>
      <c r="K221" s="43">
        <v>0</v>
      </c>
      <c r="L221" s="43">
        <v>0</v>
      </c>
      <c r="M221" s="44">
        <v>1.57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0.15700000000000003</v>
      </c>
      <c r="Y221" s="13">
        <f t="shared" si="34"/>
        <v>0.31400000000000006</v>
      </c>
      <c r="Z221" s="13">
        <f t="shared" si="35"/>
        <v>0.47099999999999997</v>
      </c>
      <c r="AA221" s="13">
        <f t="shared" si="41"/>
        <v>-3</v>
      </c>
    </row>
    <row r="222" spans="1:27" x14ac:dyDescent="0.25">
      <c r="A222" s="35">
        <v>45918.186793981484</v>
      </c>
      <c r="B222" s="36">
        <v>443180411</v>
      </c>
      <c r="C222" s="37" t="s">
        <v>36</v>
      </c>
      <c r="D222" s="37" t="s">
        <v>39</v>
      </c>
      <c r="E222" s="37" t="s">
        <v>38</v>
      </c>
      <c r="F222" s="38">
        <v>3655.94</v>
      </c>
      <c r="G222" s="38">
        <v>3654.69</v>
      </c>
      <c r="H222" s="38">
        <v>3652.94</v>
      </c>
      <c r="I222" s="37" t="s">
        <v>341</v>
      </c>
      <c r="J222" s="38">
        <v>3652.87</v>
      </c>
      <c r="K222" s="38">
        <v>0</v>
      </c>
      <c r="L222" s="38">
        <v>0</v>
      </c>
      <c r="M222" s="39">
        <v>3.07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0.307</v>
      </c>
      <c r="Y222" s="13">
        <f t="shared" si="34"/>
        <v>0.61399999999999999</v>
      </c>
      <c r="Z222" s="13">
        <f t="shared" si="35"/>
        <v>0.92099999999999993</v>
      </c>
      <c r="AA222" s="13">
        <f t="shared" si="41"/>
        <v>3.07</v>
      </c>
    </row>
    <row r="223" spans="1:27" x14ac:dyDescent="0.25">
      <c r="A223" s="40">
        <v>45918.186793981484</v>
      </c>
      <c r="B223" s="41">
        <v>443180412</v>
      </c>
      <c r="C223" s="42" t="s">
        <v>36</v>
      </c>
      <c r="D223" s="42" t="s">
        <v>39</v>
      </c>
      <c r="E223" s="42" t="s">
        <v>38</v>
      </c>
      <c r="F223" s="43">
        <v>3655.94</v>
      </c>
      <c r="G223" s="43">
        <v>3654.7</v>
      </c>
      <c r="H223" s="43">
        <v>3652.44</v>
      </c>
      <c r="I223" s="42" t="s">
        <v>342</v>
      </c>
      <c r="J223" s="43">
        <v>3654.71</v>
      </c>
      <c r="K223" s="43">
        <v>0</v>
      </c>
      <c r="L223" s="43">
        <v>0</v>
      </c>
      <c r="M223" s="44">
        <v>1.23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0.123</v>
      </c>
      <c r="Y223" s="13">
        <f t="shared" si="34"/>
        <v>0.246</v>
      </c>
      <c r="Z223" s="13">
        <f t="shared" si="35"/>
        <v>0.36899999999999999</v>
      </c>
      <c r="AA223" s="13">
        <f t="shared" si="41"/>
        <v>-3</v>
      </c>
    </row>
    <row r="224" spans="1:27" x14ac:dyDescent="0.25">
      <c r="A224" s="35">
        <v>45918.186793981484</v>
      </c>
      <c r="B224" s="36">
        <v>443180413</v>
      </c>
      <c r="C224" s="37" t="s">
        <v>36</v>
      </c>
      <c r="D224" s="37" t="s">
        <v>39</v>
      </c>
      <c r="E224" s="37" t="s">
        <v>38</v>
      </c>
      <c r="F224" s="38">
        <v>3655.98</v>
      </c>
      <c r="G224" s="38">
        <v>3654.69</v>
      </c>
      <c r="H224" s="38">
        <v>3652.94</v>
      </c>
      <c r="I224" s="37" t="s">
        <v>341</v>
      </c>
      <c r="J224" s="38">
        <v>3652.87</v>
      </c>
      <c r="K224" s="38">
        <v>0</v>
      </c>
      <c r="L224" s="38">
        <v>0</v>
      </c>
      <c r="M224" s="39">
        <v>3.11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0.311</v>
      </c>
      <c r="Y224" s="13">
        <f t="shared" si="34"/>
        <v>0.622</v>
      </c>
      <c r="Z224" s="13">
        <f t="shared" si="35"/>
        <v>0.93299999999999994</v>
      </c>
      <c r="AA224" s="13">
        <f t="shared" si="41"/>
        <v>3.11</v>
      </c>
    </row>
    <row r="225" spans="1:27" x14ac:dyDescent="0.25">
      <c r="A225" s="40">
        <v>45918.189918981479</v>
      </c>
      <c r="B225" s="41">
        <v>443181766</v>
      </c>
      <c r="C225" s="42" t="s">
        <v>36</v>
      </c>
      <c r="D225" s="42" t="s">
        <v>39</v>
      </c>
      <c r="E225" s="42" t="s">
        <v>38</v>
      </c>
      <c r="F225" s="43">
        <v>3654.48</v>
      </c>
      <c r="G225" s="43">
        <v>3657.46</v>
      </c>
      <c r="H225" s="43">
        <v>3652.96</v>
      </c>
      <c r="I225" s="42" t="s">
        <v>343</v>
      </c>
      <c r="J225" s="43">
        <v>3652.8</v>
      </c>
      <c r="K225" s="43">
        <v>0</v>
      </c>
      <c r="L225" s="43">
        <v>0</v>
      </c>
      <c r="M225" s="44">
        <v>1.68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0.16800000000000001</v>
      </c>
      <c r="Y225" s="13">
        <f t="shared" si="34"/>
        <v>0.33600000000000002</v>
      </c>
      <c r="Z225" s="13">
        <f t="shared" si="35"/>
        <v>0.504</v>
      </c>
      <c r="AA225" s="13">
        <f t="shared" si="41"/>
        <v>-3</v>
      </c>
    </row>
    <row r="226" spans="1:27" x14ac:dyDescent="0.25">
      <c r="A226" s="35">
        <v>45918.189918981479</v>
      </c>
      <c r="B226" s="36">
        <v>443181767</v>
      </c>
      <c r="C226" s="37" t="s">
        <v>36</v>
      </c>
      <c r="D226" s="37" t="s">
        <v>39</v>
      </c>
      <c r="E226" s="37" t="s">
        <v>38</v>
      </c>
      <c r="F226" s="38">
        <v>3654.44</v>
      </c>
      <c r="G226" s="38">
        <v>3656.98</v>
      </c>
      <c r="H226" s="38">
        <v>3651.48</v>
      </c>
      <c r="I226" s="37" t="s">
        <v>344</v>
      </c>
      <c r="J226" s="38">
        <v>3657.14</v>
      </c>
      <c r="K226" s="38">
        <v>0</v>
      </c>
      <c r="L226" s="38">
        <v>0</v>
      </c>
      <c r="M226" s="39">
        <v>-2.7</v>
      </c>
      <c r="N226" s="10" t="str">
        <f t="shared" si="36"/>
        <v>L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3"/>
        <v>-0.27</v>
      </c>
      <c r="Y226" s="13">
        <f t="shared" si="34"/>
        <v>-0.54</v>
      </c>
      <c r="Z226" s="13">
        <f t="shared" si="35"/>
        <v>-0.81</v>
      </c>
      <c r="AA226" s="13">
        <f t="shared" si="41"/>
        <v>-3</v>
      </c>
    </row>
    <row r="227" spans="1:27" x14ac:dyDescent="0.25">
      <c r="A227" s="40">
        <v>45918.189918981479</v>
      </c>
      <c r="B227" s="41">
        <v>443181769</v>
      </c>
      <c r="C227" s="42" t="s">
        <v>36</v>
      </c>
      <c r="D227" s="42" t="s">
        <v>39</v>
      </c>
      <c r="E227" s="42" t="s">
        <v>38</v>
      </c>
      <c r="F227" s="43">
        <v>3654.45</v>
      </c>
      <c r="G227" s="43">
        <v>3657.48</v>
      </c>
      <c r="H227" s="43">
        <v>3650.98</v>
      </c>
      <c r="I227" s="42" t="s">
        <v>345</v>
      </c>
      <c r="J227" s="43">
        <v>3657.48</v>
      </c>
      <c r="K227" s="43">
        <v>0</v>
      </c>
      <c r="L227" s="43">
        <v>0</v>
      </c>
      <c r="M227" s="44">
        <v>-3.03</v>
      </c>
      <c r="N227" s="10" t="str">
        <f t="shared" si="36"/>
        <v>L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3"/>
        <v>-0.30299999999999999</v>
      </c>
      <c r="Y227" s="13">
        <f t="shared" si="34"/>
        <v>-0.60599999999999998</v>
      </c>
      <c r="Z227" s="13">
        <f t="shared" si="35"/>
        <v>-0.90899999999999992</v>
      </c>
      <c r="AA227" s="13">
        <f t="shared" si="41"/>
        <v>-3</v>
      </c>
    </row>
    <row r="228" spans="1:27" x14ac:dyDescent="0.25">
      <c r="A228" s="35">
        <v>45918.189918981479</v>
      </c>
      <c r="B228" s="36">
        <v>443181770</v>
      </c>
      <c r="C228" s="37" t="s">
        <v>36</v>
      </c>
      <c r="D228" s="37" t="s">
        <v>39</v>
      </c>
      <c r="E228" s="37" t="s">
        <v>38</v>
      </c>
      <c r="F228" s="38">
        <v>3654.45</v>
      </c>
      <c r="G228" s="38">
        <v>3657.48</v>
      </c>
      <c r="H228" s="38">
        <v>3651.48</v>
      </c>
      <c r="I228" s="37" t="s">
        <v>345</v>
      </c>
      <c r="J228" s="38">
        <v>3657.48</v>
      </c>
      <c r="K228" s="38">
        <v>0</v>
      </c>
      <c r="L228" s="38">
        <v>0</v>
      </c>
      <c r="M228" s="39">
        <v>-3.03</v>
      </c>
      <c r="N228" s="10" t="str">
        <f t="shared" si="36"/>
        <v>L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3"/>
        <v>-0.30299999999999999</v>
      </c>
      <c r="Y228" s="13">
        <f t="shared" si="34"/>
        <v>-0.60599999999999998</v>
      </c>
      <c r="Z228" s="13">
        <f t="shared" si="35"/>
        <v>-0.90899999999999992</v>
      </c>
      <c r="AA228" s="13">
        <f t="shared" si="41"/>
        <v>-3</v>
      </c>
    </row>
    <row r="229" spans="1:27" x14ac:dyDescent="0.25">
      <c r="A229" s="40">
        <v>45918.190266203703</v>
      </c>
      <c r="B229" s="41">
        <v>443181911</v>
      </c>
      <c r="C229" s="42" t="s">
        <v>36</v>
      </c>
      <c r="D229" s="42" t="s">
        <v>39</v>
      </c>
      <c r="E229" s="42" t="s">
        <v>38</v>
      </c>
      <c r="F229" s="43">
        <v>3655.2</v>
      </c>
      <c r="G229" s="43">
        <v>3658.18</v>
      </c>
      <c r="H229" s="43">
        <v>3651.68</v>
      </c>
      <c r="I229" s="42" t="s">
        <v>346</v>
      </c>
      <c r="J229" s="43">
        <v>3658.3</v>
      </c>
      <c r="K229" s="43">
        <v>0</v>
      </c>
      <c r="L229" s="43">
        <v>0</v>
      </c>
      <c r="M229" s="44">
        <v>-3.1</v>
      </c>
      <c r="N229" s="10" t="str">
        <f t="shared" si="36"/>
        <v>L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3"/>
        <v>-0.31000000000000005</v>
      </c>
      <c r="Y229" s="13">
        <f t="shared" si="34"/>
        <v>-0.62000000000000011</v>
      </c>
      <c r="Z229" s="13">
        <f t="shared" si="35"/>
        <v>-0.92999999999999994</v>
      </c>
      <c r="AA229" s="13">
        <f t="shared" si="41"/>
        <v>-3</v>
      </c>
    </row>
    <row r="230" spans="1:27" x14ac:dyDescent="0.25">
      <c r="A230" s="35">
        <v>45918.193391203706</v>
      </c>
      <c r="B230" s="36">
        <v>443182825</v>
      </c>
      <c r="C230" s="37" t="s">
        <v>36</v>
      </c>
      <c r="D230" s="37" t="s">
        <v>39</v>
      </c>
      <c r="E230" s="37" t="s">
        <v>38</v>
      </c>
      <c r="F230" s="38">
        <v>3654.48</v>
      </c>
      <c r="G230" s="38">
        <v>3657.29</v>
      </c>
      <c r="H230" s="38">
        <v>3652.79</v>
      </c>
      <c r="I230" s="37" t="s">
        <v>345</v>
      </c>
      <c r="J230" s="38">
        <v>3657.46</v>
      </c>
      <c r="K230" s="38">
        <v>0</v>
      </c>
      <c r="L230" s="38">
        <v>0</v>
      </c>
      <c r="M230" s="39">
        <v>-2.98</v>
      </c>
      <c r="N230" s="10" t="str">
        <f t="shared" si="36"/>
        <v>L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3"/>
        <v>-0.29799999999999999</v>
      </c>
      <c r="Y230" s="13">
        <f t="shared" si="34"/>
        <v>-0.59599999999999997</v>
      </c>
      <c r="Z230" s="13">
        <f t="shared" si="35"/>
        <v>-0.89400000000000002</v>
      </c>
      <c r="AA230" s="13">
        <f t="shared" si="41"/>
        <v>-3</v>
      </c>
    </row>
    <row r="231" spans="1:27" x14ac:dyDescent="0.25">
      <c r="A231" s="40">
        <v>45918.196168981478</v>
      </c>
      <c r="B231" s="41">
        <v>443184013</v>
      </c>
      <c r="C231" s="42" t="s">
        <v>36</v>
      </c>
      <c r="D231" s="42" t="s">
        <v>39</v>
      </c>
      <c r="E231" s="42" t="s">
        <v>38</v>
      </c>
      <c r="F231" s="43">
        <v>3655.35</v>
      </c>
      <c r="G231" s="43">
        <v>3658.35</v>
      </c>
      <c r="H231" s="43">
        <v>3651.85</v>
      </c>
      <c r="I231" s="42" t="s">
        <v>347</v>
      </c>
      <c r="J231" s="43">
        <v>3658.35</v>
      </c>
      <c r="K231" s="43">
        <v>0</v>
      </c>
      <c r="L231" s="43">
        <v>0</v>
      </c>
      <c r="M231" s="44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35">
        <v>45918.208784722221</v>
      </c>
      <c r="B232" s="36">
        <v>443186621</v>
      </c>
      <c r="C232" s="37" t="s">
        <v>36</v>
      </c>
      <c r="D232" s="37" t="s">
        <v>39</v>
      </c>
      <c r="E232" s="37" t="s">
        <v>38</v>
      </c>
      <c r="F232" s="38">
        <v>3655.81</v>
      </c>
      <c r="G232" s="38">
        <v>3658.82</v>
      </c>
      <c r="H232" s="38">
        <v>3652.32</v>
      </c>
      <c r="I232" s="37" t="s">
        <v>348</v>
      </c>
      <c r="J232" s="38">
        <v>3658.88</v>
      </c>
      <c r="K232" s="38">
        <v>0</v>
      </c>
      <c r="L232" s="38">
        <v>0</v>
      </c>
      <c r="M232" s="39">
        <v>-3.07</v>
      </c>
      <c r="N232" s="10" t="str">
        <f t="shared" si="36"/>
        <v>L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3"/>
        <v>-0.307</v>
      </c>
      <c r="Y232" s="13">
        <f t="shared" si="34"/>
        <v>-0.61399999999999999</v>
      </c>
      <c r="Z232" s="13">
        <f t="shared" si="35"/>
        <v>-0.92099999999999993</v>
      </c>
      <c r="AA232" s="13">
        <f t="shared" si="41"/>
        <v>-3</v>
      </c>
    </row>
    <row r="233" spans="1:27" x14ac:dyDescent="0.25">
      <c r="A233" s="40">
        <v>45918.211215277777</v>
      </c>
      <c r="B233" s="41">
        <v>443186951</v>
      </c>
      <c r="C233" s="42" t="s">
        <v>36</v>
      </c>
      <c r="D233" s="42" t="s">
        <v>37</v>
      </c>
      <c r="E233" s="42" t="s">
        <v>38</v>
      </c>
      <c r="F233" s="43">
        <v>3656.76</v>
      </c>
      <c r="G233" s="43">
        <v>3656.54</v>
      </c>
      <c r="H233" s="43">
        <v>3658.28</v>
      </c>
      <c r="I233" s="42" t="s">
        <v>349</v>
      </c>
      <c r="J233" s="43">
        <v>3658.3</v>
      </c>
      <c r="K233" s="43">
        <v>0</v>
      </c>
      <c r="L233" s="43">
        <v>0</v>
      </c>
      <c r="M233" s="44">
        <v>1.54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0.15400000000000003</v>
      </c>
      <c r="Y233" s="13">
        <f t="shared" si="34"/>
        <v>0.30800000000000005</v>
      </c>
      <c r="Z233" s="13">
        <f t="shared" si="35"/>
        <v>0.46199999999999997</v>
      </c>
      <c r="AA233" s="13">
        <f t="shared" si="41"/>
        <v>-3</v>
      </c>
    </row>
    <row r="234" spans="1:27" x14ac:dyDescent="0.25">
      <c r="A234" s="35">
        <v>45918.211215277777</v>
      </c>
      <c r="B234" s="36">
        <v>443186953</v>
      </c>
      <c r="C234" s="37" t="s">
        <v>36</v>
      </c>
      <c r="D234" s="37" t="s">
        <v>37</v>
      </c>
      <c r="E234" s="37" t="s">
        <v>38</v>
      </c>
      <c r="F234" s="38">
        <v>3656.76</v>
      </c>
      <c r="G234" s="38">
        <v>3657.09</v>
      </c>
      <c r="H234" s="38">
        <v>3659.76</v>
      </c>
      <c r="I234" s="37" t="s">
        <v>350</v>
      </c>
      <c r="J234" s="38">
        <v>3659.76</v>
      </c>
      <c r="K234" s="38">
        <v>0</v>
      </c>
      <c r="L234" s="38">
        <v>0</v>
      </c>
      <c r="M234" s="39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40">
        <v>45918.211215277777</v>
      </c>
      <c r="B235" s="41">
        <v>443186954</v>
      </c>
      <c r="C235" s="42" t="s">
        <v>36</v>
      </c>
      <c r="D235" s="42" t="s">
        <v>37</v>
      </c>
      <c r="E235" s="42" t="s">
        <v>38</v>
      </c>
      <c r="F235" s="43">
        <v>3656.76</v>
      </c>
      <c r="G235" s="43">
        <v>3657.09</v>
      </c>
      <c r="H235" s="43">
        <v>3659.76</v>
      </c>
      <c r="I235" s="42" t="s">
        <v>350</v>
      </c>
      <c r="J235" s="43">
        <v>3659.76</v>
      </c>
      <c r="K235" s="43">
        <v>0</v>
      </c>
      <c r="L235" s="43">
        <v>0</v>
      </c>
      <c r="M235" s="44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35">
        <v>45918.211215277777</v>
      </c>
      <c r="B236" s="36">
        <v>443186955</v>
      </c>
      <c r="C236" s="37" t="s">
        <v>36</v>
      </c>
      <c r="D236" s="37" t="s">
        <v>37</v>
      </c>
      <c r="E236" s="37" t="s">
        <v>38</v>
      </c>
      <c r="F236" s="38">
        <v>3656.78</v>
      </c>
      <c r="G236" s="38">
        <v>3657.66</v>
      </c>
      <c r="H236" s="38">
        <v>3660.26</v>
      </c>
      <c r="I236" s="37" t="s">
        <v>351</v>
      </c>
      <c r="J236" s="38">
        <v>3660.27</v>
      </c>
      <c r="K236" s="38">
        <v>0</v>
      </c>
      <c r="L236" s="38">
        <v>0</v>
      </c>
      <c r="M236" s="39">
        <v>3.49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0.34900000000000003</v>
      </c>
      <c r="Y236" s="13">
        <f t="shared" si="34"/>
        <v>0.69800000000000006</v>
      </c>
      <c r="Z236" s="13">
        <f t="shared" si="35"/>
        <v>1.0469999999999999</v>
      </c>
      <c r="AA236" s="13">
        <f t="shared" si="41"/>
        <v>3.49</v>
      </c>
    </row>
    <row r="237" spans="1:27" x14ac:dyDescent="0.25">
      <c r="A237" s="40">
        <v>45918.219884259262</v>
      </c>
      <c r="B237" s="41">
        <v>443189685</v>
      </c>
      <c r="C237" s="42" t="s">
        <v>36</v>
      </c>
      <c r="D237" s="42" t="s">
        <v>37</v>
      </c>
      <c r="E237" s="42" t="s">
        <v>38</v>
      </c>
      <c r="F237" s="43">
        <v>3661.86</v>
      </c>
      <c r="G237" s="43">
        <v>3658.86</v>
      </c>
      <c r="H237" s="43">
        <v>3663.36</v>
      </c>
      <c r="I237" s="42" t="s">
        <v>352</v>
      </c>
      <c r="J237" s="43">
        <v>3663.39</v>
      </c>
      <c r="K237" s="43">
        <v>0</v>
      </c>
      <c r="L237" s="43">
        <v>0</v>
      </c>
      <c r="M237" s="44">
        <v>1.53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0.15300000000000002</v>
      </c>
      <c r="Y237" s="13">
        <f t="shared" si="34"/>
        <v>0.30600000000000005</v>
      </c>
      <c r="Z237" s="13">
        <f t="shared" si="35"/>
        <v>0.45899999999999996</v>
      </c>
      <c r="AA237" s="13">
        <f t="shared" si="41"/>
        <v>-3</v>
      </c>
    </row>
    <row r="238" spans="1:27" x14ac:dyDescent="0.25">
      <c r="A238" s="35">
        <v>45918.219895833332</v>
      </c>
      <c r="B238" s="36">
        <v>443189686</v>
      </c>
      <c r="C238" s="37" t="s">
        <v>36</v>
      </c>
      <c r="D238" s="37" t="s">
        <v>37</v>
      </c>
      <c r="E238" s="37" t="s">
        <v>38</v>
      </c>
      <c r="F238" s="38">
        <v>3661.86</v>
      </c>
      <c r="G238" s="38">
        <v>3662.21</v>
      </c>
      <c r="H238" s="38">
        <v>3664.86</v>
      </c>
      <c r="I238" s="37" t="s">
        <v>353</v>
      </c>
      <c r="J238" s="38">
        <v>3662.19</v>
      </c>
      <c r="K238" s="38">
        <v>0</v>
      </c>
      <c r="L238" s="38">
        <v>0</v>
      </c>
      <c r="M238" s="39">
        <v>0.33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3"/>
        <v>3.3000000000000002E-2</v>
      </c>
      <c r="Y238" s="13">
        <f t="shared" si="34"/>
        <v>6.6000000000000003E-2</v>
      </c>
      <c r="Z238" s="13">
        <f t="shared" si="35"/>
        <v>9.9000000000000005E-2</v>
      </c>
      <c r="AA238" s="13">
        <f t="shared" si="41"/>
        <v>-3</v>
      </c>
    </row>
    <row r="239" spans="1:27" x14ac:dyDescent="0.25">
      <c r="A239" s="40">
        <v>45918.219895833332</v>
      </c>
      <c r="B239" s="41">
        <v>443189687</v>
      </c>
      <c r="C239" s="42" t="s">
        <v>36</v>
      </c>
      <c r="D239" s="42" t="s">
        <v>37</v>
      </c>
      <c r="E239" s="42" t="s">
        <v>38</v>
      </c>
      <c r="F239" s="43">
        <v>3661.86</v>
      </c>
      <c r="G239" s="43">
        <v>3662.21</v>
      </c>
      <c r="H239" s="43">
        <v>3665.36</v>
      </c>
      <c r="I239" s="42" t="s">
        <v>353</v>
      </c>
      <c r="J239" s="43">
        <v>3662.19</v>
      </c>
      <c r="K239" s="43">
        <v>0</v>
      </c>
      <c r="L239" s="43">
        <v>0</v>
      </c>
      <c r="M239" s="44">
        <v>0.33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3"/>
        <v>3.3000000000000002E-2</v>
      </c>
      <c r="Y239" s="13">
        <f t="shared" si="34"/>
        <v>6.6000000000000003E-2</v>
      </c>
      <c r="Z239" s="13">
        <f t="shared" si="35"/>
        <v>9.9000000000000005E-2</v>
      </c>
      <c r="AA239" s="13">
        <f t="shared" si="41"/>
        <v>-3</v>
      </c>
    </row>
    <row r="240" spans="1:27" x14ac:dyDescent="0.25">
      <c r="A240" s="35">
        <v>45918.219895833332</v>
      </c>
      <c r="B240" s="36">
        <v>443189692</v>
      </c>
      <c r="C240" s="37" t="s">
        <v>36</v>
      </c>
      <c r="D240" s="37" t="s">
        <v>37</v>
      </c>
      <c r="E240" s="37" t="s">
        <v>38</v>
      </c>
      <c r="F240" s="38">
        <v>3661.84</v>
      </c>
      <c r="G240" s="38">
        <v>3662.2</v>
      </c>
      <c r="H240" s="38">
        <v>3664.86</v>
      </c>
      <c r="I240" s="37" t="s">
        <v>353</v>
      </c>
      <c r="J240" s="38">
        <v>3662.19</v>
      </c>
      <c r="K240" s="38">
        <v>0</v>
      </c>
      <c r="L240" s="38">
        <v>0</v>
      </c>
      <c r="M240" s="39">
        <v>0.35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3"/>
        <v>3.4999999999999996E-2</v>
      </c>
      <c r="Y240" s="13">
        <f t="shared" si="34"/>
        <v>6.9999999999999993E-2</v>
      </c>
      <c r="Z240" s="13">
        <f t="shared" si="35"/>
        <v>0.105</v>
      </c>
      <c r="AA240" s="13">
        <f t="shared" si="41"/>
        <v>-3</v>
      </c>
    </row>
    <row r="241" spans="1:27" x14ac:dyDescent="0.25">
      <c r="A241" s="40">
        <v>45918.227986111109</v>
      </c>
      <c r="B241" s="41">
        <v>443190570</v>
      </c>
      <c r="C241" s="42" t="s">
        <v>36</v>
      </c>
      <c r="D241" s="42" t="s">
        <v>37</v>
      </c>
      <c r="E241" s="42" t="s">
        <v>38</v>
      </c>
      <c r="F241" s="43">
        <v>3662.57</v>
      </c>
      <c r="G241" s="43">
        <v>3661.91</v>
      </c>
      <c r="H241" s="43">
        <v>3664.07</v>
      </c>
      <c r="I241" s="42" t="s">
        <v>354</v>
      </c>
      <c r="J241" s="43">
        <v>3664.08</v>
      </c>
      <c r="K241" s="43">
        <v>0</v>
      </c>
      <c r="L241" s="43">
        <v>0</v>
      </c>
      <c r="M241" s="44">
        <v>1.51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0.15100000000000002</v>
      </c>
      <c r="Y241" s="13">
        <f t="shared" si="34"/>
        <v>0.30200000000000005</v>
      </c>
      <c r="Z241" s="13">
        <f t="shared" si="35"/>
        <v>0.45299999999999996</v>
      </c>
      <c r="AA241" s="13">
        <f t="shared" si="41"/>
        <v>-3</v>
      </c>
    </row>
    <row r="242" spans="1:27" x14ac:dyDescent="0.25">
      <c r="A242" s="35">
        <v>45918.228564814817</v>
      </c>
      <c r="B242" s="36">
        <v>443190634</v>
      </c>
      <c r="C242" s="37" t="s">
        <v>36</v>
      </c>
      <c r="D242" s="37" t="s">
        <v>37</v>
      </c>
      <c r="E242" s="37" t="s">
        <v>38</v>
      </c>
      <c r="F242" s="38">
        <v>3662.52</v>
      </c>
      <c r="G242" s="38">
        <v>3662.49</v>
      </c>
      <c r="H242" s="38">
        <v>3665.51</v>
      </c>
      <c r="I242" s="37" t="s">
        <v>355</v>
      </c>
      <c r="J242" s="38">
        <v>3662.46</v>
      </c>
      <c r="K242" s="38">
        <v>0</v>
      </c>
      <c r="L242" s="38">
        <v>0</v>
      </c>
      <c r="M242" s="39">
        <v>-0.06</v>
      </c>
      <c r="N242" s="10" t="str">
        <f t="shared" si="36"/>
        <v>L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3"/>
        <v>-6.0000000000000001E-3</v>
      </c>
      <c r="Y242" s="13">
        <f t="shared" si="34"/>
        <v>-1.2E-2</v>
      </c>
      <c r="Z242" s="13">
        <f t="shared" si="35"/>
        <v>-1.7999999999999999E-2</v>
      </c>
      <c r="AA242" s="13">
        <f t="shared" si="41"/>
        <v>-3</v>
      </c>
    </row>
    <row r="243" spans="1:27" x14ac:dyDescent="0.25">
      <c r="A243" s="40">
        <v>45918.228576388887</v>
      </c>
      <c r="B243" s="41">
        <v>443190635</v>
      </c>
      <c r="C243" s="42" t="s">
        <v>36</v>
      </c>
      <c r="D243" s="42" t="s">
        <v>37</v>
      </c>
      <c r="E243" s="42" t="s">
        <v>38</v>
      </c>
      <c r="F243" s="43">
        <v>3662.52</v>
      </c>
      <c r="G243" s="43">
        <v>3662.49</v>
      </c>
      <c r="H243" s="43">
        <v>3666.02</v>
      </c>
      <c r="I243" s="42" t="s">
        <v>355</v>
      </c>
      <c r="J243" s="43">
        <v>3662.46</v>
      </c>
      <c r="K243" s="43">
        <v>0</v>
      </c>
      <c r="L243" s="43">
        <v>0</v>
      </c>
      <c r="M243" s="44">
        <v>-0.06</v>
      </c>
      <c r="N243" s="10" t="str">
        <f t="shared" si="36"/>
        <v>L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3"/>
        <v>-6.0000000000000001E-3</v>
      </c>
      <c r="Y243" s="13">
        <f t="shared" si="34"/>
        <v>-1.2E-2</v>
      </c>
      <c r="Z243" s="13">
        <f t="shared" si="35"/>
        <v>-1.7999999999999999E-2</v>
      </c>
      <c r="AA243" s="13">
        <f t="shared" si="41"/>
        <v>-3</v>
      </c>
    </row>
    <row r="244" spans="1:27" x14ac:dyDescent="0.25">
      <c r="A244" s="35">
        <v>45918.228576388887</v>
      </c>
      <c r="B244" s="36">
        <v>443190636</v>
      </c>
      <c r="C244" s="37" t="s">
        <v>36</v>
      </c>
      <c r="D244" s="37" t="s">
        <v>37</v>
      </c>
      <c r="E244" s="37" t="s">
        <v>38</v>
      </c>
      <c r="F244" s="38">
        <v>3662.52</v>
      </c>
      <c r="G244" s="38">
        <v>3660.02</v>
      </c>
      <c r="H244" s="38">
        <v>3665.52</v>
      </c>
      <c r="I244" s="37" t="s">
        <v>356</v>
      </c>
      <c r="J244" s="38">
        <v>3660.02</v>
      </c>
      <c r="K244" s="38">
        <v>0</v>
      </c>
      <c r="L244" s="38">
        <v>0</v>
      </c>
      <c r="M244" s="39">
        <v>-2.5</v>
      </c>
      <c r="N244" s="10" t="str">
        <f t="shared" si="36"/>
        <v>L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3"/>
        <v>-0.25</v>
      </c>
      <c r="Y244" s="13">
        <f t="shared" si="34"/>
        <v>-0.5</v>
      </c>
      <c r="Z244" s="13">
        <f t="shared" si="35"/>
        <v>-0.75</v>
      </c>
      <c r="AA244" s="13">
        <f t="shared" si="41"/>
        <v>-3</v>
      </c>
    </row>
    <row r="245" spans="1:27" x14ac:dyDescent="0.25">
      <c r="A245" s="40">
        <v>45918.231342592589</v>
      </c>
      <c r="B245" s="41">
        <v>443191208</v>
      </c>
      <c r="C245" s="42" t="s">
        <v>36</v>
      </c>
      <c r="D245" s="42" t="s">
        <v>37</v>
      </c>
      <c r="E245" s="42" t="s">
        <v>38</v>
      </c>
      <c r="F245" s="43">
        <v>3662.6</v>
      </c>
      <c r="G245" s="43">
        <v>3664.51</v>
      </c>
      <c r="H245" s="43">
        <v>3666.1</v>
      </c>
      <c r="I245" s="42" t="s">
        <v>357</v>
      </c>
      <c r="J245" s="43">
        <v>3664.28</v>
      </c>
      <c r="K245" s="43">
        <v>0</v>
      </c>
      <c r="L245" s="43">
        <v>0</v>
      </c>
      <c r="M245" s="44">
        <v>1.68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0.16800000000000001</v>
      </c>
      <c r="Y245" s="13">
        <f t="shared" si="34"/>
        <v>0.33600000000000002</v>
      </c>
      <c r="Z245" s="13">
        <f t="shared" si="35"/>
        <v>0.504</v>
      </c>
      <c r="AA245" s="13">
        <f t="shared" si="41"/>
        <v>-3</v>
      </c>
    </row>
    <row r="246" spans="1:27" x14ac:dyDescent="0.25">
      <c r="A246" s="35">
        <v>45918.231354166666</v>
      </c>
      <c r="B246" s="36">
        <v>443191209</v>
      </c>
      <c r="C246" s="37" t="s">
        <v>36</v>
      </c>
      <c r="D246" s="37" t="s">
        <v>37</v>
      </c>
      <c r="E246" s="37" t="s">
        <v>38</v>
      </c>
      <c r="F246" s="38">
        <v>3662.6</v>
      </c>
      <c r="G246" s="38">
        <v>3664.51</v>
      </c>
      <c r="H246" s="38">
        <v>3666.1</v>
      </c>
      <c r="I246" s="37" t="s">
        <v>357</v>
      </c>
      <c r="J246" s="38">
        <v>3664.28</v>
      </c>
      <c r="K246" s="38">
        <v>0</v>
      </c>
      <c r="L246" s="38">
        <v>0</v>
      </c>
      <c r="M246" s="39">
        <v>1.68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0.16800000000000001</v>
      </c>
      <c r="Y246" s="13">
        <f t="shared" si="34"/>
        <v>0.33600000000000002</v>
      </c>
      <c r="Z246" s="13">
        <f t="shared" si="35"/>
        <v>0.504</v>
      </c>
      <c r="AA246" s="13">
        <f t="shared" si="41"/>
        <v>-3</v>
      </c>
    </row>
    <row r="247" spans="1:27" x14ac:dyDescent="0.25">
      <c r="A247" s="40">
        <v>45918.244537037041</v>
      </c>
      <c r="B247" s="41">
        <v>443194416</v>
      </c>
      <c r="C247" s="42" t="s">
        <v>36</v>
      </c>
      <c r="D247" s="42" t="s">
        <v>37</v>
      </c>
      <c r="E247" s="42" t="s">
        <v>38</v>
      </c>
      <c r="F247" s="43">
        <v>3664.23</v>
      </c>
      <c r="G247" s="43">
        <v>3664.27</v>
      </c>
      <c r="H247" s="43">
        <v>3665.73</v>
      </c>
      <c r="I247" s="42" t="s">
        <v>358</v>
      </c>
      <c r="J247" s="43">
        <v>3665.82</v>
      </c>
      <c r="K247" s="43">
        <v>0</v>
      </c>
      <c r="L247" s="43">
        <v>0</v>
      </c>
      <c r="M247" s="44">
        <v>1.59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0.15900000000000003</v>
      </c>
      <c r="Y247" s="13">
        <f t="shared" si="34"/>
        <v>0.31800000000000006</v>
      </c>
      <c r="Z247" s="13">
        <f t="shared" si="35"/>
        <v>0.47699999999999998</v>
      </c>
      <c r="AA247" s="13">
        <f t="shared" si="41"/>
        <v>-3</v>
      </c>
    </row>
    <row r="248" spans="1:27" x14ac:dyDescent="0.25">
      <c r="A248" s="35">
        <v>45918.24454861111</v>
      </c>
      <c r="B248" s="36">
        <v>443194417</v>
      </c>
      <c r="C248" s="37" t="s">
        <v>36</v>
      </c>
      <c r="D248" s="37" t="s">
        <v>37</v>
      </c>
      <c r="E248" s="37" t="s">
        <v>38</v>
      </c>
      <c r="F248" s="38">
        <v>3664.23</v>
      </c>
      <c r="G248" s="38">
        <v>3664.81</v>
      </c>
      <c r="H248" s="38">
        <v>3667.23</v>
      </c>
      <c r="I248" s="37" t="s">
        <v>359</v>
      </c>
      <c r="J248" s="38">
        <v>3664.72</v>
      </c>
      <c r="K248" s="38">
        <v>0</v>
      </c>
      <c r="L248" s="38">
        <v>0</v>
      </c>
      <c r="M248" s="39">
        <v>0.49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3"/>
        <v>4.9000000000000002E-2</v>
      </c>
      <c r="Y248" s="13">
        <f t="shared" si="34"/>
        <v>9.8000000000000004E-2</v>
      </c>
      <c r="Z248" s="13">
        <f t="shared" si="35"/>
        <v>0.14699999999999999</v>
      </c>
      <c r="AA248" s="13">
        <f t="shared" si="41"/>
        <v>-3</v>
      </c>
    </row>
    <row r="249" spans="1:27" x14ac:dyDescent="0.25">
      <c r="A249" s="40">
        <v>45918.24454861111</v>
      </c>
      <c r="B249" s="41">
        <v>443194418</v>
      </c>
      <c r="C249" s="42" t="s">
        <v>36</v>
      </c>
      <c r="D249" s="42" t="s">
        <v>37</v>
      </c>
      <c r="E249" s="42" t="s">
        <v>38</v>
      </c>
      <c r="F249" s="43">
        <v>3664.23</v>
      </c>
      <c r="G249" s="43">
        <v>3664.81</v>
      </c>
      <c r="H249" s="43">
        <v>3667.73</v>
      </c>
      <c r="I249" s="42" t="s">
        <v>359</v>
      </c>
      <c r="J249" s="43">
        <v>3664.72</v>
      </c>
      <c r="K249" s="43">
        <v>0</v>
      </c>
      <c r="L249" s="43">
        <v>0</v>
      </c>
      <c r="M249" s="44">
        <v>0.49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3"/>
        <v>4.9000000000000002E-2</v>
      </c>
      <c r="Y249" s="13">
        <f t="shared" si="34"/>
        <v>9.8000000000000004E-2</v>
      </c>
      <c r="Z249" s="13">
        <f t="shared" si="35"/>
        <v>0.14699999999999999</v>
      </c>
      <c r="AA249" s="13">
        <f t="shared" si="41"/>
        <v>-3</v>
      </c>
    </row>
    <row r="250" spans="1:27" x14ac:dyDescent="0.25">
      <c r="A250" s="35">
        <v>45918.24454861111</v>
      </c>
      <c r="B250" s="36">
        <v>443194419</v>
      </c>
      <c r="C250" s="37" t="s">
        <v>36</v>
      </c>
      <c r="D250" s="37" t="s">
        <v>37</v>
      </c>
      <c r="E250" s="37" t="s">
        <v>38</v>
      </c>
      <c r="F250" s="38">
        <v>3664.23</v>
      </c>
      <c r="G250" s="38">
        <v>3664.81</v>
      </c>
      <c r="H250" s="38">
        <v>3667.23</v>
      </c>
      <c r="I250" s="37" t="s">
        <v>359</v>
      </c>
      <c r="J250" s="38">
        <v>3664.72</v>
      </c>
      <c r="K250" s="38">
        <v>0</v>
      </c>
      <c r="L250" s="38">
        <v>0</v>
      </c>
      <c r="M250" s="39">
        <v>0.49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3"/>
        <v>4.9000000000000002E-2</v>
      </c>
      <c r="Y250" s="13">
        <f t="shared" si="34"/>
        <v>9.8000000000000004E-2</v>
      </c>
      <c r="Z250" s="13">
        <f t="shared" si="35"/>
        <v>0.14699999999999999</v>
      </c>
      <c r="AA250" s="13">
        <f t="shared" si="41"/>
        <v>-3</v>
      </c>
    </row>
    <row r="251" spans="1:27" x14ac:dyDescent="0.25">
      <c r="A251" s="40">
        <v>45918.24962962963</v>
      </c>
      <c r="B251" s="41">
        <v>443195368</v>
      </c>
      <c r="C251" s="42" t="s">
        <v>36</v>
      </c>
      <c r="D251" s="42" t="s">
        <v>37</v>
      </c>
      <c r="E251" s="42" t="s">
        <v>38</v>
      </c>
      <c r="F251" s="43">
        <v>3665.06</v>
      </c>
      <c r="G251" s="43">
        <v>3662.06</v>
      </c>
      <c r="H251" s="43">
        <v>3666.56</v>
      </c>
      <c r="I251" s="42" t="s">
        <v>360</v>
      </c>
      <c r="J251" s="43">
        <v>3662.06</v>
      </c>
      <c r="K251" s="43">
        <v>0</v>
      </c>
      <c r="L251" s="43">
        <v>0</v>
      </c>
      <c r="M251" s="44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35">
        <v>45918.250902777778</v>
      </c>
      <c r="B252" s="36">
        <v>443195725</v>
      </c>
      <c r="C252" s="37" t="s">
        <v>36</v>
      </c>
      <c r="D252" s="37" t="s">
        <v>37</v>
      </c>
      <c r="E252" s="37" t="s">
        <v>38</v>
      </c>
      <c r="F252" s="38">
        <v>3664.98</v>
      </c>
      <c r="G252" s="38">
        <v>3662.01</v>
      </c>
      <c r="H252" s="38">
        <v>3668.01</v>
      </c>
      <c r="I252" s="37" t="s">
        <v>361</v>
      </c>
      <c r="J252" s="38">
        <v>3662.01</v>
      </c>
      <c r="K252" s="38">
        <v>0</v>
      </c>
      <c r="L252" s="38">
        <v>0</v>
      </c>
      <c r="M252" s="39">
        <v>-2.97</v>
      </c>
      <c r="N252" s="10" t="str">
        <f t="shared" si="36"/>
        <v>L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3"/>
        <v>-0.29700000000000004</v>
      </c>
      <c r="Y252" s="13">
        <f t="shared" si="34"/>
        <v>-0.59400000000000008</v>
      </c>
      <c r="Z252" s="13">
        <f t="shared" si="35"/>
        <v>-0.89100000000000001</v>
      </c>
      <c r="AA252" s="13">
        <f t="shared" si="41"/>
        <v>-3</v>
      </c>
    </row>
    <row r="253" spans="1:27" x14ac:dyDescent="0.25">
      <c r="A253" s="40">
        <v>45918.250914351855</v>
      </c>
      <c r="B253" s="41">
        <v>443195726</v>
      </c>
      <c r="C253" s="42" t="s">
        <v>36</v>
      </c>
      <c r="D253" s="42" t="s">
        <v>37</v>
      </c>
      <c r="E253" s="42" t="s">
        <v>38</v>
      </c>
      <c r="F253" s="43">
        <v>3665.04</v>
      </c>
      <c r="G253" s="43">
        <v>3662.48</v>
      </c>
      <c r="H253" s="43">
        <v>3667.98</v>
      </c>
      <c r="I253" s="42" t="s">
        <v>362</v>
      </c>
      <c r="J253" s="43">
        <v>3662.48</v>
      </c>
      <c r="K253" s="43">
        <v>0</v>
      </c>
      <c r="L253" s="43">
        <v>0</v>
      </c>
      <c r="M253" s="44">
        <v>-2.56</v>
      </c>
      <c r="N253" s="10" t="str">
        <f t="shared" si="36"/>
        <v>L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3"/>
        <v>-0.25600000000000001</v>
      </c>
      <c r="Y253" s="13">
        <f t="shared" si="34"/>
        <v>-0.51200000000000001</v>
      </c>
      <c r="Z253" s="13">
        <f t="shared" si="35"/>
        <v>-0.76800000000000002</v>
      </c>
      <c r="AA253" s="13">
        <f t="shared" si="41"/>
        <v>-3</v>
      </c>
    </row>
    <row r="254" spans="1:27" x14ac:dyDescent="0.25">
      <c r="A254" s="35">
        <v>45918.250914351855</v>
      </c>
      <c r="B254" s="36">
        <v>443195729</v>
      </c>
      <c r="C254" s="37" t="s">
        <v>36</v>
      </c>
      <c r="D254" s="37" t="s">
        <v>37</v>
      </c>
      <c r="E254" s="37" t="s">
        <v>38</v>
      </c>
      <c r="F254" s="38">
        <v>3665.05</v>
      </c>
      <c r="G254" s="38">
        <v>3661.98</v>
      </c>
      <c r="H254" s="38">
        <v>3668.48</v>
      </c>
      <c r="I254" s="37" t="s">
        <v>361</v>
      </c>
      <c r="J254" s="38">
        <v>3661.96</v>
      </c>
      <c r="K254" s="38">
        <v>0</v>
      </c>
      <c r="L254" s="38">
        <v>0</v>
      </c>
      <c r="M254" s="39">
        <v>-3.09</v>
      </c>
      <c r="N254" s="10" t="str">
        <f t="shared" si="36"/>
        <v>L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3"/>
        <v>-0.309</v>
      </c>
      <c r="Y254" s="13">
        <f t="shared" si="34"/>
        <v>-0.61799999999999999</v>
      </c>
      <c r="Z254" s="13">
        <f t="shared" si="35"/>
        <v>-0.92699999999999994</v>
      </c>
      <c r="AA254" s="13">
        <f t="shared" si="41"/>
        <v>-3</v>
      </c>
    </row>
    <row r="255" spans="1:27" x14ac:dyDescent="0.25">
      <c r="A255" s="40">
        <v>45918.251018518517</v>
      </c>
      <c r="B255" s="41">
        <v>443195777</v>
      </c>
      <c r="C255" s="42" t="s">
        <v>36</v>
      </c>
      <c r="D255" s="42" t="s">
        <v>37</v>
      </c>
      <c r="E255" s="42" t="s">
        <v>38</v>
      </c>
      <c r="F255" s="43">
        <v>3664.52</v>
      </c>
      <c r="G255" s="43">
        <v>3661.5</v>
      </c>
      <c r="H255" s="43">
        <v>3668</v>
      </c>
      <c r="I255" s="42" t="s">
        <v>363</v>
      </c>
      <c r="J255" s="43">
        <v>3661.49</v>
      </c>
      <c r="K255" s="43">
        <v>0</v>
      </c>
      <c r="L255" s="43">
        <v>0</v>
      </c>
      <c r="M255" s="44">
        <v>-3.03</v>
      </c>
      <c r="N255" s="10" t="str">
        <f t="shared" si="36"/>
        <v>L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3"/>
        <v>-0.30299999999999999</v>
      </c>
      <c r="Y255" s="13">
        <f t="shared" si="34"/>
        <v>-0.60599999999999998</v>
      </c>
      <c r="Z255" s="13">
        <f t="shared" si="35"/>
        <v>-0.90899999999999992</v>
      </c>
      <c r="AA255" s="13">
        <f t="shared" si="41"/>
        <v>-3</v>
      </c>
    </row>
    <row r="256" spans="1:27" x14ac:dyDescent="0.25">
      <c r="A256" s="35">
        <v>45918.251030092593</v>
      </c>
      <c r="B256" s="36">
        <v>443195781</v>
      </c>
      <c r="C256" s="37" t="s">
        <v>36</v>
      </c>
      <c r="D256" s="37" t="s">
        <v>37</v>
      </c>
      <c r="E256" s="37" t="s">
        <v>38</v>
      </c>
      <c r="F256" s="38">
        <v>3664.53</v>
      </c>
      <c r="G256" s="38">
        <v>3661.52</v>
      </c>
      <c r="H256" s="38">
        <v>3668.02</v>
      </c>
      <c r="I256" s="37" t="s">
        <v>363</v>
      </c>
      <c r="J256" s="38">
        <v>3661.49</v>
      </c>
      <c r="K256" s="38">
        <v>0</v>
      </c>
      <c r="L256" s="38">
        <v>0</v>
      </c>
      <c r="M256" s="39">
        <v>-3.04</v>
      </c>
      <c r="N256" s="10" t="str">
        <f t="shared" si="36"/>
        <v>L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3"/>
        <v>-0.30400000000000005</v>
      </c>
      <c r="Y256" s="13">
        <f t="shared" si="34"/>
        <v>-0.6080000000000001</v>
      </c>
      <c r="Z256" s="13">
        <f t="shared" si="35"/>
        <v>-0.91199999999999992</v>
      </c>
      <c r="AA256" s="13">
        <f t="shared" si="41"/>
        <v>-3</v>
      </c>
    </row>
    <row r="257" spans="1:27" x14ac:dyDescent="0.25">
      <c r="A257" s="40">
        <v>45918.256805555553</v>
      </c>
      <c r="B257" s="41">
        <v>443197339</v>
      </c>
      <c r="C257" s="42" t="s">
        <v>36</v>
      </c>
      <c r="D257" s="42" t="s">
        <v>39</v>
      </c>
      <c r="E257" s="42" t="s">
        <v>38</v>
      </c>
      <c r="F257" s="43">
        <v>3662.48</v>
      </c>
      <c r="G257" s="43">
        <v>3662.26</v>
      </c>
      <c r="H257" s="43">
        <v>3660.98</v>
      </c>
      <c r="I257" s="42" t="s">
        <v>364</v>
      </c>
      <c r="J257" s="43">
        <v>3662.31</v>
      </c>
      <c r="K257" s="43">
        <v>0</v>
      </c>
      <c r="L257" s="43">
        <v>0</v>
      </c>
      <c r="M257" s="44">
        <v>0.17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3"/>
        <v>1.7000000000000001E-2</v>
      </c>
      <c r="Y257" s="13">
        <f t="shared" si="34"/>
        <v>3.4000000000000002E-2</v>
      </c>
      <c r="Z257" s="13">
        <f t="shared" si="35"/>
        <v>5.1000000000000004E-2</v>
      </c>
      <c r="AA257" s="13">
        <f t="shared" si="41"/>
        <v>-3</v>
      </c>
    </row>
    <row r="258" spans="1:27" x14ac:dyDescent="0.25">
      <c r="A258" s="35">
        <v>45918.25681712963</v>
      </c>
      <c r="B258" s="36">
        <v>443197342</v>
      </c>
      <c r="C258" s="37" t="s">
        <v>36</v>
      </c>
      <c r="D258" s="37" t="s">
        <v>39</v>
      </c>
      <c r="E258" s="37" t="s">
        <v>38</v>
      </c>
      <c r="F258" s="38">
        <v>3662.58</v>
      </c>
      <c r="G258" s="38">
        <v>3662.26</v>
      </c>
      <c r="H258" s="38">
        <v>3659.48</v>
      </c>
      <c r="I258" s="37" t="s">
        <v>364</v>
      </c>
      <c r="J258" s="38">
        <v>3662.31</v>
      </c>
      <c r="K258" s="38">
        <v>0</v>
      </c>
      <c r="L258" s="38">
        <v>0</v>
      </c>
      <c r="M258" s="39">
        <v>0.27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3"/>
        <v>2.7000000000000003E-2</v>
      </c>
      <c r="Y258" s="13">
        <f t="shared" si="34"/>
        <v>5.4000000000000006E-2</v>
      </c>
      <c r="Z258" s="13">
        <f t="shared" si="35"/>
        <v>8.1000000000000003E-2</v>
      </c>
      <c r="AA258" s="13">
        <f t="shared" si="41"/>
        <v>-3</v>
      </c>
    </row>
    <row r="259" spans="1:27" x14ac:dyDescent="0.25">
      <c r="A259" s="40">
        <v>45918.25681712963</v>
      </c>
      <c r="B259" s="41">
        <v>443197343</v>
      </c>
      <c r="C259" s="42" t="s">
        <v>36</v>
      </c>
      <c r="D259" s="42" t="s">
        <v>39</v>
      </c>
      <c r="E259" s="42" t="s">
        <v>38</v>
      </c>
      <c r="F259" s="43">
        <v>3662.58</v>
      </c>
      <c r="G259" s="43">
        <v>3662.26</v>
      </c>
      <c r="H259" s="43">
        <v>3659.48</v>
      </c>
      <c r="I259" s="42" t="s">
        <v>364</v>
      </c>
      <c r="J259" s="43">
        <v>3662.31</v>
      </c>
      <c r="K259" s="43">
        <v>0</v>
      </c>
      <c r="L259" s="43">
        <v>0</v>
      </c>
      <c r="M259" s="44">
        <v>0.27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260" si="42">$M259*0.1</f>
        <v>2.7000000000000003E-2</v>
      </c>
      <c r="Y259" s="13">
        <f t="shared" ref="Y259:Y260" si="43">$M259*0.2</f>
        <v>5.4000000000000006E-2</v>
      </c>
      <c r="Z259" s="13">
        <f t="shared" ref="Z259:Z260" si="44">$M259*0.3</f>
        <v>8.1000000000000003E-2</v>
      </c>
      <c r="AA259" s="13">
        <f t="shared" si="41"/>
        <v>-3</v>
      </c>
    </row>
    <row r="260" spans="1:27" x14ac:dyDescent="0.25">
      <c r="A260" s="35">
        <v>45918.25681712963</v>
      </c>
      <c r="B260" s="36">
        <v>443197345</v>
      </c>
      <c r="C260" s="37" t="s">
        <v>36</v>
      </c>
      <c r="D260" s="37" t="s">
        <v>39</v>
      </c>
      <c r="E260" s="37" t="s">
        <v>38</v>
      </c>
      <c r="F260" s="38">
        <v>3662.58</v>
      </c>
      <c r="G260" s="38">
        <v>3662.26</v>
      </c>
      <c r="H260" s="38">
        <v>3658.98</v>
      </c>
      <c r="I260" s="37" t="s">
        <v>364</v>
      </c>
      <c r="J260" s="38">
        <v>3662.31</v>
      </c>
      <c r="K260" s="38">
        <v>0</v>
      </c>
      <c r="L260" s="38">
        <v>0</v>
      </c>
      <c r="M260" s="39">
        <v>0.27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2"/>
        <v>2.7000000000000003E-2</v>
      </c>
      <c r="Y260" s="13">
        <f t="shared" si="43"/>
        <v>5.4000000000000006E-2</v>
      </c>
      <c r="Z260" s="13">
        <f t="shared" si="44"/>
        <v>8.1000000000000003E-2</v>
      </c>
      <c r="AA260" s="13">
        <f t="shared" si="41"/>
        <v>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525"/>
  <sheetViews>
    <sheetView showGridLines="0" topLeftCell="A10" workbookViewId="0">
      <selection activeCell="L29" sqref="L29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4" width="9.140625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40</v>
      </c>
      <c r="C1" s="3" t="s">
        <v>17</v>
      </c>
      <c r="D1" s="3" t="s">
        <v>18</v>
      </c>
      <c r="E1" s="3" t="s">
        <v>41</v>
      </c>
      <c r="F1" s="3" t="s">
        <v>19</v>
      </c>
      <c r="G1" s="3" t="s">
        <v>20</v>
      </c>
      <c r="H1" s="3" t="s">
        <v>42</v>
      </c>
      <c r="I1" s="3" t="s">
        <v>23</v>
      </c>
      <c r="J1" s="3" t="s">
        <v>43</v>
      </c>
      <c r="K1" s="3" t="s">
        <v>24</v>
      </c>
      <c r="L1" s="3" t="s">
        <v>25</v>
      </c>
      <c r="M1" s="3" t="s">
        <v>44</v>
      </c>
      <c r="N1" s="4" t="s">
        <v>45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40">
        <v>45917.666168981479</v>
      </c>
      <c r="B2" s="41">
        <v>443658705</v>
      </c>
      <c r="C2" s="42" t="s">
        <v>36</v>
      </c>
      <c r="D2" s="42" t="s">
        <v>37</v>
      </c>
      <c r="E2" s="42" t="s">
        <v>46</v>
      </c>
      <c r="F2" s="42" t="s">
        <v>38</v>
      </c>
      <c r="G2" s="43">
        <v>3678.6</v>
      </c>
      <c r="H2" s="41">
        <v>442874070</v>
      </c>
      <c r="I2" s="44">
        <v>0</v>
      </c>
      <c r="J2" s="43">
        <v>0</v>
      </c>
      <c r="K2" s="43">
        <v>0</v>
      </c>
      <c r="L2" s="43">
        <v>0</v>
      </c>
      <c r="M2" s="43">
        <v>10000</v>
      </c>
      <c r="N2" s="45" t="s">
        <v>48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35">
        <v>45917.666180555556</v>
      </c>
      <c r="B3" s="36">
        <v>443658706</v>
      </c>
      <c r="C3" s="37" t="s">
        <v>36</v>
      </c>
      <c r="D3" s="37" t="s">
        <v>37</v>
      </c>
      <c r="E3" s="37" t="s">
        <v>46</v>
      </c>
      <c r="F3" s="37" t="s">
        <v>38</v>
      </c>
      <c r="G3" s="38">
        <v>3678.55</v>
      </c>
      <c r="H3" s="36">
        <v>442874071</v>
      </c>
      <c r="I3" s="39">
        <v>0</v>
      </c>
      <c r="J3" s="38">
        <v>0</v>
      </c>
      <c r="K3" s="38">
        <v>0</v>
      </c>
      <c r="L3" s="38">
        <v>0</v>
      </c>
      <c r="M3" s="38">
        <v>10000</v>
      </c>
      <c r="N3" s="46" t="s">
        <v>53</v>
      </c>
      <c r="O3" s="14">
        <f t="shared" ref="O3:O66" si="0">A3</f>
        <v>45917.666180555556</v>
      </c>
      <c r="P3" s="19">
        <f t="shared" ref="P3:P66" si="1">O3+(5/24)</f>
        <v>45917.874513888892</v>
      </c>
      <c r="Q3" s="20" t="str">
        <f t="shared" ref="Q3:Q66" si="2">TEXT(P3,"dd/mm/yyyy")</f>
        <v>17/09/2025</v>
      </c>
      <c r="R3" s="13" t="str">
        <f t="shared" ref="R3:R66" si="3">TEXT(P3,"hh")</f>
        <v>20</v>
      </c>
      <c r="S3" s="13" t="str">
        <f t="shared" ref="S3:S66" si="4">TEXT(P3,"ddd")</f>
        <v>Wed</v>
      </c>
    </row>
    <row r="4" spans="1:19" x14ac:dyDescent="0.25">
      <c r="A4" s="40">
        <v>45917.666180555556</v>
      </c>
      <c r="B4" s="41">
        <v>443658708</v>
      </c>
      <c r="C4" s="42" t="s">
        <v>36</v>
      </c>
      <c r="D4" s="42" t="s">
        <v>37</v>
      </c>
      <c r="E4" s="42" t="s">
        <v>46</v>
      </c>
      <c r="F4" s="42" t="s">
        <v>38</v>
      </c>
      <c r="G4" s="43">
        <v>3678.55</v>
      </c>
      <c r="H4" s="41">
        <v>442874073</v>
      </c>
      <c r="I4" s="44">
        <v>0</v>
      </c>
      <c r="J4" s="43">
        <v>0</v>
      </c>
      <c r="K4" s="43">
        <v>0</v>
      </c>
      <c r="L4" s="43">
        <v>0</v>
      </c>
      <c r="M4" s="43">
        <v>10000</v>
      </c>
      <c r="N4" s="45" t="s">
        <v>49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35">
        <v>45917.668206018519</v>
      </c>
      <c r="B5" s="36">
        <v>443661063</v>
      </c>
      <c r="C5" s="37" t="s">
        <v>36</v>
      </c>
      <c r="D5" s="37" t="s">
        <v>39</v>
      </c>
      <c r="E5" s="37" t="s">
        <v>47</v>
      </c>
      <c r="F5" s="37" t="s">
        <v>38</v>
      </c>
      <c r="G5" s="38">
        <v>3676.1</v>
      </c>
      <c r="H5" s="36">
        <v>442876448</v>
      </c>
      <c r="I5" s="39">
        <v>0</v>
      </c>
      <c r="J5" s="38">
        <v>0</v>
      </c>
      <c r="K5" s="38">
        <v>0</v>
      </c>
      <c r="L5" s="38">
        <v>-2.4500000000000002</v>
      </c>
      <c r="M5" s="38">
        <v>9997.5499999999993</v>
      </c>
      <c r="N5" s="46" t="s">
        <v>121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40">
        <v>45917.66988425926</v>
      </c>
      <c r="B6" s="41">
        <v>443662736</v>
      </c>
      <c r="C6" s="42" t="s">
        <v>36</v>
      </c>
      <c r="D6" s="42" t="s">
        <v>39</v>
      </c>
      <c r="E6" s="42" t="s">
        <v>47</v>
      </c>
      <c r="F6" s="42" t="s">
        <v>38</v>
      </c>
      <c r="G6" s="43">
        <v>3675.56</v>
      </c>
      <c r="H6" s="41">
        <v>442878112</v>
      </c>
      <c r="I6" s="44">
        <v>0</v>
      </c>
      <c r="J6" s="43">
        <v>0</v>
      </c>
      <c r="K6" s="43">
        <v>0</v>
      </c>
      <c r="L6" s="43">
        <v>-3.04</v>
      </c>
      <c r="M6" s="43">
        <v>9994.51</v>
      </c>
      <c r="N6" s="45" t="s">
        <v>122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35">
        <v>45917.66988425926</v>
      </c>
      <c r="B7" s="36">
        <v>443662737</v>
      </c>
      <c r="C7" s="37" t="s">
        <v>36</v>
      </c>
      <c r="D7" s="37" t="s">
        <v>39</v>
      </c>
      <c r="E7" s="37" t="s">
        <v>47</v>
      </c>
      <c r="F7" s="37" t="s">
        <v>38</v>
      </c>
      <c r="G7" s="38">
        <v>3675.56</v>
      </c>
      <c r="H7" s="36">
        <v>442878114</v>
      </c>
      <c r="I7" s="39">
        <v>0</v>
      </c>
      <c r="J7" s="38">
        <v>0</v>
      </c>
      <c r="K7" s="38">
        <v>0</v>
      </c>
      <c r="L7" s="38">
        <v>-2.99</v>
      </c>
      <c r="M7" s="38">
        <v>9991.52</v>
      </c>
      <c r="N7" s="46" t="s">
        <v>122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40">
        <v>45917.670358796298</v>
      </c>
      <c r="B8" s="41">
        <v>443663714</v>
      </c>
      <c r="C8" s="42" t="s">
        <v>36</v>
      </c>
      <c r="D8" s="42" t="s">
        <v>37</v>
      </c>
      <c r="E8" s="42" t="s">
        <v>46</v>
      </c>
      <c r="F8" s="42" t="s">
        <v>38</v>
      </c>
      <c r="G8" s="43">
        <v>3675.65</v>
      </c>
      <c r="H8" s="41">
        <v>442879091</v>
      </c>
      <c r="I8" s="44">
        <v>0</v>
      </c>
      <c r="J8" s="43">
        <v>0</v>
      </c>
      <c r="K8" s="43">
        <v>0</v>
      </c>
      <c r="L8" s="43">
        <v>0</v>
      </c>
      <c r="M8" s="43">
        <v>9991.52</v>
      </c>
      <c r="N8" s="45" t="s">
        <v>123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35">
        <v>45917.673576388886</v>
      </c>
      <c r="B9" s="36">
        <v>443669440</v>
      </c>
      <c r="C9" s="37" t="s">
        <v>36</v>
      </c>
      <c r="D9" s="37" t="s">
        <v>37</v>
      </c>
      <c r="E9" s="37" t="s">
        <v>46</v>
      </c>
      <c r="F9" s="37" t="s">
        <v>38</v>
      </c>
      <c r="G9" s="38">
        <v>3676.65</v>
      </c>
      <c r="H9" s="36">
        <v>442884874</v>
      </c>
      <c r="I9" s="39">
        <v>0</v>
      </c>
      <c r="J9" s="38">
        <v>0</v>
      </c>
      <c r="K9" s="38">
        <v>0</v>
      </c>
      <c r="L9" s="38">
        <v>0</v>
      </c>
      <c r="M9" s="38">
        <v>9991.52</v>
      </c>
      <c r="N9" s="46" t="s">
        <v>124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40">
        <v>45917.673587962963</v>
      </c>
      <c r="B10" s="41">
        <v>443669445</v>
      </c>
      <c r="C10" s="42" t="s">
        <v>36</v>
      </c>
      <c r="D10" s="42" t="s">
        <v>37</v>
      </c>
      <c r="E10" s="42" t="s">
        <v>46</v>
      </c>
      <c r="F10" s="42" t="s">
        <v>38</v>
      </c>
      <c r="G10" s="43">
        <v>3676.65</v>
      </c>
      <c r="H10" s="41">
        <v>442884879</v>
      </c>
      <c r="I10" s="44">
        <v>0</v>
      </c>
      <c r="J10" s="43">
        <v>0</v>
      </c>
      <c r="K10" s="43">
        <v>0</v>
      </c>
      <c r="L10" s="43">
        <v>0</v>
      </c>
      <c r="M10" s="43">
        <v>9991.52</v>
      </c>
      <c r="N10" s="45" t="s">
        <v>125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35">
        <v>45917.677743055552</v>
      </c>
      <c r="B11" s="36">
        <v>443672222</v>
      </c>
      <c r="C11" s="37" t="s">
        <v>36</v>
      </c>
      <c r="D11" s="37" t="s">
        <v>37</v>
      </c>
      <c r="E11" s="37" t="s">
        <v>46</v>
      </c>
      <c r="F11" s="37" t="s">
        <v>38</v>
      </c>
      <c r="G11" s="38">
        <v>3678.04</v>
      </c>
      <c r="H11" s="36">
        <v>442887666</v>
      </c>
      <c r="I11" s="39">
        <v>0</v>
      </c>
      <c r="J11" s="38">
        <v>0</v>
      </c>
      <c r="K11" s="38">
        <v>0</v>
      </c>
      <c r="L11" s="38">
        <v>0</v>
      </c>
      <c r="M11" s="38">
        <v>9991.52</v>
      </c>
      <c r="N11" s="46" t="s">
        <v>49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40">
        <v>45917.677754629629</v>
      </c>
      <c r="B12" s="41">
        <v>443672224</v>
      </c>
      <c r="C12" s="42" t="s">
        <v>36</v>
      </c>
      <c r="D12" s="42" t="s">
        <v>37</v>
      </c>
      <c r="E12" s="42" t="s">
        <v>46</v>
      </c>
      <c r="F12" s="42" t="s">
        <v>38</v>
      </c>
      <c r="G12" s="43">
        <v>3678.02</v>
      </c>
      <c r="H12" s="41">
        <v>442887668</v>
      </c>
      <c r="I12" s="44">
        <v>0</v>
      </c>
      <c r="J12" s="43">
        <v>0</v>
      </c>
      <c r="K12" s="43">
        <v>0</v>
      </c>
      <c r="L12" s="43">
        <v>0</v>
      </c>
      <c r="M12" s="43">
        <v>9991.52</v>
      </c>
      <c r="N12" s="45" t="s">
        <v>48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35">
        <v>45917.677754629629</v>
      </c>
      <c r="B13" s="36">
        <v>443672226</v>
      </c>
      <c r="C13" s="37" t="s">
        <v>36</v>
      </c>
      <c r="D13" s="37" t="s">
        <v>37</v>
      </c>
      <c r="E13" s="37" t="s">
        <v>46</v>
      </c>
      <c r="F13" s="37" t="s">
        <v>38</v>
      </c>
      <c r="G13" s="38">
        <v>3677.94</v>
      </c>
      <c r="H13" s="36">
        <v>442887669</v>
      </c>
      <c r="I13" s="39">
        <v>0</v>
      </c>
      <c r="J13" s="38">
        <v>0</v>
      </c>
      <c r="K13" s="38">
        <v>0</v>
      </c>
      <c r="L13" s="38">
        <v>0</v>
      </c>
      <c r="M13" s="38">
        <v>9991.52</v>
      </c>
      <c r="N13" s="46" t="s">
        <v>53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40">
        <v>45917.678391203706</v>
      </c>
      <c r="B14" s="41">
        <v>443672679</v>
      </c>
      <c r="C14" s="42" t="s">
        <v>36</v>
      </c>
      <c r="D14" s="42" t="s">
        <v>39</v>
      </c>
      <c r="E14" s="42" t="s">
        <v>47</v>
      </c>
      <c r="F14" s="42" t="s">
        <v>38</v>
      </c>
      <c r="G14" s="43">
        <v>3676.33</v>
      </c>
      <c r="H14" s="41">
        <v>442888118</v>
      </c>
      <c r="I14" s="44">
        <v>0</v>
      </c>
      <c r="J14" s="43">
        <v>0</v>
      </c>
      <c r="K14" s="43">
        <v>0</v>
      </c>
      <c r="L14" s="43">
        <v>0.68</v>
      </c>
      <c r="M14" s="43">
        <v>9992.2000000000007</v>
      </c>
      <c r="N14" s="45" t="s">
        <v>126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35">
        <v>45917.679131944446</v>
      </c>
      <c r="B15" s="36">
        <v>443673162</v>
      </c>
      <c r="C15" s="37" t="s">
        <v>36</v>
      </c>
      <c r="D15" s="37" t="s">
        <v>37</v>
      </c>
      <c r="E15" s="37" t="s">
        <v>46</v>
      </c>
      <c r="F15" s="37" t="s">
        <v>38</v>
      </c>
      <c r="G15" s="38">
        <v>3677.06</v>
      </c>
      <c r="H15" s="36">
        <v>442888597</v>
      </c>
      <c r="I15" s="39">
        <v>0</v>
      </c>
      <c r="J15" s="38">
        <v>0</v>
      </c>
      <c r="K15" s="38">
        <v>0</v>
      </c>
      <c r="L15" s="38">
        <v>0</v>
      </c>
      <c r="M15" s="38">
        <v>9992.2000000000007</v>
      </c>
      <c r="N15" s="46" t="s">
        <v>123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40">
        <v>45917.680949074071</v>
      </c>
      <c r="B16" s="41">
        <v>443674131</v>
      </c>
      <c r="C16" s="42" t="s">
        <v>36</v>
      </c>
      <c r="D16" s="42" t="s">
        <v>39</v>
      </c>
      <c r="E16" s="42" t="s">
        <v>47</v>
      </c>
      <c r="F16" s="42" t="s">
        <v>38</v>
      </c>
      <c r="G16" s="43">
        <v>3675.42</v>
      </c>
      <c r="H16" s="41">
        <v>442889588</v>
      </c>
      <c r="I16" s="44">
        <v>0</v>
      </c>
      <c r="J16" s="43">
        <v>0</v>
      </c>
      <c r="K16" s="43">
        <v>0</v>
      </c>
      <c r="L16" s="43">
        <v>-2.62</v>
      </c>
      <c r="M16" s="43">
        <v>9989.58</v>
      </c>
      <c r="N16" s="45" t="s">
        <v>127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35">
        <v>45917.681562500002</v>
      </c>
      <c r="B17" s="36">
        <v>443674917</v>
      </c>
      <c r="C17" s="37" t="s">
        <v>36</v>
      </c>
      <c r="D17" s="37" t="s">
        <v>39</v>
      </c>
      <c r="E17" s="37" t="s">
        <v>47</v>
      </c>
      <c r="F17" s="37" t="s">
        <v>38</v>
      </c>
      <c r="G17" s="38">
        <v>3675</v>
      </c>
      <c r="H17" s="36">
        <v>442890375</v>
      </c>
      <c r="I17" s="39">
        <v>0</v>
      </c>
      <c r="J17" s="38">
        <v>0</v>
      </c>
      <c r="K17" s="38">
        <v>0</v>
      </c>
      <c r="L17" s="38">
        <v>-3.02</v>
      </c>
      <c r="M17" s="38">
        <v>9986.56</v>
      </c>
      <c r="N17" s="46" t="s">
        <v>128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40">
        <v>45917.681562500002</v>
      </c>
      <c r="B18" s="41">
        <v>443674918</v>
      </c>
      <c r="C18" s="42" t="s">
        <v>36</v>
      </c>
      <c r="D18" s="42" t="s">
        <v>39</v>
      </c>
      <c r="E18" s="42" t="s">
        <v>47</v>
      </c>
      <c r="F18" s="42" t="s">
        <v>38</v>
      </c>
      <c r="G18" s="43">
        <v>3675</v>
      </c>
      <c r="H18" s="41">
        <v>442890376</v>
      </c>
      <c r="I18" s="44">
        <v>0</v>
      </c>
      <c r="J18" s="43">
        <v>0</v>
      </c>
      <c r="K18" s="43">
        <v>0</v>
      </c>
      <c r="L18" s="43">
        <v>-2.94</v>
      </c>
      <c r="M18" s="43">
        <v>9983.6200000000008</v>
      </c>
      <c r="N18" s="45" t="s">
        <v>128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35">
        <v>45917.683333333334</v>
      </c>
      <c r="B19" s="36">
        <v>443676753</v>
      </c>
      <c r="C19" s="37" t="s">
        <v>36</v>
      </c>
      <c r="D19" s="37" t="s">
        <v>39</v>
      </c>
      <c r="E19" s="37" t="s">
        <v>47</v>
      </c>
      <c r="F19" s="37" t="s">
        <v>38</v>
      </c>
      <c r="G19" s="38">
        <v>3674.05</v>
      </c>
      <c r="H19" s="36">
        <v>442892188</v>
      </c>
      <c r="I19" s="39">
        <v>0</v>
      </c>
      <c r="J19" s="38">
        <v>0</v>
      </c>
      <c r="K19" s="38">
        <v>0</v>
      </c>
      <c r="L19" s="38">
        <v>-3.01</v>
      </c>
      <c r="M19" s="38">
        <v>9980.61</v>
      </c>
      <c r="N19" s="46" t="s">
        <v>129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40">
        <v>45917.684224537035</v>
      </c>
      <c r="B20" s="41">
        <v>443677515</v>
      </c>
      <c r="C20" s="42" t="s">
        <v>36</v>
      </c>
      <c r="D20" s="42" t="s">
        <v>39</v>
      </c>
      <c r="E20" s="42" t="s">
        <v>46</v>
      </c>
      <c r="F20" s="42" t="s">
        <v>38</v>
      </c>
      <c r="G20" s="43">
        <v>3675.51</v>
      </c>
      <c r="H20" s="41">
        <v>442892951</v>
      </c>
      <c r="I20" s="44">
        <v>0</v>
      </c>
      <c r="J20" s="43">
        <v>0</v>
      </c>
      <c r="K20" s="43">
        <v>0</v>
      </c>
      <c r="L20" s="43">
        <v>0</v>
      </c>
      <c r="M20" s="43">
        <v>9980.61</v>
      </c>
      <c r="N20" s="45" t="s">
        <v>53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35">
        <v>45917.684236111112</v>
      </c>
      <c r="B21" s="36">
        <v>443677518</v>
      </c>
      <c r="C21" s="37" t="s">
        <v>36</v>
      </c>
      <c r="D21" s="37" t="s">
        <v>39</v>
      </c>
      <c r="E21" s="37" t="s">
        <v>46</v>
      </c>
      <c r="F21" s="37" t="s">
        <v>38</v>
      </c>
      <c r="G21" s="38">
        <v>3675.52</v>
      </c>
      <c r="H21" s="36">
        <v>442892954</v>
      </c>
      <c r="I21" s="39">
        <v>0</v>
      </c>
      <c r="J21" s="38">
        <v>0</v>
      </c>
      <c r="K21" s="38">
        <v>0</v>
      </c>
      <c r="L21" s="38">
        <v>0</v>
      </c>
      <c r="M21" s="38">
        <v>9980.61</v>
      </c>
      <c r="N21" s="46" t="s">
        <v>49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40">
        <v>45917.684236111112</v>
      </c>
      <c r="B22" s="41">
        <v>443677519</v>
      </c>
      <c r="C22" s="42" t="s">
        <v>36</v>
      </c>
      <c r="D22" s="42" t="s">
        <v>39</v>
      </c>
      <c r="E22" s="42" t="s">
        <v>46</v>
      </c>
      <c r="F22" s="42" t="s">
        <v>38</v>
      </c>
      <c r="G22" s="43">
        <v>3675.48</v>
      </c>
      <c r="H22" s="41">
        <v>442892955</v>
      </c>
      <c r="I22" s="44">
        <v>0</v>
      </c>
      <c r="J22" s="43">
        <v>0</v>
      </c>
      <c r="K22" s="43">
        <v>0</v>
      </c>
      <c r="L22" s="43">
        <v>0</v>
      </c>
      <c r="M22" s="43">
        <v>9980.61</v>
      </c>
      <c r="N22" s="45" t="s">
        <v>48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35">
        <v>45917.688009259262</v>
      </c>
      <c r="B23" s="36">
        <v>443679845</v>
      </c>
      <c r="C23" s="37" t="s">
        <v>36</v>
      </c>
      <c r="D23" s="37" t="s">
        <v>37</v>
      </c>
      <c r="E23" s="37" t="s">
        <v>47</v>
      </c>
      <c r="F23" s="37" t="s">
        <v>38</v>
      </c>
      <c r="G23" s="38">
        <v>3678.06</v>
      </c>
      <c r="H23" s="36">
        <v>442895272</v>
      </c>
      <c r="I23" s="39">
        <v>0</v>
      </c>
      <c r="J23" s="38">
        <v>0</v>
      </c>
      <c r="K23" s="38">
        <v>0</v>
      </c>
      <c r="L23" s="38">
        <v>-2.54</v>
      </c>
      <c r="M23" s="38">
        <v>9978.07</v>
      </c>
      <c r="N23" s="46" t="s">
        <v>130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40">
        <v>45917.688518518517</v>
      </c>
      <c r="B24" s="41">
        <v>443680341</v>
      </c>
      <c r="C24" s="42" t="s">
        <v>36</v>
      </c>
      <c r="D24" s="42" t="s">
        <v>37</v>
      </c>
      <c r="E24" s="42" t="s">
        <v>47</v>
      </c>
      <c r="F24" s="42" t="s">
        <v>38</v>
      </c>
      <c r="G24" s="43">
        <v>3678.61</v>
      </c>
      <c r="H24" s="41">
        <v>442895763</v>
      </c>
      <c r="I24" s="44">
        <v>0</v>
      </c>
      <c r="J24" s="43">
        <v>0</v>
      </c>
      <c r="K24" s="43">
        <v>0</v>
      </c>
      <c r="L24" s="43">
        <v>-3.1</v>
      </c>
      <c r="M24" s="43">
        <v>9974.9699999999993</v>
      </c>
      <c r="N24" s="45" t="s">
        <v>131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35">
        <v>45917.688518518517</v>
      </c>
      <c r="B25" s="36">
        <v>443680342</v>
      </c>
      <c r="C25" s="37" t="s">
        <v>36</v>
      </c>
      <c r="D25" s="37" t="s">
        <v>37</v>
      </c>
      <c r="E25" s="37" t="s">
        <v>47</v>
      </c>
      <c r="F25" s="37" t="s">
        <v>38</v>
      </c>
      <c r="G25" s="38">
        <v>3678.61</v>
      </c>
      <c r="H25" s="36">
        <v>442895764</v>
      </c>
      <c r="I25" s="39">
        <v>0</v>
      </c>
      <c r="J25" s="38">
        <v>0</v>
      </c>
      <c r="K25" s="38">
        <v>0</v>
      </c>
      <c r="L25" s="38">
        <v>-3.13</v>
      </c>
      <c r="M25" s="38">
        <v>9971.84</v>
      </c>
      <c r="N25" s="46" t="s">
        <v>131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40">
        <v>45917.688854166663</v>
      </c>
      <c r="B26" s="41">
        <v>443680664</v>
      </c>
      <c r="C26" s="42" t="s">
        <v>36</v>
      </c>
      <c r="D26" s="42" t="s">
        <v>37</v>
      </c>
      <c r="E26" s="42" t="s">
        <v>46</v>
      </c>
      <c r="F26" s="42" t="s">
        <v>38</v>
      </c>
      <c r="G26" s="43">
        <v>3677.35</v>
      </c>
      <c r="H26" s="41">
        <v>442896085</v>
      </c>
      <c r="I26" s="44">
        <v>0</v>
      </c>
      <c r="J26" s="43">
        <v>0</v>
      </c>
      <c r="K26" s="43">
        <v>0</v>
      </c>
      <c r="L26" s="43">
        <v>0</v>
      </c>
      <c r="M26" s="43">
        <v>9971.84</v>
      </c>
      <c r="N26" s="45" t="s">
        <v>123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35">
        <v>45917.692384259259</v>
      </c>
      <c r="B27" s="36">
        <v>443685624</v>
      </c>
      <c r="C27" s="37" t="s">
        <v>36</v>
      </c>
      <c r="D27" s="37" t="s">
        <v>39</v>
      </c>
      <c r="E27" s="37" t="s">
        <v>47</v>
      </c>
      <c r="F27" s="37" t="s">
        <v>38</v>
      </c>
      <c r="G27" s="38">
        <v>3681.85</v>
      </c>
      <c r="H27" s="36">
        <v>442900968</v>
      </c>
      <c r="I27" s="39">
        <v>0</v>
      </c>
      <c r="J27" s="38">
        <v>0</v>
      </c>
      <c r="K27" s="38">
        <v>0</v>
      </c>
      <c r="L27" s="38">
        <v>4.5</v>
      </c>
      <c r="M27" s="38">
        <v>9976.34</v>
      </c>
      <c r="N27" s="46" t="s">
        <v>132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40">
        <v>45917.694525462961</v>
      </c>
      <c r="B28" s="41">
        <v>443687732</v>
      </c>
      <c r="C28" s="42" t="s">
        <v>36</v>
      </c>
      <c r="D28" s="42" t="s">
        <v>37</v>
      </c>
      <c r="E28" s="42" t="s">
        <v>46</v>
      </c>
      <c r="F28" s="42" t="s">
        <v>38</v>
      </c>
      <c r="G28" s="43">
        <v>3680.46</v>
      </c>
      <c r="H28" s="41">
        <v>442903050</v>
      </c>
      <c r="I28" s="44">
        <v>0</v>
      </c>
      <c r="J28" s="43">
        <v>0</v>
      </c>
      <c r="K28" s="43">
        <v>0</v>
      </c>
      <c r="L28" s="43">
        <v>0</v>
      </c>
      <c r="M28" s="43">
        <v>9976.34</v>
      </c>
      <c r="N28" s="45" t="s">
        <v>49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35">
        <v>45917.694537037038</v>
      </c>
      <c r="B29" s="36">
        <v>443687737</v>
      </c>
      <c r="C29" s="37" t="s">
        <v>36</v>
      </c>
      <c r="D29" s="37" t="s">
        <v>37</v>
      </c>
      <c r="E29" s="37" t="s">
        <v>46</v>
      </c>
      <c r="F29" s="37" t="s">
        <v>38</v>
      </c>
      <c r="G29" s="38">
        <v>3680.45</v>
      </c>
      <c r="H29" s="36">
        <v>442903055</v>
      </c>
      <c r="I29" s="39">
        <v>0</v>
      </c>
      <c r="J29" s="38">
        <v>0</v>
      </c>
      <c r="K29" s="38">
        <v>0</v>
      </c>
      <c r="L29" s="38">
        <v>0</v>
      </c>
      <c r="M29" s="38">
        <v>9976.34</v>
      </c>
      <c r="N29" s="46" t="s">
        <v>53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40">
        <v>45917.694537037038</v>
      </c>
      <c r="B30" s="41">
        <v>443687739</v>
      </c>
      <c r="C30" s="42" t="s">
        <v>36</v>
      </c>
      <c r="D30" s="42" t="s">
        <v>37</v>
      </c>
      <c r="E30" s="42" t="s">
        <v>46</v>
      </c>
      <c r="F30" s="42" t="s">
        <v>38</v>
      </c>
      <c r="G30" s="43">
        <v>3680.46</v>
      </c>
      <c r="H30" s="41">
        <v>442903057</v>
      </c>
      <c r="I30" s="44">
        <v>0</v>
      </c>
      <c r="J30" s="43">
        <v>0</v>
      </c>
      <c r="K30" s="43">
        <v>0</v>
      </c>
      <c r="L30" s="43">
        <v>0</v>
      </c>
      <c r="M30" s="43">
        <v>9976.34</v>
      </c>
      <c r="N30" s="45" t="s">
        <v>48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35">
        <v>45917.694687499999</v>
      </c>
      <c r="B31" s="36">
        <v>443687902</v>
      </c>
      <c r="C31" s="37" t="s">
        <v>36</v>
      </c>
      <c r="D31" s="37" t="s">
        <v>39</v>
      </c>
      <c r="E31" s="37" t="s">
        <v>47</v>
      </c>
      <c r="F31" s="37" t="s">
        <v>38</v>
      </c>
      <c r="G31" s="38">
        <v>3679.06</v>
      </c>
      <c r="H31" s="36">
        <v>442903220</v>
      </c>
      <c r="I31" s="39">
        <v>0</v>
      </c>
      <c r="J31" s="38">
        <v>0</v>
      </c>
      <c r="K31" s="38">
        <v>0</v>
      </c>
      <c r="L31" s="38">
        <v>2.41</v>
      </c>
      <c r="M31" s="38">
        <v>9978.75</v>
      </c>
      <c r="N31" s="46" t="s">
        <v>133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40">
        <v>45917.694687499999</v>
      </c>
      <c r="B32" s="41">
        <v>443687903</v>
      </c>
      <c r="C32" s="42" t="s">
        <v>36</v>
      </c>
      <c r="D32" s="42" t="s">
        <v>39</v>
      </c>
      <c r="E32" s="42" t="s">
        <v>47</v>
      </c>
      <c r="F32" s="42" t="s">
        <v>38</v>
      </c>
      <c r="G32" s="43">
        <v>3679.06</v>
      </c>
      <c r="H32" s="41">
        <v>442903221</v>
      </c>
      <c r="I32" s="44">
        <v>0</v>
      </c>
      <c r="J32" s="43">
        <v>0</v>
      </c>
      <c r="K32" s="43">
        <v>0</v>
      </c>
      <c r="L32" s="43">
        <v>2.41</v>
      </c>
      <c r="M32" s="43">
        <v>9981.16</v>
      </c>
      <c r="N32" s="45" t="s">
        <v>134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35">
        <v>45917.698217592595</v>
      </c>
      <c r="B33" s="36">
        <v>443690434</v>
      </c>
      <c r="C33" s="37" t="s">
        <v>36</v>
      </c>
      <c r="D33" s="37" t="s">
        <v>39</v>
      </c>
      <c r="E33" s="37" t="s">
        <v>47</v>
      </c>
      <c r="F33" s="37" t="s">
        <v>38</v>
      </c>
      <c r="G33" s="38">
        <v>3678.03</v>
      </c>
      <c r="H33" s="36">
        <v>442905726</v>
      </c>
      <c r="I33" s="39">
        <v>0</v>
      </c>
      <c r="J33" s="38">
        <v>0</v>
      </c>
      <c r="K33" s="38">
        <v>0</v>
      </c>
      <c r="L33" s="38">
        <v>-2.4300000000000002</v>
      </c>
      <c r="M33" s="38">
        <v>9978.73</v>
      </c>
      <c r="N33" s="46" t="s">
        <v>135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40">
        <v>45917.698587962965</v>
      </c>
      <c r="B34" s="41">
        <v>443691158</v>
      </c>
      <c r="C34" s="42" t="s">
        <v>36</v>
      </c>
      <c r="D34" s="42" t="s">
        <v>37</v>
      </c>
      <c r="E34" s="42" t="s">
        <v>46</v>
      </c>
      <c r="F34" s="42" t="s">
        <v>38</v>
      </c>
      <c r="G34" s="43">
        <v>3678.35</v>
      </c>
      <c r="H34" s="41">
        <v>442906378</v>
      </c>
      <c r="I34" s="44">
        <v>0</v>
      </c>
      <c r="J34" s="43">
        <v>0</v>
      </c>
      <c r="K34" s="43">
        <v>0</v>
      </c>
      <c r="L34" s="43">
        <v>0</v>
      </c>
      <c r="M34" s="43">
        <v>9978.73</v>
      </c>
      <c r="N34" s="45" t="s">
        <v>123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35">
        <v>45917.698587962965</v>
      </c>
      <c r="B35" s="36">
        <v>443691170</v>
      </c>
      <c r="C35" s="37" t="s">
        <v>36</v>
      </c>
      <c r="D35" s="37" t="s">
        <v>37</v>
      </c>
      <c r="E35" s="37" t="s">
        <v>46</v>
      </c>
      <c r="F35" s="37" t="s">
        <v>38</v>
      </c>
      <c r="G35" s="38">
        <v>3678.33</v>
      </c>
      <c r="H35" s="36">
        <v>442906390</v>
      </c>
      <c r="I35" s="39">
        <v>0</v>
      </c>
      <c r="J35" s="38">
        <v>0</v>
      </c>
      <c r="K35" s="38">
        <v>0</v>
      </c>
      <c r="L35" s="38">
        <v>0</v>
      </c>
      <c r="M35" s="38">
        <v>9978.73</v>
      </c>
      <c r="N35" s="46" t="s">
        <v>124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40">
        <v>45917.698587962965</v>
      </c>
      <c r="B36" s="41">
        <v>443691172</v>
      </c>
      <c r="C36" s="42" t="s">
        <v>36</v>
      </c>
      <c r="D36" s="42" t="s">
        <v>37</v>
      </c>
      <c r="E36" s="42" t="s">
        <v>46</v>
      </c>
      <c r="F36" s="42" t="s">
        <v>38</v>
      </c>
      <c r="G36" s="43">
        <v>3678.32</v>
      </c>
      <c r="H36" s="41">
        <v>442906392</v>
      </c>
      <c r="I36" s="44">
        <v>0</v>
      </c>
      <c r="J36" s="43">
        <v>0</v>
      </c>
      <c r="K36" s="43">
        <v>0</v>
      </c>
      <c r="L36" s="43">
        <v>0</v>
      </c>
      <c r="M36" s="43">
        <v>9978.73</v>
      </c>
      <c r="N36" s="45" t="s">
        <v>125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35">
        <v>45917.699108796296</v>
      </c>
      <c r="B37" s="36">
        <v>443691584</v>
      </c>
      <c r="C37" s="37" t="s">
        <v>36</v>
      </c>
      <c r="D37" s="37" t="s">
        <v>39</v>
      </c>
      <c r="E37" s="37" t="s">
        <v>47</v>
      </c>
      <c r="F37" s="37" t="s">
        <v>38</v>
      </c>
      <c r="G37" s="38">
        <v>3677.41</v>
      </c>
      <c r="H37" s="36">
        <v>442906817</v>
      </c>
      <c r="I37" s="39">
        <v>0</v>
      </c>
      <c r="J37" s="38">
        <v>0</v>
      </c>
      <c r="K37" s="38">
        <v>0</v>
      </c>
      <c r="L37" s="38">
        <v>-3.04</v>
      </c>
      <c r="M37" s="38">
        <v>9975.69</v>
      </c>
      <c r="N37" s="46" t="s">
        <v>136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40">
        <v>45917.699108796296</v>
      </c>
      <c r="B38" s="41">
        <v>443691585</v>
      </c>
      <c r="C38" s="42" t="s">
        <v>36</v>
      </c>
      <c r="D38" s="42" t="s">
        <v>39</v>
      </c>
      <c r="E38" s="42" t="s">
        <v>47</v>
      </c>
      <c r="F38" s="42" t="s">
        <v>38</v>
      </c>
      <c r="G38" s="43">
        <v>3677.41</v>
      </c>
      <c r="H38" s="41">
        <v>442906818</v>
      </c>
      <c r="I38" s="44">
        <v>0</v>
      </c>
      <c r="J38" s="43">
        <v>0</v>
      </c>
      <c r="K38" s="43">
        <v>0</v>
      </c>
      <c r="L38" s="43">
        <v>-3.05</v>
      </c>
      <c r="M38" s="43">
        <v>9972.64</v>
      </c>
      <c r="N38" s="45" t="s">
        <v>136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35">
        <v>45917.71733796296</v>
      </c>
      <c r="B39" s="36">
        <v>443705042</v>
      </c>
      <c r="C39" s="37" t="s">
        <v>36</v>
      </c>
      <c r="D39" s="37" t="s">
        <v>39</v>
      </c>
      <c r="E39" s="37" t="s">
        <v>47</v>
      </c>
      <c r="F39" s="37" t="s">
        <v>38</v>
      </c>
      <c r="G39" s="38">
        <v>3682.87</v>
      </c>
      <c r="H39" s="36">
        <v>442921298</v>
      </c>
      <c r="I39" s="39">
        <v>0</v>
      </c>
      <c r="J39" s="38">
        <v>0</v>
      </c>
      <c r="K39" s="38">
        <v>0</v>
      </c>
      <c r="L39" s="38">
        <v>4.5199999999999996</v>
      </c>
      <c r="M39" s="38">
        <v>9977.16</v>
      </c>
      <c r="N39" s="46" t="s">
        <v>137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40">
        <v>45917.720277777778</v>
      </c>
      <c r="B40" s="41">
        <v>443707430</v>
      </c>
      <c r="C40" s="42" t="s">
        <v>36</v>
      </c>
      <c r="D40" s="42" t="s">
        <v>39</v>
      </c>
      <c r="E40" s="42" t="s">
        <v>47</v>
      </c>
      <c r="F40" s="42" t="s">
        <v>38</v>
      </c>
      <c r="G40" s="43">
        <v>3684.42</v>
      </c>
      <c r="H40" s="41">
        <v>442923673</v>
      </c>
      <c r="I40" s="44">
        <v>0</v>
      </c>
      <c r="J40" s="43">
        <v>0</v>
      </c>
      <c r="K40" s="43">
        <v>0</v>
      </c>
      <c r="L40" s="43">
        <v>6.1</v>
      </c>
      <c r="M40" s="43">
        <v>9983.26</v>
      </c>
      <c r="N40" s="45" t="s">
        <v>138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35">
        <v>45917.721608796295</v>
      </c>
      <c r="B41" s="36">
        <v>443709668</v>
      </c>
      <c r="C41" s="37" t="s">
        <v>36</v>
      </c>
      <c r="D41" s="37" t="s">
        <v>37</v>
      </c>
      <c r="E41" s="37" t="s">
        <v>46</v>
      </c>
      <c r="F41" s="37" t="s">
        <v>38</v>
      </c>
      <c r="G41" s="38">
        <v>3683.82</v>
      </c>
      <c r="H41" s="36">
        <v>442925881</v>
      </c>
      <c r="I41" s="39">
        <v>0</v>
      </c>
      <c r="J41" s="38">
        <v>0</v>
      </c>
      <c r="K41" s="38">
        <v>0</v>
      </c>
      <c r="L41" s="38">
        <v>0</v>
      </c>
      <c r="M41" s="38">
        <v>9983.26</v>
      </c>
      <c r="N41" s="46" t="s">
        <v>49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40">
        <v>45917.721608796295</v>
      </c>
      <c r="B42" s="41">
        <v>443709671</v>
      </c>
      <c r="C42" s="42" t="s">
        <v>36</v>
      </c>
      <c r="D42" s="42" t="s">
        <v>37</v>
      </c>
      <c r="E42" s="42" t="s">
        <v>46</v>
      </c>
      <c r="F42" s="42" t="s">
        <v>38</v>
      </c>
      <c r="G42" s="43">
        <v>3683.76</v>
      </c>
      <c r="H42" s="41">
        <v>442925884</v>
      </c>
      <c r="I42" s="44">
        <v>0</v>
      </c>
      <c r="J42" s="43">
        <v>0</v>
      </c>
      <c r="K42" s="43">
        <v>0</v>
      </c>
      <c r="L42" s="43">
        <v>0</v>
      </c>
      <c r="M42" s="43">
        <v>9983.26</v>
      </c>
      <c r="N42" s="45" t="s">
        <v>48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35">
        <v>45917.721620370372</v>
      </c>
      <c r="B43" s="36">
        <v>443709675</v>
      </c>
      <c r="C43" s="37" t="s">
        <v>36</v>
      </c>
      <c r="D43" s="37" t="s">
        <v>37</v>
      </c>
      <c r="E43" s="37" t="s">
        <v>46</v>
      </c>
      <c r="F43" s="37" t="s">
        <v>38</v>
      </c>
      <c r="G43" s="38">
        <v>3683.82</v>
      </c>
      <c r="H43" s="36">
        <v>442925888</v>
      </c>
      <c r="I43" s="39">
        <v>0</v>
      </c>
      <c r="J43" s="38">
        <v>0</v>
      </c>
      <c r="K43" s="38">
        <v>0</v>
      </c>
      <c r="L43" s="38">
        <v>0</v>
      </c>
      <c r="M43" s="38">
        <v>9983.26</v>
      </c>
      <c r="N43" s="46" t="s">
        <v>53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40">
        <v>45917.722222222219</v>
      </c>
      <c r="B44" s="41">
        <v>443710452</v>
      </c>
      <c r="C44" s="42" t="s">
        <v>36</v>
      </c>
      <c r="D44" s="42" t="s">
        <v>39</v>
      </c>
      <c r="E44" s="42" t="s">
        <v>47</v>
      </c>
      <c r="F44" s="42" t="s">
        <v>38</v>
      </c>
      <c r="G44" s="43">
        <v>3682.53</v>
      </c>
      <c r="H44" s="41">
        <v>442926658</v>
      </c>
      <c r="I44" s="44">
        <v>0</v>
      </c>
      <c r="J44" s="43">
        <v>0</v>
      </c>
      <c r="K44" s="43">
        <v>0</v>
      </c>
      <c r="L44" s="43">
        <v>4.2</v>
      </c>
      <c r="M44" s="43">
        <v>9987.4599999999991</v>
      </c>
      <c r="N44" s="45" t="s">
        <v>139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35">
        <v>45917.726365740738</v>
      </c>
      <c r="B45" s="36">
        <v>443713357</v>
      </c>
      <c r="C45" s="37" t="s">
        <v>36</v>
      </c>
      <c r="D45" s="37" t="s">
        <v>37</v>
      </c>
      <c r="E45" s="37" t="s">
        <v>46</v>
      </c>
      <c r="F45" s="37" t="s">
        <v>38</v>
      </c>
      <c r="G45" s="38">
        <v>3682.57</v>
      </c>
      <c r="H45" s="36">
        <v>442929514</v>
      </c>
      <c r="I45" s="39">
        <v>0</v>
      </c>
      <c r="J45" s="38">
        <v>0</v>
      </c>
      <c r="K45" s="38">
        <v>0</v>
      </c>
      <c r="L45" s="38">
        <v>0</v>
      </c>
      <c r="M45" s="38">
        <v>9987.4599999999991</v>
      </c>
      <c r="N45" s="46" t="s">
        <v>124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40">
        <v>45917.726365740738</v>
      </c>
      <c r="B46" s="41">
        <v>443713359</v>
      </c>
      <c r="C46" s="42" t="s">
        <v>36</v>
      </c>
      <c r="D46" s="42" t="s">
        <v>37</v>
      </c>
      <c r="E46" s="42" t="s">
        <v>46</v>
      </c>
      <c r="F46" s="42" t="s">
        <v>38</v>
      </c>
      <c r="G46" s="43">
        <v>3682.57</v>
      </c>
      <c r="H46" s="41">
        <v>442929515</v>
      </c>
      <c r="I46" s="44">
        <v>0</v>
      </c>
      <c r="J46" s="43">
        <v>0</v>
      </c>
      <c r="K46" s="43">
        <v>0</v>
      </c>
      <c r="L46" s="43">
        <v>0</v>
      </c>
      <c r="M46" s="43">
        <v>9987.4599999999991</v>
      </c>
      <c r="N46" s="45" t="s">
        <v>125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35">
        <v>45917.733310185184</v>
      </c>
      <c r="B47" s="36">
        <v>443718027</v>
      </c>
      <c r="C47" s="37" t="s">
        <v>36</v>
      </c>
      <c r="D47" s="37" t="s">
        <v>37</v>
      </c>
      <c r="E47" s="37" t="s">
        <v>46</v>
      </c>
      <c r="F47" s="37" t="s">
        <v>38</v>
      </c>
      <c r="G47" s="38">
        <v>3683.38</v>
      </c>
      <c r="H47" s="36">
        <v>442934114</v>
      </c>
      <c r="I47" s="39">
        <v>0</v>
      </c>
      <c r="J47" s="38">
        <v>0</v>
      </c>
      <c r="K47" s="38">
        <v>0</v>
      </c>
      <c r="L47" s="38">
        <v>0</v>
      </c>
      <c r="M47" s="38">
        <v>9987.4599999999991</v>
      </c>
      <c r="N47" s="46" t="s">
        <v>123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40">
        <v>45917.737546296295</v>
      </c>
      <c r="B48" s="41">
        <v>443720200</v>
      </c>
      <c r="C48" s="42" t="s">
        <v>36</v>
      </c>
      <c r="D48" s="42" t="s">
        <v>39</v>
      </c>
      <c r="E48" s="42" t="s">
        <v>47</v>
      </c>
      <c r="F48" s="42" t="s">
        <v>38</v>
      </c>
      <c r="G48" s="43">
        <v>3684.25</v>
      </c>
      <c r="H48" s="41">
        <v>442936310</v>
      </c>
      <c r="I48" s="44">
        <v>0</v>
      </c>
      <c r="J48" s="43">
        <v>0</v>
      </c>
      <c r="K48" s="43">
        <v>0</v>
      </c>
      <c r="L48" s="43">
        <v>0.43</v>
      </c>
      <c r="M48" s="43">
        <v>9987.89</v>
      </c>
      <c r="N48" s="45" t="s">
        <v>140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35">
        <v>45917.737546296295</v>
      </c>
      <c r="B49" s="36">
        <v>443720201</v>
      </c>
      <c r="C49" s="37" t="s">
        <v>36</v>
      </c>
      <c r="D49" s="37" t="s">
        <v>39</v>
      </c>
      <c r="E49" s="37" t="s">
        <v>47</v>
      </c>
      <c r="F49" s="37" t="s">
        <v>38</v>
      </c>
      <c r="G49" s="38">
        <v>3684.25</v>
      </c>
      <c r="H49" s="36">
        <v>442936311</v>
      </c>
      <c r="I49" s="39">
        <v>0</v>
      </c>
      <c r="J49" s="38">
        <v>0</v>
      </c>
      <c r="K49" s="38">
        <v>0</v>
      </c>
      <c r="L49" s="38">
        <v>0.49</v>
      </c>
      <c r="M49" s="38">
        <v>9988.3799999999992</v>
      </c>
      <c r="N49" s="46" t="s">
        <v>140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40">
        <v>45917.737546296295</v>
      </c>
      <c r="B50" s="41">
        <v>443720202</v>
      </c>
      <c r="C50" s="42" t="s">
        <v>36</v>
      </c>
      <c r="D50" s="42" t="s">
        <v>39</v>
      </c>
      <c r="E50" s="42" t="s">
        <v>47</v>
      </c>
      <c r="F50" s="42" t="s">
        <v>38</v>
      </c>
      <c r="G50" s="43">
        <v>3684.25</v>
      </c>
      <c r="H50" s="41">
        <v>442936312</v>
      </c>
      <c r="I50" s="44">
        <v>0</v>
      </c>
      <c r="J50" s="43">
        <v>0</v>
      </c>
      <c r="K50" s="43">
        <v>0</v>
      </c>
      <c r="L50" s="43">
        <v>0.43</v>
      </c>
      <c r="M50" s="43">
        <v>9988.81</v>
      </c>
      <c r="N50" s="45" t="s">
        <v>140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35">
        <v>45917.737812500003</v>
      </c>
      <c r="B51" s="36">
        <v>443720471</v>
      </c>
      <c r="C51" s="37" t="s">
        <v>36</v>
      </c>
      <c r="D51" s="37" t="s">
        <v>37</v>
      </c>
      <c r="E51" s="37" t="s">
        <v>46</v>
      </c>
      <c r="F51" s="37" t="s">
        <v>38</v>
      </c>
      <c r="G51" s="38">
        <v>3684.71</v>
      </c>
      <c r="H51" s="36">
        <v>442936578</v>
      </c>
      <c r="I51" s="39">
        <v>0</v>
      </c>
      <c r="J51" s="38">
        <v>0</v>
      </c>
      <c r="K51" s="38">
        <v>0</v>
      </c>
      <c r="L51" s="38">
        <v>0</v>
      </c>
      <c r="M51" s="38">
        <v>9988.81</v>
      </c>
      <c r="N51" s="46" t="s">
        <v>48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40">
        <v>45917.737812500003</v>
      </c>
      <c r="B52" s="41">
        <v>443720472</v>
      </c>
      <c r="C52" s="42" t="s">
        <v>36</v>
      </c>
      <c r="D52" s="42" t="s">
        <v>37</v>
      </c>
      <c r="E52" s="42" t="s">
        <v>46</v>
      </c>
      <c r="F52" s="42" t="s">
        <v>38</v>
      </c>
      <c r="G52" s="43">
        <v>3684.69</v>
      </c>
      <c r="H52" s="41">
        <v>442936579</v>
      </c>
      <c r="I52" s="44">
        <v>0</v>
      </c>
      <c r="J52" s="43">
        <v>0</v>
      </c>
      <c r="K52" s="43">
        <v>0</v>
      </c>
      <c r="L52" s="43">
        <v>0</v>
      </c>
      <c r="M52" s="43">
        <v>9988.81</v>
      </c>
      <c r="N52" s="45" t="s">
        <v>53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35">
        <v>45917.737824074073</v>
      </c>
      <c r="B53" s="36">
        <v>443720473</v>
      </c>
      <c r="C53" s="37" t="s">
        <v>36</v>
      </c>
      <c r="D53" s="37" t="s">
        <v>37</v>
      </c>
      <c r="E53" s="37" t="s">
        <v>46</v>
      </c>
      <c r="F53" s="37" t="s">
        <v>38</v>
      </c>
      <c r="G53" s="38">
        <v>3684.69</v>
      </c>
      <c r="H53" s="36">
        <v>442936580</v>
      </c>
      <c r="I53" s="39">
        <v>0</v>
      </c>
      <c r="J53" s="38">
        <v>0</v>
      </c>
      <c r="K53" s="38">
        <v>0</v>
      </c>
      <c r="L53" s="38">
        <v>0</v>
      </c>
      <c r="M53" s="38">
        <v>9988.81</v>
      </c>
      <c r="N53" s="46" t="s">
        <v>49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40">
        <v>45917.743159722224</v>
      </c>
      <c r="B54" s="41">
        <v>443722956</v>
      </c>
      <c r="C54" s="42" t="s">
        <v>36</v>
      </c>
      <c r="D54" s="42" t="s">
        <v>39</v>
      </c>
      <c r="E54" s="42" t="s">
        <v>47</v>
      </c>
      <c r="F54" s="42" t="s">
        <v>38</v>
      </c>
      <c r="G54" s="43">
        <v>3684.99</v>
      </c>
      <c r="H54" s="41">
        <v>442939152</v>
      </c>
      <c r="I54" s="44">
        <v>0</v>
      </c>
      <c r="J54" s="43">
        <v>0</v>
      </c>
      <c r="K54" s="43">
        <v>0</v>
      </c>
      <c r="L54" s="43">
        <v>0.28000000000000003</v>
      </c>
      <c r="M54" s="43">
        <v>9989.09</v>
      </c>
      <c r="N54" s="45" t="s">
        <v>141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35">
        <v>45917.743159722224</v>
      </c>
      <c r="B55" s="36">
        <v>443722957</v>
      </c>
      <c r="C55" s="37" t="s">
        <v>36</v>
      </c>
      <c r="D55" s="37" t="s">
        <v>39</v>
      </c>
      <c r="E55" s="37" t="s">
        <v>47</v>
      </c>
      <c r="F55" s="37" t="s">
        <v>38</v>
      </c>
      <c r="G55" s="38">
        <v>3684.99</v>
      </c>
      <c r="H55" s="36">
        <v>442939153</v>
      </c>
      <c r="I55" s="39">
        <v>0</v>
      </c>
      <c r="J55" s="38">
        <v>0</v>
      </c>
      <c r="K55" s="38">
        <v>0</v>
      </c>
      <c r="L55" s="38">
        <v>0.3</v>
      </c>
      <c r="M55" s="38">
        <v>9989.39</v>
      </c>
      <c r="N55" s="46" t="s">
        <v>141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40">
        <v>45917.743159722224</v>
      </c>
      <c r="B56" s="41">
        <v>443722958</v>
      </c>
      <c r="C56" s="42" t="s">
        <v>36</v>
      </c>
      <c r="D56" s="42" t="s">
        <v>39</v>
      </c>
      <c r="E56" s="42" t="s">
        <v>47</v>
      </c>
      <c r="F56" s="42" t="s">
        <v>38</v>
      </c>
      <c r="G56" s="43">
        <v>3684.99</v>
      </c>
      <c r="H56" s="41">
        <v>442939154</v>
      </c>
      <c r="I56" s="44">
        <v>0</v>
      </c>
      <c r="J56" s="43">
        <v>0</v>
      </c>
      <c r="K56" s="43">
        <v>0</v>
      </c>
      <c r="L56" s="43">
        <v>0.3</v>
      </c>
      <c r="M56" s="43">
        <v>9989.69</v>
      </c>
      <c r="N56" s="45" t="s">
        <v>141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35">
        <v>45917.743217592593</v>
      </c>
      <c r="B57" s="36">
        <v>443723002</v>
      </c>
      <c r="C57" s="37" t="s">
        <v>36</v>
      </c>
      <c r="D57" s="37" t="s">
        <v>39</v>
      </c>
      <c r="E57" s="37" t="s">
        <v>47</v>
      </c>
      <c r="F57" s="37" t="s">
        <v>38</v>
      </c>
      <c r="G57" s="38">
        <v>3684.6</v>
      </c>
      <c r="H57" s="36">
        <v>442939205</v>
      </c>
      <c r="I57" s="39">
        <v>0</v>
      </c>
      <c r="J57" s="38">
        <v>0</v>
      </c>
      <c r="K57" s="38">
        <v>0</v>
      </c>
      <c r="L57" s="38">
        <v>2.0299999999999998</v>
      </c>
      <c r="M57" s="38">
        <v>9991.7199999999993</v>
      </c>
      <c r="N57" s="46" t="s">
        <v>142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40">
        <v>45917.743217592593</v>
      </c>
      <c r="B58" s="41">
        <v>443723003</v>
      </c>
      <c r="C58" s="42" t="s">
        <v>36</v>
      </c>
      <c r="D58" s="42" t="s">
        <v>39</v>
      </c>
      <c r="E58" s="42" t="s">
        <v>47</v>
      </c>
      <c r="F58" s="42" t="s">
        <v>38</v>
      </c>
      <c r="G58" s="43">
        <v>3684.6</v>
      </c>
      <c r="H58" s="41">
        <v>442939206</v>
      </c>
      <c r="I58" s="44">
        <v>0</v>
      </c>
      <c r="J58" s="43">
        <v>0</v>
      </c>
      <c r="K58" s="43">
        <v>0</v>
      </c>
      <c r="L58" s="43">
        <v>2.0299999999999998</v>
      </c>
      <c r="M58" s="43">
        <v>9993.75</v>
      </c>
      <c r="N58" s="45" t="s">
        <v>142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35">
        <v>45917.745798611111</v>
      </c>
      <c r="B59" s="36">
        <v>443724128</v>
      </c>
      <c r="C59" s="37" t="s">
        <v>36</v>
      </c>
      <c r="D59" s="37" t="s">
        <v>37</v>
      </c>
      <c r="E59" s="37" t="s">
        <v>46</v>
      </c>
      <c r="F59" s="37" t="s">
        <v>38</v>
      </c>
      <c r="G59" s="38">
        <v>3683.89</v>
      </c>
      <c r="H59" s="36">
        <v>442940492</v>
      </c>
      <c r="I59" s="39">
        <v>0</v>
      </c>
      <c r="J59" s="38">
        <v>0</v>
      </c>
      <c r="K59" s="38">
        <v>0</v>
      </c>
      <c r="L59" s="38">
        <v>0</v>
      </c>
      <c r="M59" s="38">
        <v>9993.75</v>
      </c>
      <c r="N59" s="46" t="s">
        <v>125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40">
        <v>45917.745810185188</v>
      </c>
      <c r="B60" s="41">
        <v>443724130</v>
      </c>
      <c r="C60" s="42" t="s">
        <v>36</v>
      </c>
      <c r="D60" s="42" t="s">
        <v>37</v>
      </c>
      <c r="E60" s="42" t="s">
        <v>46</v>
      </c>
      <c r="F60" s="42" t="s">
        <v>38</v>
      </c>
      <c r="G60" s="43">
        <v>3683.78</v>
      </c>
      <c r="H60" s="41">
        <v>442940496</v>
      </c>
      <c r="I60" s="44">
        <v>0</v>
      </c>
      <c r="J60" s="43">
        <v>0</v>
      </c>
      <c r="K60" s="43">
        <v>0</v>
      </c>
      <c r="L60" s="43">
        <v>0</v>
      </c>
      <c r="M60" s="43">
        <v>9993.75</v>
      </c>
      <c r="N60" s="45" t="s">
        <v>124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35">
        <v>45917.748692129629</v>
      </c>
      <c r="B61" s="36">
        <v>443725916</v>
      </c>
      <c r="C61" s="37" t="s">
        <v>36</v>
      </c>
      <c r="D61" s="37" t="s">
        <v>39</v>
      </c>
      <c r="E61" s="37" t="s">
        <v>46</v>
      </c>
      <c r="F61" s="37" t="s">
        <v>38</v>
      </c>
      <c r="G61" s="38">
        <v>3683.15</v>
      </c>
      <c r="H61" s="36">
        <v>442942538</v>
      </c>
      <c r="I61" s="39">
        <v>0</v>
      </c>
      <c r="J61" s="38">
        <v>0</v>
      </c>
      <c r="K61" s="38">
        <v>0</v>
      </c>
      <c r="L61" s="38">
        <v>0</v>
      </c>
      <c r="M61" s="38">
        <v>9993.75</v>
      </c>
      <c r="N61" s="46" t="s">
        <v>49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40">
        <v>45917.748692129629</v>
      </c>
      <c r="B62" s="41">
        <v>443725919</v>
      </c>
      <c r="C62" s="42" t="s">
        <v>36</v>
      </c>
      <c r="D62" s="42" t="s">
        <v>39</v>
      </c>
      <c r="E62" s="42" t="s">
        <v>46</v>
      </c>
      <c r="F62" s="42" t="s">
        <v>38</v>
      </c>
      <c r="G62" s="43">
        <v>3683.15</v>
      </c>
      <c r="H62" s="41">
        <v>442942542</v>
      </c>
      <c r="I62" s="44">
        <v>0</v>
      </c>
      <c r="J62" s="43">
        <v>0</v>
      </c>
      <c r="K62" s="43">
        <v>0</v>
      </c>
      <c r="L62" s="43">
        <v>0</v>
      </c>
      <c r="M62" s="43">
        <v>9993.75</v>
      </c>
      <c r="N62" s="45" t="s">
        <v>53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35">
        <v>45917.748703703706</v>
      </c>
      <c r="B63" s="36">
        <v>443725920</v>
      </c>
      <c r="C63" s="37" t="s">
        <v>36</v>
      </c>
      <c r="D63" s="37" t="s">
        <v>39</v>
      </c>
      <c r="E63" s="37" t="s">
        <v>46</v>
      </c>
      <c r="F63" s="37" t="s">
        <v>38</v>
      </c>
      <c r="G63" s="38">
        <v>3683.15</v>
      </c>
      <c r="H63" s="36">
        <v>442942544</v>
      </c>
      <c r="I63" s="39">
        <v>0</v>
      </c>
      <c r="J63" s="38">
        <v>0</v>
      </c>
      <c r="K63" s="38">
        <v>0</v>
      </c>
      <c r="L63" s="38">
        <v>0</v>
      </c>
      <c r="M63" s="38">
        <v>9993.75</v>
      </c>
      <c r="N63" s="46" t="s">
        <v>48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40">
        <v>45917.752743055556</v>
      </c>
      <c r="B64" s="41">
        <v>443728023</v>
      </c>
      <c r="C64" s="42" t="s">
        <v>36</v>
      </c>
      <c r="D64" s="42" t="s">
        <v>37</v>
      </c>
      <c r="E64" s="42" t="s">
        <v>47</v>
      </c>
      <c r="F64" s="42" t="s">
        <v>38</v>
      </c>
      <c r="G64" s="43">
        <v>3685.65</v>
      </c>
      <c r="H64" s="41">
        <v>442944767</v>
      </c>
      <c r="I64" s="44">
        <v>0</v>
      </c>
      <c r="J64" s="43">
        <v>0</v>
      </c>
      <c r="K64" s="43">
        <v>0</v>
      </c>
      <c r="L64" s="43">
        <v>-2.5</v>
      </c>
      <c r="M64" s="43">
        <v>9991.25</v>
      </c>
      <c r="N64" s="45" t="s">
        <v>143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35">
        <v>45917.758414351854</v>
      </c>
      <c r="B65" s="36">
        <v>443730682</v>
      </c>
      <c r="C65" s="37" t="s">
        <v>36</v>
      </c>
      <c r="D65" s="37" t="s">
        <v>37</v>
      </c>
      <c r="E65" s="37" t="s">
        <v>46</v>
      </c>
      <c r="F65" s="37" t="s">
        <v>38</v>
      </c>
      <c r="G65" s="38">
        <v>3685.23</v>
      </c>
      <c r="H65" s="36">
        <v>442947400</v>
      </c>
      <c r="I65" s="39">
        <v>0</v>
      </c>
      <c r="J65" s="38">
        <v>0</v>
      </c>
      <c r="K65" s="38">
        <v>0</v>
      </c>
      <c r="L65" s="38">
        <v>0</v>
      </c>
      <c r="M65" s="38">
        <v>9991.25</v>
      </c>
      <c r="N65" s="46" t="s">
        <v>49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40">
        <v>45917.758750000001</v>
      </c>
      <c r="B66" s="41">
        <v>443730792</v>
      </c>
      <c r="C66" s="42" t="s">
        <v>36</v>
      </c>
      <c r="D66" s="42" t="s">
        <v>37</v>
      </c>
      <c r="E66" s="42" t="s">
        <v>47</v>
      </c>
      <c r="F66" s="42" t="s">
        <v>38</v>
      </c>
      <c r="G66" s="43">
        <v>3686.15</v>
      </c>
      <c r="H66" s="41">
        <v>442947505</v>
      </c>
      <c r="I66" s="44">
        <v>0</v>
      </c>
      <c r="J66" s="43">
        <v>0</v>
      </c>
      <c r="K66" s="43">
        <v>0</v>
      </c>
      <c r="L66" s="43">
        <v>-3</v>
      </c>
      <c r="M66" s="43">
        <v>9988.25</v>
      </c>
      <c r="N66" s="45" t="s">
        <v>144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35">
        <v>45917.758750000001</v>
      </c>
      <c r="B67" s="36">
        <v>443730793</v>
      </c>
      <c r="C67" s="37" t="s">
        <v>36</v>
      </c>
      <c r="D67" s="37" t="s">
        <v>37</v>
      </c>
      <c r="E67" s="37" t="s">
        <v>47</v>
      </c>
      <c r="F67" s="37" t="s">
        <v>38</v>
      </c>
      <c r="G67" s="38">
        <v>3686.15</v>
      </c>
      <c r="H67" s="36">
        <v>442947506</v>
      </c>
      <c r="I67" s="39">
        <v>0</v>
      </c>
      <c r="J67" s="38">
        <v>0</v>
      </c>
      <c r="K67" s="38">
        <v>0</v>
      </c>
      <c r="L67" s="38">
        <v>-3</v>
      </c>
      <c r="M67" s="38">
        <v>9985.25</v>
      </c>
      <c r="N67" s="46" t="s">
        <v>144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40">
        <v>45917.760034722225</v>
      </c>
      <c r="B68" s="41">
        <v>443732610</v>
      </c>
      <c r="C68" s="42" t="s">
        <v>36</v>
      </c>
      <c r="D68" s="42" t="s">
        <v>37</v>
      </c>
      <c r="E68" s="42" t="s">
        <v>46</v>
      </c>
      <c r="F68" s="42" t="s">
        <v>38</v>
      </c>
      <c r="G68" s="43">
        <v>3685.85</v>
      </c>
      <c r="H68" s="41">
        <v>442949291</v>
      </c>
      <c r="I68" s="44">
        <v>0</v>
      </c>
      <c r="J68" s="43">
        <v>0</v>
      </c>
      <c r="K68" s="43">
        <v>0</v>
      </c>
      <c r="L68" s="43">
        <v>0</v>
      </c>
      <c r="M68" s="43">
        <v>9985.25</v>
      </c>
      <c r="N68" s="45" t="s">
        <v>53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35">
        <v>45917.760034722225</v>
      </c>
      <c r="B69" s="36">
        <v>443732614</v>
      </c>
      <c r="C69" s="37" t="s">
        <v>36</v>
      </c>
      <c r="D69" s="37" t="s">
        <v>37</v>
      </c>
      <c r="E69" s="37" t="s">
        <v>46</v>
      </c>
      <c r="F69" s="37" t="s">
        <v>38</v>
      </c>
      <c r="G69" s="38">
        <v>3685.87</v>
      </c>
      <c r="H69" s="36">
        <v>442949294</v>
      </c>
      <c r="I69" s="39">
        <v>0</v>
      </c>
      <c r="J69" s="38">
        <v>0</v>
      </c>
      <c r="K69" s="38">
        <v>0</v>
      </c>
      <c r="L69" s="38">
        <v>0</v>
      </c>
      <c r="M69" s="38">
        <v>9985.25</v>
      </c>
      <c r="N69" s="46" t="s">
        <v>48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40">
        <v>45917.761006944442</v>
      </c>
      <c r="B70" s="41">
        <v>443733487</v>
      </c>
      <c r="C70" s="42" t="s">
        <v>36</v>
      </c>
      <c r="D70" s="42" t="s">
        <v>39</v>
      </c>
      <c r="E70" s="42" t="s">
        <v>47</v>
      </c>
      <c r="F70" s="42" t="s">
        <v>38</v>
      </c>
      <c r="G70" s="43">
        <v>3685.26</v>
      </c>
      <c r="H70" s="41">
        <v>442950169</v>
      </c>
      <c r="I70" s="44">
        <v>0</v>
      </c>
      <c r="J70" s="43">
        <v>0</v>
      </c>
      <c r="K70" s="43">
        <v>0</v>
      </c>
      <c r="L70" s="43">
        <v>0.03</v>
      </c>
      <c r="M70" s="43">
        <v>9985.2800000000007</v>
      </c>
      <c r="N70" s="45" t="s">
        <v>145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35">
        <v>45917.761076388888</v>
      </c>
      <c r="B71" s="36">
        <v>443733518</v>
      </c>
      <c r="C71" s="37" t="s">
        <v>36</v>
      </c>
      <c r="D71" s="37" t="s">
        <v>37</v>
      </c>
      <c r="E71" s="37" t="s">
        <v>46</v>
      </c>
      <c r="F71" s="37" t="s">
        <v>38</v>
      </c>
      <c r="G71" s="38">
        <v>3685.57</v>
      </c>
      <c r="H71" s="36">
        <v>442950199</v>
      </c>
      <c r="I71" s="39">
        <v>0</v>
      </c>
      <c r="J71" s="38">
        <v>0</v>
      </c>
      <c r="K71" s="38">
        <v>0</v>
      </c>
      <c r="L71" s="38">
        <v>0</v>
      </c>
      <c r="M71" s="38">
        <v>9985.2800000000007</v>
      </c>
      <c r="N71" s="46" t="s">
        <v>49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40">
        <v>45917.763958333337</v>
      </c>
      <c r="B72" s="41">
        <v>443734820</v>
      </c>
      <c r="C72" s="42" t="s">
        <v>36</v>
      </c>
      <c r="D72" s="42" t="s">
        <v>39</v>
      </c>
      <c r="E72" s="42" t="s">
        <v>47</v>
      </c>
      <c r="F72" s="42" t="s">
        <v>38</v>
      </c>
      <c r="G72" s="43">
        <v>3684.71</v>
      </c>
      <c r="H72" s="41">
        <v>442951489</v>
      </c>
      <c r="I72" s="44">
        <v>0</v>
      </c>
      <c r="J72" s="43">
        <v>0</v>
      </c>
      <c r="K72" s="43">
        <v>0</v>
      </c>
      <c r="L72" s="43">
        <v>0.82</v>
      </c>
      <c r="M72" s="43">
        <v>9986.1</v>
      </c>
      <c r="N72" s="45" t="s">
        <v>146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35">
        <v>45917.763958333337</v>
      </c>
      <c r="B73" s="36">
        <v>443734821</v>
      </c>
      <c r="C73" s="37" t="s">
        <v>36</v>
      </c>
      <c r="D73" s="37" t="s">
        <v>39</v>
      </c>
      <c r="E73" s="37" t="s">
        <v>47</v>
      </c>
      <c r="F73" s="37" t="s">
        <v>38</v>
      </c>
      <c r="G73" s="38">
        <v>3684.71</v>
      </c>
      <c r="H73" s="36">
        <v>442951490</v>
      </c>
      <c r="I73" s="39">
        <v>0</v>
      </c>
      <c r="J73" s="38">
        <v>0</v>
      </c>
      <c r="K73" s="38">
        <v>0</v>
      </c>
      <c r="L73" s="38">
        <v>0.93</v>
      </c>
      <c r="M73" s="38">
        <v>9987.0300000000007</v>
      </c>
      <c r="N73" s="46" t="s">
        <v>147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40">
        <v>45917.766631944447</v>
      </c>
      <c r="B74" s="41">
        <v>443735991</v>
      </c>
      <c r="C74" s="42" t="s">
        <v>36</v>
      </c>
      <c r="D74" s="42" t="s">
        <v>37</v>
      </c>
      <c r="E74" s="42" t="s">
        <v>46</v>
      </c>
      <c r="F74" s="42" t="s">
        <v>38</v>
      </c>
      <c r="G74" s="43">
        <v>3686.21</v>
      </c>
      <c r="H74" s="41">
        <v>442952638</v>
      </c>
      <c r="I74" s="44">
        <v>0</v>
      </c>
      <c r="J74" s="43">
        <v>0</v>
      </c>
      <c r="K74" s="43">
        <v>0</v>
      </c>
      <c r="L74" s="43">
        <v>0</v>
      </c>
      <c r="M74" s="43">
        <v>9987.0300000000007</v>
      </c>
      <c r="N74" s="45" t="s">
        <v>124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35">
        <v>45917.766643518517</v>
      </c>
      <c r="B75" s="36">
        <v>443735994</v>
      </c>
      <c r="C75" s="37" t="s">
        <v>36</v>
      </c>
      <c r="D75" s="37" t="s">
        <v>37</v>
      </c>
      <c r="E75" s="37" t="s">
        <v>46</v>
      </c>
      <c r="F75" s="37" t="s">
        <v>38</v>
      </c>
      <c r="G75" s="38">
        <v>3686.21</v>
      </c>
      <c r="H75" s="36">
        <v>442952641</v>
      </c>
      <c r="I75" s="39">
        <v>0</v>
      </c>
      <c r="J75" s="38">
        <v>0</v>
      </c>
      <c r="K75" s="38">
        <v>0</v>
      </c>
      <c r="L75" s="38">
        <v>0</v>
      </c>
      <c r="M75" s="38">
        <v>9987.0300000000007</v>
      </c>
      <c r="N75" s="46" t="s">
        <v>125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40">
        <v>45917.77</v>
      </c>
      <c r="B76" s="41">
        <v>443737783</v>
      </c>
      <c r="C76" s="42" t="s">
        <v>36</v>
      </c>
      <c r="D76" s="42" t="s">
        <v>39</v>
      </c>
      <c r="E76" s="42" t="s">
        <v>47</v>
      </c>
      <c r="F76" s="42" t="s">
        <v>38</v>
      </c>
      <c r="G76" s="43">
        <v>3684.42</v>
      </c>
      <c r="H76" s="41">
        <v>442954424</v>
      </c>
      <c r="I76" s="44">
        <v>0</v>
      </c>
      <c r="J76" s="43">
        <v>0</v>
      </c>
      <c r="K76" s="43">
        <v>0</v>
      </c>
      <c r="L76" s="43">
        <v>1.04</v>
      </c>
      <c r="M76" s="43">
        <v>9988.07</v>
      </c>
      <c r="N76" s="45" t="s">
        <v>148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35">
        <v>45917.770798611113</v>
      </c>
      <c r="B77" s="36">
        <v>443738088</v>
      </c>
      <c r="C77" s="37" t="s">
        <v>36</v>
      </c>
      <c r="D77" s="37" t="s">
        <v>37</v>
      </c>
      <c r="E77" s="37" t="s">
        <v>46</v>
      </c>
      <c r="F77" s="37" t="s">
        <v>38</v>
      </c>
      <c r="G77" s="38">
        <v>3685.35</v>
      </c>
      <c r="H77" s="36">
        <v>442954728</v>
      </c>
      <c r="I77" s="39">
        <v>0</v>
      </c>
      <c r="J77" s="38">
        <v>0</v>
      </c>
      <c r="K77" s="38">
        <v>0</v>
      </c>
      <c r="L77" s="38">
        <v>0</v>
      </c>
      <c r="M77" s="38">
        <v>9988.07</v>
      </c>
      <c r="N77" s="46" t="s">
        <v>123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40">
        <v>45917.776956018519</v>
      </c>
      <c r="B78" s="41">
        <v>443741538</v>
      </c>
      <c r="C78" s="42" t="s">
        <v>36</v>
      </c>
      <c r="D78" s="42" t="s">
        <v>39</v>
      </c>
      <c r="E78" s="42" t="s">
        <v>47</v>
      </c>
      <c r="F78" s="42" t="s">
        <v>38</v>
      </c>
      <c r="G78" s="43">
        <v>3685.31</v>
      </c>
      <c r="H78" s="41">
        <v>442958158</v>
      </c>
      <c r="I78" s="44">
        <v>0</v>
      </c>
      <c r="J78" s="43">
        <v>0</v>
      </c>
      <c r="K78" s="43">
        <v>0</v>
      </c>
      <c r="L78" s="43">
        <v>-0.26</v>
      </c>
      <c r="M78" s="43">
        <v>9987.81</v>
      </c>
      <c r="N78" s="45" t="s">
        <v>149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35">
        <v>45917.784918981481</v>
      </c>
      <c r="B79" s="36">
        <v>443744159</v>
      </c>
      <c r="C79" s="37" t="s">
        <v>36</v>
      </c>
      <c r="D79" s="37" t="s">
        <v>39</v>
      </c>
      <c r="E79" s="37" t="s">
        <v>46</v>
      </c>
      <c r="F79" s="37" t="s">
        <v>38</v>
      </c>
      <c r="G79" s="38">
        <v>3684.72</v>
      </c>
      <c r="H79" s="36">
        <v>442960760</v>
      </c>
      <c r="I79" s="39">
        <v>0</v>
      </c>
      <c r="J79" s="38">
        <v>0</v>
      </c>
      <c r="K79" s="38">
        <v>0</v>
      </c>
      <c r="L79" s="38">
        <v>0</v>
      </c>
      <c r="M79" s="38">
        <v>9987.81</v>
      </c>
      <c r="N79" s="46" t="s">
        <v>49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40">
        <v>45917.784918981481</v>
      </c>
      <c r="B80" s="41">
        <v>443744160</v>
      </c>
      <c r="C80" s="42" t="s">
        <v>36</v>
      </c>
      <c r="D80" s="42" t="s">
        <v>39</v>
      </c>
      <c r="E80" s="42" t="s">
        <v>46</v>
      </c>
      <c r="F80" s="42" t="s">
        <v>38</v>
      </c>
      <c r="G80" s="43">
        <v>3684.72</v>
      </c>
      <c r="H80" s="41">
        <v>442960761</v>
      </c>
      <c r="I80" s="44">
        <v>0</v>
      </c>
      <c r="J80" s="43">
        <v>0</v>
      </c>
      <c r="K80" s="43">
        <v>0</v>
      </c>
      <c r="L80" s="43">
        <v>0</v>
      </c>
      <c r="M80" s="43">
        <v>9987.81</v>
      </c>
      <c r="N80" s="45" t="s">
        <v>150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35">
        <v>45917.78765046296</v>
      </c>
      <c r="B81" s="36">
        <v>443744981</v>
      </c>
      <c r="C81" s="37" t="s">
        <v>36</v>
      </c>
      <c r="D81" s="37" t="s">
        <v>39</v>
      </c>
      <c r="E81" s="37" t="s">
        <v>47</v>
      </c>
      <c r="F81" s="37" t="s">
        <v>38</v>
      </c>
      <c r="G81" s="38">
        <v>3683.18</v>
      </c>
      <c r="H81" s="36">
        <v>442961562</v>
      </c>
      <c r="I81" s="39">
        <v>0</v>
      </c>
      <c r="J81" s="38">
        <v>0</v>
      </c>
      <c r="K81" s="38">
        <v>0</v>
      </c>
      <c r="L81" s="38">
        <v>-3.03</v>
      </c>
      <c r="M81" s="38">
        <v>9984.7800000000007</v>
      </c>
      <c r="N81" s="46" t="s">
        <v>151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40">
        <v>45917.78765046296</v>
      </c>
      <c r="B82" s="41">
        <v>443744982</v>
      </c>
      <c r="C82" s="42" t="s">
        <v>36</v>
      </c>
      <c r="D82" s="42" t="s">
        <v>39</v>
      </c>
      <c r="E82" s="42" t="s">
        <v>47</v>
      </c>
      <c r="F82" s="42" t="s">
        <v>38</v>
      </c>
      <c r="G82" s="43">
        <v>3683.18</v>
      </c>
      <c r="H82" s="41">
        <v>442961563</v>
      </c>
      <c r="I82" s="44">
        <v>0</v>
      </c>
      <c r="J82" s="43">
        <v>0</v>
      </c>
      <c r="K82" s="43">
        <v>0</v>
      </c>
      <c r="L82" s="43">
        <v>-3.03</v>
      </c>
      <c r="M82" s="43">
        <v>9981.75</v>
      </c>
      <c r="N82" s="45" t="s">
        <v>151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35">
        <v>45917.787928240738</v>
      </c>
      <c r="B83" s="36">
        <v>443745204</v>
      </c>
      <c r="C83" s="37" t="s">
        <v>36</v>
      </c>
      <c r="D83" s="37" t="s">
        <v>37</v>
      </c>
      <c r="E83" s="37" t="s">
        <v>47</v>
      </c>
      <c r="F83" s="37" t="s">
        <v>38</v>
      </c>
      <c r="G83" s="38">
        <v>3683.21</v>
      </c>
      <c r="H83" s="36">
        <v>442961785</v>
      </c>
      <c r="I83" s="39">
        <v>0</v>
      </c>
      <c r="J83" s="38">
        <v>0</v>
      </c>
      <c r="K83" s="38">
        <v>0</v>
      </c>
      <c r="L83" s="38">
        <v>1.51</v>
      </c>
      <c r="M83" s="38">
        <v>9983.26</v>
      </c>
      <c r="N83" s="46" t="s">
        <v>152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40">
        <v>45917.788206018522</v>
      </c>
      <c r="B84" s="41">
        <v>443745358</v>
      </c>
      <c r="C84" s="42" t="s">
        <v>36</v>
      </c>
      <c r="D84" s="42" t="s">
        <v>39</v>
      </c>
      <c r="E84" s="42" t="s">
        <v>47</v>
      </c>
      <c r="F84" s="42" t="s">
        <v>38</v>
      </c>
      <c r="G84" s="43">
        <v>3682.82</v>
      </c>
      <c r="H84" s="41">
        <v>442961940</v>
      </c>
      <c r="I84" s="44">
        <v>0</v>
      </c>
      <c r="J84" s="43">
        <v>0</v>
      </c>
      <c r="K84" s="43">
        <v>0</v>
      </c>
      <c r="L84" s="43">
        <v>-3.03</v>
      </c>
      <c r="M84" s="43">
        <v>9980.23</v>
      </c>
      <c r="N84" s="45" t="s">
        <v>153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35">
        <v>45917.788206018522</v>
      </c>
      <c r="B85" s="36">
        <v>443745360</v>
      </c>
      <c r="C85" s="37" t="s">
        <v>36</v>
      </c>
      <c r="D85" s="37" t="s">
        <v>39</v>
      </c>
      <c r="E85" s="37" t="s">
        <v>47</v>
      </c>
      <c r="F85" s="37" t="s">
        <v>38</v>
      </c>
      <c r="G85" s="38">
        <v>3682.82</v>
      </c>
      <c r="H85" s="36">
        <v>442961941</v>
      </c>
      <c r="I85" s="39">
        <v>0</v>
      </c>
      <c r="J85" s="38">
        <v>0</v>
      </c>
      <c r="K85" s="38">
        <v>0</v>
      </c>
      <c r="L85" s="38">
        <v>-3.05</v>
      </c>
      <c r="M85" s="38">
        <v>9977.18</v>
      </c>
      <c r="N85" s="46" t="s">
        <v>154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40">
        <v>45917.789317129631</v>
      </c>
      <c r="B86" s="41">
        <v>443745732</v>
      </c>
      <c r="C86" s="42" t="s">
        <v>36</v>
      </c>
      <c r="D86" s="42" t="s">
        <v>39</v>
      </c>
      <c r="E86" s="42" t="s">
        <v>46</v>
      </c>
      <c r="F86" s="42" t="s">
        <v>38</v>
      </c>
      <c r="G86" s="43">
        <v>3683.65</v>
      </c>
      <c r="H86" s="41">
        <v>442962317</v>
      </c>
      <c r="I86" s="44">
        <v>0</v>
      </c>
      <c r="J86" s="43">
        <v>0</v>
      </c>
      <c r="K86" s="43">
        <v>0</v>
      </c>
      <c r="L86" s="43">
        <v>0</v>
      </c>
      <c r="M86" s="43">
        <v>9977.18</v>
      </c>
      <c r="N86" s="45" t="s">
        <v>150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35">
        <v>45917.789317129631</v>
      </c>
      <c r="B87" s="36">
        <v>443745733</v>
      </c>
      <c r="C87" s="37" t="s">
        <v>36</v>
      </c>
      <c r="D87" s="37" t="s">
        <v>39</v>
      </c>
      <c r="E87" s="37" t="s">
        <v>46</v>
      </c>
      <c r="F87" s="37" t="s">
        <v>38</v>
      </c>
      <c r="G87" s="38">
        <v>3683.65</v>
      </c>
      <c r="H87" s="36">
        <v>442962318</v>
      </c>
      <c r="I87" s="39">
        <v>0</v>
      </c>
      <c r="J87" s="38">
        <v>0</v>
      </c>
      <c r="K87" s="38">
        <v>0</v>
      </c>
      <c r="L87" s="38">
        <v>0</v>
      </c>
      <c r="M87" s="38">
        <v>9977.18</v>
      </c>
      <c r="N87" s="46" t="s">
        <v>48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40">
        <v>45917.789317129631</v>
      </c>
      <c r="B88" s="41">
        <v>443745734</v>
      </c>
      <c r="C88" s="42" t="s">
        <v>36</v>
      </c>
      <c r="D88" s="42" t="s">
        <v>39</v>
      </c>
      <c r="E88" s="42" t="s">
        <v>46</v>
      </c>
      <c r="F88" s="42" t="s">
        <v>38</v>
      </c>
      <c r="G88" s="43">
        <v>3683.71</v>
      </c>
      <c r="H88" s="41">
        <v>442962319</v>
      </c>
      <c r="I88" s="44">
        <v>0</v>
      </c>
      <c r="J88" s="43">
        <v>0</v>
      </c>
      <c r="K88" s="43">
        <v>0</v>
      </c>
      <c r="L88" s="43">
        <v>0</v>
      </c>
      <c r="M88" s="43">
        <v>9977.18</v>
      </c>
      <c r="N88" s="45" t="s">
        <v>53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35">
        <v>45917.790821759256</v>
      </c>
      <c r="B89" s="36">
        <v>443746050</v>
      </c>
      <c r="C89" s="37" t="s">
        <v>36</v>
      </c>
      <c r="D89" s="37" t="s">
        <v>37</v>
      </c>
      <c r="E89" s="37" t="s">
        <v>47</v>
      </c>
      <c r="F89" s="37" t="s">
        <v>38</v>
      </c>
      <c r="G89" s="38">
        <v>3684.11</v>
      </c>
      <c r="H89" s="36">
        <v>442962638</v>
      </c>
      <c r="I89" s="39">
        <v>0</v>
      </c>
      <c r="J89" s="38">
        <v>0</v>
      </c>
      <c r="K89" s="38">
        <v>0</v>
      </c>
      <c r="L89" s="38">
        <v>0.61</v>
      </c>
      <c r="M89" s="38">
        <v>9977.7900000000009</v>
      </c>
      <c r="N89" s="46" t="s">
        <v>155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40">
        <v>45917.790821759256</v>
      </c>
      <c r="B90" s="41">
        <v>443746052</v>
      </c>
      <c r="C90" s="42" t="s">
        <v>36</v>
      </c>
      <c r="D90" s="42" t="s">
        <v>39</v>
      </c>
      <c r="E90" s="42" t="s">
        <v>46</v>
      </c>
      <c r="F90" s="42" t="s">
        <v>38</v>
      </c>
      <c r="G90" s="43">
        <v>3683.9</v>
      </c>
      <c r="H90" s="41">
        <v>442962640</v>
      </c>
      <c r="I90" s="44">
        <v>0</v>
      </c>
      <c r="J90" s="43">
        <v>0</v>
      </c>
      <c r="K90" s="43">
        <v>0</v>
      </c>
      <c r="L90" s="43">
        <v>0</v>
      </c>
      <c r="M90" s="43">
        <v>9977.7900000000009</v>
      </c>
      <c r="N90" s="45" t="s">
        <v>49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35">
        <v>45917.793020833335</v>
      </c>
      <c r="B91" s="36">
        <v>443747435</v>
      </c>
      <c r="C91" s="37" t="s">
        <v>36</v>
      </c>
      <c r="D91" s="37" t="s">
        <v>37</v>
      </c>
      <c r="E91" s="37" t="s">
        <v>46</v>
      </c>
      <c r="F91" s="37" t="s">
        <v>38</v>
      </c>
      <c r="G91" s="38">
        <v>3685.66</v>
      </c>
      <c r="H91" s="36">
        <v>442964017</v>
      </c>
      <c r="I91" s="39">
        <v>0</v>
      </c>
      <c r="J91" s="38">
        <v>0</v>
      </c>
      <c r="K91" s="38">
        <v>0</v>
      </c>
      <c r="L91" s="38">
        <v>0</v>
      </c>
      <c r="M91" s="38">
        <v>9977.7900000000009</v>
      </c>
      <c r="N91" s="46" t="s">
        <v>125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40">
        <v>45917.793032407404</v>
      </c>
      <c r="B92" s="41">
        <v>443747439</v>
      </c>
      <c r="C92" s="42" t="s">
        <v>36</v>
      </c>
      <c r="D92" s="42" t="s">
        <v>37</v>
      </c>
      <c r="E92" s="42" t="s">
        <v>46</v>
      </c>
      <c r="F92" s="42" t="s">
        <v>38</v>
      </c>
      <c r="G92" s="43">
        <v>3685.45</v>
      </c>
      <c r="H92" s="41">
        <v>442964021</v>
      </c>
      <c r="I92" s="44">
        <v>0</v>
      </c>
      <c r="J92" s="43">
        <v>0</v>
      </c>
      <c r="K92" s="43">
        <v>0</v>
      </c>
      <c r="L92" s="43">
        <v>0</v>
      </c>
      <c r="M92" s="43">
        <v>9977.7900000000009</v>
      </c>
      <c r="N92" s="45" t="s">
        <v>124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35">
        <v>45917.795474537037</v>
      </c>
      <c r="B93" s="36">
        <v>443748131</v>
      </c>
      <c r="C93" s="37" t="s">
        <v>36</v>
      </c>
      <c r="D93" s="37" t="s">
        <v>37</v>
      </c>
      <c r="E93" s="37" t="s">
        <v>47</v>
      </c>
      <c r="F93" s="37" t="s">
        <v>38</v>
      </c>
      <c r="G93" s="38">
        <v>3686.44</v>
      </c>
      <c r="H93" s="36">
        <v>442964721</v>
      </c>
      <c r="I93" s="39">
        <v>0</v>
      </c>
      <c r="J93" s="38">
        <v>0</v>
      </c>
      <c r="K93" s="38">
        <v>0</v>
      </c>
      <c r="L93" s="38">
        <v>-2.54</v>
      </c>
      <c r="M93" s="38">
        <v>9975.25</v>
      </c>
      <c r="N93" s="46" t="s">
        <v>156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40">
        <v>45917.795567129629</v>
      </c>
      <c r="B94" s="41">
        <v>443748167</v>
      </c>
      <c r="C94" s="42" t="s">
        <v>36</v>
      </c>
      <c r="D94" s="42" t="s">
        <v>37</v>
      </c>
      <c r="E94" s="42" t="s">
        <v>47</v>
      </c>
      <c r="F94" s="42" t="s">
        <v>38</v>
      </c>
      <c r="G94" s="43">
        <v>3686.66</v>
      </c>
      <c r="H94" s="41">
        <v>442964757</v>
      </c>
      <c r="I94" s="44">
        <v>0</v>
      </c>
      <c r="J94" s="43">
        <v>0</v>
      </c>
      <c r="K94" s="43">
        <v>0</v>
      </c>
      <c r="L94" s="43">
        <v>-3.01</v>
      </c>
      <c r="M94" s="43">
        <v>9972.24</v>
      </c>
      <c r="N94" s="45" t="s">
        <v>157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35">
        <v>45917.795567129629</v>
      </c>
      <c r="B95" s="36">
        <v>443748168</v>
      </c>
      <c r="C95" s="37" t="s">
        <v>36</v>
      </c>
      <c r="D95" s="37" t="s">
        <v>37</v>
      </c>
      <c r="E95" s="37" t="s">
        <v>47</v>
      </c>
      <c r="F95" s="37" t="s">
        <v>38</v>
      </c>
      <c r="G95" s="38">
        <v>3686.66</v>
      </c>
      <c r="H95" s="36">
        <v>442964758</v>
      </c>
      <c r="I95" s="39">
        <v>0</v>
      </c>
      <c r="J95" s="38">
        <v>0</v>
      </c>
      <c r="K95" s="38">
        <v>0</v>
      </c>
      <c r="L95" s="38">
        <v>-2.95</v>
      </c>
      <c r="M95" s="38">
        <v>9969.2900000000009</v>
      </c>
      <c r="N95" s="46" t="s">
        <v>157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40">
        <v>45917.795578703706</v>
      </c>
      <c r="B96" s="41">
        <v>443748175</v>
      </c>
      <c r="C96" s="42" t="s">
        <v>36</v>
      </c>
      <c r="D96" s="42" t="s">
        <v>37</v>
      </c>
      <c r="E96" s="42" t="s">
        <v>47</v>
      </c>
      <c r="F96" s="42" t="s">
        <v>38</v>
      </c>
      <c r="G96" s="43">
        <v>3686.76</v>
      </c>
      <c r="H96" s="41">
        <v>442964765</v>
      </c>
      <c r="I96" s="44">
        <v>0</v>
      </c>
      <c r="J96" s="43">
        <v>0</v>
      </c>
      <c r="K96" s="43">
        <v>0</v>
      </c>
      <c r="L96" s="43">
        <v>-3.11</v>
      </c>
      <c r="M96" s="43">
        <v>9966.18</v>
      </c>
      <c r="N96" s="45" t="s">
        <v>158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35">
        <v>45917.796377314815</v>
      </c>
      <c r="B97" s="36">
        <v>443748498</v>
      </c>
      <c r="C97" s="37" t="s">
        <v>36</v>
      </c>
      <c r="D97" s="37" t="s">
        <v>37</v>
      </c>
      <c r="E97" s="37" t="s">
        <v>46</v>
      </c>
      <c r="F97" s="37" t="s">
        <v>38</v>
      </c>
      <c r="G97" s="38">
        <v>3685.92</v>
      </c>
      <c r="H97" s="36">
        <v>442965083</v>
      </c>
      <c r="I97" s="39">
        <v>0</v>
      </c>
      <c r="J97" s="38">
        <v>0</v>
      </c>
      <c r="K97" s="38">
        <v>0</v>
      </c>
      <c r="L97" s="38">
        <v>0</v>
      </c>
      <c r="M97" s="38">
        <v>9966.18</v>
      </c>
      <c r="N97" s="46" t="s">
        <v>53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40">
        <v>45917.796377314815</v>
      </c>
      <c r="B98" s="41">
        <v>443748499</v>
      </c>
      <c r="C98" s="42" t="s">
        <v>36</v>
      </c>
      <c r="D98" s="42" t="s">
        <v>37</v>
      </c>
      <c r="E98" s="42" t="s">
        <v>46</v>
      </c>
      <c r="F98" s="42" t="s">
        <v>38</v>
      </c>
      <c r="G98" s="43">
        <v>3685.92</v>
      </c>
      <c r="H98" s="41">
        <v>442965084</v>
      </c>
      <c r="I98" s="44">
        <v>0</v>
      </c>
      <c r="J98" s="43">
        <v>0</v>
      </c>
      <c r="K98" s="43">
        <v>0</v>
      </c>
      <c r="L98" s="43">
        <v>0</v>
      </c>
      <c r="M98" s="43">
        <v>9966.18</v>
      </c>
      <c r="N98" s="45" t="s">
        <v>48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35">
        <v>45917.796377314815</v>
      </c>
      <c r="B99" s="36">
        <v>443748502</v>
      </c>
      <c r="C99" s="37" t="s">
        <v>36</v>
      </c>
      <c r="D99" s="37" t="s">
        <v>37</v>
      </c>
      <c r="E99" s="37" t="s">
        <v>46</v>
      </c>
      <c r="F99" s="37" t="s">
        <v>38</v>
      </c>
      <c r="G99" s="38">
        <v>3685.92</v>
      </c>
      <c r="H99" s="36">
        <v>442965087</v>
      </c>
      <c r="I99" s="39">
        <v>0</v>
      </c>
      <c r="J99" s="38">
        <v>0</v>
      </c>
      <c r="K99" s="38">
        <v>0</v>
      </c>
      <c r="L99" s="38">
        <v>0</v>
      </c>
      <c r="M99" s="38">
        <v>9966.18</v>
      </c>
      <c r="N99" s="46" t="s">
        <v>150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40">
        <v>45917.796388888892</v>
      </c>
      <c r="B100" s="41">
        <v>443748505</v>
      </c>
      <c r="C100" s="42" t="s">
        <v>36</v>
      </c>
      <c r="D100" s="42" t="s">
        <v>37</v>
      </c>
      <c r="E100" s="42" t="s">
        <v>46</v>
      </c>
      <c r="F100" s="42" t="s">
        <v>38</v>
      </c>
      <c r="G100" s="43">
        <v>3685.92</v>
      </c>
      <c r="H100" s="41">
        <v>442965089</v>
      </c>
      <c r="I100" s="44">
        <v>0</v>
      </c>
      <c r="J100" s="43">
        <v>0</v>
      </c>
      <c r="K100" s="43">
        <v>0</v>
      </c>
      <c r="L100" s="43">
        <v>0</v>
      </c>
      <c r="M100" s="43">
        <v>9966.18</v>
      </c>
      <c r="N100" s="45" t="s">
        <v>49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35">
        <v>45917.807245370372</v>
      </c>
      <c r="B101" s="36">
        <v>443751912</v>
      </c>
      <c r="C101" s="37" t="s">
        <v>36</v>
      </c>
      <c r="D101" s="37" t="s">
        <v>39</v>
      </c>
      <c r="E101" s="37" t="s">
        <v>47</v>
      </c>
      <c r="F101" s="37" t="s">
        <v>38</v>
      </c>
      <c r="G101" s="38">
        <v>3687.44</v>
      </c>
      <c r="H101" s="36">
        <v>442968495</v>
      </c>
      <c r="I101" s="39">
        <v>0</v>
      </c>
      <c r="J101" s="38">
        <v>0</v>
      </c>
      <c r="K101" s="38">
        <v>0</v>
      </c>
      <c r="L101" s="38">
        <v>1.52</v>
      </c>
      <c r="M101" s="38">
        <v>9967.7000000000007</v>
      </c>
      <c r="N101" s="46" t="s">
        <v>159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40">
        <v>45917.810034722221</v>
      </c>
      <c r="B102" s="41">
        <v>443754134</v>
      </c>
      <c r="C102" s="42" t="s">
        <v>36</v>
      </c>
      <c r="D102" s="42" t="s">
        <v>37</v>
      </c>
      <c r="E102" s="42" t="s">
        <v>46</v>
      </c>
      <c r="F102" s="42" t="s">
        <v>38</v>
      </c>
      <c r="G102" s="43">
        <v>3688.02</v>
      </c>
      <c r="H102" s="41">
        <v>442970672</v>
      </c>
      <c r="I102" s="44">
        <v>0</v>
      </c>
      <c r="J102" s="43">
        <v>0</v>
      </c>
      <c r="K102" s="43">
        <v>0</v>
      </c>
      <c r="L102" s="43">
        <v>0</v>
      </c>
      <c r="M102" s="43">
        <v>9967.7000000000007</v>
      </c>
      <c r="N102" s="45" t="s">
        <v>150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35">
        <v>45917.81287037037</v>
      </c>
      <c r="B103" s="36">
        <v>443754893</v>
      </c>
      <c r="C103" s="37" t="s">
        <v>36</v>
      </c>
      <c r="D103" s="37" t="s">
        <v>39</v>
      </c>
      <c r="E103" s="37" t="s">
        <v>47</v>
      </c>
      <c r="F103" s="37" t="s">
        <v>38</v>
      </c>
      <c r="G103" s="38">
        <v>3687.47</v>
      </c>
      <c r="H103" s="36">
        <v>442971439</v>
      </c>
      <c r="I103" s="39">
        <v>0</v>
      </c>
      <c r="J103" s="38">
        <v>0</v>
      </c>
      <c r="K103" s="38">
        <v>0</v>
      </c>
      <c r="L103" s="38">
        <v>1.55</v>
      </c>
      <c r="M103" s="38">
        <v>9969.25</v>
      </c>
      <c r="N103" s="46" t="s">
        <v>160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40">
        <v>45917.81287037037</v>
      </c>
      <c r="B104" s="41">
        <v>443754894</v>
      </c>
      <c r="C104" s="42" t="s">
        <v>36</v>
      </c>
      <c r="D104" s="42" t="s">
        <v>39</v>
      </c>
      <c r="E104" s="42" t="s">
        <v>47</v>
      </c>
      <c r="F104" s="42" t="s">
        <v>38</v>
      </c>
      <c r="G104" s="43">
        <v>3687.47</v>
      </c>
      <c r="H104" s="41">
        <v>442971440</v>
      </c>
      <c r="I104" s="44">
        <v>0</v>
      </c>
      <c r="J104" s="43">
        <v>0</v>
      </c>
      <c r="K104" s="43">
        <v>0</v>
      </c>
      <c r="L104" s="43">
        <v>1.55</v>
      </c>
      <c r="M104" s="43">
        <v>9970.7999999999993</v>
      </c>
      <c r="N104" s="45" t="s">
        <v>160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35">
        <v>45917.81287037037</v>
      </c>
      <c r="B105" s="36">
        <v>443754895</v>
      </c>
      <c r="C105" s="37" t="s">
        <v>36</v>
      </c>
      <c r="D105" s="37" t="s">
        <v>39</v>
      </c>
      <c r="E105" s="37" t="s">
        <v>47</v>
      </c>
      <c r="F105" s="37" t="s">
        <v>38</v>
      </c>
      <c r="G105" s="38">
        <v>3687.47</v>
      </c>
      <c r="H105" s="36">
        <v>442971441</v>
      </c>
      <c r="I105" s="39">
        <v>0</v>
      </c>
      <c r="J105" s="38">
        <v>0</v>
      </c>
      <c r="K105" s="38">
        <v>0</v>
      </c>
      <c r="L105" s="38">
        <v>1.55</v>
      </c>
      <c r="M105" s="38">
        <v>9972.35</v>
      </c>
      <c r="N105" s="46" t="s">
        <v>161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40">
        <v>45917.813043981485</v>
      </c>
      <c r="B106" s="41">
        <v>443754997</v>
      </c>
      <c r="C106" s="42" t="s">
        <v>36</v>
      </c>
      <c r="D106" s="42" t="s">
        <v>37</v>
      </c>
      <c r="E106" s="42" t="s">
        <v>46</v>
      </c>
      <c r="F106" s="42" t="s">
        <v>38</v>
      </c>
      <c r="G106" s="43">
        <v>3687.74</v>
      </c>
      <c r="H106" s="41">
        <v>442971545</v>
      </c>
      <c r="I106" s="44">
        <v>0</v>
      </c>
      <c r="J106" s="43">
        <v>0</v>
      </c>
      <c r="K106" s="43">
        <v>0</v>
      </c>
      <c r="L106" s="43">
        <v>0</v>
      </c>
      <c r="M106" s="43">
        <v>9972.35</v>
      </c>
      <c r="N106" s="45" t="s">
        <v>53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35">
        <v>45917.813043981485</v>
      </c>
      <c r="B107" s="36">
        <v>443755000</v>
      </c>
      <c r="C107" s="37" t="s">
        <v>36</v>
      </c>
      <c r="D107" s="37" t="s">
        <v>37</v>
      </c>
      <c r="E107" s="37" t="s">
        <v>46</v>
      </c>
      <c r="F107" s="37" t="s">
        <v>38</v>
      </c>
      <c r="G107" s="38">
        <v>3687.74</v>
      </c>
      <c r="H107" s="36">
        <v>442971547</v>
      </c>
      <c r="I107" s="39">
        <v>0</v>
      </c>
      <c r="J107" s="38">
        <v>0</v>
      </c>
      <c r="K107" s="38">
        <v>0</v>
      </c>
      <c r="L107" s="38">
        <v>0</v>
      </c>
      <c r="M107" s="38">
        <v>9972.35</v>
      </c>
      <c r="N107" s="46" t="s">
        <v>48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40">
        <v>45917.813043981485</v>
      </c>
      <c r="B108" s="41">
        <v>443755001</v>
      </c>
      <c r="C108" s="42" t="s">
        <v>36</v>
      </c>
      <c r="D108" s="42" t="s">
        <v>37</v>
      </c>
      <c r="E108" s="42" t="s">
        <v>46</v>
      </c>
      <c r="F108" s="42" t="s">
        <v>38</v>
      </c>
      <c r="G108" s="43">
        <v>3687.72</v>
      </c>
      <c r="H108" s="41">
        <v>442971548</v>
      </c>
      <c r="I108" s="44">
        <v>0</v>
      </c>
      <c r="J108" s="43">
        <v>0</v>
      </c>
      <c r="K108" s="43">
        <v>0</v>
      </c>
      <c r="L108" s="43">
        <v>0</v>
      </c>
      <c r="M108" s="43">
        <v>9972.35</v>
      </c>
      <c r="N108" s="45" t="s">
        <v>49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35">
        <v>45917.822685185187</v>
      </c>
      <c r="B109" s="36">
        <v>443758218</v>
      </c>
      <c r="C109" s="37" t="s">
        <v>36</v>
      </c>
      <c r="D109" s="37" t="s">
        <v>39</v>
      </c>
      <c r="E109" s="37" t="s">
        <v>47</v>
      </c>
      <c r="F109" s="37" t="s">
        <v>38</v>
      </c>
      <c r="G109" s="38">
        <v>3686.27</v>
      </c>
      <c r="H109" s="36">
        <v>442974697</v>
      </c>
      <c r="I109" s="39">
        <v>0</v>
      </c>
      <c r="J109" s="38">
        <v>0</v>
      </c>
      <c r="K109" s="38">
        <v>0</v>
      </c>
      <c r="L109" s="38">
        <v>0.92</v>
      </c>
      <c r="M109" s="38">
        <v>9973.27</v>
      </c>
      <c r="N109" s="46" t="s">
        <v>162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40">
        <v>45917.823576388888</v>
      </c>
      <c r="B110" s="41">
        <v>443758452</v>
      </c>
      <c r="C110" s="42" t="s">
        <v>36</v>
      </c>
      <c r="D110" s="42" t="s">
        <v>37</v>
      </c>
      <c r="E110" s="42" t="s">
        <v>46</v>
      </c>
      <c r="F110" s="42" t="s">
        <v>38</v>
      </c>
      <c r="G110" s="43">
        <v>3687.21</v>
      </c>
      <c r="H110" s="41">
        <v>442974926</v>
      </c>
      <c r="I110" s="44">
        <v>0</v>
      </c>
      <c r="J110" s="43">
        <v>0</v>
      </c>
      <c r="K110" s="43">
        <v>0</v>
      </c>
      <c r="L110" s="43">
        <v>0</v>
      </c>
      <c r="M110" s="43">
        <v>9973.27</v>
      </c>
      <c r="N110" s="45" t="s">
        <v>123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35">
        <v>45917.828599537039</v>
      </c>
      <c r="B111" s="36">
        <v>443759958</v>
      </c>
      <c r="C111" s="37" t="s">
        <v>36</v>
      </c>
      <c r="D111" s="37" t="s">
        <v>39</v>
      </c>
      <c r="E111" s="37" t="s">
        <v>47</v>
      </c>
      <c r="F111" s="37" t="s">
        <v>38</v>
      </c>
      <c r="G111" s="38">
        <v>3685.24</v>
      </c>
      <c r="H111" s="36">
        <v>442976387</v>
      </c>
      <c r="I111" s="39">
        <v>0</v>
      </c>
      <c r="J111" s="38">
        <v>0</v>
      </c>
      <c r="K111" s="38">
        <v>0</v>
      </c>
      <c r="L111" s="38">
        <v>-2.48</v>
      </c>
      <c r="M111" s="38">
        <v>9970.7900000000009</v>
      </c>
      <c r="N111" s="46" t="s">
        <v>163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40">
        <v>45917.828819444447</v>
      </c>
      <c r="B112" s="41">
        <v>443760073</v>
      </c>
      <c r="C112" s="42" t="s">
        <v>36</v>
      </c>
      <c r="D112" s="42" t="s">
        <v>39</v>
      </c>
      <c r="E112" s="42" t="s">
        <v>47</v>
      </c>
      <c r="F112" s="42" t="s">
        <v>38</v>
      </c>
      <c r="G112" s="43">
        <v>3684.94</v>
      </c>
      <c r="H112" s="41">
        <v>442976495</v>
      </c>
      <c r="I112" s="44">
        <v>0</v>
      </c>
      <c r="J112" s="43">
        <v>0</v>
      </c>
      <c r="K112" s="43">
        <v>0</v>
      </c>
      <c r="L112" s="43">
        <v>-3.08</v>
      </c>
      <c r="M112" s="43">
        <v>9967.7099999999991</v>
      </c>
      <c r="N112" s="45" t="s">
        <v>164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35">
        <v>45917.828912037039</v>
      </c>
      <c r="B113" s="36">
        <v>443760104</v>
      </c>
      <c r="C113" s="37" t="s">
        <v>36</v>
      </c>
      <c r="D113" s="37" t="s">
        <v>39</v>
      </c>
      <c r="E113" s="37" t="s">
        <v>47</v>
      </c>
      <c r="F113" s="37" t="s">
        <v>38</v>
      </c>
      <c r="G113" s="38">
        <v>3684.71</v>
      </c>
      <c r="H113" s="36">
        <v>442976524</v>
      </c>
      <c r="I113" s="39">
        <v>0</v>
      </c>
      <c r="J113" s="38">
        <v>0</v>
      </c>
      <c r="K113" s="38">
        <v>0</v>
      </c>
      <c r="L113" s="38">
        <v>-3.03</v>
      </c>
      <c r="M113" s="38">
        <v>9964.68</v>
      </c>
      <c r="N113" s="46" t="s">
        <v>146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40">
        <v>45917.828912037039</v>
      </c>
      <c r="B114" s="41">
        <v>443760105</v>
      </c>
      <c r="C114" s="42" t="s">
        <v>36</v>
      </c>
      <c r="D114" s="42" t="s">
        <v>39</v>
      </c>
      <c r="E114" s="42" t="s">
        <v>47</v>
      </c>
      <c r="F114" s="42" t="s">
        <v>38</v>
      </c>
      <c r="G114" s="43">
        <v>3684.71</v>
      </c>
      <c r="H114" s="41">
        <v>442976525</v>
      </c>
      <c r="I114" s="44">
        <v>0</v>
      </c>
      <c r="J114" s="43">
        <v>0</v>
      </c>
      <c r="K114" s="43">
        <v>0</v>
      </c>
      <c r="L114" s="43">
        <v>-3.03</v>
      </c>
      <c r="M114" s="43">
        <v>9961.65</v>
      </c>
      <c r="N114" s="45" t="s">
        <v>165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35">
        <v>45917.830740740741</v>
      </c>
      <c r="B115" s="36">
        <v>443760915</v>
      </c>
      <c r="C115" s="37" t="s">
        <v>36</v>
      </c>
      <c r="D115" s="37" t="s">
        <v>39</v>
      </c>
      <c r="E115" s="37" t="s">
        <v>47</v>
      </c>
      <c r="F115" s="37" t="s">
        <v>38</v>
      </c>
      <c r="G115" s="38">
        <v>3684.16</v>
      </c>
      <c r="H115" s="36">
        <v>442977300</v>
      </c>
      <c r="I115" s="39">
        <v>0</v>
      </c>
      <c r="J115" s="38">
        <v>0</v>
      </c>
      <c r="K115" s="38">
        <v>0</v>
      </c>
      <c r="L115" s="38">
        <v>-3.05</v>
      </c>
      <c r="M115" s="38">
        <v>9958.6</v>
      </c>
      <c r="N115" s="46" t="s">
        <v>166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40">
        <v>45917.832256944443</v>
      </c>
      <c r="B116" s="41">
        <v>443761452</v>
      </c>
      <c r="C116" s="42" t="s">
        <v>36</v>
      </c>
      <c r="D116" s="42" t="s">
        <v>39</v>
      </c>
      <c r="E116" s="42" t="s">
        <v>46</v>
      </c>
      <c r="F116" s="42" t="s">
        <v>38</v>
      </c>
      <c r="G116" s="43">
        <v>3684.65</v>
      </c>
      <c r="H116" s="41">
        <v>442977818</v>
      </c>
      <c r="I116" s="44">
        <v>0</v>
      </c>
      <c r="J116" s="43">
        <v>0</v>
      </c>
      <c r="K116" s="43">
        <v>0</v>
      </c>
      <c r="L116" s="43">
        <v>0</v>
      </c>
      <c r="M116" s="43">
        <v>9958.6</v>
      </c>
      <c r="N116" s="45" t="s">
        <v>48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35">
        <v>45917.832256944443</v>
      </c>
      <c r="B117" s="36">
        <v>443761455</v>
      </c>
      <c r="C117" s="37" t="s">
        <v>36</v>
      </c>
      <c r="D117" s="37" t="s">
        <v>39</v>
      </c>
      <c r="E117" s="37" t="s">
        <v>46</v>
      </c>
      <c r="F117" s="37" t="s">
        <v>38</v>
      </c>
      <c r="G117" s="38">
        <v>3684.65</v>
      </c>
      <c r="H117" s="36">
        <v>442977821</v>
      </c>
      <c r="I117" s="39">
        <v>0</v>
      </c>
      <c r="J117" s="38">
        <v>0</v>
      </c>
      <c r="K117" s="38">
        <v>0</v>
      </c>
      <c r="L117" s="38">
        <v>0</v>
      </c>
      <c r="M117" s="38">
        <v>9958.6</v>
      </c>
      <c r="N117" s="46" t="s">
        <v>53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40">
        <v>45917.832256944443</v>
      </c>
      <c r="B118" s="41">
        <v>443761456</v>
      </c>
      <c r="C118" s="42" t="s">
        <v>36</v>
      </c>
      <c r="D118" s="42" t="s">
        <v>39</v>
      </c>
      <c r="E118" s="42" t="s">
        <v>46</v>
      </c>
      <c r="F118" s="42" t="s">
        <v>38</v>
      </c>
      <c r="G118" s="43">
        <v>3684.65</v>
      </c>
      <c r="H118" s="41">
        <v>442977822</v>
      </c>
      <c r="I118" s="44">
        <v>0</v>
      </c>
      <c r="J118" s="43">
        <v>0</v>
      </c>
      <c r="K118" s="43">
        <v>0</v>
      </c>
      <c r="L118" s="43">
        <v>0</v>
      </c>
      <c r="M118" s="43">
        <v>9958.6</v>
      </c>
      <c r="N118" s="45" t="s">
        <v>49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35">
        <v>45917.832268518519</v>
      </c>
      <c r="B119" s="36">
        <v>443761457</v>
      </c>
      <c r="C119" s="37" t="s">
        <v>36</v>
      </c>
      <c r="D119" s="37" t="s">
        <v>39</v>
      </c>
      <c r="E119" s="37" t="s">
        <v>46</v>
      </c>
      <c r="F119" s="37" t="s">
        <v>38</v>
      </c>
      <c r="G119" s="38">
        <v>3684.66</v>
      </c>
      <c r="H119" s="36">
        <v>442977823</v>
      </c>
      <c r="I119" s="39">
        <v>0</v>
      </c>
      <c r="J119" s="38">
        <v>0</v>
      </c>
      <c r="K119" s="38">
        <v>0</v>
      </c>
      <c r="L119" s="38">
        <v>0</v>
      </c>
      <c r="M119" s="38">
        <v>9958.6</v>
      </c>
      <c r="N119" s="46" t="s">
        <v>150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40">
        <v>45917.834166666667</v>
      </c>
      <c r="B120" s="41">
        <v>443762461</v>
      </c>
      <c r="C120" s="42" t="s">
        <v>36</v>
      </c>
      <c r="D120" s="42" t="s">
        <v>37</v>
      </c>
      <c r="E120" s="42" t="s">
        <v>47</v>
      </c>
      <c r="F120" s="42" t="s">
        <v>38</v>
      </c>
      <c r="G120" s="43">
        <v>3683.1</v>
      </c>
      <c r="H120" s="41">
        <v>442978860</v>
      </c>
      <c r="I120" s="44">
        <v>0</v>
      </c>
      <c r="J120" s="43">
        <v>0</v>
      </c>
      <c r="K120" s="43">
        <v>0</v>
      </c>
      <c r="L120" s="43">
        <v>1.56</v>
      </c>
      <c r="M120" s="43">
        <v>9960.16</v>
      </c>
      <c r="N120" s="45" t="s">
        <v>167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35">
        <v>45917.835706018515</v>
      </c>
      <c r="B121" s="36">
        <v>443763576</v>
      </c>
      <c r="C121" s="37" t="s">
        <v>36</v>
      </c>
      <c r="D121" s="37" t="s">
        <v>39</v>
      </c>
      <c r="E121" s="37" t="s">
        <v>47</v>
      </c>
      <c r="F121" s="37" t="s">
        <v>38</v>
      </c>
      <c r="G121" s="38">
        <v>3682.64</v>
      </c>
      <c r="H121" s="36">
        <v>442979966</v>
      </c>
      <c r="I121" s="39">
        <v>0</v>
      </c>
      <c r="J121" s="38">
        <v>0</v>
      </c>
      <c r="K121" s="38">
        <v>0</v>
      </c>
      <c r="L121" s="38">
        <v>-3.02</v>
      </c>
      <c r="M121" s="38">
        <v>9957.14</v>
      </c>
      <c r="N121" s="46" t="s">
        <v>168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40">
        <v>45917.835740740738</v>
      </c>
      <c r="B122" s="41">
        <v>443763626</v>
      </c>
      <c r="C122" s="42" t="s">
        <v>36</v>
      </c>
      <c r="D122" s="42" t="s">
        <v>39</v>
      </c>
      <c r="E122" s="42" t="s">
        <v>47</v>
      </c>
      <c r="F122" s="42" t="s">
        <v>38</v>
      </c>
      <c r="G122" s="43">
        <v>3682.36</v>
      </c>
      <c r="H122" s="41">
        <v>442980010</v>
      </c>
      <c r="I122" s="44">
        <v>0</v>
      </c>
      <c r="J122" s="43">
        <v>0</v>
      </c>
      <c r="K122" s="43">
        <v>0</v>
      </c>
      <c r="L122" s="43">
        <v>-3.09</v>
      </c>
      <c r="M122" s="43">
        <v>9954.0499999999993</v>
      </c>
      <c r="N122" s="45" t="s">
        <v>169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35">
        <v>45917.837581018517</v>
      </c>
      <c r="B123" s="36">
        <v>443764399</v>
      </c>
      <c r="C123" s="37" t="s">
        <v>36</v>
      </c>
      <c r="D123" s="37" t="s">
        <v>39</v>
      </c>
      <c r="E123" s="37" t="s">
        <v>46</v>
      </c>
      <c r="F123" s="37" t="s">
        <v>38</v>
      </c>
      <c r="G123" s="38">
        <v>3683.15</v>
      </c>
      <c r="H123" s="36">
        <v>442980771</v>
      </c>
      <c r="I123" s="39">
        <v>0</v>
      </c>
      <c r="J123" s="38">
        <v>0</v>
      </c>
      <c r="K123" s="38">
        <v>0</v>
      </c>
      <c r="L123" s="38">
        <v>0</v>
      </c>
      <c r="M123" s="38">
        <v>9954.0499999999993</v>
      </c>
      <c r="N123" s="46" t="s">
        <v>150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40">
        <v>45917.837881944448</v>
      </c>
      <c r="B124" s="41">
        <v>443764662</v>
      </c>
      <c r="C124" s="42" t="s">
        <v>36</v>
      </c>
      <c r="D124" s="42" t="s">
        <v>37</v>
      </c>
      <c r="E124" s="42" t="s">
        <v>47</v>
      </c>
      <c r="F124" s="42" t="s">
        <v>38</v>
      </c>
      <c r="G124" s="43">
        <v>3683.62</v>
      </c>
      <c r="H124" s="41">
        <v>442981030</v>
      </c>
      <c r="I124" s="44">
        <v>0</v>
      </c>
      <c r="J124" s="43">
        <v>0</v>
      </c>
      <c r="K124" s="43">
        <v>0</v>
      </c>
      <c r="L124" s="43">
        <v>1.03</v>
      </c>
      <c r="M124" s="43">
        <v>9955.08</v>
      </c>
      <c r="N124" s="45" t="s">
        <v>170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35">
        <v>45917.837881944448</v>
      </c>
      <c r="B125" s="36">
        <v>443764663</v>
      </c>
      <c r="C125" s="37" t="s">
        <v>36</v>
      </c>
      <c r="D125" s="37" t="s">
        <v>37</v>
      </c>
      <c r="E125" s="37" t="s">
        <v>47</v>
      </c>
      <c r="F125" s="37" t="s">
        <v>38</v>
      </c>
      <c r="G125" s="38">
        <v>3683.62</v>
      </c>
      <c r="H125" s="36">
        <v>442981031</v>
      </c>
      <c r="I125" s="39">
        <v>0</v>
      </c>
      <c r="J125" s="38">
        <v>0</v>
      </c>
      <c r="K125" s="38">
        <v>0</v>
      </c>
      <c r="L125" s="38">
        <v>1.03</v>
      </c>
      <c r="M125" s="38">
        <v>9956.11</v>
      </c>
      <c r="N125" s="46" t="s">
        <v>170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40">
        <v>45917.837881944448</v>
      </c>
      <c r="B126" s="41">
        <v>443764664</v>
      </c>
      <c r="C126" s="42" t="s">
        <v>36</v>
      </c>
      <c r="D126" s="42" t="s">
        <v>37</v>
      </c>
      <c r="E126" s="42" t="s">
        <v>47</v>
      </c>
      <c r="F126" s="42" t="s">
        <v>38</v>
      </c>
      <c r="G126" s="43">
        <v>3683.62</v>
      </c>
      <c r="H126" s="41">
        <v>442981032</v>
      </c>
      <c r="I126" s="44">
        <v>0</v>
      </c>
      <c r="J126" s="43">
        <v>0</v>
      </c>
      <c r="K126" s="43">
        <v>0</v>
      </c>
      <c r="L126" s="43">
        <v>1.03</v>
      </c>
      <c r="M126" s="43">
        <v>9957.14</v>
      </c>
      <c r="N126" s="45" t="s">
        <v>170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35">
        <v>45917.83792824074</v>
      </c>
      <c r="B127" s="36">
        <v>443764688</v>
      </c>
      <c r="C127" s="37" t="s">
        <v>36</v>
      </c>
      <c r="D127" s="37" t="s">
        <v>39</v>
      </c>
      <c r="E127" s="37" t="s">
        <v>46</v>
      </c>
      <c r="F127" s="37" t="s">
        <v>38</v>
      </c>
      <c r="G127" s="38">
        <v>3683.38</v>
      </c>
      <c r="H127" s="36">
        <v>442981056</v>
      </c>
      <c r="I127" s="39">
        <v>0</v>
      </c>
      <c r="J127" s="38">
        <v>0</v>
      </c>
      <c r="K127" s="38">
        <v>0</v>
      </c>
      <c r="L127" s="38">
        <v>0</v>
      </c>
      <c r="M127" s="38">
        <v>9957.14</v>
      </c>
      <c r="N127" s="46" t="s">
        <v>48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40">
        <v>45917.83792824074</v>
      </c>
      <c r="B128" s="41">
        <v>443764691</v>
      </c>
      <c r="C128" s="42" t="s">
        <v>36</v>
      </c>
      <c r="D128" s="42" t="s">
        <v>39</v>
      </c>
      <c r="E128" s="42" t="s">
        <v>46</v>
      </c>
      <c r="F128" s="42" t="s">
        <v>38</v>
      </c>
      <c r="G128" s="43">
        <v>3683.38</v>
      </c>
      <c r="H128" s="41">
        <v>442981059</v>
      </c>
      <c r="I128" s="44">
        <v>0</v>
      </c>
      <c r="J128" s="43">
        <v>0</v>
      </c>
      <c r="K128" s="43">
        <v>0</v>
      </c>
      <c r="L128" s="43">
        <v>0</v>
      </c>
      <c r="M128" s="43">
        <v>9957.14</v>
      </c>
      <c r="N128" s="45" t="s">
        <v>53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35">
        <v>45917.83792824074</v>
      </c>
      <c r="B129" s="36">
        <v>443764693</v>
      </c>
      <c r="C129" s="37" t="s">
        <v>36</v>
      </c>
      <c r="D129" s="37" t="s">
        <v>39</v>
      </c>
      <c r="E129" s="37" t="s">
        <v>46</v>
      </c>
      <c r="F129" s="37" t="s">
        <v>38</v>
      </c>
      <c r="G129" s="38">
        <v>3683.38</v>
      </c>
      <c r="H129" s="36">
        <v>442981061</v>
      </c>
      <c r="I129" s="39">
        <v>0</v>
      </c>
      <c r="J129" s="38">
        <v>0</v>
      </c>
      <c r="K129" s="38">
        <v>0</v>
      </c>
      <c r="L129" s="38">
        <v>0</v>
      </c>
      <c r="M129" s="38">
        <v>9957.14</v>
      </c>
      <c r="N129" s="46" t="s">
        <v>49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40">
        <v>45917.847256944442</v>
      </c>
      <c r="B130" s="41">
        <v>443768233</v>
      </c>
      <c r="C130" s="42" t="s">
        <v>36</v>
      </c>
      <c r="D130" s="42" t="s">
        <v>37</v>
      </c>
      <c r="E130" s="42" t="s">
        <v>47</v>
      </c>
      <c r="F130" s="42" t="s">
        <v>38</v>
      </c>
      <c r="G130" s="43">
        <v>3681.65</v>
      </c>
      <c r="H130" s="41">
        <v>442984537</v>
      </c>
      <c r="I130" s="44">
        <v>0</v>
      </c>
      <c r="J130" s="43">
        <v>0</v>
      </c>
      <c r="K130" s="43">
        <v>0</v>
      </c>
      <c r="L130" s="43">
        <v>1.5</v>
      </c>
      <c r="M130" s="43">
        <v>9958.64</v>
      </c>
      <c r="N130" s="45" t="s">
        <v>171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35">
        <v>45917.847488425927</v>
      </c>
      <c r="B131" s="36">
        <v>443768882</v>
      </c>
      <c r="C131" s="37" t="s">
        <v>36</v>
      </c>
      <c r="D131" s="37" t="s">
        <v>37</v>
      </c>
      <c r="E131" s="37" t="s">
        <v>47</v>
      </c>
      <c r="F131" s="37" t="s">
        <v>38</v>
      </c>
      <c r="G131" s="38">
        <v>3680.4</v>
      </c>
      <c r="H131" s="36">
        <v>442985172</v>
      </c>
      <c r="I131" s="39">
        <v>0</v>
      </c>
      <c r="J131" s="38">
        <v>0</v>
      </c>
      <c r="K131" s="38">
        <v>0</v>
      </c>
      <c r="L131" s="38">
        <v>2.98</v>
      </c>
      <c r="M131" s="38">
        <v>9961.6200000000008</v>
      </c>
      <c r="N131" s="46" t="s">
        <v>172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40">
        <v>45917.847511574073</v>
      </c>
      <c r="B132" s="41">
        <v>443768898</v>
      </c>
      <c r="C132" s="42" t="s">
        <v>36</v>
      </c>
      <c r="D132" s="42" t="s">
        <v>37</v>
      </c>
      <c r="E132" s="42" t="s">
        <v>47</v>
      </c>
      <c r="F132" s="42" t="s">
        <v>38</v>
      </c>
      <c r="G132" s="43">
        <v>3680.38</v>
      </c>
      <c r="H132" s="41">
        <v>442985187</v>
      </c>
      <c r="I132" s="44">
        <v>0</v>
      </c>
      <c r="J132" s="43">
        <v>0</v>
      </c>
      <c r="K132" s="43">
        <v>0</v>
      </c>
      <c r="L132" s="43">
        <v>3</v>
      </c>
      <c r="M132" s="43">
        <v>9964.6200000000008</v>
      </c>
      <c r="N132" s="45" t="s">
        <v>173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35">
        <v>45917.847546296296</v>
      </c>
      <c r="B133" s="36">
        <v>443769101</v>
      </c>
      <c r="C133" s="37" t="s">
        <v>36</v>
      </c>
      <c r="D133" s="37" t="s">
        <v>37</v>
      </c>
      <c r="E133" s="37" t="s">
        <v>47</v>
      </c>
      <c r="F133" s="37" t="s">
        <v>38</v>
      </c>
      <c r="G133" s="38">
        <v>3679.81</v>
      </c>
      <c r="H133" s="36">
        <v>442985409</v>
      </c>
      <c r="I133" s="39">
        <v>0</v>
      </c>
      <c r="J133" s="38">
        <v>0</v>
      </c>
      <c r="K133" s="38">
        <v>0</v>
      </c>
      <c r="L133" s="38">
        <v>3.57</v>
      </c>
      <c r="M133" s="38">
        <v>9968.19</v>
      </c>
      <c r="N133" s="46" t="s">
        <v>174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40">
        <v>45917.849733796298</v>
      </c>
      <c r="B134" s="41">
        <v>443770820</v>
      </c>
      <c r="C134" s="42" t="s">
        <v>36</v>
      </c>
      <c r="D134" s="42" t="s">
        <v>39</v>
      </c>
      <c r="E134" s="42" t="s">
        <v>46</v>
      </c>
      <c r="F134" s="42" t="s">
        <v>38</v>
      </c>
      <c r="G134" s="43">
        <v>3681.02</v>
      </c>
      <c r="H134" s="41">
        <v>442987088</v>
      </c>
      <c r="I134" s="44">
        <v>0</v>
      </c>
      <c r="J134" s="43">
        <v>0</v>
      </c>
      <c r="K134" s="43">
        <v>0</v>
      </c>
      <c r="L134" s="43">
        <v>0</v>
      </c>
      <c r="M134" s="43">
        <v>9968.19</v>
      </c>
      <c r="N134" s="45" t="s">
        <v>53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35">
        <v>45917.849733796298</v>
      </c>
      <c r="B135" s="36">
        <v>443770823</v>
      </c>
      <c r="C135" s="37" t="s">
        <v>36</v>
      </c>
      <c r="D135" s="37" t="s">
        <v>39</v>
      </c>
      <c r="E135" s="37" t="s">
        <v>46</v>
      </c>
      <c r="F135" s="37" t="s">
        <v>38</v>
      </c>
      <c r="G135" s="38">
        <v>3681.02</v>
      </c>
      <c r="H135" s="36">
        <v>442987091</v>
      </c>
      <c r="I135" s="39">
        <v>0</v>
      </c>
      <c r="J135" s="38">
        <v>0</v>
      </c>
      <c r="K135" s="38">
        <v>0</v>
      </c>
      <c r="L135" s="38">
        <v>0</v>
      </c>
      <c r="M135" s="38">
        <v>9968.19</v>
      </c>
      <c r="N135" s="46" t="s">
        <v>150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40">
        <v>45917.849733796298</v>
      </c>
      <c r="B136" s="41">
        <v>443770826</v>
      </c>
      <c r="C136" s="42" t="s">
        <v>36</v>
      </c>
      <c r="D136" s="42" t="s">
        <v>39</v>
      </c>
      <c r="E136" s="42" t="s">
        <v>46</v>
      </c>
      <c r="F136" s="42" t="s">
        <v>38</v>
      </c>
      <c r="G136" s="43">
        <v>3681.05</v>
      </c>
      <c r="H136" s="41">
        <v>442987094</v>
      </c>
      <c r="I136" s="44">
        <v>0</v>
      </c>
      <c r="J136" s="43">
        <v>0</v>
      </c>
      <c r="K136" s="43">
        <v>0</v>
      </c>
      <c r="L136" s="43">
        <v>0</v>
      </c>
      <c r="M136" s="43">
        <v>9968.19</v>
      </c>
      <c r="N136" s="45" t="s">
        <v>48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35">
        <v>45917.849733796298</v>
      </c>
      <c r="B137" s="36">
        <v>443770828</v>
      </c>
      <c r="C137" s="37" t="s">
        <v>36</v>
      </c>
      <c r="D137" s="37" t="s">
        <v>39</v>
      </c>
      <c r="E137" s="37" t="s">
        <v>46</v>
      </c>
      <c r="F137" s="37" t="s">
        <v>38</v>
      </c>
      <c r="G137" s="38">
        <v>3681.05</v>
      </c>
      <c r="H137" s="36">
        <v>442987096</v>
      </c>
      <c r="I137" s="39">
        <v>0</v>
      </c>
      <c r="J137" s="38">
        <v>0</v>
      </c>
      <c r="K137" s="38">
        <v>0</v>
      </c>
      <c r="L137" s="38">
        <v>0</v>
      </c>
      <c r="M137" s="38">
        <v>9968.19</v>
      </c>
      <c r="N137" s="46" t="s">
        <v>49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40">
        <v>45917.852743055555</v>
      </c>
      <c r="B138" s="41">
        <v>443772869</v>
      </c>
      <c r="C138" s="42" t="s">
        <v>36</v>
      </c>
      <c r="D138" s="42" t="s">
        <v>39</v>
      </c>
      <c r="E138" s="42" t="s">
        <v>46</v>
      </c>
      <c r="F138" s="42" t="s">
        <v>38</v>
      </c>
      <c r="G138" s="43">
        <v>3682.24</v>
      </c>
      <c r="H138" s="41">
        <v>442989123</v>
      </c>
      <c r="I138" s="44">
        <v>0</v>
      </c>
      <c r="J138" s="43">
        <v>0</v>
      </c>
      <c r="K138" s="43">
        <v>0</v>
      </c>
      <c r="L138" s="43">
        <v>0</v>
      </c>
      <c r="M138" s="43">
        <v>9968.19</v>
      </c>
      <c r="N138" s="45" t="s">
        <v>123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35">
        <v>45917.854571759257</v>
      </c>
      <c r="B139" s="36">
        <v>443774421</v>
      </c>
      <c r="C139" s="37" t="s">
        <v>36</v>
      </c>
      <c r="D139" s="37" t="s">
        <v>37</v>
      </c>
      <c r="E139" s="37" t="s">
        <v>47</v>
      </c>
      <c r="F139" s="37" t="s">
        <v>38</v>
      </c>
      <c r="G139" s="38">
        <v>3683.53</v>
      </c>
      <c r="H139" s="36">
        <v>442990608</v>
      </c>
      <c r="I139" s="39">
        <v>0</v>
      </c>
      <c r="J139" s="38">
        <v>0</v>
      </c>
      <c r="K139" s="38">
        <v>0</v>
      </c>
      <c r="L139" s="38">
        <v>-2.48</v>
      </c>
      <c r="M139" s="38">
        <v>9965.7099999999991</v>
      </c>
      <c r="N139" s="46" t="s">
        <v>219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40">
        <v>45917.855127314811</v>
      </c>
      <c r="B140" s="41">
        <v>443774678</v>
      </c>
      <c r="C140" s="42" t="s">
        <v>36</v>
      </c>
      <c r="D140" s="42" t="s">
        <v>37</v>
      </c>
      <c r="E140" s="42" t="s">
        <v>47</v>
      </c>
      <c r="F140" s="42" t="s">
        <v>38</v>
      </c>
      <c r="G140" s="43">
        <v>3684.13</v>
      </c>
      <c r="H140" s="41">
        <v>442990860</v>
      </c>
      <c r="I140" s="44">
        <v>0</v>
      </c>
      <c r="J140" s="43">
        <v>0</v>
      </c>
      <c r="K140" s="43">
        <v>0</v>
      </c>
      <c r="L140" s="43">
        <v>-3.11</v>
      </c>
      <c r="M140" s="43">
        <v>9962.6</v>
      </c>
      <c r="N140" s="45" t="s">
        <v>220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35">
        <v>45917.855127314811</v>
      </c>
      <c r="B141" s="36">
        <v>443774679</v>
      </c>
      <c r="C141" s="37" t="s">
        <v>36</v>
      </c>
      <c r="D141" s="37" t="s">
        <v>37</v>
      </c>
      <c r="E141" s="37" t="s">
        <v>47</v>
      </c>
      <c r="F141" s="37" t="s">
        <v>38</v>
      </c>
      <c r="G141" s="38">
        <v>3684.13</v>
      </c>
      <c r="H141" s="36">
        <v>442990861</v>
      </c>
      <c r="I141" s="39">
        <v>0</v>
      </c>
      <c r="J141" s="38">
        <v>0</v>
      </c>
      <c r="K141" s="38">
        <v>0</v>
      </c>
      <c r="L141" s="38">
        <v>-3.11</v>
      </c>
      <c r="M141" s="38">
        <v>9959.49</v>
      </c>
      <c r="N141" s="46" t="s">
        <v>220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40">
        <v>45917.855127314811</v>
      </c>
      <c r="B142" s="41">
        <v>443774680</v>
      </c>
      <c r="C142" s="42" t="s">
        <v>36</v>
      </c>
      <c r="D142" s="42" t="s">
        <v>37</v>
      </c>
      <c r="E142" s="42" t="s">
        <v>47</v>
      </c>
      <c r="F142" s="42" t="s">
        <v>38</v>
      </c>
      <c r="G142" s="43">
        <v>3684.13</v>
      </c>
      <c r="H142" s="41">
        <v>442990862</v>
      </c>
      <c r="I142" s="44">
        <v>0</v>
      </c>
      <c r="J142" s="43">
        <v>0</v>
      </c>
      <c r="K142" s="43">
        <v>0</v>
      </c>
      <c r="L142" s="43">
        <v>-3.08</v>
      </c>
      <c r="M142" s="43">
        <v>9956.41</v>
      </c>
      <c r="N142" s="45" t="s">
        <v>220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35">
        <v>45917.855520833335</v>
      </c>
      <c r="B143" s="36">
        <v>443774837</v>
      </c>
      <c r="C143" s="37" t="s">
        <v>36</v>
      </c>
      <c r="D143" s="37" t="s">
        <v>37</v>
      </c>
      <c r="E143" s="37" t="s">
        <v>46</v>
      </c>
      <c r="F143" s="37" t="s">
        <v>38</v>
      </c>
      <c r="G143" s="38">
        <v>3683.95</v>
      </c>
      <c r="H143" s="36">
        <v>442991015</v>
      </c>
      <c r="I143" s="39">
        <v>0</v>
      </c>
      <c r="J143" s="38">
        <v>0</v>
      </c>
      <c r="K143" s="38">
        <v>0</v>
      </c>
      <c r="L143" s="38">
        <v>0</v>
      </c>
      <c r="M143" s="38">
        <v>9956.41</v>
      </c>
      <c r="N143" s="46" t="s">
        <v>124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40">
        <v>45917.855532407404</v>
      </c>
      <c r="B144" s="41">
        <v>443774839</v>
      </c>
      <c r="C144" s="42" t="s">
        <v>36</v>
      </c>
      <c r="D144" s="42" t="s">
        <v>37</v>
      </c>
      <c r="E144" s="42" t="s">
        <v>46</v>
      </c>
      <c r="F144" s="42" t="s">
        <v>38</v>
      </c>
      <c r="G144" s="43">
        <v>3683.95</v>
      </c>
      <c r="H144" s="41">
        <v>442991017</v>
      </c>
      <c r="I144" s="44">
        <v>0</v>
      </c>
      <c r="J144" s="43">
        <v>0</v>
      </c>
      <c r="K144" s="43">
        <v>0</v>
      </c>
      <c r="L144" s="43">
        <v>0</v>
      </c>
      <c r="M144" s="43">
        <v>9956.41</v>
      </c>
      <c r="N144" s="45" t="s">
        <v>125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35">
        <v>45917.859143518515</v>
      </c>
      <c r="B145" s="36">
        <v>443776582</v>
      </c>
      <c r="C145" s="37" t="s">
        <v>36</v>
      </c>
      <c r="D145" s="37" t="s">
        <v>37</v>
      </c>
      <c r="E145" s="37" t="s">
        <v>47</v>
      </c>
      <c r="F145" s="37" t="s">
        <v>38</v>
      </c>
      <c r="G145" s="38">
        <v>3685.25</v>
      </c>
      <c r="H145" s="36">
        <v>442992757</v>
      </c>
      <c r="I145" s="39">
        <v>0</v>
      </c>
      <c r="J145" s="38">
        <v>0</v>
      </c>
      <c r="K145" s="38">
        <v>0</v>
      </c>
      <c r="L145" s="38">
        <v>-3.01</v>
      </c>
      <c r="M145" s="38">
        <v>9953.4</v>
      </c>
      <c r="N145" s="46" t="s">
        <v>221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40">
        <v>45917.860381944447</v>
      </c>
      <c r="B146" s="41">
        <v>443776849</v>
      </c>
      <c r="C146" s="42" t="s">
        <v>36</v>
      </c>
      <c r="D146" s="42" t="s">
        <v>37</v>
      </c>
      <c r="E146" s="42" t="s">
        <v>46</v>
      </c>
      <c r="F146" s="42" t="s">
        <v>38</v>
      </c>
      <c r="G146" s="43">
        <v>3684.53</v>
      </c>
      <c r="H146" s="41">
        <v>442993026</v>
      </c>
      <c r="I146" s="44">
        <v>0</v>
      </c>
      <c r="J146" s="43">
        <v>0</v>
      </c>
      <c r="K146" s="43">
        <v>0</v>
      </c>
      <c r="L146" s="43">
        <v>0</v>
      </c>
      <c r="M146" s="43">
        <v>9953.4</v>
      </c>
      <c r="N146" s="45" t="s">
        <v>150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35">
        <v>45917.860381944447</v>
      </c>
      <c r="B147" s="36">
        <v>443776850</v>
      </c>
      <c r="C147" s="37" t="s">
        <v>36</v>
      </c>
      <c r="D147" s="37" t="s">
        <v>37</v>
      </c>
      <c r="E147" s="37" t="s">
        <v>46</v>
      </c>
      <c r="F147" s="37" t="s">
        <v>38</v>
      </c>
      <c r="G147" s="38">
        <v>3684.53</v>
      </c>
      <c r="H147" s="36">
        <v>442993027</v>
      </c>
      <c r="I147" s="39">
        <v>0</v>
      </c>
      <c r="J147" s="38">
        <v>0</v>
      </c>
      <c r="K147" s="38">
        <v>0</v>
      </c>
      <c r="L147" s="38">
        <v>0</v>
      </c>
      <c r="M147" s="38">
        <v>9953.4</v>
      </c>
      <c r="N147" s="46" t="s">
        <v>53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40">
        <v>45917.860381944447</v>
      </c>
      <c r="B148" s="41">
        <v>443776851</v>
      </c>
      <c r="C148" s="42" t="s">
        <v>36</v>
      </c>
      <c r="D148" s="42" t="s">
        <v>37</v>
      </c>
      <c r="E148" s="42" t="s">
        <v>46</v>
      </c>
      <c r="F148" s="42" t="s">
        <v>38</v>
      </c>
      <c r="G148" s="43">
        <v>3684.5</v>
      </c>
      <c r="H148" s="41">
        <v>442993028</v>
      </c>
      <c r="I148" s="44">
        <v>0</v>
      </c>
      <c r="J148" s="43">
        <v>0</v>
      </c>
      <c r="K148" s="43">
        <v>0</v>
      </c>
      <c r="L148" s="43">
        <v>0</v>
      </c>
      <c r="M148" s="43">
        <v>9953.4</v>
      </c>
      <c r="N148" s="45" t="s">
        <v>49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35">
        <v>45917.860381944447</v>
      </c>
      <c r="B149" s="36">
        <v>443776852</v>
      </c>
      <c r="C149" s="37" t="s">
        <v>36</v>
      </c>
      <c r="D149" s="37" t="s">
        <v>37</v>
      </c>
      <c r="E149" s="37" t="s">
        <v>46</v>
      </c>
      <c r="F149" s="37" t="s">
        <v>38</v>
      </c>
      <c r="G149" s="38">
        <v>3684.5</v>
      </c>
      <c r="H149" s="36">
        <v>442993029</v>
      </c>
      <c r="I149" s="39">
        <v>0</v>
      </c>
      <c r="J149" s="38">
        <v>0</v>
      </c>
      <c r="K149" s="38">
        <v>0</v>
      </c>
      <c r="L149" s="38">
        <v>0</v>
      </c>
      <c r="M149" s="38">
        <v>9953.4</v>
      </c>
      <c r="N149" s="46" t="s">
        <v>48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40">
        <v>45917.862476851849</v>
      </c>
      <c r="B150" s="41">
        <v>443777898</v>
      </c>
      <c r="C150" s="42" t="s">
        <v>36</v>
      </c>
      <c r="D150" s="42" t="s">
        <v>37</v>
      </c>
      <c r="E150" s="42" t="s">
        <v>46</v>
      </c>
      <c r="F150" s="42" t="s">
        <v>38</v>
      </c>
      <c r="G150" s="43">
        <v>3684.04</v>
      </c>
      <c r="H150" s="41">
        <v>442994072</v>
      </c>
      <c r="I150" s="44">
        <v>0</v>
      </c>
      <c r="J150" s="43">
        <v>0</v>
      </c>
      <c r="K150" s="43">
        <v>0</v>
      </c>
      <c r="L150" s="43">
        <v>0</v>
      </c>
      <c r="M150" s="43">
        <v>9953.4</v>
      </c>
      <c r="N150" s="45" t="s">
        <v>123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35">
        <v>45917.866342592592</v>
      </c>
      <c r="B151" s="36">
        <v>443779544</v>
      </c>
      <c r="C151" s="37" t="s">
        <v>36</v>
      </c>
      <c r="D151" s="37" t="s">
        <v>39</v>
      </c>
      <c r="E151" s="37" t="s">
        <v>47</v>
      </c>
      <c r="F151" s="37" t="s">
        <v>38</v>
      </c>
      <c r="G151" s="38">
        <v>3686</v>
      </c>
      <c r="H151" s="36">
        <v>442995692</v>
      </c>
      <c r="I151" s="39">
        <v>0</v>
      </c>
      <c r="J151" s="38">
        <v>0</v>
      </c>
      <c r="K151" s="38">
        <v>0</v>
      </c>
      <c r="L151" s="38">
        <v>1.47</v>
      </c>
      <c r="M151" s="38">
        <v>9954.8700000000008</v>
      </c>
      <c r="N151" s="46" t="s">
        <v>222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40">
        <v>45917.869293981479</v>
      </c>
      <c r="B152" s="41">
        <v>443781060</v>
      </c>
      <c r="C152" s="42" t="s">
        <v>36</v>
      </c>
      <c r="D152" s="42" t="s">
        <v>37</v>
      </c>
      <c r="E152" s="42" t="s">
        <v>46</v>
      </c>
      <c r="F152" s="42" t="s">
        <v>38</v>
      </c>
      <c r="G152" s="43">
        <v>3685.99</v>
      </c>
      <c r="H152" s="41">
        <v>442997210</v>
      </c>
      <c r="I152" s="44">
        <v>0</v>
      </c>
      <c r="J152" s="43">
        <v>0</v>
      </c>
      <c r="K152" s="43">
        <v>0</v>
      </c>
      <c r="L152" s="43">
        <v>0</v>
      </c>
      <c r="M152" s="43">
        <v>9954.8700000000008</v>
      </c>
      <c r="N152" s="45" t="s">
        <v>150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35">
        <v>45917.872002314813</v>
      </c>
      <c r="B153" s="36">
        <v>443783104</v>
      </c>
      <c r="C153" s="37" t="s">
        <v>36</v>
      </c>
      <c r="D153" s="37" t="s">
        <v>39</v>
      </c>
      <c r="E153" s="37" t="s">
        <v>47</v>
      </c>
      <c r="F153" s="37" t="s">
        <v>38</v>
      </c>
      <c r="G153" s="38">
        <v>3687.53</v>
      </c>
      <c r="H153" s="36">
        <v>442999267</v>
      </c>
      <c r="I153" s="39">
        <v>0</v>
      </c>
      <c r="J153" s="38">
        <v>0</v>
      </c>
      <c r="K153" s="38">
        <v>0</v>
      </c>
      <c r="L153" s="38">
        <v>3.03</v>
      </c>
      <c r="M153" s="38">
        <v>9957.9</v>
      </c>
      <c r="N153" s="46" t="s">
        <v>223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40">
        <v>45917.872002314813</v>
      </c>
      <c r="B154" s="41">
        <v>443783105</v>
      </c>
      <c r="C154" s="42" t="s">
        <v>36</v>
      </c>
      <c r="D154" s="42" t="s">
        <v>39</v>
      </c>
      <c r="E154" s="42" t="s">
        <v>47</v>
      </c>
      <c r="F154" s="42" t="s">
        <v>38</v>
      </c>
      <c r="G154" s="43">
        <v>3687.53</v>
      </c>
      <c r="H154" s="41">
        <v>442999268</v>
      </c>
      <c r="I154" s="44">
        <v>0</v>
      </c>
      <c r="J154" s="43">
        <v>0</v>
      </c>
      <c r="K154" s="43">
        <v>0</v>
      </c>
      <c r="L154" s="43">
        <v>3.03</v>
      </c>
      <c r="M154" s="43">
        <v>9960.93</v>
      </c>
      <c r="N154" s="45" t="s">
        <v>223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35">
        <v>45917.872002314813</v>
      </c>
      <c r="B155" s="36">
        <v>443783107</v>
      </c>
      <c r="C155" s="37" t="s">
        <v>36</v>
      </c>
      <c r="D155" s="37" t="s">
        <v>39</v>
      </c>
      <c r="E155" s="37" t="s">
        <v>47</v>
      </c>
      <c r="F155" s="37" t="s">
        <v>38</v>
      </c>
      <c r="G155" s="38">
        <v>3687.53</v>
      </c>
      <c r="H155" s="36">
        <v>442999269</v>
      </c>
      <c r="I155" s="39">
        <v>0</v>
      </c>
      <c r="J155" s="38">
        <v>0</v>
      </c>
      <c r="K155" s="38">
        <v>0</v>
      </c>
      <c r="L155" s="38">
        <v>1.54</v>
      </c>
      <c r="M155" s="38">
        <v>9962.4699999999993</v>
      </c>
      <c r="N155" s="46" t="s">
        <v>224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40">
        <v>45917.873229166667</v>
      </c>
      <c r="B156" s="41">
        <v>443784091</v>
      </c>
      <c r="C156" s="42" t="s">
        <v>36</v>
      </c>
      <c r="D156" s="42" t="s">
        <v>37</v>
      </c>
      <c r="E156" s="42" t="s">
        <v>46</v>
      </c>
      <c r="F156" s="42" t="s">
        <v>38</v>
      </c>
      <c r="G156" s="43">
        <v>3686.75</v>
      </c>
      <c r="H156" s="41">
        <v>443000266</v>
      </c>
      <c r="I156" s="44">
        <v>0</v>
      </c>
      <c r="J156" s="43">
        <v>0</v>
      </c>
      <c r="K156" s="43">
        <v>0</v>
      </c>
      <c r="L156" s="43">
        <v>0</v>
      </c>
      <c r="M156" s="43">
        <v>9962.4699999999993</v>
      </c>
      <c r="N156" s="45" t="s">
        <v>48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35">
        <v>45917.873229166667</v>
      </c>
      <c r="B157" s="36">
        <v>443784092</v>
      </c>
      <c r="C157" s="37" t="s">
        <v>36</v>
      </c>
      <c r="D157" s="37" t="s">
        <v>37</v>
      </c>
      <c r="E157" s="37" t="s">
        <v>46</v>
      </c>
      <c r="F157" s="37" t="s">
        <v>38</v>
      </c>
      <c r="G157" s="38">
        <v>3686.73</v>
      </c>
      <c r="H157" s="36">
        <v>443000267</v>
      </c>
      <c r="I157" s="39">
        <v>0</v>
      </c>
      <c r="J157" s="38">
        <v>0</v>
      </c>
      <c r="K157" s="38">
        <v>0</v>
      </c>
      <c r="L157" s="38">
        <v>0</v>
      </c>
      <c r="M157" s="38">
        <v>9962.4699999999993</v>
      </c>
      <c r="N157" s="46" t="s">
        <v>49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40">
        <v>45917.873229166667</v>
      </c>
      <c r="B158" s="41">
        <v>443784093</v>
      </c>
      <c r="C158" s="42" t="s">
        <v>36</v>
      </c>
      <c r="D158" s="42" t="s">
        <v>37</v>
      </c>
      <c r="E158" s="42" t="s">
        <v>46</v>
      </c>
      <c r="F158" s="42" t="s">
        <v>38</v>
      </c>
      <c r="G158" s="43">
        <v>3686.72</v>
      </c>
      <c r="H158" s="41">
        <v>443000269</v>
      </c>
      <c r="I158" s="44">
        <v>0</v>
      </c>
      <c r="J158" s="43">
        <v>0</v>
      </c>
      <c r="K158" s="43">
        <v>0</v>
      </c>
      <c r="L158" s="43">
        <v>0</v>
      </c>
      <c r="M158" s="43">
        <v>9962.4699999999993</v>
      </c>
      <c r="N158" s="45" t="s">
        <v>150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35">
        <v>45917.873229166667</v>
      </c>
      <c r="B159" s="36">
        <v>443784095</v>
      </c>
      <c r="C159" s="37" t="s">
        <v>36</v>
      </c>
      <c r="D159" s="37" t="s">
        <v>39</v>
      </c>
      <c r="E159" s="37" t="s">
        <v>47</v>
      </c>
      <c r="F159" s="37" t="s">
        <v>38</v>
      </c>
      <c r="G159" s="38">
        <v>3686.44</v>
      </c>
      <c r="H159" s="36">
        <v>443000271</v>
      </c>
      <c r="I159" s="39">
        <v>0</v>
      </c>
      <c r="J159" s="38">
        <v>0</v>
      </c>
      <c r="K159" s="38">
        <v>0</v>
      </c>
      <c r="L159" s="38">
        <v>1.91</v>
      </c>
      <c r="M159" s="38">
        <v>9964.3799999999992</v>
      </c>
      <c r="N159" s="46" t="s">
        <v>225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40">
        <v>45917.873692129629</v>
      </c>
      <c r="B160" s="41">
        <v>443784639</v>
      </c>
      <c r="C160" s="42" t="s">
        <v>36</v>
      </c>
      <c r="D160" s="42" t="s">
        <v>37</v>
      </c>
      <c r="E160" s="42" t="s">
        <v>46</v>
      </c>
      <c r="F160" s="42" t="s">
        <v>38</v>
      </c>
      <c r="G160" s="43">
        <v>3686.88</v>
      </c>
      <c r="H160" s="41">
        <v>443000809</v>
      </c>
      <c r="I160" s="44">
        <v>0</v>
      </c>
      <c r="J160" s="43">
        <v>0</v>
      </c>
      <c r="K160" s="43">
        <v>0</v>
      </c>
      <c r="L160" s="43">
        <v>0</v>
      </c>
      <c r="M160" s="43">
        <v>9964.3799999999992</v>
      </c>
      <c r="N160" s="45" t="s">
        <v>53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35">
        <v>45917.875011574077</v>
      </c>
      <c r="B161" s="36">
        <v>443787171</v>
      </c>
      <c r="C161" s="37" t="s">
        <v>36</v>
      </c>
      <c r="D161" s="37" t="s">
        <v>39</v>
      </c>
      <c r="E161" s="37" t="s">
        <v>47</v>
      </c>
      <c r="F161" s="37" t="s">
        <v>38</v>
      </c>
      <c r="G161" s="38">
        <v>3692.93</v>
      </c>
      <c r="H161" s="36">
        <v>443003315</v>
      </c>
      <c r="I161" s="39">
        <v>0</v>
      </c>
      <c r="J161" s="38">
        <v>0</v>
      </c>
      <c r="K161" s="38">
        <v>0</v>
      </c>
      <c r="L161" s="38">
        <v>8.98</v>
      </c>
      <c r="M161" s="38">
        <v>9973.36</v>
      </c>
      <c r="N161" s="46" t="s">
        <v>226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40">
        <v>45917.875011574077</v>
      </c>
      <c r="B162" s="41">
        <v>443787180</v>
      </c>
      <c r="C162" s="42" t="s">
        <v>36</v>
      </c>
      <c r="D162" s="42" t="s">
        <v>39</v>
      </c>
      <c r="E162" s="42" t="s">
        <v>47</v>
      </c>
      <c r="F162" s="42" t="s">
        <v>38</v>
      </c>
      <c r="G162" s="43">
        <v>3692.93</v>
      </c>
      <c r="H162" s="41">
        <v>443003316</v>
      </c>
      <c r="I162" s="44">
        <v>0</v>
      </c>
      <c r="J162" s="43">
        <v>0</v>
      </c>
      <c r="K162" s="43">
        <v>0</v>
      </c>
      <c r="L162" s="43">
        <v>8.89</v>
      </c>
      <c r="M162" s="43">
        <v>9982.25</v>
      </c>
      <c r="N162" s="45" t="s">
        <v>227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35">
        <v>45917.875011574077</v>
      </c>
      <c r="B163" s="36">
        <v>443787186</v>
      </c>
      <c r="C163" s="37" t="s">
        <v>36</v>
      </c>
      <c r="D163" s="37" t="s">
        <v>39</v>
      </c>
      <c r="E163" s="37" t="s">
        <v>47</v>
      </c>
      <c r="F163" s="37" t="s">
        <v>38</v>
      </c>
      <c r="G163" s="38">
        <v>3692.93</v>
      </c>
      <c r="H163" s="36">
        <v>443003318</v>
      </c>
      <c r="I163" s="39">
        <v>0</v>
      </c>
      <c r="J163" s="38">
        <v>0</v>
      </c>
      <c r="K163" s="38">
        <v>0</v>
      </c>
      <c r="L163" s="38">
        <v>6.18</v>
      </c>
      <c r="M163" s="38">
        <v>9988.43</v>
      </c>
      <c r="N163" s="46" t="s">
        <v>228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40">
        <v>45917.875011574077</v>
      </c>
      <c r="B164" s="41">
        <v>443787194</v>
      </c>
      <c r="C164" s="42" t="s">
        <v>36</v>
      </c>
      <c r="D164" s="42" t="s">
        <v>39</v>
      </c>
      <c r="E164" s="42" t="s">
        <v>47</v>
      </c>
      <c r="F164" s="42" t="s">
        <v>38</v>
      </c>
      <c r="G164" s="43">
        <v>3692.93</v>
      </c>
      <c r="H164" s="41">
        <v>443003319</v>
      </c>
      <c r="I164" s="44">
        <v>0</v>
      </c>
      <c r="J164" s="43">
        <v>0</v>
      </c>
      <c r="K164" s="43">
        <v>0</v>
      </c>
      <c r="L164" s="43">
        <v>6.2</v>
      </c>
      <c r="M164" s="43">
        <v>9994.6299999999992</v>
      </c>
      <c r="N164" s="45" t="s">
        <v>228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35">
        <v>45917.875011574077</v>
      </c>
      <c r="B165" s="36">
        <v>443787202</v>
      </c>
      <c r="C165" s="37" t="s">
        <v>36</v>
      </c>
      <c r="D165" s="37" t="s">
        <v>39</v>
      </c>
      <c r="E165" s="37" t="s">
        <v>47</v>
      </c>
      <c r="F165" s="37" t="s">
        <v>38</v>
      </c>
      <c r="G165" s="38">
        <v>3692.93</v>
      </c>
      <c r="H165" s="36">
        <v>443003320</v>
      </c>
      <c r="I165" s="39">
        <v>0</v>
      </c>
      <c r="J165" s="38">
        <v>0</v>
      </c>
      <c r="K165" s="38">
        <v>0</v>
      </c>
      <c r="L165" s="38">
        <v>6.21</v>
      </c>
      <c r="M165" s="38">
        <v>10000.84</v>
      </c>
      <c r="N165" s="46" t="s">
        <v>229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40">
        <v>45917.875011574077</v>
      </c>
      <c r="B166" s="41">
        <v>443787209</v>
      </c>
      <c r="C166" s="42" t="s">
        <v>36</v>
      </c>
      <c r="D166" s="42" t="s">
        <v>39</v>
      </c>
      <c r="E166" s="42" t="s">
        <v>47</v>
      </c>
      <c r="F166" s="42" t="s">
        <v>38</v>
      </c>
      <c r="G166" s="43">
        <v>3692.93</v>
      </c>
      <c r="H166" s="41">
        <v>443003321</v>
      </c>
      <c r="I166" s="44">
        <v>0</v>
      </c>
      <c r="J166" s="43">
        <v>0</v>
      </c>
      <c r="K166" s="43">
        <v>0</v>
      </c>
      <c r="L166" s="43">
        <v>6.05</v>
      </c>
      <c r="M166" s="43">
        <v>10006.89</v>
      </c>
      <c r="N166" s="45" t="s">
        <v>230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35">
        <v>45917.875636574077</v>
      </c>
      <c r="B167" s="36">
        <v>443794961</v>
      </c>
      <c r="C167" s="37" t="s">
        <v>36</v>
      </c>
      <c r="D167" s="37" t="s">
        <v>39</v>
      </c>
      <c r="E167" s="37" t="s">
        <v>47</v>
      </c>
      <c r="F167" s="37" t="s">
        <v>38</v>
      </c>
      <c r="G167" s="38">
        <v>3688.12</v>
      </c>
      <c r="H167" s="36">
        <v>443010801</v>
      </c>
      <c r="I167" s="39">
        <v>0</v>
      </c>
      <c r="J167" s="38">
        <v>0</v>
      </c>
      <c r="K167" s="38">
        <v>0</v>
      </c>
      <c r="L167" s="38">
        <v>4.17</v>
      </c>
      <c r="M167" s="38">
        <v>10011.06</v>
      </c>
      <c r="N167" s="46" t="s">
        <v>231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40">
        <v>45917.883414351854</v>
      </c>
      <c r="B168" s="41">
        <v>443822563</v>
      </c>
      <c r="C168" s="42" t="s">
        <v>36</v>
      </c>
      <c r="D168" s="42" t="s">
        <v>37</v>
      </c>
      <c r="E168" s="42" t="s">
        <v>46</v>
      </c>
      <c r="F168" s="42" t="s">
        <v>38</v>
      </c>
      <c r="G168" s="43">
        <v>3699.07</v>
      </c>
      <c r="H168" s="41">
        <v>443037794</v>
      </c>
      <c r="I168" s="44">
        <v>0</v>
      </c>
      <c r="J168" s="43">
        <v>0</v>
      </c>
      <c r="K168" s="43">
        <v>0</v>
      </c>
      <c r="L168" s="43">
        <v>0</v>
      </c>
      <c r="M168" s="43">
        <v>10011.06</v>
      </c>
      <c r="N168" s="45" t="s">
        <v>150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35">
        <v>45917.883414351854</v>
      </c>
      <c r="B169" s="36">
        <v>443822575</v>
      </c>
      <c r="C169" s="37" t="s">
        <v>36</v>
      </c>
      <c r="D169" s="37" t="s">
        <v>37</v>
      </c>
      <c r="E169" s="37" t="s">
        <v>46</v>
      </c>
      <c r="F169" s="37" t="s">
        <v>38</v>
      </c>
      <c r="G169" s="38">
        <v>3698.97</v>
      </c>
      <c r="H169" s="36">
        <v>443037805</v>
      </c>
      <c r="I169" s="39">
        <v>0</v>
      </c>
      <c r="J169" s="38">
        <v>0</v>
      </c>
      <c r="K169" s="38">
        <v>0</v>
      </c>
      <c r="L169" s="38">
        <v>0</v>
      </c>
      <c r="M169" s="38">
        <v>10011.06</v>
      </c>
      <c r="N169" s="46" t="s">
        <v>48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40">
        <v>45917.883414351854</v>
      </c>
      <c r="B170" s="41">
        <v>443822652</v>
      </c>
      <c r="C170" s="42" t="s">
        <v>36</v>
      </c>
      <c r="D170" s="42" t="s">
        <v>37</v>
      </c>
      <c r="E170" s="42" t="s">
        <v>46</v>
      </c>
      <c r="F170" s="42" t="s">
        <v>38</v>
      </c>
      <c r="G170" s="43">
        <v>3698.99</v>
      </c>
      <c r="H170" s="41">
        <v>443037880</v>
      </c>
      <c r="I170" s="44">
        <v>0</v>
      </c>
      <c r="J170" s="43">
        <v>0</v>
      </c>
      <c r="K170" s="43">
        <v>0</v>
      </c>
      <c r="L170" s="43">
        <v>0</v>
      </c>
      <c r="M170" s="43">
        <v>10011.06</v>
      </c>
      <c r="N170" s="45" t="s">
        <v>53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35">
        <v>45917.883414351854</v>
      </c>
      <c r="B171" s="36">
        <v>443822656</v>
      </c>
      <c r="C171" s="37" t="s">
        <v>36</v>
      </c>
      <c r="D171" s="37" t="s">
        <v>37</v>
      </c>
      <c r="E171" s="37" t="s">
        <v>46</v>
      </c>
      <c r="F171" s="37" t="s">
        <v>38</v>
      </c>
      <c r="G171" s="38">
        <v>3698.97</v>
      </c>
      <c r="H171" s="36">
        <v>443037883</v>
      </c>
      <c r="I171" s="39">
        <v>0</v>
      </c>
      <c r="J171" s="38">
        <v>0</v>
      </c>
      <c r="K171" s="38">
        <v>0</v>
      </c>
      <c r="L171" s="38">
        <v>0</v>
      </c>
      <c r="M171" s="38">
        <v>10011.06</v>
      </c>
      <c r="N171" s="46" t="s">
        <v>49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40">
        <v>45917.88386574074</v>
      </c>
      <c r="B172" s="41">
        <v>443824192</v>
      </c>
      <c r="C172" s="42" t="s">
        <v>36</v>
      </c>
      <c r="D172" s="42" t="s">
        <v>39</v>
      </c>
      <c r="E172" s="42" t="s">
        <v>47</v>
      </c>
      <c r="F172" s="42" t="s">
        <v>38</v>
      </c>
      <c r="G172" s="43">
        <v>3696.57</v>
      </c>
      <c r="H172" s="41">
        <v>443039274</v>
      </c>
      <c r="I172" s="44">
        <v>0</v>
      </c>
      <c r="J172" s="43">
        <v>0</v>
      </c>
      <c r="K172" s="43">
        <v>0</v>
      </c>
      <c r="L172" s="43">
        <v>-2.4</v>
      </c>
      <c r="M172" s="43">
        <v>10008.66</v>
      </c>
      <c r="N172" s="45" t="s">
        <v>232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35">
        <v>45917.883935185186</v>
      </c>
      <c r="B173" s="36">
        <v>443824347</v>
      </c>
      <c r="C173" s="37" t="s">
        <v>36</v>
      </c>
      <c r="D173" s="37" t="s">
        <v>39</v>
      </c>
      <c r="E173" s="37" t="s">
        <v>47</v>
      </c>
      <c r="F173" s="37" t="s">
        <v>38</v>
      </c>
      <c r="G173" s="38">
        <v>3696.02</v>
      </c>
      <c r="H173" s="36">
        <v>443039428</v>
      </c>
      <c r="I173" s="39">
        <v>0</v>
      </c>
      <c r="J173" s="38">
        <v>0</v>
      </c>
      <c r="K173" s="38">
        <v>0</v>
      </c>
      <c r="L173" s="38">
        <v>-3.05</v>
      </c>
      <c r="M173" s="38">
        <v>10005.61</v>
      </c>
      <c r="N173" s="46" t="s">
        <v>233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40">
        <v>45917.883935185186</v>
      </c>
      <c r="B174" s="41">
        <v>443824348</v>
      </c>
      <c r="C174" s="42" t="s">
        <v>36</v>
      </c>
      <c r="D174" s="42" t="s">
        <v>39</v>
      </c>
      <c r="E174" s="42" t="s">
        <v>47</v>
      </c>
      <c r="F174" s="42" t="s">
        <v>38</v>
      </c>
      <c r="G174" s="43">
        <v>3696.02</v>
      </c>
      <c r="H174" s="41">
        <v>443039429</v>
      </c>
      <c r="I174" s="44">
        <v>0</v>
      </c>
      <c r="J174" s="43">
        <v>0</v>
      </c>
      <c r="K174" s="43">
        <v>0</v>
      </c>
      <c r="L174" s="43">
        <v>-2.95</v>
      </c>
      <c r="M174" s="43">
        <v>10002.66</v>
      </c>
      <c r="N174" s="45" t="s">
        <v>234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35">
        <v>45917.883935185186</v>
      </c>
      <c r="B175" s="36">
        <v>443824349</v>
      </c>
      <c r="C175" s="37" t="s">
        <v>36</v>
      </c>
      <c r="D175" s="37" t="s">
        <v>39</v>
      </c>
      <c r="E175" s="37" t="s">
        <v>47</v>
      </c>
      <c r="F175" s="37" t="s">
        <v>38</v>
      </c>
      <c r="G175" s="38">
        <v>3696.02</v>
      </c>
      <c r="H175" s="36">
        <v>443039430</v>
      </c>
      <c r="I175" s="39">
        <v>0</v>
      </c>
      <c r="J175" s="38">
        <v>0</v>
      </c>
      <c r="K175" s="38">
        <v>0</v>
      </c>
      <c r="L175" s="38">
        <v>-2.97</v>
      </c>
      <c r="M175" s="38">
        <v>9999.69</v>
      </c>
      <c r="N175" s="46" t="s">
        <v>234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40">
        <v>45917.892326388886</v>
      </c>
      <c r="B176" s="41">
        <v>443840885</v>
      </c>
      <c r="C176" s="42" t="s">
        <v>36</v>
      </c>
      <c r="D176" s="42" t="s">
        <v>39</v>
      </c>
      <c r="E176" s="42" t="s">
        <v>46</v>
      </c>
      <c r="F176" s="42" t="s">
        <v>38</v>
      </c>
      <c r="G176" s="43">
        <v>3685.93</v>
      </c>
      <c r="H176" s="41">
        <v>443055815</v>
      </c>
      <c r="I176" s="44">
        <v>0</v>
      </c>
      <c r="J176" s="43">
        <v>0</v>
      </c>
      <c r="K176" s="43">
        <v>0</v>
      </c>
      <c r="L176" s="43">
        <v>0</v>
      </c>
      <c r="M176" s="43">
        <v>9999.69</v>
      </c>
      <c r="N176" s="45" t="s">
        <v>150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35">
        <v>45917.892326388886</v>
      </c>
      <c r="B177" s="36">
        <v>443840888</v>
      </c>
      <c r="C177" s="37" t="s">
        <v>36</v>
      </c>
      <c r="D177" s="37" t="s">
        <v>39</v>
      </c>
      <c r="E177" s="37" t="s">
        <v>46</v>
      </c>
      <c r="F177" s="37" t="s">
        <v>38</v>
      </c>
      <c r="G177" s="38">
        <v>3685.96</v>
      </c>
      <c r="H177" s="36">
        <v>443055818</v>
      </c>
      <c r="I177" s="39">
        <v>0</v>
      </c>
      <c r="J177" s="38">
        <v>0</v>
      </c>
      <c r="K177" s="38">
        <v>0</v>
      </c>
      <c r="L177" s="38">
        <v>0</v>
      </c>
      <c r="M177" s="38">
        <v>9999.69</v>
      </c>
      <c r="N177" s="46" t="s">
        <v>53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40">
        <v>45917.892326388886</v>
      </c>
      <c r="B178" s="41">
        <v>443840891</v>
      </c>
      <c r="C178" s="42" t="s">
        <v>36</v>
      </c>
      <c r="D178" s="42" t="s">
        <v>39</v>
      </c>
      <c r="E178" s="42" t="s">
        <v>46</v>
      </c>
      <c r="F178" s="42" t="s">
        <v>38</v>
      </c>
      <c r="G178" s="43">
        <v>3685.83</v>
      </c>
      <c r="H178" s="41">
        <v>443055821</v>
      </c>
      <c r="I178" s="44">
        <v>0</v>
      </c>
      <c r="J178" s="43">
        <v>0</v>
      </c>
      <c r="K178" s="43">
        <v>0</v>
      </c>
      <c r="L178" s="43">
        <v>0</v>
      </c>
      <c r="M178" s="43">
        <v>9999.69</v>
      </c>
      <c r="N178" s="45" t="s">
        <v>48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35">
        <v>45917.892326388886</v>
      </c>
      <c r="B179" s="36">
        <v>443840895</v>
      </c>
      <c r="C179" s="37" t="s">
        <v>36</v>
      </c>
      <c r="D179" s="37" t="s">
        <v>39</v>
      </c>
      <c r="E179" s="37" t="s">
        <v>46</v>
      </c>
      <c r="F179" s="37" t="s">
        <v>38</v>
      </c>
      <c r="G179" s="38">
        <v>3685.57</v>
      </c>
      <c r="H179" s="36">
        <v>443055825</v>
      </c>
      <c r="I179" s="39">
        <v>0</v>
      </c>
      <c r="J179" s="38">
        <v>0</v>
      </c>
      <c r="K179" s="38">
        <v>0</v>
      </c>
      <c r="L179" s="38">
        <v>0</v>
      </c>
      <c r="M179" s="38">
        <v>9999.69</v>
      </c>
      <c r="N179" s="46" t="s">
        <v>49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40">
        <v>45917.892418981479</v>
      </c>
      <c r="B180" s="41">
        <v>443840989</v>
      </c>
      <c r="C180" s="42" t="s">
        <v>36</v>
      </c>
      <c r="D180" s="42" t="s">
        <v>37</v>
      </c>
      <c r="E180" s="42" t="s">
        <v>47</v>
      </c>
      <c r="F180" s="42" t="s">
        <v>38</v>
      </c>
      <c r="G180" s="43">
        <v>3684.37</v>
      </c>
      <c r="H180" s="41">
        <v>443055918</v>
      </c>
      <c r="I180" s="44">
        <v>0</v>
      </c>
      <c r="J180" s="43">
        <v>0</v>
      </c>
      <c r="K180" s="43">
        <v>0</v>
      </c>
      <c r="L180" s="43">
        <v>1.56</v>
      </c>
      <c r="M180" s="43">
        <v>10001.25</v>
      </c>
      <c r="N180" s="45" t="s">
        <v>235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35">
        <v>45917.892627314817</v>
      </c>
      <c r="B181" s="36">
        <v>443841101</v>
      </c>
      <c r="C181" s="37" t="s">
        <v>36</v>
      </c>
      <c r="D181" s="37" t="s">
        <v>37</v>
      </c>
      <c r="E181" s="37" t="s">
        <v>47</v>
      </c>
      <c r="F181" s="37" t="s">
        <v>38</v>
      </c>
      <c r="G181" s="38">
        <v>3685.68</v>
      </c>
      <c r="H181" s="36">
        <v>443056028</v>
      </c>
      <c r="I181" s="39">
        <v>0</v>
      </c>
      <c r="J181" s="38">
        <v>0</v>
      </c>
      <c r="K181" s="38">
        <v>0</v>
      </c>
      <c r="L181" s="38">
        <v>0.28000000000000003</v>
      </c>
      <c r="M181" s="38">
        <v>10001.530000000001</v>
      </c>
      <c r="N181" s="46" t="s">
        <v>236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40">
        <v>45917.892627314817</v>
      </c>
      <c r="B182" s="41">
        <v>443841102</v>
      </c>
      <c r="C182" s="42" t="s">
        <v>36</v>
      </c>
      <c r="D182" s="42" t="s">
        <v>37</v>
      </c>
      <c r="E182" s="42" t="s">
        <v>47</v>
      </c>
      <c r="F182" s="42" t="s">
        <v>38</v>
      </c>
      <c r="G182" s="43">
        <v>3685.68</v>
      </c>
      <c r="H182" s="41">
        <v>443056029</v>
      </c>
      <c r="I182" s="44">
        <v>0</v>
      </c>
      <c r="J182" s="43">
        <v>0</v>
      </c>
      <c r="K182" s="43">
        <v>0</v>
      </c>
      <c r="L182" s="43">
        <v>0.15</v>
      </c>
      <c r="M182" s="43">
        <v>10001.68</v>
      </c>
      <c r="N182" s="45" t="s">
        <v>236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35">
        <v>45917.892627314817</v>
      </c>
      <c r="B183" s="36">
        <v>443841103</v>
      </c>
      <c r="C183" s="37" t="s">
        <v>36</v>
      </c>
      <c r="D183" s="37" t="s">
        <v>37</v>
      </c>
      <c r="E183" s="37" t="s">
        <v>47</v>
      </c>
      <c r="F183" s="37" t="s">
        <v>38</v>
      </c>
      <c r="G183" s="38">
        <v>3685.68</v>
      </c>
      <c r="H183" s="36">
        <v>443056030</v>
      </c>
      <c r="I183" s="39">
        <v>0</v>
      </c>
      <c r="J183" s="38">
        <v>0</v>
      </c>
      <c r="K183" s="38">
        <v>0</v>
      </c>
      <c r="L183" s="38">
        <v>-0.11</v>
      </c>
      <c r="M183" s="38">
        <v>10001.57</v>
      </c>
      <c r="N183" s="46" t="s">
        <v>237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40">
        <v>45917.89267361111</v>
      </c>
      <c r="B184" s="41">
        <v>443841128</v>
      </c>
      <c r="C184" s="42" t="s">
        <v>36</v>
      </c>
      <c r="D184" s="42" t="s">
        <v>39</v>
      </c>
      <c r="E184" s="42" t="s">
        <v>46</v>
      </c>
      <c r="F184" s="42" t="s">
        <v>38</v>
      </c>
      <c r="G184" s="43">
        <v>3685.91</v>
      </c>
      <c r="H184" s="41">
        <v>443056055</v>
      </c>
      <c r="I184" s="44">
        <v>0</v>
      </c>
      <c r="J184" s="43">
        <v>0</v>
      </c>
      <c r="K184" s="43">
        <v>0</v>
      </c>
      <c r="L184" s="43">
        <v>0</v>
      </c>
      <c r="M184" s="43">
        <v>10001.57</v>
      </c>
      <c r="N184" s="45" t="s">
        <v>150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35">
        <v>45917.89267361111</v>
      </c>
      <c r="B185" s="36">
        <v>443841130</v>
      </c>
      <c r="C185" s="37" t="s">
        <v>36</v>
      </c>
      <c r="D185" s="37" t="s">
        <v>39</v>
      </c>
      <c r="E185" s="37" t="s">
        <v>46</v>
      </c>
      <c r="F185" s="37" t="s">
        <v>38</v>
      </c>
      <c r="G185" s="38">
        <v>3685.71</v>
      </c>
      <c r="H185" s="36">
        <v>443056057</v>
      </c>
      <c r="I185" s="39">
        <v>0</v>
      </c>
      <c r="J185" s="38">
        <v>0</v>
      </c>
      <c r="K185" s="38">
        <v>0</v>
      </c>
      <c r="L185" s="38">
        <v>0</v>
      </c>
      <c r="M185" s="38">
        <v>10001.57</v>
      </c>
      <c r="N185" s="46" t="s">
        <v>48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40">
        <v>45917.89267361111</v>
      </c>
      <c r="B186" s="41">
        <v>443841131</v>
      </c>
      <c r="C186" s="42" t="s">
        <v>36</v>
      </c>
      <c r="D186" s="42" t="s">
        <v>39</v>
      </c>
      <c r="E186" s="42" t="s">
        <v>46</v>
      </c>
      <c r="F186" s="42" t="s">
        <v>38</v>
      </c>
      <c r="G186" s="43">
        <v>3685.74</v>
      </c>
      <c r="H186" s="41">
        <v>443056058</v>
      </c>
      <c r="I186" s="44">
        <v>0</v>
      </c>
      <c r="J186" s="43">
        <v>0</v>
      </c>
      <c r="K186" s="43">
        <v>0</v>
      </c>
      <c r="L186" s="43">
        <v>0</v>
      </c>
      <c r="M186" s="43">
        <v>10001.57</v>
      </c>
      <c r="N186" s="45" t="s">
        <v>49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35">
        <v>45917.89267361111</v>
      </c>
      <c r="B187" s="36">
        <v>443841133</v>
      </c>
      <c r="C187" s="37" t="s">
        <v>36</v>
      </c>
      <c r="D187" s="37" t="s">
        <v>39</v>
      </c>
      <c r="E187" s="37" t="s">
        <v>46</v>
      </c>
      <c r="F187" s="37" t="s">
        <v>38</v>
      </c>
      <c r="G187" s="38">
        <v>3685.83</v>
      </c>
      <c r="H187" s="36">
        <v>443056060</v>
      </c>
      <c r="I187" s="39">
        <v>0</v>
      </c>
      <c r="J187" s="38">
        <v>0</v>
      </c>
      <c r="K187" s="38">
        <v>0</v>
      </c>
      <c r="L187" s="38">
        <v>0</v>
      </c>
      <c r="M187" s="38">
        <v>10001.57</v>
      </c>
      <c r="N187" s="46" t="s">
        <v>53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40">
        <v>45917.892777777779</v>
      </c>
      <c r="B188" s="41">
        <v>443841176</v>
      </c>
      <c r="C188" s="42" t="s">
        <v>36</v>
      </c>
      <c r="D188" s="42" t="s">
        <v>37</v>
      </c>
      <c r="E188" s="42" t="s">
        <v>47</v>
      </c>
      <c r="F188" s="42" t="s">
        <v>38</v>
      </c>
      <c r="G188" s="43">
        <v>3684.5</v>
      </c>
      <c r="H188" s="41">
        <v>443056101</v>
      </c>
      <c r="I188" s="44">
        <v>0</v>
      </c>
      <c r="J188" s="43">
        <v>0</v>
      </c>
      <c r="K188" s="43">
        <v>0</v>
      </c>
      <c r="L188" s="43">
        <v>1.41</v>
      </c>
      <c r="M188" s="43">
        <v>10002.98</v>
      </c>
      <c r="N188" s="45" t="s">
        <v>238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35">
        <v>45917.894166666665</v>
      </c>
      <c r="B189" s="36">
        <v>443841888</v>
      </c>
      <c r="C189" s="37" t="s">
        <v>36</v>
      </c>
      <c r="D189" s="37" t="s">
        <v>37</v>
      </c>
      <c r="E189" s="37" t="s">
        <v>47</v>
      </c>
      <c r="F189" s="37" t="s">
        <v>38</v>
      </c>
      <c r="G189" s="38">
        <v>3682.81</v>
      </c>
      <c r="H189" s="36">
        <v>443056820</v>
      </c>
      <c r="I189" s="39">
        <v>0</v>
      </c>
      <c r="J189" s="38">
        <v>0</v>
      </c>
      <c r="K189" s="38">
        <v>0</v>
      </c>
      <c r="L189" s="38">
        <v>2.9</v>
      </c>
      <c r="M189" s="38">
        <v>10005.879999999999</v>
      </c>
      <c r="N189" s="46" t="s">
        <v>137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40">
        <v>45917.894166666665</v>
      </c>
      <c r="B190" s="41">
        <v>443841890</v>
      </c>
      <c r="C190" s="42" t="s">
        <v>36</v>
      </c>
      <c r="D190" s="42" t="s">
        <v>37</v>
      </c>
      <c r="E190" s="42" t="s">
        <v>47</v>
      </c>
      <c r="F190" s="42" t="s">
        <v>38</v>
      </c>
      <c r="G190" s="43">
        <v>3682.81</v>
      </c>
      <c r="H190" s="41">
        <v>443056821</v>
      </c>
      <c r="I190" s="44">
        <v>0</v>
      </c>
      <c r="J190" s="43">
        <v>0</v>
      </c>
      <c r="K190" s="43">
        <v>0</v>
      </c>
      <c r="L190" s="43">
        <v>2.93</v>
      </c>
      <c r="M190" s="43">
        <v>10008.81</v>
      </c>
      <c r="N190" s="45" t="s">
        <v>137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35">
        <v>45917.894201388888</v>
      </c>
      <c r="B191" s="36">
        <v>443841941</v>
      </c>
      <c r="C191" s="37" t="s">
        <v>36</v>
      </c>
      <c r="D191" s="37" t="s">
        <v>37</v>
      </c>
      <c r="E191" s="37" t="s">
        <v>47</v>
      </c>
      <c r="F191" s="37" t="s">
        <v>38</v>
      </c>
      <c r="G191" s="38">
        <v>3682.03</v>
      </c>
      <c r="H191" s="36">
        <v>443056873</v>
      </c>
      <c r="I191" s="39">
        <v>0</v>
      </c>
      <c r="J191" s="38">
        <v>0</v>
      </c>
      <c r="K191" s="38">
        <v>0</v>
      </c>
      <c r="L191" s="38">
        <v>3.8</v>
      </c>
      <c r="M191" s="38">
        <v>10012.61</v>
      </c>
      <c r="N191" s="46" t="s">
        <v>239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40">
        <v>45917.895451388889</v>
      </c>
      <c r="B192" s="41">
        <v>443843047</v>
      </c>
      <c r="C192" s="42" t="s">
        <v>36</v>
      </c>
      <c r="D192" s="42" t="s">
        <v>39</v>
      </c>
      <c r="E192" s="42" t="s">
        <v>46</v>
      </c>
      <c r="F192" s="42" t="s">
        <v>38</v>
      </c>
      <c r="G192" s="43">
        <v>3683.73</v>
      </c>
      <c r="H192" s="41">
        <v>443057989</v>
      </c>
      <c r="I192" s="44">
        <v>0</v>
      </c>
      <c r="J192" s="43">
        <v>0</v>
      </c>
      <c r="K192" s="43">
        <v>0</v>
      </c>
      <c r="L192" s="43">
        <v>0</v>
      </c>
      <c r="M192" s="43">
        <v>10012.61</v>
      </c>
      <c r="N192" s="45" t="s">
        <v>150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35">
        <v>45917.895451388889</v>
      </c>
      <c r="B193" s="36">
        <v>443843048</v>
      </c>
      <c r="C193" s="37" t="s">
        <v>36</v>
      </c>
      <c r="D193" s="37" t="s">
        <v>39</v>
      </c>
      <c r="E193" s="37" t="s">
        <v>46</v>
      </c>
      <c r="F193" s="37" t="s">
        <v>38</v>
      </c>
      <c r="G193" s="38">
        <v>3683.88</v>
      </c>
      <c r="H193" s="36">
        <v>443057990</v>
      </c>
      <c r="I193" s="39">
        <v>0</v>
      </c>
      <c r="J193" s="38">
        <v>0</v>
      </c>
      <c r="K193" s="38">
        <v>0</v>
      </c>
      <c r="L193" s="38">
        <v>0</v>
      </c>
      <c r="M193" s="38">
        <v>10012.61</v>
      </c>
      <c r="N193" s="46" t="s">
        <v>48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40">
        <v>45917.895451388889</v>
      </c>
      <c r="B194" s="41">
        <v>443843049</v>
      </c>
      <c r="C194" s="42" t="s">
        <v>36</v>
      </c>
      <c r="D194" s="42" t="s">
        <v>39</v>
      </c>
      <c r="E194" s="42" t="s">
        <v>46</v>
      </c>
      <c r="F194" s="42" t="s">
        <v>38</v>
      </c>
      <c r="G194" s="43">
        <v>3684.01</v>
      </c>
      <c r="H194" s="41">
        <v>443057991</v>
      </c>
      <c r="I194" s="44">
        <v>0</v>
      </c>
      <c r="J194" s="43">
        <v>0</v>
      </c>
      <c r="K194" s="43">
        <v>0</v>
      </c>
      <c r="L194" s="43">
        <v>0</v>
      </c>
      <c r="M194" s="43">
        <v>10012.61</v>
      </c>
      <c r="N194" s="45" t="s">
        <v>53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35">
        <v>45917.895451388889</v>
      </c>
      <c r="B195" s="36">
        <v>443843051</v>
      </c>
      <c r="C195" s="37" t="s">
        <v>36</v>
      </c>
      <c r="D195" s="37" t="s">
        <v>39</v>
      </c>
      <c r="E195" s="37" t="s">
        <v>46</v>
      </c>
      <c r="F195" s="37" t="s">
        <v>38</v>
      </c>
      <c r="G195" s="38">
        <v>3684.54</v>
      </c>
      <c r="H195" s="36">
        <v>443057993</v>
      </c>
      <c r="I195" s="39">
        <v>0</v>
      </c>
      <c r="J195" s="38">
        <v>0</v>
      </c>
      <c r="K195" s="38">
        <v>0</v>
      </c>
      <c r="L195" s="38">
        <v>0</v>
      </c>
      <c r="M195" s="38">
        <v>10012.61</v>
      </c>
      <c r="N195" s="46" t="s">
        <v>49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40">
        <v>45917.895868055559</v>
      </c>
      <c r="B196" s="41">
        <v>443843399</v>
      </c>
      <c r="C196" s="42" t="s">
        <v>36</v>
      </c>
      <c r="D196" s="42" t="s">
        <v>37</v>
      </c>
      <c r="E196" s="42" t="s">
        <v>47</v>
      </c>
      <c r="F196" s="42" t="s">
        <v>38</v>
      </c>
      <c r="G196" s="43">
        <v>3682.29</v>
      </c>
      <c r="H196" s="41">
        <v>443058341</v>
      </c>
      <c r="I196" s="44">
        <v>0</v>
      </c>
      <c r="J196" s="43">
        <v>0</v>
      </c>
      <c r="K196" s="43">
        <v>0</v>
      </c>
      <c r="L196" s="43">
        <v>1.44</v>
      </c>
      <c r="M196" s="43">
        <v>10014.049999999999</v>
      </c>
      <c r="N196" s="45" t="s">
        <v>240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35">
        <v>45917.895937499998</v>
      </c>
      <c r="B197" s="36">
        <v>443843444</v>
      </c>
      <c r="C197" s="37" t="s">
        <v>36</v>
      </c>
      <c r="D197" s="37" t="s">
        <v>37</v>
      </c>
      <c r="E197" s="37" t="s">
        <v>47</v>
      </c>
      <c r="F197" s="37" t="s">
        <v>38</v>
      </c>
      <c r="G197" s="38">
        <v>3683.88</v>
      </c>
      <c r="H197" s="36">
        <v>443058384</v>
      </c>
      <c r="I197" s="39">
        <v>0</v>
      </c>
      <c r="J197" s="38">
        <v>0</v>
      </c>
      <c r="K197" s="38">
        <v>0</v>
      </c>
      <c r="L197" s="38">
        <v>0.66</v>
      </c>
      <c r="M197" s="38">
        <v>10014.709999999999</v>
      </c>
      <c r="N197" s="46" t="s">
        <v>241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40">
        <v>45917.895937499998</v>
      </c>
      <c r="B198" s="41">
        <v>443843449</v>
      </c>
      <c r="C198" s="42" t="s">
        <v>36</v>
      </c>
      <c r="D198" s="42" t="s">
        <v>37</v>
      </c>
      <c r="E198" s="42" t="s">
        <v>47</v>
      </c>
      <c r="F198" s="42" t="s">
        <v>38</v>
      </c>
      <c r="G198" s="43">
        <v>3684.84</v>
      </c>
      <c r="H198" s="41">
        <v>443058387</v>
      </c>
      <c r="I198" s="44">
        <v>0</v>
      </c>
      <c r="J198" s="43">
        <v>0</v>
      </c>
      <c r="K198" s="43">
        <v>0</v>
      </c>
      <c r="L198" s="43">
        <v>-0.96</v>
      </c>
      <c r="M198" s="43">
        <v>10013.75</v>
      </c>
      <c r="N198" s="45" t="s">
        <v>242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35">
        <v>45917.895937499998</v>
      </c>
      <c r="B199" s="36">
        <v>443843451</v>
      </c>
      <c r="C199" s="37" t="s">
        <v>36</v>
      </c>
      <c r="D199" s="37" t="s">
        <v>37</v>
      </c>
      <c r="E199" s="37" t="s">
        <v>47</v>
      </c>
      <c r="F199" s="37" t="s">
        <v>38</v>
      </c>
      <c r="G199" s="38">
        <v>3684.84</v>
      </c>
      <c r="H199" s="36">
        <v>443058388</v>
      </c>
      <c r="I199" s="39">
        <v>0</v>
      </c>
      <c r="J199" s="38">
        <v>0</v>
      </c>
      <c r="K199" s="38">
        <v>0</v>
      </c>
      <c r="L199" s="38">
        <v>-0.83</v>
      </c>
      <c r="M199" s="38">
        <v>10012.92</v>
      </c>
      <c r="N199" s="46" t="s">
        <v>242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40">
        <v>45917.89603009259</v>
      </c>
      <c r="B200" s="41">
        <v>443843528</v>
      </c>
      <c r="C200" s="42" t="s">
        <v>36</v>
      </c>
      <c r="D200" s="42" t="s">
        <v>39</v>
      </c>
      <c r="E200" s="42" t="s">
        <v>46</v>
      </c>
      <c r="F200" s="42" t="s">
        <v>38</v>
      </c>
      <c r="G200" s="43">
        <v>3683.58</v>
      </c>
      <c r="H200" s="41">
        <v>443058463</v>
      </c>
      <c r="I200" s="44">
        <v>0</v>
      </c>
      <c r="J200" s="43">
        <v>0</v>
      </c>
      <c r="K200" s="43">
        <v>0</v>
      </c>
      <c r="L200" s="43">
        <v>0</v>
      </c>
      <c r="M200" s="43">
        <v>10012.92</v>
      </c>
      <c r="N200" s="45" t="s">
        <v>150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35">
        <v>45917.89603009259</v>
      </c>
      <c r="B201" s="36">
        <v>443843532</v>
      </c>
      <c r="C201" s="37" t="s">
        <v>36</v>
      </c>
      <c r="D201" s="37" t="s">
        <v>39</v>
      </c>
      <c r="E201" s="37" t="s">
        <v>46</v>
      </c>
      <c r="F201" s="37" t="s">
        <v>38</v>
      </c>
      <c r="G201" s="38">
        <v>3683.54</v>
      </c>
      <c r="H201" s="36">
        <v>443058467</v>
      </c>
      <c r="I201" s="39">
        <v>0</v>
      </c>
      <c r="J201" s="38">
        <v>0</v>
      </c>
      <c r="K201" s="38">
        <v>0</v>
      </c>
      <c r="L201" s="38">
        <v>0</v>
      </c>
      <c r="M201" s="38">
        <v>10012.92</v>
      </c>
      <c r="N201" s="46" t="s">
        <v>53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40">
        <v>45917.89603009259</v>
      </c>
      <c r="B202" s="41">
        <v>443843536</v>
      </c>
      <c r="C202" s="42" t="s">
        <v>36</v>
      </c>
      <c r="D202" s="42" t="s">
        <v>39</v>
      </c>
      <c r="E202" s="42" t="s">
        <v>46</v>
      </c>
      <c r="F202" s="42" t="s">
        <v>38</v>
      </c>
      <c r="G202" s="43">
        <v>3683.36</v>
      </c>
      <c r="H202" s="41">
        <v>443058471</v>
      </c>
      <c r="I202" s="44">
        <v>0</v>
      </c>
      <c r="J202" s="43">
        <v>0</v>
      </c>
      <c r="K202" s="43">
        <v>0</v>
      </c>
      <c r="L202" s="43">
        <v>0</v>
      </c>
      <c r="M202" s="43">
        <v>10012.92</v>
      </c>
      <c r="N202" s="45" t="s">
        <v>49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35">
        <v>45917.89603009259</v>
      </c>
      <c r="B203" s="36">
        <v>443843539</v>
      </c>
      <c r="C203" s="37" t="s">
        <v>36</v>
      </c>
      <c r="D203" s="37" t="s">
        <v>39</v>
      </c>
      <c r="E203" s="37" t="s">
        <v>46</v>
      </c>
      <c r="F203" s="37" t="s">
        <v>38</v>
      </c>
      <c r="G203" s="38">
        <v>3683.13</v>
      </c>
      <c r="H203" s="36">
        <v>443058474</v>
      </c>
      <c r="I203" s="39">
        <v>0</v>
      </c>
      <c r="J203" s="38">
        <v>0</v>
      </c>
      <c r="K203" s="38">
        <v>0</v>
      </c>
      <c r="L203" s="38">
        <v>0</v>
      </c>
      <c r="M203" s="38">
        <v>10012.92</v>
      </c>
      <c r="N203" s="46" t="s">
        <v>48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40">
        <v>45917.896215277775</v>
      </c>
      <c r="B204" s="41">
        <v>443843745</v>
      </c>
      <c r="C204" s="42" t="s">
        <v>36</v>
      </c>
      <c r="D204" s="42" t="s">
        <v>37</v>
      </c>
      <c r="E204" s="42" t="s">
        <v>47</v>
      </c>
      <c r="F204" s="42" t="s">
        <v>38</v>
      </c>
      <c r="G204" s="43">
        <v>3681.77</v>
      </c>
      <c r="H204" s="41">
        <v>443058676</v>
      </c>
      <c r="I204" s="44">
        <v>0</v>
      </c>
      <c r="J204" s="43">
        <v>0</v>
      </c>
      <c r="K204" s="43">
        <v>0</v>
      </c>
      <c r="L204" s="43">
        <v>1.81</v>
      </c>
      <c r="M204" s="43">
        <v>10014.73</v>
      </c>
      <c r="N204" s="45" t="s">
        <v>243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35">
        <v>45917.896354166667</v>
      </c>
      <c r="B205" s="36">
        <v>443843980</v>
      </c>
      <c r="C205" s="37" t="s">
        <v>36</v>
      </c>
      <c r="D205" s="37" t="s">
        <v>37</v>
      </c>
      <c r="E205" s="37" t="s">
        <v>47</v>
      </c>
      <c r="F205" s="37" t="s">
        <v>38</v>
      </c>
      <c r="G205" s="38">
        <v>3680.35</v>
      </c>
      <c r="H205" s="36">
        <v>443058910</v>
      </c>
      <c r="I205" s="39">
        <v>0</v>
      </c>
      <c r="J205" s="38">
        <v>0</v>
      </c>
      <c r="K205" s="38">
        <v>0</v>
      </c>
      <c r="L205" s="38">
        <v>3.01</v>
      </c>
      <c r="M205" s="38">
        <v>10017.74</v>
      </c>
      <c r="N205" s="46" t="s">
        <v>244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40">
        <v>45917.896354166667</v>
      </c>
      <c r="B206" s="41">
        <v>443843981</v>
      </c>
      <c r="C206" s="42" t="s">
        <v>36</v>
      </c>
      <c r="D206" s="42" t="s">
        <v>37</v>
      </c>
      <c r="E206" s="42" t="s">
        <v>47</v>
      </c>
      <c r="F206" s="42" t="s">
        <v>38</v>
      </c>
      <c r="G206" s="43">
        <v>3680.35</v>
      </c>
      <c r="H206" s="41">
        <v>443058911</v>
      </c>
      <c r="I206" s="44">
        <v>0</v>
      </c>
      <c r="J206" s="43">
        <v>0</v>
      </c>
      <c r="K206" s="43">
        <v>0</v>
      </c>
      <c r="L206" s="43">
        <v>2.78</v>
      </c>
      <c r="M206" s="43">
        <v>10020.52</v>
      </c>
      <c r="N206" s="45" t="s">
        <v>244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35">
        <v>45917.896365740744</v>
      </c>
      <c r="B207" s="36">
        <v>443844109</v>
      </c>
      <c r="C207" s="37" t="s">
        <v>36</v>
      </c>
      <c r="D207" s="37" t="s">
        <v>37</v>
      </c>
      <c r="E207" s="37" t="s">
        <v>47</v>
      </c>
      <c r="F207" s="37" t="s">
        <v>38</v>
      </c>
      <c r="G207" s="38">
        <v>3679.84</v>
      </c>
      <c r="H207" s="36">
        <v>443059038</v>
      </c>
      <c r="I207" s="39">
        <v>0</v>
      </c>
      <c r="J207" s="38">
        <v>0</v>
      </c>
      <c r="K207" s="38">
        <v>0</v>
      </c>
      <c r="L207" s="38">
        <v>3.7</v>
      </c>
      <c r="M207" s="38">
        <v>10024.219999999999</v>
      </c>
      <c r="N207" s="46" t="s">
        <v>245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40">
        <v>45917.90320601852</v>
      </c>
      <c r="B208" s="41">
        <v>443858520</v>
      </c>
      <c r="C208" s="42" t="s">
        <v>36</v>
      </c>
      <c r="D208" s="42" t="s">
        <v>39</v>
      </c>
      <c r="E208" s="42" t="s">
        <v>46</v>
      </c>
      <c r="F208" s="42" t="s">
        <v>38</v>
      </c>
      <c r="G208" s="43">
        <v>3672.34</v>
      </c>
      <c r="H208" s="41">
        <v>443073342</v>
      </c>
      <c r="I208" s="44">
        <v>0</v>
      </c>
      <c r="J208" s="43">
        <v>0</v>
      </c>
      <c r="K208" s="43">
        <v>0</v>
      </c>
      <c r="L208" s="43">
        <v>0</v>
      </c>
      <c r="M208" s="43">
        <v>10024.219999999999</v>
      </c>
      <c r="N208" s="45" t="s">
        <v>49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35">
        <v>45917.903263888889</v>
      </c>
      <c r="B209" s="36">
        <v>443858666</v>
      </c>
      <c r="C209" s="37" t="s">
        <v>36</v>
      </c>
      <c r="D209" s="37" t="s">
        <v>37</v>
      </c>
      <c r="E209" s="37" t="s">
        <v>47</v>
      </c>
      <c r="F209" s="37" t="s">
        <v>38</v>
      </c>
      <c r="G209" s="38">
        <v>3674.72</v>
      </c>
      <c r="H209" s="36">
        <v>443073486</v>
      </c>
      <c r="I209" s="39">
        <v>0</v>
      </c>
      <c r="J209" s="38">
        <v>0</v>
      </c>
      <c r="K209" s="38">
        <v>0</v>
      </c>
      <c r="L209" s="38">
        <v>-2.38</v>
      </c>
      <c r="M209" s="38">
        <v>10021.84</v>
      </c>
      <c r="N209" s="46" t="s">
        <v>246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40">
        <v>45917.903668981482</v>
      </c>
      <c r="B210" s="41">
        <v>443859510</v>
      </c>
      <c r="C210" s="42" t="s">
        <v>36</v>
      </c>
      <c r="D210" s="42" t="s">
        <v>39</v>
      </c>
      <c r="E210" s="42" t="s">
        <v>46</v>
      </c>
      <c r="F210" s="42" t="s">
        <v>38</v>
      </c>
      <c r="G210" s="43">
        <v>3672.12</v>
      </c>
      <c r="H210" s="41">
        <v>443074337</v>
      </c>
      <c r="I210" s="44">
        <v>0</v>
      </c>
      <c r="J210" s="43">
        <v>0</v>
      </c>
      <c r="K210" s="43">
        <v>0</v>
      </c>
      <c r="L210" s="43">
        <v>0</v>
      </c>
      <c r="M210" s="43">
        <v>10021.84</v>
      </c>
      <c r="N210" s="45" t="s">
        <v>150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35">
        <v>45917.903668981482</v>
      </c>
      <c r="B211" s="36">
        <v>443859511</v>
      </c>
      <c r="C211" s="37" t="s">
        <v>36</v>
      </c>
      <c r="D211" s="37" t="s">
        <v>39</v>
      </c>
      <c r="E211" s="37" t="s">
        <v>46</v>
      </c>
      <c r="F211" s="37" t="s">
        <v>38</v>
      </c>
      <c r="G211" s="38">
        <v>3672.37</v>
      </c>
      <c r="H211" s="36">
        <v>443074338</v>
      </c>
      <c r="I211" s="39">
        <v>0</v>
      </c>
      <c r="J211" s="38">
        <v>0</v>
      </c>
      <c r="K211" s="38">
        <v>0</v>
      </c>
      <c r="L211" s="38">
        <v>0</v>
      </c>
      <c r="M211" s="38">
        <v>10021.84</v>
      </c>
      <c r="N211" s="46" t="s">
        <v>53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40">
        <v>45917.903668981482</v>
      </c>
      <c r="B212" s="41">
        <v>443859513</v>
      </c>
      <c r="C212" s="42" t="s">
        <v>36</v>
      </c>
      <c r="D212" s="42" t="s">
        <v>39</v>
      </c>
      <c r="E212" s="42" t="s">
        <v>46</v>
      </c>
      <c r="F212" s="42" t="s">
        <v>38</v>
      </c>
      <c r="G212" s="43">
        <v>3672.46</v>
      </c>
      <c r="H212" s="41">
        <v>443074340</v>
      </c>
      <c r="I212" s="44">
        <v>0</v>
      </c>
      <c r="J212" s="43">
        <v>0</v>
      </c>
      <c r="K212" s="43">
        <v>0</v>
      </c>
      <c r="L212" s="43">
        <v>0</v>
      </c>
      <c r="M212" s="43">
        <v>10021.84</v>
      </c>
      <c r="N212" s="45" t="s">
        <v>48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35">
        <v>45917.903668981482</v>
      </c>
      <c r="B213" s="36">
        <v>443859514</v>
      </c>
      <c r="C213" s="37" t="s">
        <v>36</v>
      </c>
      <c r="D213" s="37" t="s">
        <v>39</v>
      </c>
      <c r="E213" s="37" t="s">
        <v>46</v>
      </c>
      <c r="F213" s="37" t="s">
        <v>38</v>
      </c>
      <c r="G213" s="38">
        <v>3672.64</v>
      </c>
      <c r="H213" s="36">
        <v>443074341</v>
      </c>
      <c r="I213" s="39">
        <v>0</v>
      </c>
      <c r="J213" s="38">
        <v>0</v>
      </c>
      <c r="K213" s="38">
        <v>0</v>
      </c>
      <c r="L213" s="38">
        <v>0</v>
      </c>
      <c r="M213" s="38">
        <v>10021.84</v>
      </c>
      <c r="N213" s="46" t="s">
        <v>49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40">
        <v>45917.903749999998</v>
      </c>
      <c r="B214" s="41">
        <v>443859657</v>
      </c>
      <c r="C214" s="42" t="s">
        <v>36</v>
      </c>
      <c r="D214" s="42" t="s">
        <v>37</v>
      </c>
      <c r="E214" s="42" t="s">
        <v>47</v>
      </c>
      <c r="F214" s="42" t="s">
        <v>38</v>
      </c>
      <c r="G214" s="43">
        <v>3670.42</v>
      </c>
      <c r="H214" s="41">
        <v>443074484</v>
      </c>
      <c r="I214" s="44">
        <v>0</v>
      </c>
      <c r="J214" s="43">
        <v>0</v>
      </c>
      <c r="K214" s="43">
        <v>0</v>
      </c>
      <c r="L214" s="43">
        <v>1.7</v>
      </c>
      <c r="M214" s="43">
        <v>10023.540000000001</v>
      </c>
      <c r="N214" s="45" t="s">
        <v>247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35">
        <v>45917.903912037036</v>
      </c>
      <c r="B215" s="36">
        <v>443859822</v>
      </c>
      <c r="C215" s="37" t="s">
        <v>36</v>
      </c>
      <c r="D215" s="37" t="s">
        <v>37</v>
      </c>
      <c r="E215" s="37" t="s">
        <v>47</v>
      </c>
      <c r="F215" s="37" t="s">
        <v>38</v>
      </c>
      <c r="G215" s="38">
        <v>3668.89</v>
      </c>
      <c r="H215" s="36">
        <v>443074651</v>
      </c>
      <c r="I215" s="39">
        <v>0</v>
      </c>
      <c r="J215" s="38">
        <v>0</v>
      </c>
      <c r="K215" s="38">
        <v>0</v>
      </c>
      <c r="L215" s="38">
        <v>3.57</v>
      </c>
      <c r="M215" s="38">
        <v>10027.11</v>
      </c>
      <c r="N215" s="46" t="s">
        <v>248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40">
        <v>45917.903912037036</v>
      </c>
      <c r="B216" s="41">
        <v>443859823</v>
      </c>
      <c r="C216" s="42" t="s">
        <v>36</v>
      </c>
      <c r="D216" s="42" t="s">
        <v>37</v>
      </c>
      <c r="E216" s="42" t="s">
        <v>47</v>
      </c>
      <c r="F216" s="42" t="s">
        <v>38</v>
      </c>
      <c r="G216" s="43">
        <v>3668.89</v>
      </c>
      <c r="H216" s="41">
        <v>443074652</v>
      </c>
      <c r="I216" s="44">
        <v>0</v>
      </c>
      <c r="J216" s="43">
        <v>0</v>
      </c>
      <c r="K216" s="43">
        <v>0</v>
      </c>
      <c r="L216" s="43">
        <v>3.75</v>
      </c>
      <c r="M216" s="43">
        <v>10030.86</v>
      </c>
      <c r="N216" s="45" t="s">
        <v>248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35">
        <v>45917.903923611113</v>
      </c>
      <c r="B217" s="36">
        <v>443859845</v>
      </c>
      <c r="C217" s="37" t="s">
        <v>36</v>
      </c>
      <c r="D217" s="37" t="s">
        <v>37</v>
      </c>
      <c r="E217" s="37" t="s">
        <v>47</v>
      </c>
      <c r="F217" s="37" t="s">
        <v>38</v>
      </c>
      <c r="G217" s="38">
        <v>3668.56</v>
      </c>
      <c r="H217" s="36">
        <v>443074675</v>
      </c>
      <c r="I217" s="39">
        <v>0</v>
      </c>
      <c r="J217" s="38">
        <v>0</v>
      </c>
      <c r="K217" s="38">
        <v>0</v>
      </c>
      <c r="L217" s="38">
        <v>3.81</v>
      </c>
      <c r="M217" s="38">
        <v>10034.67</v>
      </c>
      <c r="N217" s="46" t="s">
        <v>249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40">
        <v>45917.90828703704</v>
      </c>
      <c r="B218" s="41">
        <v>443868656</v>
      </c>
      <c r="C218" s="42" t="s">
        <v>36</v>
      </c>
      <c r="D218" s="42" t="s">
        <v>39</v>
      </c>
      <c r="E218" s="42" t="s">
        <v>46</v>
      </c>
      <c r="F218" s="42" t="s">
        <v>38</v>
      </c>
      <c r="G218" s="43">
        <v>3662.49</v>
      </c>
      <c r="H218" s="41">
        <v>443083370</v>
      </c>
      <c r="I218" s="44">
        <v>0</v>
      </c>
      <c r="J218" s="43">
        <v>0</v>
      </c>
      <c r="K218" s="43">
        <v>0</v>
      </c>
      <c r="L218" s="43">
        <v>0</v>
      </c>
      <c r="M218" s="43">
        <v>10034.67</v>
      </c>
      <c r="N218" s="45" t="s">
        <v>150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35">
        <v>45917.90829861111</v>
      </c>
      <c r="B219" s="36">
        <v>443868659</v>
      </c>
      <c r="C219" s="37" t="s">
        <v>36</v>
      </c>
      <c r="D219" s="37" t="s">
        <v>39</v>
      </c>
      <c r="E219" s="37" t="s">
        <v>46</v>
      </c>
      <c r="F219" s="37" t="s">
        <v>38</v>
      </c>
      <c r="G219" s="38">
        <v>3662.54</v>
      </c>
      <c r="H219" s="36">
        <v>443083372</v>
      </c>
      <c r="I219" s="39">
        <v>0</v>
      </c>
      <c r="J219" s="38">
        <v>0</v>
      </c>
      <c r="K219" s="38">
        <v>0</v>
      </c>
      <c r="L219" s="38">
        <v>0</v>
      </c>
      <c r="M219" s="38">
        <v>10034.67</v>
      </c>
      <c r="N219" s="46" t="s">
        <v>48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40">
        <v>45917.90829861111</v>
      </c>
      <c r="B220" s="41">
        <v>443868666</v>
      </c>
      <c r="C220" s="42" t="s">
        <v>36</v>
      </c>
      <c r="D220" s="42" t="s">
        <v>39</v>
      </c>
      <c r="E220" s="42" t="s">
        <v>46</v>
      </c>
      <c r="F220" s="42" t="s">
        <v>38</v>
      </c>
      <c r="G220" s="43">
        <v>3662.82</v>
      </c>
      <c r="H220" s="41">
        <v>443083379</v>
      </c>
      <c r="I220" s="44">
        <v>0</v>
      </c>
      <c r="J220" s="43">
        <v>0</v>
      </c>
      <c r="K220" s="43">
        <v>0</v>
      </c>
      <c r="L220" s="43">
        <v>0</v>
      </c>
      <c r="M220" s="43">
        <v>10034.67</v>
      </c>
      <c r="N220" s="45" t="s">
        <v>49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35">
        <v>45917.90829861111</v>
      </c>
      <c r="B221" s="36">
        <v>443868673</v>
      </c>
      <c r="C221" s="37" t="s">
        <v>36</v>
      </c>
      <c r="D221" s="37" t="s">
        <v>39</v>
      </c>
      <c r="E221" s="37" t="s">
        <v>46</v>
      </c>
      <c r="F221" s="37" t="s">
        <v>38</v>
      </c>
      <c r="G221" s="38">
        <v>3662.82</v>
      </c>
      <c r="H221" s="36">
        <v>443083386</v>
      </c>
      <c r="I221" s="39">
        <v>0</v>
      </c>
      <c r="J221" s="38">
        <v>0</v>
      </c>
      <c r="K221" s="38">
        <v>0</v>
      </c>
      <c r="L221" s="38">
        <v>0</v>
      </c>
      <c r="M221" s="38">
        <v>10034.67</v>
      </c>
      <c r="N221" s="46" t="s">
        <v>53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40">
        <v>45917.908414351848</v>
      </c>
      <c r="B222" s="41">
        <v>443868817</v>
      </c>
      <c r="C222" s="42" t="s">
        <v>36</v>
      </c>
      <c r="D222" s="42" t="s">
        <v>37</v>
      </c>
      <c r="E222" s="42" t="s">
        <v>47</v>
      </c>
      <c r="F222" s="42" t="s">
        <v>38</v>
      </c>
      <c r="G222" s="43">
        <v>3660.9</v>
      </c>
      <c r="H222" s="41">
        <v>443083524</v>
      </c>
      <c r="I222" s="44">
        <v>0</v>
      </c>
      <c r="J222" s="43">
        <v>0</v>
      </c>
      <c r="K222" s="43">
        <v>0</v>
      </c>
      <c r="L222" s="43">
        <v>1.59</v>
      </c>
      <c r="M222" s="43">
        <v>10036.26</v>
      </c>
      <c r="N222" s="45" t="s">
        <v>250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35">
        <v>45917.908576388887</v>
      </c>
      <c r="B223" s="36">
        <v>443868958</v>
      </c>
      <c r="C223" s="37" t="s">
        <v>36</v>
      </c>
      <c r="D223" s="37" t="s">
        <v>37</v>
      </c>
      <c r="E223" s="37" t="s">
        <v>47</v>
      </c>
      <c r="F223" s="37" t="s">
        <v>38</v>
      </c>
      <c r="G223" s="38">
        <v>3663.04</v>
      </c>
      <c r="H223" s="36">
        <v>443083662</v>
      </c>
      <c r="I223" s="39">
        <v>0</v>
      </c>
      <c r="J223" s="38">
        <v>0</v>
      </c>
      <c r="K223" s="38">
        <v>0</v>
      </c>
      <c r="L223" s="38">
        <v>-0.5</v>
      </c>
      <c r="M223" s="38">
        <v>10035.76</v>
      </c>
      <c r="N223" s="46" t="s">
        <v>251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40">
        <v>45917.908576388887</v>
      </c>
      <c r="B224" s="41">
        <v>443868959</v>
      </c>
      <c r="C224" s="42" t="s">
        <v>36</v>
      </c>
      <c r="D224" s="42" t="s">
        <v>37</v>
      </c>
      <c r="E224" s="42" t="s">
        <v>47</v>
      </c>
      <c r="F224" s="42" t="s">
        <v>38</v>
      </c>
      <c r="G224" s="43">
        <v>3663.04</v>
      </c>
      <c r="H224" s="41">
        <v>443083663</v>
      </c>
      <c r="I224" s="44">
        <v>0</v>
      </c>
      <c r="J224" s="43">
        <v>0</v>
      </c>
      <c r="K224" s="43">
        <v>0</v>
      </c>
      <c r="L224" s="43">
        <v>-0.22</v>
      </c>
      <c r="M224" s="43">
        <v>10035.540000000001</v>
      </c>
      <c r="N224" s="45" t="s">
        <v>251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35">
        <v>45917.908576388887</v>
      </c>
      <c r="B225" s="36">
        <v>443868960</v>
      </c>
      <c r="C225" s="37" t="s">
        <v>36</v>
      </c>
      <c r="D225" s="37" t="s">
        <v>37</v>
      </c>
      <c r="E225" s="37" t="s">
        <v>47</v>
      </c>
      <c r="F225" s="37" t="s">
        <v>38</v>
      </c>
      <c r="G225" s="38">
        <v>3663.04</v>
      </c>
      <c r="H225" s="36">
        <v>443083664</v>
      </c>
      <c r="I225" s="39">
        <v>0</v>
      </c>
      <c r="J225" s="38">
        <v>0</v>
      </c>
      <c r="K225" s="38">
        <v>0</v>
      </c>
      <c r="L225" s="38">
        <v>-0.22</v>
      </c>
      <c r="M225" s="38">
        <v>10035.32</v>
      </c>
      <c r="N225" s="46" t="s">
        <v>252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40">
        <v>45917.908634259256</v>
      </c>
      <c r="B226" s="41">
        <v>443868999</v>
      </c>
      <c r="C226" s="42" t="s">
        <v>36</v>
      </c>
      <c r="D226" s="42" t="s">
        <v>39</v>
      </c>
      <c r="E226" s="42" t="s">
        <v>46</v>
      </c>
      <c r="F226" s="42" t="s">
        <v>38</v>
      </c>
      <c r="G226" s="43">
        <v>3662.76</v>
      </c>
      <c r="H226" s="41">
        <v>443083702</v>
      </c>
      <c r="I226" s="44">
        <v>0</v>
      </c>
      <c r="J226" s="43">
        <v>0</v>
      </c>
      <c r="K226" s="43">
        <v>0</v>
      </c>
      <c r="L226" s="43">
        <v>0</v>
      </c>
      <c r="M226" s="43">
        <v>10035.32</v>
      </c>
      <c r="N226" s="45" t="s">
        <v>150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35">
        <v>45917.908645833333</v>
      </c>
      <c r="B227" s="36">
        <v>443869001</v>
      </c>
      <c r="C227" s="37" t="s">
        <v>36</v>
      </c>
      <c r="D227" s="37" t="s">
        <v>39</v>
      </c>
      <c r="E227" s="37" t="s">
        <v>46</v>
      </c>
      <c r="F227" s="37" t="s">
        <v>38</v>
      </c>
      <c r="G227" s="38">
        <v>3662.8</v>
      </c>
      <c r="H227" s="36">
        <v>443083704</v>
      </c>
      <c r="I227" s="39">
        <v>0</v>
      </c>
      <c r="J227" s="38">
        <v>0</v>
      </c>
      <c r="K227" s="38">
        <v>0</v>
      </c>
      <c r="L227" s="38">
        <v>0</v>
      </c>
      <c r="M227" s="38">
        <v>10035.32</v>
      </c>
      <c r="N227" s="46" t="s">
        <v>49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40">
        <v>45917.908645833333</v>
      </c>
      <c r="B228" s="41">
        <v>443869002</v>
      </c>
      <c r="C228" s="42" t="s">
        <v>36</v>
      </c>
      <c r="D228" s="42" t="s">
        <v>39</v>
      </c>
      <c r="E228" s="42" t="s">
        <v>46</v>
      </c>
      <c r="F228" s="42" t="s">
        <v>38</v>
      </c>
      <c r="G228" s="43">
        <v>3662.78</v>
      </c>
      <c r="H228" s="41">
        <v>443083705</v>
      </c>
      <c r="I228" s="44">
        <v>0</v>
      </c>
      <c r="J228" s="43">
        <v>0</v>
      </c>
      <c r="K228" s="43">
        <v>0</v>
      </c>
      <c r="L228" s="43">
        <v>0</v>
      </c>
      <c r="M228" s="43">
        <v>10035.32</v>
      </c>
      <c r="N228" s="45" t="s">
        <v>53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35">
        <v>45917.908645833333</v>
      </c>
      <c r="B229" s="36">
        <v>443869004</v>
      </c>
      <c r="C229" s="37" t="s">
        <v>36</v>
      </c>
      <c r="D229" s="37" t="s">
        <v>39</v>
      </c>
      <c r="E229" s="37" t="s">
        <v>46</v>
      </c>
      <c r="F229" s="37" t="s">
        <v>38</v>
      </c>
      <c r="G229" s="38">
        <v>3662.73</v>
      </c>
      <c r="H229" s="36">
        <v>443083707</v>
      </c>
      <c r="I229" s="39">
        <v>0</v>
      </c>
      <c r="J229" s="38">
        <v>0</v>
      </c>
      <c r="K229" s="38">
        <v>0</v>
      </c>
      <c r="L229" s="38">
        <v>0</v>
      </c>
      <c r="M229" s="38">
        <v>10035.32</v>
      </c>
      <c r="N229" s="46" t="s">
        <v>48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40">
        <v>45917.908773148149</v>
      </c>
      <c r="B230" s="41">
        <v>443869133</v>
      </c>
      <c r="C230" s="42" t="s">
        <v>36</v>
      </c>
      <c r="D230" s="42" t="s">
        <v>37</v>
      </c>
      <c r="E230" s="42" t="s">
        <v>47</v>
      </c>
      <c r="F230" s="42" t="s">
        <v>38</v>
      </c>
      <c r="G230" s="43">
        <v>3661.36</v>
      </c>
      <c r="H230" s="41">
        <v>443083831</v>
      </c>
      <c r="I230" s="44">
        <v>0</v>
      </c>
      <c r="J230" s="43">
        <v>0</v>
      </c>
      <c r="K230" s="43">
        <v>0</v>
      </c>
      <c r="L230" s="43">
        <v>1.4</v>
      </c>
      <c r="M230" s="43">
        <v>10036.719999999999</v>
      </c>
      <c r="N230" s="45" t="s">
        <v>253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35">
        <v>45917.908854166664</v>
      </c>
      <c r="B231" s="36">
        <v>443869206</v>
      </c>
      <c r="C231" s="37" t="s">
        <v>36</v>
      </c>
      <c r="D231" s="37" t="s">
        <v>37</v>
      </c>
      <c r="E231" s="37" t="s">
        <v>47</v>
      </c>
      <c r="F231" s="37" t="s">
        <v>38</v>
      </c>
      <c r="G231" s="38">
        <v>3659.68</v>
      </c>
      <c r="H231" s="36">
        <v>443083903</v>
      </c>
      <c r="I231" s="39">
        <v>0</v>
      </c>
      <c r="J231" s="38">
        <v>0</v>
      </c>
      <c r="K231" s="38">
        <v>0</v>
      </c>
      <c r="L231" s="38">
        <v>3.12</v>
      </c>
      <c r="M231" s="38">
        <v>10039.84</v>
      </c>
      <c r="N231" s="46" t="s">
        <v>254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40">
        <v>45917.908854166664</v>
      </c>
      <c r="B232" s="41">
        <v>443869207</v>
      </c>
      <c r="C232" s="42" t="s">
        <v>36</v>
      </c>
      <c r="D232" s="42" t="s">
        <v>37</v>
      </c>
      <c r="E232" s="42" t="s">
        <v>47</v>
      </c>
      <c r="F232" s="42" t="s">
        <v>38</v>
      </c>
      <c r="G232" s="43">
        <v>3659.68</v>
      </c>
      <c r="H232" s="41">
        <v>443083904</v>
      </c>
      <c r="I232" s="44">
        <v>0</v>
      </c>
      <c r="J232" s="43">
        <v>0</v>
      </c>
      <c r="K232" s="43">
        <v>0</v>
      </c>
      <c r="L232" s="43">
        <v>3.05</v>
      </c>
      <c r="M232" s="43">
        <v>10042.89</v>
      </c>
      <c r="N232" s="45" t="s">
        <v>254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35">
        <v>45917.909178240741</v>
      </c>
      <c r="B233" s="36">
        <v>443869485</v>
      </c>
      <c r="C233" s="37" t="s">
        <v>36</v>
      </c>
      <c r="D233" s="37" t="s">
        <v>37</v>
      </c>
      <c r="E233" s="37" t="s">
        <v>47</v>
      </c>
      <c r="F233" s="37" t="s">
        <v>38</v>
      </c>
      <c r="G233" s="38">
        <v>3659.11</v>
      </c>
      <c r="H233" s="36">
        <v>443084183</v>
      </c>
      <c r="I233" s="39">
        <v>0</v>
      </c>
      <c r="J233" s="38">
        <v>0</v>
      </c>
      <c r="K233" s="38">
        <v>0</v>
      </c>
      <c r="L233" s="38">
        <v>3.67</v>
      </c>
      <c r="M233" s="38">
        <v>10046.56</v>
      </c>
      <c r="N233" s="46" t="s">
        <v>255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40">
        <v>45917.913958333331</v>
      </c>
      <c r="B234" s="41">
        <v>443879867</v>
      </c>
      <c r="C234" s="42" t="s">
        <v>36</v>
      </c>
      <c r="D234" s="42" t="s">
        <v>39</v>
      </c>
      <c r="E234" s="42" t="s">
        <v>46</v>
      </c>
      <c r="F234" s="42" t="s">
        <v>38</v>
      </c>
      <c r="G234" s="43">
        <v>3650.16</v>
      </c>
      <c r="H234" s="41">
        <v>443094434</v>
      </c>
      <c r="I234" s="44">
        <v>0</v>
      </c>
      <c r="J234" s="43">
        <v>0</v>
      </c>
      <c r="K234" s="43">
        <v>0</v>
      </c>
      <c r="L234" s="43">
        <v>0</v>
      </c>
      <c r="M234" s="43">
        <v>10046.56</v>
      </c>
      <c r="N234" s="45" t="s">
        <v>53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35">
        <v>45917.913969907408</v>
      </c>
      <c r="B235" s="36">
        <v>443879873</v>
      </c>
      <c r="C235" s="37" t="s">
        <v>36</v>
      </c>
      <c r="D235" s="37" t="s">
        <v>39</v>
      </c>
      <c r="E235" s="37" t="s">
        <v>46</v>
      </c>
      <c r="F235" s="37" t="s">
        <v>38</v>
      </c>
      <c r="G235" s="38">
        <v>3650.19</v>
      </c>
      <c r="H235" s="36">
        <v>443094439</v>
      </c>
      <c r="I235" s="39">
        <v>0</v>
      </c>
      <c r="J235" s="38">
        <v>0</v>
      </c>
      <c r="K235" s="38">
        <v>0</v>
      </c>
      <c r="L235" s="38">
        <v>0</v>
      </c>
      <c r="M235" s="38">
        <v>10046.56</v>
      </c>
      <c r="N235" s="46" t="s">
        <v>49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40">
        <v>45917.913969907408</v>
      </c>
      <c r="B236" s="41">
        <v>443879876</v>
      </c>
      <c r="C236" s="42" t="s">
        <v>36</v>
      </c>
      <c r="D236" s="42" t="s">
        <v>39</v>
      </c>
      <c r="E236" s="42" t="s">
        <v>46</v>
      </c>
      <c r="F236" s="42" t="s">
        <v>38</v>
      </c>
      <c r="G236" s="43">
        <v>3650.19</v>
      </c>
      <c r="H236" s="41">
        <v>443094442</v>
      </c>
      <c r="I236" s="44">
        <v>0</v>
      </c>
      <c r="J236" s="43">
        <v>0</v>
      </c>
      <c r="K236" s="43">
        <v>0</v>
      </c>
      <c r="L236" s="43">
        <v>0</v>
      </c>
      <c r="M236" s="43">
        <v>10046.56</v>
      </c>
      <c r="N236" s="45" t="s">
        <v>48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35">
        <v>45917.913969907408</v>
      </c>
      <c r="B237" s="36">
        <v>443879878</v>
      </c>
      <c r="C237" s="37" t="s">
        <v>36</v>
      </c>
      <c r="D237" s="37" t="s">
        <v>39</v>
      </c>
      <c r="E237" s="37" t="s">
        <v>46</v>
      </c>
      <c r="F237" s="37" t="s">
        <v>38</v>
      </c>
      <c r="G237" s="38">
        <v>3650.14</v>
      </c>
      <c r="H237" s="36">
        <v>443094444</v>
      </c>
      <c r="I237" s="39">
        <v>0</v>
      </c>
      <c r="J237" s="38">
        <v>0</v>
      </c>
      <c r="K237" s="38">
        <v>0</v>
      </c>
      <c r="L237" s="38">
        <v>0</v>
      </c>
      <c r="M237" s="38">
        <v>10046.56</v>
      </c>
      <c r="N237" s="46" t="s">
        <v>150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40">
        <v>45917.914398148147</v>
      </c>
      <c r="B238" s="41">
        <v>443880551</v>
      </c>
      <c r="C238" s="42" t="s">
        <v>36</v>
      </c>
      <c r="D238" s="42" t="s">
        <v>37</v>
      </c>
      <c r="E238" s="42" t="s">
        <v>47</v>
      </c>
      <c r="F238" s="42" t="s">
        <v>38</v>
      </c>
      <c r="G238" s="43">
        <v>3648.5</v>
      </c>
      <c r="H238" s="41">
        <v>443095113</v>
      </c>
      <c r="I238" s="44">
        <v>0</v>
      </c>
      <c r="J238" s="43">
        <v>0</v>
      </c>
      <c r="K238" s="43">
        <v>0</v>
      </c>
      <c r="L238" s="43">
        <v>1.64</v>
      </c>
      <c r="M238" s="43">
        <v>10048.200000000001</v>
      </c>
      <c r="N238" s="45" t="s">
        <v>256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35">
        <v>45917.91443287037</v>
      </c>
      <c r="B239" s="36">
        <v>443880862</v>
      </c>
      <c r="C239" s="37" t="s">
        <v>36</v>
      </c>
      <c r="D239" s="37" t="s">
        <v>37</v>
      </c>
      <c r="E239" s="37" t="s">
        <v>47</v>
      </c>
      <c r="F239" s="37" t="s">
        <v>38</v>
      </c>
      <c r="G239" s="38">
        <v>3647.25</v>
      </c>
      <c r="H239" s="36">
        <v>443095423</v>
      </c>
      <c r="I239" s="39">
        <v>0</v>
      </c>
      <c r="J239" s="38">
        <v>0</v>
      </c>
      <c r="K239" s="38">
        <v>0</v>
      </c>
      <c r="L239" s="38">
        <v>2.91</v>
      </c>
      <c r="M239" s="38">
        <v>10051.11</v>
      </c>
      <c r="N239" s="46" t="s">
        <v>257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40">
        <v>45917.91443287037</v>
      </c>
      <c r="B240" s="41">
        <v>443880866</v>
      </c>
      <c r="C240" s="42" t="s">
        <v>36</v>
      </c>
      <c r="D240" s="42" t="s">
        <v>37</v>
      </c>
      <c r="E240" s="42" t="s">
        <v>47</v>
      </c>
      <c r="F240" s="42" t="s">
        <v>38</v>
      </c>
      <c r="G240" s="43">
        <v>3647.13</v>
      </c>
      <c r="H240" s="41">
        <v>443095428</v>
      </c>
      <c r="I240" s="44">
        <v>0</v>
      </c>
      <c r="J240" s="43">
        <v>0</v>
      </c>
      <c r="K240" s="43">
        <v>0</v>
      </c>
      <c r="L240" s="43">
        <v>3.06</v>
      </c>
      <c r="M240" s="43">
        <v>10054.17</v>
      </c>
      <c r="N240" s="45" t="s">
        <v>258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35">
        <v>45917.91443287037</v>
      </c>
      <c r="B241" s="36">
        <v>443880868</v>
      </c>
      <c r="C241" s="37" t="s">
        <v>36</v>
      </c>
      <c r="D241" s="37" t="s">
        <v>37</v>
      </c>
      <c r="E241" s="37" t="s">
        <v>47</v>
      </c>
      <c r="F241" s="37" t="s">
        <v>38</v>
      </c>
      <c r="G241" s="38">
        <v>3647.13</v>
      </c>
      <c r="H241" s="36">
        <v>443095429</v>
      </c>
      <c r="I241" s="39">
        <v>0</v>
      </c>
      <c r="J241" s="38">
        <v>0</v>
      </c>
      <c r="K241" s="38">
        <v>0</v>
      </c>
      <c r="L241" s="38">
        <v>3.06</v>
      </c>
      <c r="M241" s="38">
        <v>10057.23</v>
      </c>
      <c r="N241" s="46" t="s">
        <v>258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40">
        <v>45917.915694444448</v>
      </c>
      <c r="B242" s="41">
        <v>443882257</v>
      </c>
      <c r="C242" s="42" t="s">
        <v>36</v>
      </c>
      <c r="D242" s="42" t="s">
        <v>39</v>
      </c>
      <c r="E242" s="42" t="s">
        <v>46</v>
      </c>
      <c r="F242" s="42" t="s">
        <v>38</v>
      </c>
      <c r="G242" s="43">
        <v>3649.84</v>
      </c>
      <c r="H242" s="41">
        <v>443096807</v>
      </c>
      <c r="I242" s="44">
        <v>0</v>
      </c>
      <c r="J242" s="43">
        <v>0</v>
      </c>
      <c r="K242" s="43">
        <v>0</v>
      </c>
      <c r="L242" s="43">
        <v>0</v>
      </c>
      <c r="M242" s="43">
        <v>10057.23</v>
      </c>
      <c r="N242" s="45" t="s">
        <v>150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35">
        <v>45917.915706018517</v>
      </c>
      <c r="B243" s="36">
        <v>443882261</v>
      </c>
      <c r="C243" s="37" t="s">
        <v>36</v>
      </c>
      <c r="D243" s="37" t="s">
        <v>39</v>
      </c>
      <c r="E243" s="37" t="s">
        <v>46</v>
      </c>
      <c r="F243" s="37" t="s">
        <v>38</v>
      </c>
      <c r="G243" s="38">
        <v>3649.77</v>
      </c>
      <c r="H243" s="36">
        <v>443096811</v>
      </c>
      <c r="I243" s="39">
        <v>0</v>
      </c>
      <c r="J243" s="38">
        <v>0</v>
      </c>
      <c r="K243" s="38">
        <v>0</v>
      </c>
      <c r="L243" s="38">
        <v>0</v>
      </c>
      <c r="M243" s="38">
        <v>10057.23</v>
      </c>
      <c r="N243" s="46" t="s">
        <v>49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40">
        <v>45917.915706018517</v>
      </c>
      <c r="B244" s="41">
        <v>443882263</v>
      </c>
      <c r="C244" s="42" t="s">
        <v>36</v>
      </c>
      <c r="D244" s="42" t="s">
        <v>39</v>
      </c>
      <c r="E244" s="42" t="s">
        <v>46</v>
      </c>
      <c r="F244" s="42" t="s">
        <v>38</v>
      </c>
      <c r="G244" s="43">
        <v>3649.95</v>
      </c>
      <c r="H244" s="41">
        <v>443096813</v>
      </c>
      <c r="I244" s="44">
        <v>0</v>
      </c>
      <c r="J244" s="43">
        <v>0</v>
      </c>
      <c r="K244" s="43">
        <v>0</v>
      </c>
      <c r="L244" s="43">
        <v>0</v>
      </c>
      <c r="M244" s="43">
        <v>10057.23</v>
      </c>
      <c r="N244" s="45" t="s">
        <v>53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35">
        <v>45917.915706018517</v>
      </c>
      <c r="B245" s="36">
        <v>443882266</v>
      </c>
      <c r="C245" s="37" t="s">
        <v>36</v>
      </c>
      <c r="D245" s="37" t="s">
        <v>39</v>
      </c>
      <c r="E245" s="37" t="s">
        <v>46</v>
      </c>
      <c r="F245" s="37" t="s">
        <v>38</v>
      </c>
      <c r="G245" s="38">
        <v>3651.08</v>
      </c>
      <c r="H245" s="36">
        <v>443096816</v>
      </c>
      <c r="I245" s="39">
        <v>0</v>
      </c>
      <c r="J245" s="38">
        <v>0</v>
      </c>
      <c r="K245" s="38">
        <v>0</v>
      </c>
      <c r="L245" s="38">
        <v>0</v>
      </c>
      <c r="M245" s="38">
        <v>10057.23</v>
      </c>
      <c r="N245" s="46" t="s">
        <v>48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40">
        <v>45917.915879629632</v>
      </c>
      <c r="B246" s="41">
        <v>443882440</v>
      </c>
      <c r="C246" s="42" t="s">
        <v>36</v>
      </c>
      <c r="D246" s="42" t="s">
        <v>37</v>
      </c>
      <c r="E246" s="42" t="s">
        <v>47</v>
      </c>
      <c r="F246" s="42" t="s">
        <v>38</v>
      </c>
      <c r="G246" s="43">
        <v>3652.45</v>
      </c>
      <c r="H246" s="41">
        <v>443096989</v>
      </c>
      <c r="I246" s="44">
        <v>0</v>
      </c>
      <c r="J246" s="43">
        <v>0</v>
      </c>
      <c r="K246" s="43">
        <v>0</v>
      </c>
      <c r="L246" s="43">
        <v>-2.68</v>
      </c>
      <c r="M246" s="43">
        <v>10054.549999999999</v>
      </c>
      <c r="N246" s="45" t="s">
        <v>259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35">
        <v>45917.915879629632</v>
      </c>
      <c r="B247" s="36">
        <v>443882447</v>
      </c>
      <c r="C247" s="37" t="s">
        <v>36</v>
      </c>
      <c r="D247" s="37" t="s">
        <v>37</v>
      </c>
      <c r="E247" s="37" t="s">
        <v>47</v>
      </c>
      <c r="F247" s="37" t="s">
        <v>38</v>
      </c>
      <c r="G247" s="38">
        <v>3652.94</v>
      </c>
      <c r="H247" s="36">
        <v>443096996</v>
      </c>
      <c r="I247" s="39">
        <v>0</v>
      </c>
      <c r="J247" s="38">
        <v>0</v>
      </c>
      <c r="K247" s="38">
        <v>0</v>
      </c>
      <c r="L247" s="38">
        <v>-2.99</v>
      </c>
      <c r="M247" s="38">
        <v>10051.56</v>
      </c>
      <c r="N247" s="46" t="s">
        <v>260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40">
        <v>45917.915879629632</v>
      </c>
      <c r="B248" s="41">
        <v>443882448</v>
      </c>
      <c r="C248" s="42" t="s">
        <v>36</v>
      </c>
      <c r="D248" s="42" t="s">
        <v>37</v>
      </c>
      <c r="E248" s="42" t="s">
        <v>47</v>
      </c>
      <c r="F248" s="42" t="s">
        <v>38</v>
      </c>
      <c r="G248" s="43">
        <v>3652.94</v>
      </c>
      <c r="H248" s="41">
        <v>443096997</v>
      </c>
      <c r="I248" s="44">
        <v>0</v>
      </c>
      <c r="J248" s="43">
        <v>0</v>
      </c>
      <c r="K248" s="43">
        <v>0</v>
      </c>
      <c r="L248" s="43">
        <v>-1.86</v>
      </c>
      <c r="M248" s="43">
        <v>10049.700000000001</v>
      </c>
      <c r="N248" s="45" t="s">
        <v>260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35">
        <v>45917.915891203702</v>
      </c>
      <c r="B249" s="36">
        <v>443882452</v>
      </c>
      <c r="C249" s="37" t="s">
        <v>36</v>
      </c>
      <c r="D249" s="37" t="s">
        <v>37</v>
      </c>
      <c r="E249" s="37" t="s">
        <v>47</v>
      </c>
      <c r="F249" s="37" t="s">
        <v>38</v>
      </c>
      <c r="G249" s="38">
        <v>3653.08</v>
      </c>
      <c r="H249" s="36">
        <v>443097001</v>
      </c>
      <c r="I249" s="39">
        <v>0</v>
      </c>
      <c r="J249" s="38">
        <v>0</v>
      </c>
      <c r="K249" s="38">
        <v>0</v>
      </c>
      <c r="L249" s="38">
        <v>-3.24</v>
      </c>
      <c r="M249" s="38">
        <v>10046.459999999999</v>
      </c>
      <c r="N249" s="46" t="s">
        <v>261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40">
        <v>45917.916041666664</v>
      </c>
      <c r="B250" s="41">
        <v>443882643</v>
      </c>
      <c r="C250" s="42" t="s">
        <v>36</v>
      </c>
      <c r="D250" s="42" t="s">
        <v>39</v>
      </c>
      <c r="E250" s="42" t="s">
        <v>46</v>
      </c>
      <c r="F250" s="42" t="s">
        <v>38</v>
      </c>
      <c r="G250" s="43">
        <v>3650.47</v>
      </c>
      <c r="H250" s="41">
        <v>443097191</v>
      </c>
      <c r="I250" s="44">
        <v>0</v>
      </c>
      <c r="J250" s="43">
        <v>0</v>
      </c>
      <c r="K250" s="43">
        <v>0</v>
      </c>
      <c r="L250" s="43">
        <v>0</v>
      </c>
      <c r="M250" s="43">
        <v>10046.459999999999</v>
      </c>
      <c r="N250" s="45" t="s">
        <v>150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35">
        <v>45917.91605324074</v>
      </c>
      <c r="B251" s="36">
        <v>443882646</v>
      </c>
      <c r="C251" s="37" t="s">
        <v>36</v>
      </c>
      <c r="D251" s="37" t="s">
        <v>39</v>
      </c>
      <c r="E251" s="37" t="s">
        <v>46</v>
      </c>
      <c r="F251" s="37" t="s">
        <v>38</v>
      </c>
      <c r="G251" s="38">
        <v>3650.4</v>
      </c>
      <c r="H251" s="36">
        <v>443097195</v>
      </c>
      <c r="I251" s="39">
        <v>0</v>
      </c>
      <c r="J251" s="38">
        <v>0</v>
      </c>
      <c r="K251" s="38">
        <v>0</v>
      </c>
      <c r="L251" s="38">
        <v>0</v>
      </c>
      <c r="M251" s="38">
        <v>10046.459999999999</v>
      </c>
      <c r="N251" s="46" t="s">
        <v>49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40">
        <v>45917.91605324074</v>
      </c>
      <c r="B252" s="41">
        <v>443882650</v>
      </c>
      <c r="C252" s="42" t="s">
        <v>36</v>
      </c>
      <c r="D252" s="42" t="s">
        <v>39</v>
      </c>
      <c r="E252" s="42" t="s">
        <v>46</v>
      </c>
      <c r="F252" s="42" t="s">
        <v>38</v>
      </c>
      <c r="G252" s="43">
        <v>3649.95</v>
      </c>
      <c r="H252" s="41">
        <v>443097198</v>
      </c>
      <c r="I252" s="44">
        <v>0</v>
      </c>
      <c r="J252" s="43">
        <v>0</v>
      </c>
      <c r="K252" s="43">
        <v>0</v>
      </c>
      <c r="L252" s="43">
        <v>0</v>
      </c>
      <c r="M252" s="43">
        <v>10046.459999999999</v>
      </c>
      <c r="N252" s="45" t="s">
        <v>48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35">
        <v>45917.91605324074</v>
      </c>
      <c r="B253" s="36">
        <v>443882653</v>
      </c>
      <c r="C253" s="37" t="s">
        <v>36</v>
      </c>
      <c r="D253" s="37" t="s">
        <v>39</v>
      </c>
      <c r="E253" s="37" t="s">
        <v>46</v>
      </c>
      <c r="F253" s="37" t="s">
        <v>38</v>
      </c>
      <c r="G253" s="38">
        <v>3649.74</v>
      </c>
      <c r="H253" s="36">
        <v>443097201</v>
      </c>
      <c r="I253" s="39">
        <v>0</v>
      </c>
      <c r="J253" s="38">
        <v>0</v>
      </c>
      <c r="K253" s="38">
        <v>0</v>
      </c>
      <c r="L253" s="38">
        <v>0</v>
      </c>
      <c r="M253" s="38">
        <v>10046.459999999999</v>
      </c>
      <c r="N253" s="46" t="s">
        <v>53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40">
        <v>45917.91710648148</v>
      </c>
      <c r="B254" s="41">
        <v>443883664</v>
      </c>
      <c r="C254" s="42" t="s">
        <v>36</v>
      </c>
      <c r="D254" s="42" t="s">
        <v>37</v>
      </c>
      <c r="E254" s="42" t="s">
        <v>47</v>
      </c>
      <c r="F254" s="42" t="s">
        <v>38</v>
      </c>
      <c r="G254" s="43">
        <v>3648.73</v>
      </c>
      <c r="H254" s="41">
        <v>443098198</v>
      </c>
      <c r="I254" s="44">
        <v>0</v>
      </c>
      <c r="J254" s="43">
        <v>0</v>
      </c>
      <c r="K254" s="43">
        <v>0</v>
      </c>
      <c r="L254" s="43">
        <v>1.74</v>
      </c>
      <c r="M254" s="43">
        <v>10048.200000000001</v>
      </c>
      <c r="N254" s="45" t="s">
        <v>262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35">
        <v>45917.917118055557</v>
      </c>
      <c r="B255" s="36">
        <v>443883796</v>
      </c>
      <c r="C255" s="37" t="s">
        <v>36</v>
      </c>
      <c r="D255" s="37" t="s">
        <v>37</v>
      </c>
      <c r="E255" s="37" t="s">
        <v>47</v>
      </c>
      <c r="F255" s="37" t="s">
        <v>38</v>
      </c>
      <c r="G255" s="38">
        <v>3647.43</v>
      </c>
      <c r="H255" s="36">
        <v>443098330</v>
      </c>
      <c r="I255" s="39">
        <v>0</v>
      </c>
      <c r="J255" s="38">
        <v>0</v>
      </c>
      <c r="K255" s="38">
        <v>0</v>
      </c>
      <c r="L255" s="38">
        <v>2.97</v>
      </c>
      <c r="M255" s="38">
        <v>10051.17</v>
      </c>
      <c r="N255" s="46" t="s">
        <v>263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40">
        <v>45917.917118055557</v>
      </c>
      <c r="B256" s="41">
        <v>443883797</v>
      </c>
      <c r="C256" s="42" t="s">
        <v>36</v>
      </c>
      <c r="D256" s="42" t="s">
        <v>37</v>
      </c>
      <c r="E256" s="42" t="s">
        <v>47</v>
      </c>
      <c r="F256" s="42" t="s">
        <v>38</v>
      </c>
      <c r="G256" s="43">
        <v>3647.43</v>
      </c>
      <c r="H256" s="41">
        <v>443098331</v>
      </c>
      <c r="I256" s="44">
        <v>0</v>
      </c>
      <c r="J256" s="43">
        <v>0</v>
      </c>
      <c r="K256" s="43">
        <v>0</v>
      </c>
      <c r="L256" s="43">
        <v>2.52</v>
      </c>
      <c r="M256" s="43">
        <v>10053.69</v>
      </c>
      <c r="N256" s="45" t="s">
        <v>263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35">
        <v>45917.917210648149</v>
      </c>
      <c r="B257" s="36">
        <v>443883929</v>
      </c>
      <c r="C257" s="37" t="s">
        <v>36</v>
      </c>
      <c r="D257" s="37" t="s">
        <v>37</v>
      </c>
      <c r="E257" s="37" t="s">
        <v>47</v>
      </c>
      <c r="F257" s="37" t="s">
        <v>38</v>
      </c>
      <c r="G257" s="38">
        <v>3646.67</v>
      </c>
      <c r="H257" s="36">
        <v>443098463</v>
      </c>
      <c r="I257" s="39">
        <v>0</v>
      </c>
      <c r="J257" s="38">
        <v>0</v>
      </c>
      <c r="K257" s="38">
        <v>0</v>
      </c>
      <c r="L257" s="38">
        <v>3.07</v>
      </c>
      <c r="M257" s="38">
        <v>10056.76</v>
      </c>
      <c r="N257" s="46" t="s">
        <v>264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40">
        <v>45917.918124999997</v>
      </c>
      <c r="B258" s="41">
        <v>443885151</v>
      </c>
      <c r="C258" s="42" t="s">
        <v>36</v>
      </c>
      <c r="D258" s="42" t="s">
        <v>39</v>
      </c>
      <c r="E258" s="42" t="s">
        <v>46</v>
      </c>
      <c r="F258" s="42" t="s">
        <v>38</v>
      </c>
      <c r="G258" s="43">
        <v>3649.95</v>
      </c>
      <c r="H258" s="41">
        <v>443099678</v>
      </c>
      <c r="I258" s="44">
        <v>0</v>
      </c>
      <c r="J258" s="43">
        <v>0</v>
      </c>
      <c r="K258" s="43">
        <v>0</v>
      </c>
      <c r="L258" s="43">
        <v>0</v>
      </c>
      <c r="M258" s="43">
        <v>10056.76</v>
      </c>
      <c r="N258" s="45" t="s">
        <v>150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35">
        <v>45917.918136574073</v>
      </c>
      <c r="B259" s="36">
        <v>443885154</v>
      </c>
      <c r="C259" s="37" t="s">
        <v>36</v>
      </c>
      <c r="D259" s="37" t="s">
        <v>39</v>
      </c>
      <c r="E259" s="37" t="s">
        <v>46</v>
      </c>
      <c r="F259" s="37" t="s">
        <v>38</v>
      </c>
      <c r="G259" s="38">
        <v>3649.89</v>
      </c>
      <c r="H259" s="36">
        <v>443099681</v>
      </c>
      <c r="I259" s="39">
        <v>0</v>
      </c>
      <c r="J259" s="38">
        <v>0</v>
      </c>
      <c r="K259" s="38">
        <v>0</v>
      </c>
      <c r="L259" s="38">
        <v>0</v>
      </c>
      <c r="M259" s="38">
        <v>10056.76</v>
      </c>
      <c r="N259" s="46" t="s">
        <v>48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40">
        <v>45917.918136574073</v>
      </c>
      <c r="B260" s="41">
        <v>443885155</v>
      </c>
      <c r="C260" s="42" t="s">
        <v>36</v>
      </c>
      <c r="D260" s="42" t="s">
        <v>39</v>
      </c>
      <c r="E260" s="42" t="s">
        <v>46</v>
      </c>
      <c r="F260" s="42" t="s">
        <v>38</v>
      </c>
      <c r="G260" s="43">
        <v>3650.06</v>
      </c>
      <c r="H260" s="41">
        <v>443099682</v>
      </c>
      <c r="I260" s="44">
        <v>0</v>
      </c>
      <c r="J260" s="43">
        <v>0</v>
      </c>
      <c r="K260" s="43">
        <v>0</v>
      </c>
      <c r="L260" s="43">
        <v>0</v>
      </c>
      <c r="M260" s="43">
        <v>10056.76</v>
      </c>
      <c r="N260" s="45" t="s">
        <v>53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35">
        <v>45917.918136574073</v>
      </c>
      <c r="B261" s="36">
        <v>443885157</v>
      </c>
      <c r="C261" s="37" t="s">
        <v>36</v>
      </c>
      <c r="D261" s="37" t="s">
        <v>39</v>
      </c>
      <c r="E261" s="37" t="s">
        <v>46</v>
      </c>
      <c r="F261" s="37" t="s">
        <v>38</v>
      </c>
      <c r="G261" s="38">
        <v>3650.13</v>
      </c>
      <c r="H261" s="36">
        <v>443099684</v>
      </c>
      <c r="I261" s="39">
        <v>0</v>
      </c>
      <c r="J261" s="38">
        <v>0</v>
      </c>
      <c r="K261" s="38">
        <v>0</v>
      </c>
      <c r="L261" s="38">
        <v>0</v>
      </c>
      <c r="M261" s="38">
        <v>10056.76</v>
      </c>
      <c r="N261" s="46" t="s">
        <v>49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40">
        <v>45917.918252314812</v>
      </c>
      <c r="B262" s="41">
        <v>443885267</v>
      </c>
      <c r="C262" s="42" t="s">
        <v>36</v>
      </c>
      <c r="D262" s="42" t="s">
        <v>37</v>
      </c>
      <c r="E262" s="42" t="s">
        <v>47</v>
      </c>
      <c r="F262" s="42" t="s">
        <v>38</v>
      </c>
      <c r="G262" s="43">
        <v>3652.67</v>
      </c>
      <c r="H262" s="41">
        <v>443099791</v>
      </c>
      <c r="I262" s="44">
        <v>0</v>
      </c>
      <c r="J262" s="43">
        <v>0</v>
      </c>
      <c r="K262" s="43">
        <v>0</v>
      </c>
      <c r="L262" s="43">
        <v>-2.54</v>
      </c>
      <c r="M262" s="43">
        <v>10054.219999999999</v>
      </c>
      <c r="N262" s="45" t="s">
        <v>265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35">
        <v>45917.918263888889</v>
      </c>
      <c r="B263" s="36">
        <v>443885277</v>
      </c>
      <c r="C263" s="37" t="s">
        <v>36</v>
      </c>
      <c r="D263" s="37" t="s">
        <v>37</v>
      </c>
      <c r="E263" s="37" t="s">
        <v>47</v>
      </c>
      <c r="F263" s="37" t="s">
        <v>38</v>
      </c>
      <c r="G263" s="38">
        <v>3653.23</v>
      </c>
      <c r="H263" s="36">
        <v>443099798</v>
      </c>
      <c r="I263" s="39">
        <v>0</v>
      </c>
      <c r="J263" s="38">
        <v>0</v>
      </c>
      <c r="K263" s="38">
        <v>0</v>
      </c>
      <c r="L263" s="38">
        <v>-3.28</v>
      </c>
      <c r="M263" s="38">
        <v>10050.94</v>
      </c>
      <c r="N263" s="46" t="s">
        <v>266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40">
        <v>45917.918263888889</v>
      </c>
      <c r="B264" s="41">
        <v>443885278</v>
      </c>
      <c r="C264" s="42" t="s">
        <v>36</v>
      </c>
      <c r="D264" s="42" t="s">
        <v>37</v>
      </c>
      <c r="E264" s="42" t="s">
        <v>47</v>
      </c>
      <c r="F264" s="42" t="s">
        <v>38</v>
      </c>
      <c r="G264" s="43">
        <v>3653.23</v>
      </c>
      <c r="H264" s="41">
        <v>443099799</v>
      </c>
      <c r="I264" s="44">
        <v>0</v>
      </c>
      <c r="J264" s="43">
        <v>0</v>
      </c>
      <c r="K264" s="43">
        <v>0</v>
      </c>
      <c r="L264" s="43">
        <v>-3.34</v>
      </c>
      <c r="M264" s="43">
        <v>10047.6</v>
      </c>
      <c r="N264" s="45" t="s">
        <v>267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35">
        <v>45917.918263888889</v>
      </c>
      <c r="B265" s="36">
        <v>443885280</v>
      </c>
      <c r="C265" s="37" t="s">
        <v>36</v>
      </c>
      <c r="D265" s="37" t="s">
        <v>37</v>
      </c>
      <c r="E265" s="37" t="s">
        <v>47</v>
      </c>
      <c r="F265" s="37" t="s">
        <v>38</v>
      </c>
      <c r="G265" s="38">
        <v>3653.23</v>
      </c>
      <c r="H265" s="36">
        <v>443099800</v>
      </c>
      <c r="I265" s="39">
        <v>0</v>
      </c>
      <c r="J265" s="38">
        <v>0</v>
      </c>
      <c r="K265" s="38">
        <v>0</v>
      </c>
      <c r="L265" s="38">
        <v>-3.17</v>
      </c>
      <c r="M265" s="38">
        <v>10044.43</v>
      </c>
      <c r="N265" s="46" t="s">
        <v>267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40">
        <v>45917.918356481481</v>
      </c>
      <c r="B266" s="41">
        <v>443885401</v>
      </c>
      <c r="C266" s="42" t="s">
        <v>36</v>
      </c>
      <c r="D266" s="42" t="s">
        <v>39</v>
      </c>
      <c r="E266" s="42" t="s">
        <v>46</v>
      </c>
      <c r="F266" s="42" t="s">
        <v>38</v>
      </c>
      <c r="G266" s="43">
        <v>3652.6</v>
      </c>
      <c r="H266" s="41">
        <v>443099924</v>
      </c>
      <c r="I266" s="44">
        <v>0</v>
      </c>
      <c r="J266" s="43">
        <v>0</v>
      </c>
      <c r="K266" s="43">
        <v>0</v>
      </c>
      <c r="L266" s="43">
        <v>0</v>
      </c>
      <c r="M266" s="43">
        <v>10044.43</v>
      </c>
      <c r="N266" s="45" t="s">
        <v>268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35">
        <v>45917.918541666666</v>
      </c>
      <c r="B267" s="36">
        <v>443885648</v>
      </c>
      <c r="C267" s="37" t="s">
        <v>36</v>
      </c>
      <c r="D267" s="37" t="s">
        <v>37</v>
      </c>
      <c r="E267" s="37" t="s">
        <v>47</v>
      </c>
      <c r="F267" s="37" t="s">
        <v>38</v>
      </c>
      <c r="G267" s="38">
        <v>3655.91</v>
      </c>
      <c r="H267" s="36">
        <v>443100167</v>
      </c>
      <c r="I267" s="39">
        <v>0</v>
      </c>
      <c r="J267" s="38">
        <v>0</v>
      </c>
      <c r="K267" s="38">
        <v>0</v>
      </c>
      <c r="L267" s="38">
        <v>-3.31</v>
      </c>
      <c r="M267" s="38">
        <v>10041.120000000001</v>
      </c>
      <c r="N267" s="46" t="s">
        <v>269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40">
        <v>45917.924259259256</v>
      </c>
      <c r="B268" s="41">
        <v>443890644</v>
      </c>
      <c r="C268" s="42" t="s">
        <v>36</v>
      </c>
      <c r="D268" s="42" t="s">
        <v>39</v>
      </c>
      <c r="E268" s="42" t="s">
        <v>46</v>
      </c>
      <c r="F268" s="42" t="s">
        <v>38</v>
      </c>
      <c r="G268" s="43">
        <v>3658.42</v>
      </c>
      <c r="H268" s="41">
        <v>443105099</v>
      </c>
      <c r="I268" s="44">
        <v>0</v>
      </c>
      <c r="J268" s="43">
        <v>0</v>
      </c>
      <c r="K268" s="43">
        <v>0</v>
      </c>
      <c r="L268" s="43">
        <v>0</v>
      </c>
      <c r="M268" s="43">
        <v>10041.120000000001</v>
      </c>
      <c r="N268" s="45" t="s">
        <v>268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35">
        <v>45917.924699074072</v>
      </c>
      <c r="B269" s="36">
        <v>443891047</v>
      </c>
      <c r="C269" s="37" t="s">
        <v>36</v>
      </c>
      <c r="D269" s="37" t="s">
        <v>37</v>
      </c>
      <c r="E269" s="37" t="s">
        <v>47</v>
      </c>
      <c r="F269" s="37" t="s">
        <v>38</v>
      </c>
      <c r="G269" s="38">
        <v>3654.28</v>
      </c>
      <c r="H269" s="36">
        <v>443105495</v>
      </c>
      <c r="I269" s="39">
        <v>0</v>
      </c>
      <c r="J269" s="38">
        <v>0</v>
      </c>
      <c r="K269" s="38">
        <v>0</v>
      </c>
      <c r="L269" s="38">
        <v>4.1399999999999997</v>
      </c>
      <c r="M269" s="38">
        <v>10045.26</v>
      </c>
      <c r="N269" s="46" t="s">
        <v>270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40">
        <v>45917.930092592593</v>
      </c>
      <c r="B270" s="41">
        <v>443895231</v>
      </c>
      <c r="C270" s="42" t="s">
        <v>36</v>
      </c>
      <c r="D270" s="42" t="s">
        <v>39</v>
      </c>
      <c r="E270" s="42" t="s">
        <v>46</v>
      </c>
      <c r="F270" s="42" t="s">
        <v>38</v>
      </c>
      <c r="G270" s="43">
        <v>3653.5</v>
      </c>
      <c r="H270" s="41">
        <v>443109666</v>
      </c>
      <c r="I270" s="44">
        <v>0</v>
      </c>
      <c r="J270" s="43">
        <v>0</v>
      </c>
      <c r="K270" s="43">
        <v>0</v>
      </c>
      <c r="L270" s="43">
        <v>0</v>
      </c>
      <c r="M270" s="43">
        <v>10045.26</v>
      </c>
      <c r="N270" s="45" t="s">
        <v>268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35">
        <v>45917.931469907409</v>
      </c>
      <c r="B271" s="36">
        <v>443896058</v>
      </c>
      <c r="C271" s="37" t="s">
        <v>36</v>
      </c>
      <c r="D271" s="37" t="s">
        <v>37</v>
      </c>
      <c r="E271" s="37" t="s">
        <v>47</v>
      </c>
      <c r="F271" s="37" t="s">
        <v>38</v>
      </c>
      <c r="G271" s="38">
        <v>3656.86</v>
      </c>
      <c r="H271" s="36">
        <v>443110509</v>
      </c>
      <c r="I271" s="39">
        <v>0</v>
      </c>
      <c r="J271" s="38">
        <v>0</v>
      </c>
      <c r="K271" s="38">
        <v>0</v>
      </c>
      <c r="L271" s="38">
        <v>-3.36</v>
      </c>
      <c r="M271" s="38">
        <v>10041.9</v>
      </c>
      <c r="N271" s="46" t="s">
        <v>271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40">
        <v>45917.939467592594</v>
      </c>
      <c r="B272" s="41">
        <v>443902077</v>
      </c>
      <c r="C272" s="42" t="s">
        <v>36</v>
      </c>
      <c r="D272" s="42" t="s">
        <v>39</v>
      </c>
      <c r="E272" s="42" t="s">
        <v>46</v>
      </c>
      <c r="F272" s="42" t="s">
        <v>38</v>
      </c>
      <c r="G272" s="43">
        <v>3660.15</v>
      </c>
      <c r="H272" s="41">
        <v>443116392</v>
      </c>
      <c r="I272" s="44">
        <v>0</v>
      </c>
      <c r="J272" s="43">
        <v>0</v>
      </c>
      <c r="K272" s="43">
        <v>0</v>
      </c>
      <c r="L272" s="43">
        <v>0</v>
      </c>
      <c r="M272" s="43">
        <v>10041.9</v>
      </c>
      <c r="N272" s="45" t="s">
        <v>268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35">
        <v>45917.939583333333</v>
      </c>
      <c r="B273" s="36">
        <v>443902132</v>
      </c>
      <c r="C273" s="37" t="s">
        <v>36</v>
      </c>
      <c r="D273" s="37" t="s">
        <v>37</v>
      </c>
      <c r="E273" s="37" t="s">
        <v>46</v>
      </c>
      <c r="F273" s="37" t="s">
        <v>38</v>
      </c>
      <c r="G273" s="38">
        <v>3661.29</v>
      </c>
      <c r="H273" s="36">
        <v>443116447</v>
      </c>
      <c r="I273" s="39">
        <v>0</v>
      </c>
      <c r="J273" s="38">
        <v>0</v>
      </c>
      <c r="K273" s="38">
        <v>0</v>
      </c>
      <c r="L273" s="38">
        <v>0</v>
      </c>
      <c r="M273" s="38">
        <v>10041.9</v>
      </c>
      <c r="N273" s="46" t="s">
        <v>53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40">
        <v>45917.939583333333</v>
      </c>
      <c r="B274" s="41">
        <v>443902136</v>
      </c>
      <c r="C274" s="42" t="s">
        <v>36</v>
      </c>
      <c r="D274" s="42" t="s">
        <v>37</v>
      </c>
      <c r="E274" s="42" t="s">
        <v>46</v>
      </c>
      <c r="F274" s="42" t="s">
        <v>38</v>
      </c>
      <c r="G274" s="43">
        <v>3661.23</v>
      </c>
      <c r="H274" s="41">
        <v>443116451</v>
      </c>
      <c r="I274" s="44">
        <v>0</v>
      </c>
      <c r="J274" s="43">
        <v>0</v>
      </c>
      <c r="K274" s="43">
        <v>0</v>
      </c>
      <c r="L274" s="43">
        <v>0</v>
      </c>
      <c r="M274" s="43">
        <v>10041.9</v>
      </c>
      <c r="N274" s="45" t="s">
        <v>49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35">
        <v>45917.939583333333</v>
      </c>
      <c r="B275" s="36">
        <v>443902137</v>
      </c>
      <c r="C275" s="37" t="s">
        <v>36</v>
      </c>
      <c r="D275" s="37" t="s">
        <v>37</v>
      </c>
      <c r="E275" s="37" t="s">
        <v>46</v>
      </c>
      <c r="F275" s="37" t="s">
        <v>38</v>
      </c>
      <c r="G275" s="38">
        <v>3661.03</v>
      </c>
      <c r="H275" s="36">
        <v>443116453</v>
      </c>
      <c r="I275" s="39">
        <v>0</v>
      </c>
      <c r="J275" s="38">
        <v>0</v>
      </c>
      <c r="K275" s="38">
        <v>0</v>
      </c>
      <c r="L275" s="38">
        <v>0</v>
      </c>
      <c r="M275" s="38">
        <v>10041.9</v>
      </c>
      <c r="N275" s="46" t="s">
        <v>48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40">
        <v>45917.939583333333</v>
      </c>
      <c r="B276" s="41">
        <v>443902138</v>
      </c>
      <c r="C276" s="42" t="s">
        <v>36</v>
      </c>
      <c r="D276" s="42" t="s">
        <v>37</v>
      </c>
      <c r="E276" s="42" t="s">
        <v>46</v>
      </c>
      <c r="F276" s="42" t="s">
        <v>38</v>
      </c>
      <c r="G276" s="43">
        <v>3661.14</v>
      </c>
      <c r="H276" s="41">
        <v>443116454</v>
      </c>
      <c r="I276" s="44">
        <v>0</v>
      </c>
      <c r="J276" s="43">
        <v>0</v>
      </c>
      <c r="K276" s="43">
        <v>0</v>
      </c>
      <c r="L276" s="43">
        <v>0</v>
      </c>
      <c r="M276" s="43">
        <v>10041.9</v>
      </c>
      <c r="N276" s="45" t="s">
        <v>150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35">
        <v>45917.94054398148</v>
      </c>
      <c r="B277" s="36">
        <v>443902463</v>
      </c>
      <c r="C277" s="37" t="s">
        <v>36</v>
      </c>
      <c r="D277" s="37" t="s">
        <v>39</v>
      </c>
      <c r="E277" s="37" t="s">
        <v>47</v>
      </c>
      <c r="F277" s="37" t="s">
        <v>38</v>
      </c>
      <c r="G277" s="38">
        <v>3658.72</v>
      </c>
      <c r="H277" s="36">
        <v>443116772</v>
      </c>
      <c r="I277" s="39">
        <v>0</v>
      </c>
      <c r="J277" s="38">
        <v>0</v>
      </c>
      <c r="K277" s="38">
        <v>0</v>
      </c>
      <c r="L277" s="38">
        <v>-2.5099999999999998</v>
      </c>
      <c r="M277" s="38">
        <v>10039.39</v>
      </c>
      <c r="N277" s="46" t="s">
        <v>365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40">
        <v>45917.94054398148</v>
      </c>
      <c r="B278" s="41">
        <v>443902473</v>
      </c>
      <c r="C278" s="42" t="s">
        <v>36</v>
      </c>
      <c r="D278" s="42" t="s">
        <v>39</v>
      </c>
      <c r="E278" s="42" t="s">
        <v>47</v>
      </c>
      <c r="F278" s="42" t="s">
        <v>38</v>
      </c>
      <c r="G278" s="43">
        <v>3658.31</v>
      </c>
      <c r="H278" s="41">
        <v>443116784</v>
      </c>
      <c r="I278" s="44">
        <v>0</v>
      </c>
      <c r="J278" s="43">
        <v>0</v>
      </c>
      <c r="K278" s="43">
        <v>0</v>
      </c>
      <c r="L278" s="43">
        <v>-2.98</v>
      </c>
      <c r="M278" s="43">
        <v>10036.41</v>
      </c>
      <c r="N278" s="45" t="s">
        <v>366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35">
        <v>45917.940555555557</v>
      </c>
      <c r="B279" s="36">
        <v>443902480</v>
      </c>
      <c r="C279" s="37" t="s">
        <v>36</v>
      </c>
      <c r="D279" s="37" t="s">
        <v>39</v>
      </c>
      <c r="E279" s="37" t="s">
        <v>47</v>
      </c>
      <c r="F279" s="37" t="s">
        <v>38</v>
      </c>
      <c r="G279" s="38">
        <v>3658.12</v>
      </c>
      <c r="H279" s="36">
        <v>443116789</v>
      </c>
      <c r="I279" s="39">
        <v>0</v>
      </c>
      <c r="J279" s="38">
        <v>0</v>
      </c>
      <c r="K279" s="38">
        <v>0</v>
      </c>
      <c r="L279" s="38">
        <v>-2.91</v>
      </c>
      <c r="M279" s="38">
        <v>10033.5</v>
      </c>
      <c r="N279" s="46" t="s">
        <v>367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40">
        <v>45917.940555555557</v>
      </c>
      <c r="B280" s="41">
        <v>443902482</v>
      </c>
      <c r="C280" s="42" t="s">
        <v>36</v>
      </c>
      <c r="D280" s="42" t="s">
        <v>39</v>
      </c>
      <c r="E280" s="42" t="s">
        <v>47</v>
      </c>
      <c r="F280" s="42" t="s">
        <v>38</v>
      </c>
      <c r="G280" s="43">
        <v>3658.12</v>
      </c>
      <c r="H280" s="41">
        <v>443116790</v>
      </c>
      <c r="I280" s="44">
        <v>0</v>
      </c>
      <c r="J280" s="43">
        <v>0</v>
      </c>
      <c r="K280" s="43">
        <v>0</v>
      </c>
      <c r="L280" s="43">
        <v>-3.02</v>
      </c>
      <c r="M280" s="43">
        <v>10030.48</v>
      </c>
      <c r="N280" s="45" t="s">
        <v>367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35">
        <v>45917.940972222219</v>
      </c>
      <c r="B281" s="36">
        <v>443902902</v>
      </c>
      <c r="C281" s="37" t="s">
        <v>36</v>
      </c>
      <c r="D281" s="37" t="s">
        <v>37</v>
      </c>
      <c r="E281" s="37" t="s">
        <v>47</v>
      </c>
      <c r="F281" s="37" t="s">
        <v>38</v>
      </c>
      <c r="G281" s="38">
        <v>3663.17</v>
      </c>
      <c r="H281" s="36">
        <v>443117209</v>
      </c>
      <c r="I281" s="39">
        <v>0</v>
      </c>
      <c r="J281" s="38">
        <v>0</v>
      </c>
      <c r="K281" s="38">
        <v>0</v>
      </c>
      <c r="L281" s="38">
        <v>-3.02</v>
      </c>
      <c r="M281" s="38">
        <v>10027.459999999999</v>
      </c>
      <c r="N281" s="46" t="s">
        <v>368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40">
        <v>45917.942939814813</v>
      </c>
      <c r="B282" s="41">
        <v>443904369</v>
      </c>
      <c r="C282" s="42" t="s">
        <v>36</v>
      </c>
      <c r="D282" s="42" t="s">
        <v>39</v>
      </c>
      <c r="E282" s="42" t="s">
        <v>46</v>
      </c>
      <c r="F282" s="42" t="s">
        <v>38</v>
      </c>
      <c r="G282" s="43">
        <v>3661.22</v>
      </c>
      <c r="H282" s="41">
        <v>443118670</v>
      </c>
      <c r="I282" s="44">
        <v>0</v>
      </c>
      <c r="J282" s="43">
        <v>0</v>
      </c>
      <c r="K282" s="43">
        <v>0</v>
      </c>
      <c r="L282" s="43">
        <v>0</v>
      </c>
      <c r="M282" s="43">
        <v>10027.459999999999</v>
      </c>
      <c r="N282" s="45" t="s">
        <v>268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35">
        <v>45917.950659722221</v>
      </c>
      <c r="B283" s="36">
        <v>443908832</v>
      </c>
      <c r="C283" s="37" t="s">
        <v>36</v>
      </c>
      <c r="D283" s="37" t="s">
        <v>37</v>
      </c>
      <c r="E283" s="37" t="s">
        <v>47</v>
      </c>
      <c r="F283" s="37" t="s">
        <v>38</v>
      </c>
      <c r="G283" s="38">
        <v>3657.6</v>
      </c>
      <c r="H283" s="36">
        <v>443123121</v>
      </c>
      <c r="I283" s="39">
        <v>0</v>
      </c>
      <c r="J283" s="38">
        <v>0</v>
      </c>
      <c r="K283" s="38">
        <v>0</v>
      </c>
      <c r="L283" s="38">
        <v>3.62</v>
      </c>
      <c r="M283" s="38">
        <v>10031.08</v>
      </c>
      <c r="N283" s="46" t="s">
        <v>369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40">
        <v>45917.953703703701</v>
      </c>
      <c r="B284" s="41">
        <v>443910080</v>
      </c>
      <c r="C284" s="42" t="s">
        <v>36</v>
      </c>
      <c r="D284" s="42" t="s">
        <v>39</v>
      </c>
      <c r="E284" s="42" t="s">
        <v>46</v>
      </c>
      <c r="F284" s="42" t="s">
        <v>38</v>
      </c>
      <c r="G284" s="43">
        <v>3658.02</v>
      </c>
      <c r="H284" s="41">
        <v>443124351</v>
      </c>
      <c r="I284" s="44">
        <v>0</v>
      </c>
      <c r="J284" s="43">
        <v>0</v>
      </c>
      <c r="K284" s="43">
        <v>0</v>
      </c>
      <c r="L284" s="43">
        <v>0</v>
      </c>
      <c r="M284" s="43">
        <v>10031.08</v>
      </c>
      <c r="N284" s="45" t="s">
        <v>150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35">
        <v>45917.953703703701</v>
      </c>
      <c r="B285" s="36">
        <v>443910081</v>
      </c>
      <c r="C285" s="37" t="s">
        <v>36</v>
      </c>
      <c r="D285" s="37" t="s">
        <v>39</v>
      </c>
      <c r="E285" s="37" t="s">
        <v>46</v>
      </c>
      <c r="F285" s="37" t="s">
        <v>38</v>
      </c>
      <c r="G285" s="38">
        <v>3658.06</v>
      </c>
      <c r="H285" s="36">
        <v>443124352</v>
      </c>
      <c r="I285" s="39">
        <v>0</v>
      </c>
      <c r="J285" s="38">
        <v>0</v>
      </c>
      <c r="K285" s="38">
        <v>0</v>
      </c>
      <c r="L285" s="38">
        <v>0</v>
      </c>
      <c r="M285" s="38">
        <v>10031.08</v>
      </c>
      <c r="N285" s="46" t="s">
        <v>48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40">
        <v>45917.953703703701</v>
      </c>
      <c r="B286" s="41">
        <v>443910082</v>
      </c>
      <c r="C286" s="42" t="s">
        <v>36</v>
      </c>
      <c r="D286" s="42" t="s">
        <v>39</v>
      </c>
      <c r="E286" s="42" t="s">
        <v>46</v>
      </c>
      <c r="F286" s="42" t="s">
        <v>38</v>
      </c>
      <c r="G286" s="43">
        <v>3658.1</v>
      </c>
      <c r="H286" s="41">
        <v>443124353</v>
      </c>
      <c r="I286" s="44">
        <v>0</v>
      </c>
      <c r="J286" s="43">
        <v>0</v>
      </c>
      <c r="K286" s="43">
        <v>0</v>
      </c>
      <c r="L286" s="43">
        <v>0</v>
      </c>
      <c r="M286" s="43">
        <v>10031.08</v>
      </c>
      <c r="N286" s="45" t="s">
        <v>53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35">
        <v>45917.953703703701</v>
      </c>
      <c r="B287" s="36">
        <v>443910083</v>
      </c>
      <c r="C287" s="37" t="s">
        <v>36</v>
      </c>
      <c r="D287" s="37" t="s">
        <v>39</v>
      </c>
      <c r="E287" s="37" t="s">
        <v>46</v>
      </c>
      <c r="F287" s="37" t="s">
        <v>38</v>
      </c>
      <c r="G287" s="38">
        <v>3658.13</v>
      </c>
      <c r="H287" s="36">
        <v>443124354</v>
      </c>
      <c r="I287" s="39">
        <v>0</v>
      </c>
      <c r="J287" s="38">
        <v>0</v>
      </c>
      <c r="K287" s="38">
        <v>0</v>
      </c>
      <c r="L287" s="38">
        <v>0</v>
      </c>
      <c r="M287" s="38">
        <v>10031.08</v>
      </c>
      <c r="N287" s="46" t="s">
        <v>49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40">
        <v>45917.954282407409</v>
      </c>
      <c r="B288" s="41">
        <v>443910418</v>
      </c>
      <c r="C288" s="42" t="s">
        <v>36</v>
      </c>
      <c r="D288" s="42" t="s">
        <v>39</v>
      </c>
      <c r="E288" s="42" t="s">
        <v>46</v>
      </c>
      <c r="F288" s="42" t="s">
        <v>38</v>
      </c>
      <c r="G288" s="43">
        <v>3659.01</v>
      </c>
      <c r="H288" s="41">
        <v>443124689</v>
      </c>
      <c r="I288" s="44">
        <v>0</v>
      </c>
      <c r="J288" s="43">
        <v>0</v>
      </c>
      <c r="K288" s="43">
        <v>0</v>
      </c>
      <c r="L288" s="43">
        <v>0</v>
      </c>
      <c r="M288" s="43">
        <v>10031.08</v>
      </c>
      <c r="N288" s="45" t="s">
        <v>268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35">
        <v>45917.955648148149</v>
      </c>
      <c r="B289" s="36">
        <v>443910939</v>
      </c>
      <c r="C289" s="37" t="s">
        <v>36</v>
      </c>
      <c r="D289" s="37" t="s">
        <v>37</v>
      </c>
      <c r="E289" s="37" t="s">
        <v>47</v>
      </c>
      <c r="F289" s="37" t="s">
        <v>38</v>
      </c>
      <c r="G289" s="38">
        <v>3660.62</v>
      </c>
      <c r="H289" s="36">
        <v>443125217</v>
      </c>
      <c r="I289" s="39">
        <v>0</v>
      </c>
      <c r="J289" s="38">
        <v>0</v>
      </c>
      <c r="K289" s="38">
        <v>0</v>
      </c>
      <c r="L289" s="38">
        <v>-2.4900000000000002</v>
      </c>
      <c r="M289" s="38">
        <v>10028.59</v>
      </c>
      <c r="N289" s="46" t="s">
        <v>370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40">
        <v>45917.955752314818</v>
      </c>
      <c r="B290" s="41">
        <v>443911014</v>
      </c>
      <c r="C290" s="42" t="s">
        <v>36</v>
      </c>
      <c r="D290" s="42" t="s">
        <v>37</v>
      </c>
      <c r="E290" s="42" t="s">
        <v>47</v>
      </c>
      <c r="F290" s="42" t="s">
        <v>38</v>
      </c>
      <c r="G290" s="43">
        <v>3661.02</v>
      </c>
      <c r="H290" s="41">
        <v>443125291</v>
      </c>
      <c r="I290" s="44">
        <v>0</v>
      </c>
      <c r="J290" s="43">
        <v>0</v>
      </c>
      <c r="K290" s="43">
        <v>0</v>
      </c>
      <c r="L290" s="43">
        <v>-2.96</v>
      </c>
      <c r="M290" s="43">
        <v>10025.629999999999</v>
      </c>
      <c r="N290" s="45" t="s">
        <v>371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35">
        <v>45917.955752314818</v>
      </c>
      <c r="B291" s="36">
        <v>443911015</v>
      </c>
      <c r="C291" s="37" t="s">
        <v>36</v>
      </c>
      <c r="D291" s="37" t="s">
        <v>37</v>
      </c>
      <c r="E291" s="37" t="s">
        <v>47</v>
      </c>
      <c r="F291" s="37" t="s">
        <v>38</v>
      </c>
      <c r="G291" s="38">
        <v>3661.02</v>
      </c>
      <c r="H291" s="36">
        <v>443125292</v>
      </c>
      <c r="I291" s="39">
        <v>0</v>
      </c>
      <c r="J291" s="38">
        <v>0</v>
      </c>
      <c r="K291" s="38">
        <v>0</v>
      </c>
      <c r="L291" s="38">
        <v>-2.92</v>
      </c>
      <c r="M291" s="38">
        <v>10022.709999999999</v>
      </c>
      <c r="N291" s="46" t="s">
        <v>371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40">
        <v>45917.955787037034</v>
      </c>
      <c r="B292" s="41">
        <v>443911053</v>
      </c>
      <c r="C292" s="42" t="s">
        <v>36</v>
      </c>
      <c r="D292" s="42" t="s">
        <v>37</v>
      </c>
      <c r="E292" s="42" t="s">
        <v>47</v>
      </c>
      <c r="F292" s="42" t="s">
        <v>38</v>
      </c>
      <c r="G292" s="43">
        <v>3661.08</v>
      </c>
      <c r="H292" s="41">
        <v>443125330</v>
      </c>
      <c r="I292" s="44">
        <v>0</v>
      </c>
      <c r="J292" s="43">
        <v>0</v>
      </c>
      <c r="K292" s="43">
        <v>0</v>
      </c>
      <c r="L292" s="43">
        <v>-3.06</v>
      </c>
      <c r="M292" s="43">
        <v>10019.65</v>
      </c>
      <c r="N292" s="45" t="s">
        <v>372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35">
        <v>45917.971053240741</v>
      </c>
      <c r="B293" s="36">
        <v>443916974</v>
      </c>
      <c r="C293" s="37" t="s">
        <v>36</v>
      </c>
      <c r="D293" s="37" t="s">
        <v>39</v>
      </c>
      <c r="E293" s="37" t="s">
        <v>46</v>
      </c>
      <c r="F293" s="37" t="s">
        <v>38</v>
      </c>
      <c r="G293" s="38">
        <v>3658.56</v>
      </c>
      <c r="H293" s="36">
        <v>443131211</v>
      </c>
      <c r="I293" s="39">
        <v>0</v>
      </c>
      <c r="J293" s="38">
        <v>0</v>
      </c>
      <c r="K293" s="38">
        <v>0</v>
      </c>
      <c r="L293" s="38">
        <v>0</v>
      </c>
      <c r="M293" s="38">
        <v>10019.65</v>
      </c>
      <c r="N293" s="46" t="s">
        <v>150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40">
        <v>45917.971064814818</v>
      </c>
      <c r="B294" s="41">
        <v>443916977</v>
      </c>
      <c r="C294" s="42" t="s">
        <v>36</v>
      </c>
      <c r="D294" s="42" t="s">
        <v>39</v>
      </c>
      <c r="E294" s="42" t="s">
        <v>46</v>
      </c>
      <c r="F294" s="42" t="s">
        <v>38</v>
      </c>
      <c r="G294" s="43">
        <v>3658.56</v>
      </c>
      <c r="H294" s="41">
        <v>443131214</v>
      </c>
      <c r="I294" s="44">
        <v>0</v>
      </c>
      <c r="J294" s="43">
        <v>0</v>
      </c>
      <c r="K294" s="43">
        <v>0</v>
      </c>
      <c r="L294" s="43">
        <v>0</v>
      </c>
      <c r="M294" s="43">
        <v>10019.65</v>
      </c>
      <c r="N294" s="45" t="s">
        <v>49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35">
        <v>45917.971064814818</v>
      </c>
      <c r="B295" s="36">
        <v>443916978</v>
      </c>
      <c r="C295" s="37" t="s">
        <v>36</v>
      </c>
      <c r="D295" s="37" t="s">
        <v>39</v>
      </c>
      <c r="E295" s="37" t="s">
        <v>46</v>
      </c>
      <c r="F295" s="37" t="s">
        <v>38</v>
      </c>
      <c r="G295" s="38">
        <v>3658.54</v>
      </c>
      <c r="H295" s="36">
        <v>443131215</v>
      </c>
      <c r="I295" s="39">
        <v>0</v>
      </c>
      <c r="J295" s="38">
        <v>0</v>
      </c>
      <c r="K295" s="38">
        <v>0</v>
      </c>
      <c r="L295" s="38">
        <v>0</v>
      </c>
      <c r="M295" s="38">
        <v>10019.65</v>
      </c>
      <c r="N295" s="46" t="s">
        <v>53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40">
        <v>45917.971064814818</v>
      </c>
      <c r="B296" s="41">
        <v>443916979</v>
      </c>
      <c r="C296" s="42" t="s">
        <v>36</v>
      </c>
      <c r="D296" s="42" t="s">
        <v>39</v>
      </c>
      <c r="E296" s="42" t="s">
        <v>46</v>
      </c>
      <c r="F296" s="42" t="s">
        <v>38</v>
      </c>
      <c r="G296" s="43">
        <v>3658.6</v>
      </c>
      <c r="H296" s="41">
        <v>443131216</v>
      </c>
      <c r="I296" s="44">
        <v>0</v>
      </c>
      <c r="J296" s="43">
        <v>0</v>
      </c>
      <c r="K296" s="43">
        <v>0</v>
      </c>
      <c r="L296" s="43">
        <v>0</v>
      </c>
      <c r="M296" s="43">
        <v>10019.65</v>
      </c>
      <c r="N296" s="45" t="s">
        <v>48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35">
        <v>45917.973738425928</v>
      </c>
      <c r="B297" s="36">
        <v>443917471</v>
      </c>
      <c r="C297" s="37" t="s">
        <v>36</v>
      </c>
      <c r="D297" s="37" t="s">
        <v>37</v>
      </c>
      <c r="E297" s="37" t="s">
        <v>47</v>
      </c>
      <c r="F297" s="37" t="s">
        <v>38</v>
      </c>
      <c r="G297" s="38">
        <v>3656.95</v>
      </c>
      <c r="H297" s="36">
        <v>443131706</v>
      </c>
      <c r="I297" s="39">
        <v>0</v>
      </c>
      <c r="J297" s="38">
        <v>0</v>
      </c>
      <c r="K297" s="38">
        <v>0</v>
      </c>
      <c r="L297" s="38">
        <v>1.61</v>
      </c>
      <c r="M297" s="38">
        <v>10021.26</v>
      </c>
      <c r="N297" s="46" t="s">
        <v>373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40">
        <v>45917.975219907406</v>
      </c>
      <c r="B298" s="41">
        <v>443918046</v>
      </c>
      <c r="C298" s="42" t="s">
        <v>36</v>
      </c>
      <c r="D298" s="42" t="s">
        <v>39</v>
      </c>
      <c r="E298" s="42" t="s">
        <v>46</v>
      </c>
      <c r="F298" s="42" t="s">
        <v>38</v>
      </c>
      <c r="G298" s="43">
        <v>3657.97</v>
      </c>
      <c r="H298" s="41">
        <v>443132270</v>
      </c>
      <c r="I298" s="44">
        <v>0</v>
      </c>
      <c r="J298" s="43">
        <v>0</v>
      </c>
      <c r="K298" s="43">
        <v>0</v>
      </c>
      <c r="L298" s="43">
        <v>0</v>
      </c>
      <c r="M298" s="43">
        <v>10021.26</v>
      </c>
      <c r="N298" s="45" t="s">
        <v>150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35">
        <v>45917.975231481483</v>
      </c>
      <c r="B299" s="36">
        <v>443918047</v>
      </c>
      <c r="C299" s="37" t="s">
        <v>36</v>
      </c>
      <c r="D299" s="37" t="s">
        <v>37</v>
      </c>
      <c r="E299" s="37" t="s">
        <v>47</v>
      </c>
      <c r="F299" s="37" t="s">
        <v>38</v>
      </c>
      <c r="G299" s="38">
        <v>3658.27</v>
      </c>
      <c r="H299" s="36">
        <v>443132271</v>
      </c>
      <c r="I299" s="39">
        <v>0</v>
      </c>
      <c r="J299" s="38">
        <v>0</v>
      </c>
      <c r="K299" s="38">
        <v>0</v>
      </c>
      <c r="L299" s="38">
        <v>0.28999999999999998</v>
      </c>
      <c r="M299" s="38">
        <v>10021.549999999999</v>
      </c>
      <c r="N299" s="46" t="s">
        <v>374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40">
        <v>45917.975231481483</v>
      </c>
      <c r="B300" s="41">
        <v>443918048</v>
      </c>
      <c r="C300" s="42" t="s">
        <v>36</v>
      </c>
      <c r="D300" s="42" t="s">
        <v>37</v>
      </c>
      <c r="E300" s="42" t="s">
        <v>47</v>
      </c>
      <c r="F300" s="42" t="s">
        <v>38</v>
      </c>
      <c r="G300" s="43">
        <v>3658.27</v>
      </c>
      <c r="H300" s="41">
        <v>443132272</v>
      </c>
      <c r="I300" s="44">
        <v>0</v>
      </c>
      <c r="J300" s="43">
        <v>0</v>
      </c>
      <c r="K300" s="43">
        <v>0</v>
      </c>
      <c r="L300" s="43">
        <v>0.27</v>
      </c>
      <c r="M300" s="43">
        <v>10021.82</v>
      </c>
      <c r="N300" s="45" t="s">
        <v>374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35">
        <v>45917.975231481483</v>
      </c>
      <c r="B301" s="36">
        <v>443918049</v>
      </c>
      <c r="C301" s="37" t="s">
        <v>36</v>
      </c>
      <c r="D301" s="37" t="s">
        <v>37</v>
      </c>
      <c r="E301" s="37" t="s">
        <v>47</v>
      </c>
      <c r="F301" s="37" t="s">
        <v>38</v>
      </c>
      <c r="G301" s="38">
        <v>3658.27</v>
      </c>
      <c r="H301" s="36">
        <v>443132273</v>
      </c>
      <c r="I301" s="39">
        <v>0</v>
      </c>
      <c r="J301" s="38">
        <v>0</v>
      </c>
      <c r="K301" s="38">
        <v>0</v>
      </c>
      <c r="L301" s="38">
        <v>0.33</v>
      </c>
      <c r="M301" s="38">
        <v>10022.15</v>
      </c>
      <c r="N301" s="46" t="s">
        <v>374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40">
        <v>45917.975335648145</v>
      </c>
      <c r="B302" s="41">
        <v>443918055</v>
      </c>
      <c r="C302" s="42" t="s">
        <v>36</v>
      </c>
      <c r="D302" s="42" t="s">
        <v>39</v>
      </c>
      <c r="E302" s="42" t="s">
        <v>46</v>
      </c>
      <c r="F302" s="42" t="s">
        <v>38</v>
      </c>
      <c r="G302" s="43">
        <v>3657.95</v>
      </c>
      <c r="H302" s="41">
        <v>443132277</v>
      </c>
      <c r="I302" s="44">
        <v>0</v>
      </c>
      <c r="J302" s="43">
        <v>0</v>
      </c>
      <c r="K302" s="43">
        <v>0</v>
      </c>
      <c r="L302" s="43">
        <v>0</v>
      </c>
      <c r="M302" s="43">
        <v>10022.15</v>
      </c>
      <c r="N302" s="45" t="s">
        <v>53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35">
        <v>45917.975347222222</v>
      </c>
      <c r="B303" s="36">
        <v>443918057</v>
      </c>
      <c r="C303" s="37" t="s">
        <v>36</v>
      </c>
      <c r="D303" s="37" t="s">
        <v>39</v>
      </c>
      <c r="E303" s="37" t="s">
        <v>46</v>
      </c>
      <c r="F303" s="37" t="s">
        <v>38</v>
      </c>
      <c r="G303" s="38">
        <v>3657.95</v>
      </c>
      <c r="H303" s="36">
        <v>443132279</v>
      </c>
      <c r="I303" s="39">
        <v>0</v>
      </c>
      <c r="J303" s="38">
        <v>0</v>
      </c>
      <c r="K303" s="38">
        <v>0</v>
      </c>
      <c r="L303" s="38">
        <v>0</v>
      </c>
      <c r="M303" s="38">
        <v>10022.15</v>
      </c>
      <c r="N303" s="46" t="s">
        <v>49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40">
        <v>45917.975347222222</v>
      </c>
      <c r="B304" s="41">
        <v>443918058</v>
      </c>
      <c r="C304" s="42" t="s">
        <v>36</v>
      </c>
      <c r="D304" s="42" t="s">
        <v>39</v>
      </c>
      <c r="E304" s="42" t="s">
        <v>46</v>
      </c>
      <c r="F304" s="42" t="s">
        <v>38</v>
      </c>
      <c r="G304" s="43">
        <v>3657.95</v>
      </c>
      <c r="H304" s="41">
        <v>443132280</v>
      </c>
      <c r="I304" s="44">
        <v>0</v>
      </c>
      <c r="J304" s="43">
        <v>0</v>
      </c>
      <c r="K304" s="43">
        <v>0</v>
      </c>
      <c r="L304" s="43">
        <v>0</v>
      </c>
      <c r="M304" s="43">
        <v>10022.15</v>
      </c>
      <c r="N304" s="45" t="s">
        <v>48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35">
        <v>45917.978495370371</v>
      </c>
      <c r="B305" s="36">
        <v>443918649</v>
      </c>
      <c r="C305" s="37" t="s">
        <v>36</v>
      </c>
      <c r="D305" s="37" t="s">
        <v>37</v>
      </c>
      <c r="E305" s="37" t="s">
        <v>47</v>
      </c>
      <c r="F305" s="37" t="s">
        <v>38</v>
      </c>
      <c r="G305" s="38">
        <v>3660.45</v>
      </c>
      <c r="H305" s="36">
        <v>443132860</v>
      </c>
      <c r="I305" s="39">
        <v>0</v>
      </c>
      <c r="J305" s="38">
        <v>0</v>
      </c>
      <c r="K305" s="38">
        <v>0</v>
      </c>
      <c r="L305" s="38">
        <v>-2.5</v>
      </c>
      <c r="M305" s="38">
        <v>10019.65</v>
      </c>
      <c r="N305" s="46" t="s">
        <v>375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40">
        <v>45918.0465625</v>
      </c>
      <c r="B306" s="41">
        <v>443929259</v>
      </c>
      <c r="C306" s="42" t="s">
        <v>36</v>
      </c>
      <c r="D306" s="42" t="s">
        <v>37</v>
      </c>
      <c r="E306" s="42" t="s">
        <v>47</v>
      </c>
      <c r="F306" s="42" t="s">
        <v>38</v>
      </c>
      <c r="G306" s="43">
        <v>3655.39</v>
      </c>
      <c r="H306" s="41">
        <v>443140636</v>
      </c>
      <c r="I306" s="44">
        <v>0</v>
      </c>
      <c r="J306" s="43">
        <v>0</v>
      </c>
      <c r="K306" s="43">
        <v>0</v>
      </c>
      <c r="L306" s="43">
        <v>3.62</v>
      </c>
      <c r="M306" s="43">
        <v>10023.27</v>
      </c>
      <c r="N306" s="45" t="s">
        <v>376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35">
        <v>45918.0465625</v>
      </c>
      <c r="B307" s="36">
        <v>443929261</v>
      </c>
      <c r="C307" s="37" t="s">
        <v>36</v>
      </c>
      <c r="D307" s="37" t="s">
        <v>37</v>
      </c>
      <c r="E307" s="37" t="s">
        <v>47</v>
      </c>
      <c r="F307" s="37" t="s">
        <v>38</v>
      </c>
      <c r="G307" s="38">
        <v>3655.39</v>
      </c>
      <c r="H307" s="36">
        <v>443140637</v>
      </c>
      <c r="I307" s="39">
        <v>0</v>
      </c>
      <c r="J307" s="38">
        <v>0</v>
      </c>
      <c r="K307" s="38">
        <v>0</v>
      </c>
      <c r="L307" s="38">
        <v>2.58</v>
      </c>
      <c r="M307" s="38">
        <v>10025.85</v>
      </c>
      <c r="N307" s="46" t="s">
        <v>377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40">
        <v>45918.047210648147</v>
      </c>
      <c r="B308" s="41">
        <v>443930220</v>
      </c>
      <c r="C308" s="42" t="s">
        <v>36</v>
      </c>
      <c r="D308" s="42" t="s">
        <v>39</v>
      </c>
      <c r="E308" s="42" t="s">
        <v>46</v>
      </c>
      <c r="F308" s="42" t="s">
        <v>38</v>
      </c>
      <c r="G308" s="43">
        <v>3658.06</v>
      </c>
      <c r="H308" s="41">
        <v>443141588</v>
      </c>
      <c r="I308" s="44">
        <v>0</v>
      </c>
      <c r="J308" s="43">
        <v>0</v>
      </c>
      <c r="K308" s="43">
        <v>0</v>
      </c>
      <c r="L308" s="43">
        <v>0</v>
      </c>
      <c r="M308" s="43">
        <v>10025.85</v>
      </c>
      <c r="N308" s="45" t="s">
        <v>125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35">
        <v>45918.047210648147</v>
      </c>
      <c r="B309" s="36">
        <v>443930221</v>
      </c>
      <c r="C309" s="37" t="s">
        <v>36</v>
      </c>
      <c r="D309" s="37" t="s">
        <v>39</v>
      </c>
      <c r="E309" s="37" t="s">
        <v>46</v>
      </c>
      <c r="F309" s="37" t="s">
        <v>38</v>
      </c>
      <c r="G309" s="38">
        <v>3658.08</v>
      </c>
      <c r="H309" s="36">
        <v>443141589</v>
      </c>
      <c r="I309" s="39">
        <v>0</v>
      </c>
      <c r="J309" s="38">
        <v>0</v>
      </c>
      <c r="K309" s="38">
        <v>0</v>
      </c>
      <c r="L309" s="38">
        <v>0</v>
      </c>
      <c r="M309" s="38">
        <v>10025.85</v>
      </c>
      <c r="N309" s="46" t="s">
        <v>124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40">
        <v>45918.047534722224</v>
      </c>
      <c r="B310" s="41">
        <v>443930281</v>
      </c>
      <c r="C310" s="42" t="s">
        <v>36</v>
      </c>
      <c r="D310" s="42" t="s">
        <v>37</v>
      </c>
      <c r="E310" s="42" t="s">
        <v>47</v>
      </c>
      <c r="F310" s="42" t="s">
        <v>38</v>
      </c>
      <c r="G310" s="43">
        <v>3658.67</v>
      </c>
      <c r="H310" s="41">
        <v>443141642</v>
      </c>
      <c r="I310" s="44">
        <v>0</v>
      </c>
      <c r="J310" s="43">
        <v>0</v>
      </c>
      <c r="K310" s="43">
        <v>0</v>
      </c>
      <c r="L310" s="43">
        <v>-0.72</v>
      </c>
      <c r="M310" s="43">
        <v>10025.129999999999</v>
      </c>
      <c r="N310" s="45" t="s">
        <v>378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35">
        <v>45918.047534722224</v>
      </c>
      <c r="B311" s="36">
        <v>443930282</v>
      </c>
      <c r="C311" s="37" t="s">
        <v>36</v>
      </c>
      <c r="D311" s="37" t="s">
        <v>37</v>
      </c>
      <c r="E311" s="37" t="s">
        <v>47</v>
      </c>
      <c r="F311" s="37" t="s">
        <v>38</v>
      </c>
      <c r="G311" s="38">
        <v>3658.67</v>
      </c>
      <c r="H311" s="36">
        <v>443141643</v>
      </c>
      <c r="I311" s="39">
        <v>0</v>
      </c>
      <c r="J311" s="38">
        <v>0</v>
      </c>
      <c r="K311" s="38">
        <v>0</v>
      </c>
      <c r="L311" s="38">
        <v>-0.72</v>
      </c>
      <c r="M311" s="38">
        <v>10024.41</v>
      </c>
      <c r="N311" s="46" t="s">
        <v>378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40">
        <v>45918.04859953704</v>
      </c>
      <c r="B312" s="41">
        <v>443930495</v>
      </c>
      <c r="C312" s="42" t="s">
        <v>36</v>
      </c>
      <c r="D312" s="42" t="s">
        <v>39</v>
      </c>
      <c r="E312" s="42" t="s">
        <v>46</v>
      </c>
      <c r="F312" s="42" t="s">
        <v>38</v>
      </c>
      <c r="G312" s="43">
        <v>3658.55</v>
      </c>
      <c r="H312" s="41">
        <v>443141856</v>
      </c>
      <c r="I312" s="44">
        <v>0</v>
      </c>
      <c r="J312" s="43">
        <v>0</v>
      </c>
      <c r="K312" s="43">
        <v>0</v>
      </c>
      <c r="L312" s="43">
        <v>0</v>
      </c>
      <c r="M312" s="43">
        <v>10024.41</v>
      </c>
      <c r="N312" s="45" t="s">
        <v>123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35">
        <v>45918.049467592595</v>
      </c>
      <c r="B313" s="36">
        <v>443930570</v>
      </c>
      <c r="C313" s="37" t="s">
        <v>36</v>
      </c>
      <c r="D313" s="37" t="s">
        <v>37</v>
      </c>
      <c r="E313" s="37" t="s">
        <v>47</v>
      </c>
      <c r="F313" s="37" t="s">
        <v>38</v>
      </c>
      <c r="G313" s="38">
        <v>3661.1</v>
      </c>
      <c r="H313" s="36">
        <v>443141920</v>
      </c>
      <c r="I313" s="39">
        <v>0</v>
      </c>
      <c r="J313" s="38">
        <v>0</v>
      </c>
      <c r="K313" s="38">
        <v>0</v>
      </c>
      <c r="L313" s="38">
        <v>-3.04</v>
      </c>
      <c r="M313" s="38">
        <v>10021.370000000001</v>
      </c>
      <c r="N313" s="46" t="s">
        <v>379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40">
        <v>45918.049467592595</v>
      </c>
      <c r="B314" s="41">
        <v>443930574</v>
      </c>
      <c r="C314" s="42" t="s">
        <v>36</v>
      </c>
      <c r="D314" s="42" t="s">
        <v>37</v>
      </c>
      <c r="E314" s="42" t="s">
        <v>47</v>
      </c>
      <c r="F314" s="42" t="s">
        <v>38</v>
      </c>
      <c r="G314" s="43">
        <v>3661.1</v>
      </c>
      <c r="H314" s="41">
        <v>443141921</v>
      </c>
      <c r="I314" s="44">
        <v>0</v>
      </c>
      <c r="J314" s="43">
        <v>0</v>
      </c>
      <c r="K314" s="43">
        <v>0</v>
      </c>
      <c r="L314" s="43">
        <v>-3.02</v>
      </c>
      <c r="M314" s="43">
        <v>10018.35</v>
      </c>
      <c r="N314" s="45" t="s">
        <v>379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35">
        <v>45918.049513888887</v>
      </c>
      <c r="B315" s="36">
        <v>443930586</v>
      </c>
      <c r="C315" s="37" t="s">
        <v>36</v>
      </c>
      <c r="D315" s="37" t="s">
        <v>37</v>
      </c>
      <c r="E315" s="37" t="s">
        <v>47</v>
      </c>
      <c r="F315" s="37" t="s">
        <v>38</v>
      </c>
      <c r="G315" s="38">
        <v>3661.61</v>
      </c>
      <c r="H315" s="36">
        <v>443141938</v>
      </c>
      <c r="I315" s="39">
        <v>0</v>
      </c>
      <c r="J315" s="38">
        <v>0</v>
      </c>
      <c r="K315" s="38">
        <v>0</v>
      </c>
      <c r="L315" s="38">
        <v>-3.06</v>
      </c>
      <c r="M315" s="38">
        <v>10015.290000000001</v>
      </c>
      <c r="N315" s="46" t="s">
        <v>380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40">
        <v>45918.054618055554</v>
      </c>
      <c r="B316" s="41">
        <v>443931938</v>
      </c>
      <c r="C316" s="42" t="s">
        <v>36</v>
      </c>
      <c r="D316" s="42" t="s">
        <v>37</v>
      </c>
      <c r="E316" s="42" t="s">
        <v>46</v>
      </c>
      <c r="F316" s="42" t="s">
        <v>38</v>
      </c>
      <c r="G316" s="43">
        <v>3663.41</v>
      </c>
      <c r="H316" s="41">
        <v>443143294</v>
      </c>
      <c r="I316" s="44">
        <v>0</v>
      </c>
      <c r="J316" s="43">
        <v>0</v>
      </c>
      <c r="K316" s="43">
        <v>0</v>
      </c>
      <c r="L316" s="43">
        <v>0</v>
      </c>
      <c r="M316" s="43">
        <v>10015.290000000001</v>
      </c>
      <c r="N316" s="45" t="s">
        <v>150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35">
        <v>45918.054618055554</v>
      </c>
      <c r="B317" s="36">
        <v>443931939</v>
      </c>
      <c r="C317" s="37" t="s">
        <v>36</v>
      </c>
      <c r="D317" s="37" t="s">
        <v>37</v>
      </c>
      <c r="E317" s="37" t="s">
        <v>46</v>
      </c>
      <c r="F317" s="37" t="s">
        <v>38</v>
      </c>
      <c r="G317" s="38">
        <v>3663.42</v>
      </c>
      <c r="H317" s="36">
        <v>443143295</v>
      </c>
      <c r="I317" s="39">
        <v>0</v>
      </c>
      <c r="J317" s="38">
        <v>0</v>
      </c>
      <c r="K317" s="38">
        <v>0</v>
      </c>
      <c r="L317" s="38">
        <v>0</v>
      </c>
      <c r="M317" s="38">
        <v>10015.290000000001</v>
      </c>
      <c r="N317" s="46" t="s">
        <v>53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40">
        <v>45918.054629629631</v>
      </c>
      <c r="B318" s="41">
        <v>443931940</v>
      </c>
      <c r="C318" s="42" t="s">
        <v>36</v>
      </c>
      <c r="D318" s="42" t="s">
        <v>37</v>
      </c>
      <c r="E318" s="42" t="s">
        <v>46</v>
      </c>
      <c r="F318" s="42" t="s">
        <v>38</v>
      </c>
      <c r="G318" s="43">
        <v>3663.42</v>
      </c>
      <c r="H318" s="41">
        <v>443143296</v>
      </c>
      <c r="I318" s="44">
        <v>0</v>
      </c>
      <c r="J318" s="43">
        <v>0</v>
      </c>
      <c r="K318" s="43">
        <v>0</v>
      </c>
      <c r="L318" s="43">
        <v>0</v>
      </c>
      <c r="M318" s="43">
        <v>10015.290000000001</v>
      </c>
      <c r="N318" s="45" t="s">
        <v>49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35">
        <v>45918.054629629631</v>
      </c>
      <c r="B319" s="36">
        <v>443931941</v>
      </c>
      <c r="C319" s="37" t="s">
        <v>36</v>
      </c>
      <c r="D319" s="37" t="s">
        <v>37</v>
      </c>
      <c r="E319" s="37" t="s">
        <v>46</v>
      </c>
      <c r="F319" s="37" t="s">
        <v>38</v>
      </c>
      <c r="G319" s="38">
        <v>3663.42</v>
      </c>
      <c r="H319" s="36">
        <v>443143297</v>
      </c>
      <c r="I319" s="39">
        <v>0</v>
      </c>
      <c r="J319" s="38">
        <v>0</v>
      </c>
      <c r="K319" s="38">
        <v>0</v>
      </c>
      <c r="L319" s="38">
        <v>0</v>
      </c>
      <c r="M319" s="38">
        <v>10015.290000000001</v>
      </c>
      <c r="N319" s="46" t="s">
        <v>48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40">
        <v>45918.060474537036</v>
      </c>
      <c r="B320" s="41">
        <v>443932868</v>
      </c>
      <c r="C320" s="42" t="s">
        <v>36</v>
      </c>
      <c r="D320" s="42" t="s">
        <v>39</v>
      </c>
      <c r="E320" s="42" t="s">
        <v>47</v>
      </c>
      <c r="F320" s="42" t="s">
        <v>38</v>
      </c>
      <c r="G320" s="43">
        <v>3665.01</v>
      </c>
      <c r="H320" s="41">
        <v>443144246</v>
      </c>
      <c r="I320" s="44">
        <v>0</v>
      </c>
      <c r="J320" s="43">
        <v>0</v>
      </c>
      <c r="K320" s="43">
        <v>0</v>
      </c>
      <c r="L320" s="43">
        <v>1.6</v>
      </c>
      <c r="M320" s="43">
        <v>10016.89</v>
      </c>
      <c r="N320" s="45" t="s">
        <v>381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35">
        <v>45918.061215277776</v>
      </c>
      <c r="B321" s="36">
        <v>443932955</v>
      </c>
      <c r="C321" s="37" t="s">
        <v>36</v>
      </c>
      <c r="D321" s="37" t="s">
        <v>37</v>
      </c>
      <c r="E321" s="37" t="s">
        <v>46</v>
      </c>
      <c r="F321" s="37" t="s">
        <v>38</v>
      </c>
      <c r="G321" s="38">
        <v>3664.18</v>
      </c>
      <c r="H321" s="36">
        <v>443144330</v>
      </c>
      <c r="I321" s="39">
        <v>0</v>
      </c>
      <c r="J321" s="38">
        <v>0</v>
      </c>
      <c r="K321" s="38">
        <v>0</v>
      </c>
      <c r="L321" s="38">
        <v>0</v>
      </c>
      <c r="M321" s="38">
        <v>10016.89</v>
      </c>
      <c r="N321" s="46" t="s">
        <v>150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40">
        <v>45918.061562499999</v>
      </c>
      <c r="B322" s="41">
        <v>443932970</v>
      </c>
      <c r="C322" s="42" t="s">
        <v>36</v>
      </c>
      <c r="D322" s="42" t="s">
        <v>39</v>
      </c>
      <c r="E322" s="42" t="s">
        <v>47</v>
      </c>
      <c r="F322" s="42" t="s">
        <v>38</v>
      </c>
      <c r="G322" s="43">
        <v>3663.76</v>
      </c>
      <c r="H322" s="41">
        <v>443144345</v>
      </c>
      <c r="I322" s="44">
        <v>0</v>
      </c>
      <c r="J322" s="43">
        <v>0</v>
      </c>
      <c r="K322" s="43">
        <v>0</v>
      </c>
      <c r="L322" s="43">
        <v>0.34</v>
      </c>
      <c r="M322" s="43">
        <v>10017.23</v>
      </c>
      <c r="N322" s="45" t="s">
        <v>382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35">
        <v>45918.061574074076</v>
      </c>
      <c r="B323" s="36">
        <v>443932973</v>
      </c>
      <c r="C323" s="37" t="s">
        <v>36</v>
      </c>
      <c r="D323" s="37" t="s">
        <v>39</v>
      </c>
      <c r="E323" s="37" t="s">
        <v>47</v>
      </c>
      <c r="F323" s="37" t="s">
        <v>38</v>
      </c>
      <c r="G323" s="38">
        <v>3663.75</v>
      </c>
      <c r="H323" s="36">
        <v>443144348</v>
      </c>
      <c r="I323" s="39">
        <v>0</v>
      </c>
      <c r="J323" s="38">
        <v>0</v>
      </c>
      <c r="K323" s="38">
        <v>0</v>
      </c>
      <c r="L323" s="38">
        <v>0.33</v>
      </c>
      <c r="M323" s="38">
        <v>10017.56</v>
      </c>
      <c r="N323" s="46" t="s">
        <v>383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40">
        <v>45918.061574074076</v>
      </c>
      <c r="B324" s="41">
        <v>443932974</v>
      </c>
      <c r="C324" s="42" t="s">
        <v>36</v>
      </c>
      <c r="D324" s="42" t="s">
        <v>39</v>
      </c>
      <c r="E324" s="42" t="s">
        <v>47</v>
      </c>
      <c r="F324" s="42" t="s">
        <v>38</v>
      </c>
      <c r="G324" s="43">
        <v>3663.75</v>
      </c>
      <c r="H324" s="41">
        <v>443144349</v>
      </c>
      <c r="I324" s="44">
        <v>0</v>
      </c>
      <c r="J324" s="43">
        <v>0</v>
      </c>
      <c r="K324" s="43">
        <v>0</v>
      </c>
      <c r="L324" s="43">
        <v>0.33</v>
      </c>
      <c r="M324" s="43">
        <v>10017.89</v>
      </c>
      <c r="N324" s="45" t="s">
        <v>383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35">
        <v>45918.061678240738</v>
      </c>
      <c r="B325" s="36">
        <v>443932986</v>
      </c>
      <c r="C325" s="37" t="s">
        <v>36</v>
      </c>
      <c r="D325" s="37" t="s">
        <v>37</v>
      </c>
      <c r="E325" s="37" t="s">
        <v>46</v>
      </c>
      <c r="F325" s="37" t="s">
        <v>38</v>
      </c>
      <c r="G325" s="38">
        <v>3664.02</v>
      </c>
      <c r="H325" s="36">
        <v>443144361</v>
      </c>
      <c r="I325" s="39">
        <v>0</v>
      </c>
      <c r="J325" s="38">
        <v>0</v>
      </c>
      <c r="K325" s="38">
        <v>0</v>
      </c>
      <c r="L325" s="38">
        <v>0</v>
      </c>
      <c r="M325" s="38">
        <v>10017.89</v>
      </c>
      <c r="N325" s="46" t="s">
        <v>49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40">
        <v>45918.061678240738</v>
      </c>
      <c r="B326" s="41">
        <v>443932987</v>
      </c>
      <c r="C326" s="42" t="s">
        <v>36</v>
      </c>
      <c r="D326" s="42" t="s">
        <v>37</v>
      </c>
      <c r="E326" s="42" t="s">
        <v>46</v>
      </c>
      <c r="F326" s="42" t="s">
        <v>38</v>
      </c>
      <c r="G326" s="43">
        <v>3664.02</v>
      </c>
      <c r="H326" s="41">
        <v>443144362</v>
      </c>
      <c r="I326" s="44">
        <v>0</v>
      </c>
      <c r="J326" s="43">
        <v>0</v>
      </c>
      <c r="K326" s="43">
        <v>0</v>
      </c>
      <c r="L326" s="43">
        <v>0</v>
      </c>
      <c r="M326" s="43">
        <v>10017.89</v>
      </c>
      <c r="N326" s="45" t="s">
        <v>48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35">
        <v>45918.061689814815</v>
      </c>
      <c r="B327" s="36">
        <v>443932988</v>
      </c>
      <c r="C327" s="37" t="s">
        <v>36</v>
      </c>
      <c r="D327" s="37" t="s">
        <v>37</v>
      </c>
      <c r="E327" s="37" t="s">
        <v>46</v>
      </c>
      <c r="F327" s="37" t="s">
        <v>38</v>
      </c>
      <c r="G327" s="38">
        <v>3664.02</v>
      </c>
      <c r="H327" s="36">
        <v>443144363</v>
      </c>
      <c r="I327" s="39">
        <v>0</v>
      </c>
      <c r="J327" s="38">
        <v>0</v>
      </c>
      <c r="K327" s="38">
        <v>0</v>
      </c>
      <c r="L327" s="38">
        <v>0</v>
      </c>
      <c r="M327" s="38">
        <v>10017.89</v>
      </c>
      <c r="N327" s="46" t="s">
        <v>53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40">
        <v>45918.068055555559</v>
      </c>
      <c r="B328" s="41">
        <v>443934690</v>
      </c>
      <c r="C328" s="42" t="s">
        <v>36</v>
      </c>
      <c r="D328" s="42" t="s">
        <v>39</v>
      </c>
      <c r="E328" s="42" t="s">
        <v>46</v>
      </c>
      <c r="F328" s="42" t="s">
        <v>38</v>
      </c>
      <c r="G328" s="43">
        <v>3662.13</v>
      </c>
      <c r="H328" s="41">
        <v>443146056</v>
      </c>
      <c r="I328" s="44">
        <v>0</v>
      </c>
      <c r="J328" s="43">
        <v>0</v>
      </c>
      <c r="K328" s="43">
        <v>0</v>
      </c>
      <c r="L328" s="43">
        <v>0</v>
      </c>
      <c r="M328" s="43">
        <v>10017.89</v>
      </c>
      <c r="N328" s="45" t="s">
        <v>125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35">
        <v>45918.068055555559</v>
      </c>
      <c r="B329" s="36">
        <v>443934692</v>
      </c>
      <c r="C329" s="37" t="s">
        <v>36</v>
      </c>
      <c r="D329" s="37" t="s">
        <v>39</v>
      </c>
      <c r="E329" s="37" t="s">
        <v>46</v>
      </c>
      <c r="F329" s="37" t="s">
        <v>38</v>
      </c>
      <c r="G329" s="38">
        <v>3662.17</v>
      </c>
      <c r="H329" s="36">
        <v>443146058</v>
      </c>
      <c r="I329" s="39">
        <v>0</v>
      </c>
      <c r="J329" s="38">
        <v>0</v>
      </c>
      <c r="K329" s="38">
        <v>0</v>
      </c>
      <c r="L329" s="38">
        <v>0</v>
      </c>
      <c r="M329" s="38">
        <v>10017.89</v>
      </c>
      <c r="N329" s="46" t="s">
        <v>124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40">
        <v>45918.069432870368</v>
      </c>
      <c r="B330" s="41">
        <v>443934855</v>
      </c>
      <c r="C330" s="42" t="s">
        <v>36</v>
      </c>
      <c r="D330" s="42" t="s">
        <v>39</v>
      </c>
      <c r="E330" s="42" t="s">
        <v>46</v>
      </c>
      <c r="F330" s="42" t="s">
        <v>38</v>
      </c>
      <c r="G330" s="43">
        <v>3661.89</v>
      </c>
      <c r="H330" s="41">
        <v>443146223</v>
      </c>
      <c r="I330" s="44">
        <v>0</v>
      </c>
      <c r="J330" s="43">
        <v>0</v>
      </c>
      <c r="K330" s="43">
        <v>0</v>
      </c>
      <c r="L330" s="43">
        <v>0</v>
      </c>
      <c r="M330" s="43">
        <v>10017.89</v>
      </c>
      <c r="N330" s="45" t="s">
        <v>123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35">
        <v>45918.069537037038</v>
      </c>
      <c r="B331" s="36">
        <v>443934871</v>
      </c>
      <c r="C331" s="37" t="s">
        <v>36</v>
      </c>
      <c r="D331" s="37" t="s">
        <v>39</v>
      </c>
      <c r="E331" s="37" t="s">
        <v>47</v>
      </c>
      <c r="F331" s="37" t="s">
        <v>38</v>
      </c>
      <c r="G331" s="38">
        <v>3661.51</v>
      </c>
      <c r="H331" s="36">
        <v>443146243</v>
      </c>
      <c r="I331" s="39">
        <v>0</v>
      </c>
      <c r="J331" s="38">
        <v>0</v>
      </c>
      <c r="K331" s="38">
        <v>0</v>
      </c>
      <c r="L331" s="38">
        <v>-2.5099999999999998</v>
      </c>
      <c r="M331" s="38">
        <v>10015.379999999999</v>
      </c>
      <c r="N331" s="46" t="s">
        <v>384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40">
        <v>45918.06958333333</v>
      </c>
      <c r="B332" s="41">
        <v>443934883</v>
      </c>
      <c r="C332" s="42" t="s">
        <v>36</v>
      </c>
      <c r="D332" s="42" t="s">
        <v>39</v>
      </c>
      <c r="E332" s="42" t="s">
        <v>47</v>
      </c>
      <c r="F332" s="42" t="s">
        <v>38</v>
      </c>
      <c r="G332" s="43">
        <v>3661.17</v>
      </c>
      <c r="H332" s="41">
        <v>443146254</v>
      </c>
      <c r="I332" s="44">
        <v>0</v>
      </c>
      <c r="J332" s="43">
        <v>0</v>
      </c>
      <c r="K332" s="43">
        <v>0</v>
      </c>
      <c r="L332" s="43">
        <v>-3.01</v>
      </c>
      <c r="M332" s="43">
        <v>10012.370000000001</v>
      </c>
      <c r="N332" s="45" t="s">
        <v>385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35">
        <v>45918.086076388892</v>
      </c>
      <c r="B333" s="36">
        <v>443938832</v>
      </c>
      <c r="C333" s="37" t="s">
        <v>36</v>
      </c>
      <c r="D333" s="37" t="s">
        <v>37</v>
      </c>
      <c r="E333" s="37" t="s">
        <v>47</v>
      </c>
      <c r="F333" s="37" t="s">
        <v>38</v>
      </c>
      <c r="G333" s="38">
        <v>3664.89</v>
      </c>
      <c r="H333" s="36">
        <v>443150169</v>
      </c>
      <c r="I333" s="39">
        <v>0</v>
      </c>
      <c r="J333" s="38">
        <v>0</v>
      </c>
      <c r="K333" s="38">
        <v>0</v>
      </c>
      <c r="L333" s="38">
        <v>-3</v>
      </c>
      <c r="M333" s="38">
        <v>10009.370000000001</v>
      </c>
      <c r="N333" s="46" t="s">
        <v>386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40">
        <v>45918.086898148147</v>
      </c>
      <c r="B334" s="41">
        <v>443938999</v>
      </c>
      <c r="C334" s="42" t="s">
        <v>36</v>
      </c>
      <c r="D334" s="42" t="s">
        <v>37</v>
      </c>
      <c r="E334" s="42" t="s">
        <v>47</v>
      </c>
      <c r="F334" s="42" t="s">
        <v>38</v>
      </c>
      <c r="G334" s="43">
        <v>3665.41</v>
      </c>
      <c r="H334" s="41">
        <v>443150329</v>
      </c>
      <c r="I334" s="44">
        <v>0</v>
      </c>
      <c r="J334" s="43">
        <v>0</v>
      </c>
      <c r="K334" s="43">
        <v>0</v>
      </c>
      <c r="L334" s="43">
        <v>-3.28</v>
      </c>
      <c r="M334" s="43">
        <v>10006.09</v>
      </c>
      <c r="N334" s="45" t="s">
        <v>387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35">
        <v>45918.086898148147</v>
      </c>
      <c r="B335" s="36">
        <v>443939001</v>
      </c>
      <c r="C335" s="37" t="s">
        <v>36</v>
      </c>
      <c r="D335" s="37" t="s">
        <v>37</v>
      </c>
      <c r="E335" s="37" t="s">
        <v>47</v>
      </c>
      <c r="F335" s="37" t="s">
        <v>38</v>
      </c>
      <c r="G335" s="38">
        <v>3665.41</v>
      </c>
      <c r="H335" s="36">
        <v>443150330</v>
      </c>
      <c r="I335" s="39">
        <v>0</v>
      </c>
      <c r="J335" s="38">
        <v>0</v>
      </c>
      <c r="K335" s="38">
        <v>0</v>
      </c>
      <c r="L335" s="38">
        <v>-3.24</v>
      </c>
      <c r="M335" s="38">
        <v>10002.85</v>
      </c>
      <c r="N335" s="46" t="s">
        <v>387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40">
        <v>45918.08829861111</v>
      </c>
      <c r="B336" s="41">
        <v>443939256</v>
      </c>
      <c r="C336" s="42" t="s">
        <v>36</v>
      </c>
      <c r="D336" s="42" t="s">
        <v>37</v>
      </c>
      <c r="E336" s="42" t="s">
        <v>46</v>
      </c>
      <c r="F336" s="42" t="s">
        <v>38</v>
      </c>
      <c r="G336" s="43">
        <v>3664.57</v>
      </c>
      <c r="H336" s="41">
        <v>443150580</v>
      </c>
      <c r="I336" s="44">
        <v>0</v>
      </c>
      <c r="J336" s="43">
        <v>0</v>
      </c>
      <c r="K336" s="43">
        <v>0</v>
      </c>
      <c r="L336" s="43">
        <v>0</v>
      </c>
      <c r="M336" s="43">
        <v>10002.85</v>
      </c>
      <c r="N336" s="45" t="s">
        <v>150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35">
        <v>45918.08829861111</v>
      </c>
      <c r="B337" s="36">
        <v>443939257</v>
      </c>
      <c r="C337" s="37" t="s">
        <v>36</v>
      </c>
      <c r="D337" s="37" t="s">
        <v>37</v>
      </c>
      <c r="E337" s="37" t="s">
        <v>46</v>
      </c>
      <c r="F337" s="37" t="s">
        <v>38</v>
      </c>
      <c r="G337" s="38">
        <v>3664.57</v>
      </c>
      <c r="H337" s="36">
        <v>443150581</v>
      </c>
      <c r="I337" s="39">
        <v>0</v>
      </c>
      <c r="J337" s="38">
        <v>0</v>
      </c>
      <c r="K337" s="38">
        <v>0</v>
      </c>
      <c r="L337" s="38">
        <v>0</v>
      </c>
      <c r="M337" s="38">
        <v>10002.85</v>
      </c>
      <c r="N337" s="46" t="s">
        <v>49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40">
        <v>45918.089560185188</v>
      </c>
      <c r="B338" s="41">
        <v>443939553</v>
      </c>
      <c r="C338" s="42" t="s">
        <v>36</v>
      </c>
      <c r="D338" s="42" t="s">
        <v>39</v>
      </c>
      <c r="E338" s="42" t="s">
        <v>47</v>
      </c>
      <c r="F338" s="42" t="s">
        <v>38</v>
      </c>
      <c r="G338" s="43">
        <v>3665.93</v>
      </c>
      <c r="H338" s="41">
        <v>443150871</v>
      </c>
      <c r="I338" s="44">
        <v>0</v>
      </c>
      <c r="J338" s="43">
        <v>0</v>
      </c>
      <c r="K338" s="43">
        <v>0</v>
      </c>
      <c r="L338" s="43">
        <v>1.36</v>
      </c>
      <c r="M338" s="43">
        <v>10004.209999999999</v>
      </c>
      <c r="N338" s="45" t="s">
        <v>388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35">
        <v>45918.092361111114</v>
      </c>
      <c r="B339" s="36">
        <v>443940349</v>
      </c>
      <c r="C339" s="37" t="s">
        <v>36</v>
      </c>
      <c r="D339" s="37" t="s">
        <v>39</v>
      </c>
      <c r="E339" s="37" t="s">
        <v>47</v>
      </c>
      <c r="F339" s="37" t="s">
        <v>38</v>
      </c>
      <c r="G339" s="38">
        <v>3667.05</v>
      </c>
      <c r="H339" s="36">
        <v>443151642</v>
      </c>
      <c r="I339" s="39">
        <v>0</v>
      </c>
      <c r="J339" s="38">
        <v>0</v>
      </c>
      <c r="K339" s="38">
        <v>0</v>
      </c>
      <c r="L339" s="38">
        <v>3.03</v>
      </c>
      <c r="M339" s="38">
        <v>10007.24</v>
      </c>
      <c r="N339" s="46" t="s">
        <v>389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40">
        <v>45918.093912037039</v>
      </c>
      <c r="B340" s="41">
        <v>443940690</v>
      </c>
      <c r="C340" s="42" t="s">
        <v>36</v>
      </c>
      <c r="D340" s="42" t="s">
        <v>39</v>
      </c>
      <c r="E340" s="42" t="s">
        <v>47</v>
      </c>
      <c r="F340" s="42" t="s">
        <v>38</v>
      </c>
      <c r="G340" s="43">
        <v>3667.52</v>
      </c>
      <c r="H340" s="41">
        <v>443151985</v>
      </c>
      <c r="I340" s="44">
        <v>0</v>
      </c>
      <c r="J340" s="43">
        <v>0</v>
      </c>
      <c r="K340" s="43">
        <v>0</v>
      </c>
      <c r="L340" s="43">
        <v>3.5</v>
      </c>
      <c r="M340" s="43">
        <v>10010.74</v>
      </c>
      <c r="N340" s="45" t="s">
        <v>390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35">
        <v>45918.093935185185</v>
      </c>
      <c r="B341" s="36">
        <v>443940695</v>
      </c>
      <c r="C341" s="37" t="s">
        <v>36</v>
      </c>
      <c r="D341" s="37" t="s">
        <v>39</v>
      </c>
      <c r="E341" s="37" t="s">
        <v>47</v>
      </c>
      <c r="F341" s="37" t="s">
        <v>38</v>
      </c>
      <c r="G341" s="38">
        <v>3667.59</v>
      </c>
      <c r="H341" s="36">
        <v>443151990</v>
      </c>
      <c r="I341" s="39">
        <v>0</v>
      </c>
      <c r="J341" s="38">
        <v>0</v>
      </c>
      <c r="K341" s="38">
        <v>0</v>
      </c>
      <c r="L341" s="38">
        <v>3.02</v>
      </c>
      <c r="M341" s="38">
        <v>10013.76</v>
      </c>
      <c r="N341" s="46" t="s">
        <v>391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40">
        <v>45918.096284722225</v>
      </c>
      <c r="B342" s="41">
        <v>443941323</v>
      </c>
      <c r="C342" s="42" t="s">
        <v>36</v>
      </c>
      <c r="D342" s="42" t="s">
        <v>37</v>
      </c>
      <c r="E342" s="42" t="s">
        <v>46</v>
      </c>
      <c r="F342" s="42" t="s">
        <v>38</v>
      </c>
      <c r="G342" s="43">
        <v>3667.83</v>
      </c>
      <c r="H342" s="41">
        <v>443152612</v>
      </c>
      <c r="I342" s="44">
        <v>0</v>
      </c>
      <c r="J342" s="43">
        <v>0</v>
      </c>
      <c r="K342" s="43">
        <v>0</v>
      </c>
      <c r="L342" s="43">
        <v>0</v>
      </c>
      <c r="M342" s="43">
        <v>10013.76</v>
      </c>
      <c r="N342" s="45" t="s">
        <v>150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35">
        <v>45918.096284722225</v>
      </c>
      <c r="B343" s="36">
        <v>443941326</v>
      </c>
      <c r="C343" s="37" t="s">
        <v>36</v>
      </c>
      <c r="D343" s="37" t="s">
        <v>37</v>
      </c>
      <c r="E343" s="37" t="s">
        <v>46</v>
      </c>
      <c r="F343" s="37" t="s">
        <v>38</v>
      </c>
      <c r="G343" s="38">
        <v>3667.83</v>
      </c>
      <c r="H343" s="36">
        <v>443152614</v>
      </c>
      <c r="I343" s="39">
        <v>0</v>
      </c>
      <c r="J343" s="38">
        <v>0</v>
      </c>
      <c r="K343" s="38">
        <v>0</v>
      </c>
      <c r="L343" s="38">
        <v>0</v>
      </c>
      <c r="M343" s="38">
        <v>10013.76</v>
      </c>
      <c r="N343" s="46" t="s">
        <v>49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40">
        <v>45918.096284722225</v>
      </c>
      <c r="B344" s="41">
        <v>443941329</v>
      </c>
      <c r="C344" s="42" t="s">
        <v>36</v>
      </c>
      <c r="D344" s="42" t="s">
        <v>37</v>
      </c>
      <c r="E344" s="42" t="s">
        <v>46</v>
      </c>
      <c r="F344" s="42" t="s">
        <v>38</v>
      </c>
      <c r="G344" s="43">
        <v>3667.83</v>
      </c>
      <c r="H344" s="41">
        <v>443152617</v>
      </c>
      <c r="I344" s="44">
        <v>0</v>
      </c>
      <c r="J344" s="43">
        <v>0</v>
      </c>
      <c r="K344" s="43">
        <v>0</v>
      </c>
      <c r="L344" s="43">
        <v>0</v>
      </c>
      <c r="M344" s="43">
        <v>10013.76</v>
      </c>
      <c r="N344" s="45" t="s">
        <v>48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35">
        <v>45918.096296296295</v>
      </c>
      <c r="B345" s="36">
        <v>443941330</v>
      </c>
      <c r="C345" s="37" t="s">
        <v>36</v>
      </c>
      <c r="D345" s="37" t="s">
        <v>37</v>
      </c>
      <c r="E345" s="37" t="s">
        <v>46</v>
      </c>
      <c r="F345" s="37" t="s">
        <v>38</v>
      </c>
      <c r="G345" s="38">
        <v>3667.73</v>
      </c>
      <c r="H345" s="36">
        <v>443152618</v>
      </c>
      <c r="I345" s="39">
        <v>0</v>
      </c>
      <c r="J345" s="38">
        <v>0</v>
      </c>
      <c r="K345" s="38">
        <v>0</v>
      </c>
      <c r="L345" s="38">
        <v>0</v>
      </c>
      <c r="M345" s="38">
        <v>10013.76</v>
      </c>
      <c r="N345" s="46" t="s">
        <v>53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40">
        <v>45918.099270833336</v>
      </c>
      <c r="B346" s="41">
        <v>443941906</v>
      </c>
      <c r="C346" s="42" t="s">
        <v>36</v>
      </c>
      <c r="D346" s="42" t="s">
        <v>39</v>
      </c>
      <c r="E346" s="42" t="s">
        <v>47</v>
      </c>
      <c r="F346" s="42" t="s">
        <v>38</v>
      </c>
      <c r="G346" s="43">
        <v>3669.58</v>
      </c>
      <c r="H346" s="41">
        <v>443153182</v>
      </c>
      <c r="I346" s="44">
        <v>0</v>
      </c>
      <c r="J346" s="43">
        <v>0</v>
      </c>
      <c r="K346" s="43">
        <v>0</v>
      </c>
      <c r="L346" s="43">
        <v>1.75</v>
      </c>
      <c r="M346" s="43">
        <v>10015.51</v>
      </c>
      <c r="N346" s="45" t="s">
        <v>392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35">
        <v>45918.102488425924</v>
      </c>
      <c r="B347" s="36">
        <v>443942687</v>
      </c>
      <c r="C347" s="37" t="s">
        <v>36</v>
      </c>
      <c r="D347" s="37" t="s">
        <v>39</v>
      </c>
      <c r="E347" s="37" t="s">
        <v>47</v>
      </c>
      <c r="F347" s="37" t="s">
        <v>38</v>
      </c>
      <c r="G347" s="38">
        <v>3671.06</v>
      </c>
      <c r="H347" s="36">
        <v>443153956</v>
      </c>
      <c r="I347" s="39">
        <v>0</v>
      </c>
      <c r="J347" s="38">
        <v>0</v>
      </c>
      <c r="K347" s="38">
        <v>0</v>
      </c>
      <c r="L347" s="38">
        <v>3.23</v>
      </c>
      <c r="M347" s="38">
        <v>10018.74</v>
      </c>
      <c r="N347" s="46" t="s">
        <v>393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40">
        <v>45918.102488425924</v>
      </c>
      <c r="B348" s="41">
        <v>443942688</v>
      </c>
      <c r="C348" s="42" t="s">
        <v>36</v>
      </c>
      <c r="D348" s="42" t="s">
        <v>39</v>
      </c>
      <c r="E348" s="42" t="s">
        <v>47</v>
      </c>
      <c r="F348" s="42" t="s">
        <v>38</v>
      </c>
      <c r="G348" s="43">
        <v>3671.06</v>
      </c>
      <c r="H348" s="41">
        <v>443153957</v>
      </c>
      <c r="I348" s="44">
        <v>0</v>
      </c>
      <c r="J348" s="43">
        <v>0</v>
      </c>
      <c r="K348" s="43">
        <v>0</v>
      </c>
      <c r="L348" s="43">
        <v>3.23</v>
      </c>
      <c r="M348" s="43">
        <v>10021.969999999999</v>
      </c>
      <c r="N348" s="45" t="s">
        <v>393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35">
        <v>45918.102592592593</v>
      </c>
      <c r="B349" s="36">
        <v>443942740</v>
      </c>
      <c r="C349" s="37" t="s">
        <v>36</v>
      </c>
      <c r="D349" s="37" t="s">
        <v>39</v>
      </c>
      <c r="E349" s="37" t="s">
        <v>47</v>
      </c>
      <c r="F349" s="37" t="s">
        <v>38</v>
      </c>
      <c r="G349" s="38">
        <v>3671.97</v>
      </c>
      <c r="H349" s="36">
        <v>443154007</v>
      </c>
      <c r="I349" s="39">
        <v>0</v>
      </c>
      <c r="J349" s="38">
        <v>0</v>
      </c>
      <c r="K349" s="38">
        <v>0</v>
      </c>
      <c r="L349" s="38">
        <v>4.24</v>
      </c>
      <c r="M349" s="38">
        <v>10026.209999999999</v>
      </c>
      <c r="N349" s="46" t="s">
        <v>394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40">
        <v>45918.103113425925</v>
      </c>
      <c r="B350" s="41">
        <v>443942965</v>
      </c>
      <c r="C350" s="42" t="s">
        <v>36</v>
      </c>
      <c r="D350" s="42" t="s">
        <v>37</v>
      </c>
      <c r="E350" s="42" t="s">
        <v>46</v>
      </c>
      <c r="F350" s="42" t="s">
        <v>38</v>
      </c>
      <c r="G350" s="43">
        <v>3670.2</v>
      </c>
      <c r="H350" s="41">
        <v>443154231</v>
      </c>
      <c r="I350" s="44">
        <v>0</v>
      </c>
      <c r="J350" s="43">
        <v>0</v>
      </c>
      <c r="K350" s="43">
        <v>0</v>
      </c>
      <c r="L350" s="43">
        <v>0</v>
      </c>
      <c r="M350" s="43">
        <v>10026.209999999999</v>
      </c>
      <c r="N350" s="45" t="s">
        <v>150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35">
        <v>45918.103113425925</v>
      </c>
      <c r="B351" s="36">
        <v>443942966</v>
      </c>
      <c r="C351" s="37" t="s">
        <v>36</v>
      </c>
      <c r="D351" s="37" t="s">
        <v>37</v>
      </c>
      <c r="E351" s="37" t="s">
        <v>46</v>
      </c>
      <c r="F351" s="37" t="s">
        <v>38</v>
      </c>
      <c r="G351" s="38">
        <v>3670.23</v>
      </c>
      <c r="H351" s="36">
        <v>443154232</v>
      </c>
      <c r="I351" s="39">
        <v>0</v>
      </c>
      <c r="J351" s="38">
        <v>0</v>
      </c>
      <c r="K351" s="38">
        <v>0</v>
      </c>
      <c r="L351" s="38">
        <v>0</v>
      </c>
      <c r="M351" s="38">
        <v>10026.209999999999</v>
      </c>
      <c r="N351" s="46" t="s">
        <v>53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40">
        <v>45918.103113425925</v>
      </c>
      <c r="B352" s="41">
        <v>443942968</v>
      </c>
      <c r="C352" s="42" t="s">
        <v>36</v>
      </c>
      <c r="D352" s="42" t="s">
        <v>37</v>
      </c>
      <c r="E352" s="42" t="s">
        <v>46</v>
      </c>
      <c r="F352" s="42" t="s">
        <v>38</v>
      </c>
      <c r="G352" s="43">
        <v>3670.25</v>
      </c>
      <c r="H352" s="41">
        <v>443154234</v>
      </c>
      <c r="I352" s="44">
        <v>0</v>
      </c>
      <c r="J352" s="43">
        <v>0</v>
      </c>
      <c r="K352" s="43">
        <v>0</v>
      </c>
      <c r="L352" s="43">
        <v>0</v>
      </c>
      <c r="M352" s="43">
        <v>10026.209999999999</v>
      </c>
      <c r="N352" s="45" t="s">
        <v>48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35">
        <v>45918.103125000001</v>
      </c>
      <c r="B353" s="36">
        <v>443942969</v>
      </c>
      <c r="C353" s="37" t="s">
        <v>36</v>
      </c>
      <c r="D353" s="37" t="s">
        <v>37</v>
      </c>
      <c r="E353" s="37" t="s">
        <v>46</v>
      </c>
      <c r="F353" s="37" t="s">
        <v>38</v>
      </c>
      <c r="G353" s="38">
        <v>3670.29</v>
      </c>
      <c r="H353" s="36">
        <v>443154235</v>
      </c>
      <c r="I353" s="39">
        <v>0</v>
      </c>
      <c r="J353" s="38">
        <v>0</v>
      </c>
      <c r="K353" s="38">
        <v>0</v>
      </c>
      <c r="L353" s="38">
        <v>0</v>
      </c>
      <c r="M353" s="38">
        <v>10026.209999999999</v>
      </c>
      <c r="N353" s="46" t="s">
        <v>49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40">
        <v>45918.10496527778</v>
      </c>
      <c r="B354" s="41">
        <v>443943803</v>
      </c>
      <c r="C354" s="42" t="s">
        <v>36</v>
      </c>
      <c r="D354" s="42" t="s">
        <v>37</v>
      </c>
      <c r="E354" s="42" t="s">
        <v>46</v>
      </c>
      <c r="F354" s="42" t="s">
        <v>38</v>
      </c>
      <c r="G354" s="43">
        <v>3670.27</v>
      </c>
      <c r="H354" s="41">
        <v>443154980</v>
      </c>
      <c r="I354" s="44">
        <v>0</v>
      </c>
      <c r="J354" s="43">
        <v>0</v>
      </c>
      <c r="K354" s="43">
        <v>0</v>
      </c>
      <c r="L354" s="43">
        <v>0</v>
      </c>
      <c r="M354" s="43">
        <v>10026.209999999999</v>
      </c>
      <c r="N354" s="45" t="s">
        <v>395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35">
        <v>45918.10496527778</v>
      </c>
      <c r="B355" s="36">
        <v>443943804</v>
      </c>
      <c r="C355" s="37" t="s">
        <v>36</v>
      </c>
      <c r="D355" s="37" t="s">
        <v>37</v>
      </c>
      <c r="E355" s="37" t="s">
        <v>46</v>
      </c>
      <c r="F355" s="37" t="s">
        <v>38</v>
      </c>
      <c r="G355" s="38">
        <v>3670.27</v>
      </c>
      <c r="H355" s="36">
        <v>443154981</v>
      </c>
      <c r="I355" s="39">
        <v>0</v>
      </c>
      <c r="J355" s="38">
        <v>0</v>
      </c>
      <c r="K355" s="38">
        <v>0</v>
      </c>
      <c r="L355" s="38">
        <v>0</v>
      </c>
      <c r="M355" s="38">
        <v>10026.209999999999</v>
      </c>
      <c r="N355" s="46" t="s">
        <v>268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40">
        <v>45918.125648148147</v>
      </c>
      <c r="B356" s="41">
        <v>443948287</v>
      </c>
      <c r="C356" s="42" t="s">
        <v>36</v>
      </c>
      <c r="D356" s="42" t="s">
        <v>39</v>
      </c>
      <c r="E356" s="42" t="s">
        <v>47</v>
      </c>
      <c r="F356" s="42" t="s">
        <v>38</v>
      </c>
      <c r="G356" s="43">
        <v>3667.66</v>
      </c>
      <c r="H356" s="41">
        <v>443159308</v>
      </c>
      <c r="I356" s="44">
        <v>0</v>
      </c>
      <c r="J356" s="43">
        <v>0</v>
      </c>
      <c r="K356" s="43">
        <v>0</v>
      </c>
      <c r="L356" s="43">
        <v>-2.63</v>
      </c>
      <c r="M356" s="43">
        <v>10023.58</v>
      </c>
      <c r="N356" s="45" t="s">
        <v>396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35">
        <v>45918.125740740739</v>
      </c>
      <c r="B357" s="36">
        <v>443948389</v>
      </c>
      <c r="C357" s="37" t="s">
        <v>36</v>
      </c>
      <c r="D357" s="37" t="s">
        <v>39</v>
      </c>
      <c r="E357" s="37" t="s">
        <v>47</v>
      </c>
      <c r="F357" s="37" t="s">
        <v>38</v>
      </c>
      <c r="G357" s="38">
        <v>3667.25</v>
      </c>
      <c r="H357" s="36">
        <v>443159410</v>
      </c>
      <c r="I357" s="39">
        <v>0</v>
      </c>
      <c r="J357" s="38">
        <v>0</v>
      </c>
      <c r="K357" s="38">
        <v>0</v>
      </c>
      <c r="L357" s="38">
        <v>-2.95</v>
      </c>
      <c r="M357" s="38">
        <v>10020.629999999999</v>
      </c>
      <c r="N357" s="46" t="s">
        <v>397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40">
        <v>45918.125740740739</v>
      </c>
      <c r="B358" s="41">
        <v>443948392</v>
      </c>
      <c r="C358" s="42" t="s">
        <v>36</v>
      </c>
      <c r="D358" s="42" t="s">
        <v>39</v>
      </c>
      <c r="E358" s="42" t="s">
        <v>47</v>
      </c>
      <c r="F358" s="42" t="s">
        <v>38</v>
      </c>
      <c r="G358" s="43">
        <v>3667.25</v>
      </c>
      <c r="H358" s="41">
        <v>443159411</v>
      </c>
      <c r="I358" s="44">
        <v>0</v>
      </c>
      <c r="J358" s="43">
        <v>0</v>
      </c>
      <c r="K358" s="43">
        <v>0</v>
      </c>
      <c r="L358" s="43">
        <v>-3.02</v>
      </c>
      <c r="M358" s="43">
        <v>10017.61</v>
      </c>
      <c r="N358" s="45" t="s">
        <v>398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35">
        <v>45918.125740740739</v>
      </c>
      <c r="B359" s="36">
        <v>443948393</v>
      </c>
      <c r="C359" s="37" t="s">
        <v>36</v>
      </c>
      <c r="D359" s="37" t="s">
        <v>39</v>
      </c>
      <c r="E359" s="37" t="s">
        <v>47</v>
      </c>
      <c r="F359" s="37" t="s">
        <v>38</v>
      </c>
      <c r="G359" s="38">
        <v>3667.25</v>
      </c>
      <c r="H359" s="36">
        <v>443159412</v>
      </c>
      <c r="I359" s="39">
        <v>0</v>
      </c>
      <c r="J359" s="38">
        <v>0</v>
      </c>
      <c r="K359" s="38">
        <v>0</v>
      </c>
      <c r="L359" s="38">
        <v>-3.02</v>
      </c>
      <c r="M359" s="38">
        <v>10014.59</v>
      </c>
      <c r="N359" s="46" t="s">
        <v>399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40">
        <v>45918.125752314816</v>
      </c>
      <c r="B360" s="41">
        <v>443948406</v>
      </c>
      <c r="C360" s="42" t="s">
        <v>36</v>
      </c>
      <c r="D360" s="42" t="s">
        <v>39</v>
      </c>
      <c r="E360" s="42" t="s">
        <v>47</v>
      </c>
      <c r="F360" s="42" t="s">
        <v>38</v>
      </c>
      <c r="G360" s="43">
        <v>3667.12</v>
      </c>
      <c r="H360" s="41">
        <v>443159426</v>
      </c>
      <c r="I360" s="44">
        <v>0</v>
      </c>
      <c r="J360" s="43">
        <v>0</v>
      </c>
      <c r="K360" s="43">
        <v>0</v>
      </c>
      <c r="L360" s="43">
        <v>-3.11</v>
      </c>
      <c r="M360" s="43">
        <v>10011.48</v>
      </c>
      <c r="N360" s="45" t="s">
        <v>400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35">
        <v>45918.125752314816</v>
      </c>
      <c r="B361" s="36">
        <v>443948409</v>
      </c>
      <c r="C361" s="37" t="s">
        <v>36</v>
      </c>
      <c r="D361" s="37" t="s">
        <v>39</v>
      </c>
      <c r="E361" s="37" t="s">
        <v>47</v>
      </c>
      <c r="F361" s="37" t="s">
        <v>38</v>
      </c>
      <c r="G361" s="38">
        <v>3667.12</v>
      </c>
      <c r="H361" s="36">
        <v>443159427</v>
      </c>
      <c r="I361" s="39">
        <v>0</v>
      </c>
      <c r="J361" s="38">
        <v>0</v>
      </c>
      <c r="K361" s="38">
        <v>0</v>
      </c>
      <c r="L361" s="38">
        <v>-3.13</v>
      </c>
      <c r="M361" s="38">
        <v>10008.35</v>
      </c>
      <c r="N361" s="46" t="s">
        <v>400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40">
        <v>45918.12903935185</v>
      </c>
      <c r="B362" s="41">
        <v>443949710</v>
      </c>
      <c r="C362" s="42" t="s">
        <v>36</v>
      </c>
      <c r="D362" s="42" t="s">
        <v>39</v>
      </c>
      <c r="E362" s="42" t="s">
        <v>46</v>
      </c>
      <c r="F362" s="42" t="s">
        <v>38</v>
      </c>
      <c r="G362" s="43">
        <v>3667.49</v>
      </c>
      <c r="H362" s="41">
        <v>443160702</v>
      </c>
      <c r="I362" s="44">
        <v>0</v>
      </c>
      <c r="J362" s="43">
        <v>0</v>
      </c>
      <c r="K362" s="43">
        <v>0</v>
      </c>
      <c r="L362" s="43">
        <v>0</v>
      </c>
      <c r="M362" s="43">
        <v>10008.35</v>
      </c>
      <c r="N362" s="45" t="s">
        <v>150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35">
        <v>45918.12903935185</v>
      </c>
      <c r="B363" s="36">
        <v>443949712</v>
      </c>
      <c r="C363" s="37" t="s">
        <v>36</v>
      </c>
      <c r="D363" s="37" t="s">
        <v>39</v>
      </c>
      <c r="E363" s="37" t="s">
        <v>46</v>
      </c>
      <c r="F363" s="37" t="s">
        <v>38</v>
      </c>
      <c r="G363" s="38">
        <v>3667.49</v>
      </c>
      <c r="H363" s="36">
        <v>443160704</v>
      </c>
      <c r="I363" s="39">
        <v>0</v>
      </c>
      <c r="J363" s="38">
        <v>0</v>
      </c>
      <c r="K363" s="38">
        <v>0</v>
      </c>
      <c r="L363" s="38">
        <v>0</v>
      </c>
      <c r="M363" s="38">
        <v>10008.35</v>
      </c>
      <c r="N363" s="46" t="s">
        <v>53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40">
        <v>45918.12903935185</v>
      </c>
      <c r="B364" s="41">
        <v>443949713</v>
      </c>
      <c r="C364" s="42" t="s">
        <v>36</v>
      </c>
      <c r="D364" s="42" t="s">
        <v>39</v>
      </c>
      <c r="E364" s="42" t="s">
        <v>46</v>
      </c>
      <c r="F364" s="42" t="s">
        <v>38</v>
      </c>
      <c r="G364" s="43">
        <v>3667.49</v>
      </c>
      <c r="H364" s="41">
        <v>443160705</v>
      </c>
      <c r="I364" s="44">
        <v>0</v>
      </c>
      <c r="J364" s="43">
        <v>0</v>
      </c>
      <c r="K364" s="43">
        <v>0</v>
      </c>
      <c r="L364" s="43">
        <v>0</v>
      </c>
      <c r="M364" s="43">
        <v>10008.35</v>
      </c>
      <c r="N364" s="45" t="s">
        <v>49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35">
        <v>45918.129050925927</v>
      </c>
      <c r="B365" s="36">
        <v>443949714</v>
      </c>
      <c r="C365" s="37" t="s">
        <v>36</v>
      </c>
      <c r="D365" s="37" t="s">
        <v>39</v>
      </c>
      <c r="E365" s="37" t="s">
        <v>46</v>
      </c>
      <c r="F365" s="37" t="s">
        <v>38</v>
      </c>
      <c r="G365" s="38">
        <v>3667.49</v>
      </c>
      <c r="H365" s="36">
        <v>443160706</v>
      </c>
      <c r="I365" s="39">
        <v>0</v>
      </c>
      <c r="J365" s="38">
        <v>0</v>
      </c>
      <c r="K365" s="38">
        <v>0</v>
      </c>
      <c r="L365" s="38">
        <v>0</v>
      </c>
      <c r="M365" s="38">
        <v>10008.35</v>
      </c>
      <c r="N365" s="46" t="s">
        <v>48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40">
        <v>45918.129976851851</v>
      </c>
      <c r="B366" s="41">
        <v>443949844</v>
      </c>
      <c r="C366" s="42" t="s">
        <v>36</v>
      </c>
      <c r="D366" s="42" t="s">
        <v>37</v>
      </c>
      <c r="E366" s="42" t="s">
        <v>47</v>
      </c>
      <c r="F366" s="42" t="s">
        <v>38</v>
      </c>
      <c r="G366" s="43">
        <v>3665.75</v>
      </c>
      <c r="H366" s="41">
        <v>443160833</v>
      </c>
      <c r="I366" s="44">
        <v>0</v>
      </c>
      <c r="J366" s="43">
        <v>0</v>
      </c>
      <c r="K366" s="43">
        <v>0</v>
      </c>
      <c r="L366" s="43">
        <v>1.74</v>
      </c>
      <c r="M366" s="43">
        <v>10010.09</v>
      </c>
      <c r="N366" s="45" t="s">
        <v>401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35">
        <v>45918.131342592591</v>
      </c>
      <c r="B367" s="36">
        <v>443950666</v>
      </c>
      <c r="C367" s="37" t="s">
        <v>36</v>
      </c>
      <c r="D367" s="37" t="s">
        <v>37</v>
      </c>
      <c r="E367" s="37" t="s">
        <v>47</v>
      </c>
      <c r="F367" s="37" t="s">
        <v>38</v>
      </c>
      <c r="G367" s="38">
        <v>3664.43</v>
      </c>
      <c r="H367" s="36">
        <v>443161652</v>
      </c>
      <c r="I367" s="39">
        <v>0</v>
      </c>
      <c r="J367" s="38">
        <v>0</v>
      </c>
      <c r="K367" s="38">
        <v>0</v>
      </c>
      <c r="L367" s="38">
        <v>3.06</v>
      </c>
      <c r="M367" s="38">
        <v>10013.15</v>
      </c>
      <c r="N367" s="46" t="s">
        <v>402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40">
        <v>45918.131342592591</v>
      </c>
      <c r="B368" s="41">
        <v>443950667</v>
      </c>
      <c r="C368" s="42" t="s">
        <v>36</v>
      </c>
      <c r="D368" s="42" t="s">
        <v>37</v>
      </c>
      <c r="E368" s="42" t="s">
        <v>47</v>
      </c>
      <c r="F368" s="42" t="s">
        <v>38</v>
      </c>
      <c r="G368" s="43">
        <v>3664.43</v>
      </c>
      <c r="H368" s="41">
        <v>443161653</v>
      </c>
      <c r="I368" s="44">
        <v>0</v>
      </c>
      <c r="J368" s="43">
        <v>0</v>
      </c>
      <c r="K368" s="43">
        <v>0</v>
      </c>
      <c r="L368" s="43">
        <v>3.06</v>
      </c>
      <c r="M368" s="43">
        <v>10016.209999999999</v>
      </c>
      <c r="N368" s="45" t="s">
        <v>402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35">
        <v>45918.131597222222</v>
      </c>
      <c r="B369" s="36">
        <v>443950926</v>
      </c>
      <c r="C369" s="37" t="s">
        <v>36</v>
      </c>
      <c r="D369" s="37" t="s">
        <v>37</v>
      </c>
      <c r="E369" s="37" t="s">
        <v>47</v>
      </c>
      <c r="F369" s="37" t="s">
        <v>38</v>
      </c>
      <c r="G369" s="38">
        <v>3663.99</v>
      </c>
      <c r="H369" s="36">
        <v>443161910</v>
      </c>
      <c r="I369" s="39">
        <v>0</v>
      </c>
      <c r="J369" s="38">
        <v>0</v>
      </c>
      <c r="K369" s="38">
        <v>0</v>
      </c>
      <c r="L369" s="38">
        <v>3.5</v>
      </c>
      <c r="M369" s="38">
        <v>10019.709999999999</v>
      </c>
      <c r="N369" s="46" t="s">
        <v>403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40">
        <v>45918.133784722224</v>
      </c>
      <c r="B370" s="41">
        <v>443951829</v>
      </c>
      <c r="C370" s="42" t="s">
        <v>36</v>
      </c>
      <c r="D370" s="42" t="s">
        <v>39</v>
      </c>
      <c r="E370" s="42" t="s">
        <v>46</v>
      </c>
      <c r="F370" s="42" t="s">
        <v>38</v>
      </c>
      <c r="G370" s="43">
        <v>3664.49</v>
      </c>
      <c r="H370" s="41">
        <v>443162800</v>
      </c>
      <c r="I370" s="44">
        <v>0</v>
      </c>
      <c r="J370" s="43">
        <v>0</v>
      </c>
      <c r="K370" s="43">
        <v>0</v>
      </c>
      <c r="L370" s="43">
        <v>0</v>
      </c>
      <c r="M370" s="43">
        <v>10019.709999999999</v>
      </c>
      <c r="N370" s="45" t="s">
        <v>150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35">
        <v>45918.133784722224</v>
      </c>
      <c r="B371" s="36">
        <v>443951830</v>
      </c>
      <c r="C371" s="37" t="s">
        <v>36</v>
      </c>
      <c r="D371" s="37" t="s">
        <v>39</v>
      </c>
      <c r="E371" s="37" t="s">
        <v>46</v>
      </c>
      <c r="F371" s="37" t="s">
        <v>38</v>
      </c>
      <c r="G371" s="38">
        <v>3664.32</v>
      </c>
      <c r="H371" s="36">
        <v>443162801</v>
      </c>
      <c r="I371" s="39">
        <v>0</v>
      </c>
      <c r="J371" s="38">
        <v>0</v>
      </c>
      <c r="K371" s="38">
        <v>0</v>
      </c>
      <c r="L371" s="38">
        <v>0</v>
      </c>
      <c r="M371" s="38">
        <v>10019.709999999999</v>
      </c>
      <c r="N371" s="46" t="s">
        <v>49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40">
        <v>45918.133784722224</v>
      </c>
      <c r="B372" s="41">
        <v>443951832</v>
      </c>
      <c r="C372" s="42" t="s">
        <v>36</v>
      </c>
      <c r="D372" s="42" t="s">
        <v>39</v>
      </c>
      <c r="E372" s="42" t="s">
        <v>46</v>
      </c>
      <c r="F372" s="42" t="s">
        <v>38</v>
      </c>
      <c r="G372" s="43">
        <v>3664.55</v>
      </c>
      <c r="H372" s="41">
        <v>443162804</v>
      </c>
      <c r="I372" s="44">
        <v>0</v>
      </c>
      <c r="J372" s="43">
        <v>0</v>
      </c>
      <c r="K372" s="43">
        <v>0</v>
      </c>
      <c r="L372" s="43">
        <v>0</v>
      </c>
      <c r="M372" s="43">
        <v>10019.709999999999</v>
      </c>
      <c r="N372" s="45" t="s">
        <v>48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35">
        <v>45918.133796296293</v>
      </c>
      <c r="B373" s="36">
        <v>443951833</v>
      </c>
      <c r="C373" s="37" t="s">
        <v>36</v>
      </c>
      <c r="D373" s="37" t="s">
        <v>39</v>
      </c>
      <c r="E373" s="37" t="s">
        <v>46</v>
      </c>
      <c r="F373" s="37" t="s">
        <v>38</v>
      </c>
      <c r="G373" s="38">
        <v>3664.44</v>
      </c>
      <c r="H373" s="36">
        <v>443162805</v>
      </c>
      <c r="I373" s="39">
        <v>0</v>
      </c>
      <c r="J373" s="38">
        <v>0</v>
      </c>
      <c r="K373" s="38">
        <v>0</v>
      </c>
      <c r="L373" s="38">
        <v>0</v>
      </c>
      <c r="M373" s="38">
        <v>10019.709999999999</v>
      </c>
      <c r="N373" s="46" t="s">
        <v>53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40">
        <v>45918.138356481482</v>
      </c>
      <c r="B374" s="41">
        <v>443952470</v>
      </c>
      <c r="C374" s="42" t="s">
        <v>36</v>
      </c>
      <c r="D374" s="42" t="s">
        <v>37</v>
      </c>
      <c r="E374" s="42" t="s">
        <v>47</v>
      </c>
      <c r="F374" s="42" t="s">
        <v>38</v>
      </c>
      <c r="G374" s="43">
        <v>3662.99</v>
      </c>
      <c r="H374" s="41">
        <v>443163421</v>
      </c>
      <c r="I374" s="44">
        <v>0</v>
      </c>
      <c r="J374" s="43">
        <v>0</v>
      </c>
      <c r="K374" s="43">
        <v>0</v>
      </c>
      <c r="L374" s="43">
        <v>1.5</v>
      </c>
      <c r="M374" s="43">
        <v>10021.209999999999</v>
      </c>
      <c r="N374" s="45" t="s">
        <v>404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35">
        <v>45918.141423611109</v>
      </c>
      <c r="B375" s="36">
        <v>443952834</v>
      </c>
      <c r="C375" s="37" t="s">
        <v>36</v>
      </c>
      <c r="D375" s="37" t="s">
        <v>39</v>
      </c>
      <c r="E375" s="37" t="s">
        <v>46</v>
      </c>
      <c r="F375" s="37" t="s">
        <v>38</v>
      </c>
      <c r="G375" s="38">
        <v>3663.48</v>
      </c>
      <c r="H375" s="36">
        <v>443163800</v>
      </c>
      <c r="I375" s="39">
        <v>0</v>
      </c>
      <c r="J375" s="38">
        <v>0</v>
      </c>
      <c r="K375" s="38">
        <v>0</v>
      </c>
      <c r="L375" s="38">
        <v>0</v>
      </c>
      <c r="M375" s="38">
        <v>10021.209999999999</v>
      </c>
      <c r="N375" s="46" t="s">
        <v>150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40">
        <v>45918.141423611109</v>
      </c>
      <c r="B376" s="41">
        <v>443952835</v>
      </c>
      <c r="C376" s="42" t="s">
        <v>36</v>
      </c>
      <c r="D376" s="42" t="s">
        <v>37</v>
      </c>
      <c r="E376" s="42" t="s">
        <v>47</v>
      </c>
      <c r="F376" s="42" t="s">
        <v>38</v>
      </c>
      <c r="G376" s="43">
        <v>3663.76</v>
      </c>
      <c r="H376" s="41">
        <v>443163801</v>
      </c>
      <c r="I376" s="44">
        <v>0</v>
      </c>
      <c r="J376" s="43">
        <v>0</v>
      </c>
      <c r="K376" s="43">
        <v>0</v>
      </c>
      <c r="L376" s="43">
        <v>0.56000000000000005</v>
      </c>
      <c r="M376" s="43">
        <v>10021.77</v>
      </c>
      <c r="N376" s="45" t="s">
        <v>405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35">
        <v>45918.141423611109</v>
      </c>
      <c r="B377" s="36">
        <v>443952836</v>
      </c>
      <c r="C377" s="37" t="s">
        <v>36</v>
      </c>
      <c r="D377" s="37" t="s">
        <v>37</v>
      </c>
      <c r="E377" s="37" t="s">
        <v>47</v>
      </c>
      <c r="F377" s="37" t="s">
        <v>38</v>
      </c>
      <c r="G377" s="38">
        <v>3663.76</v>
      </c>
      <c r="H377" s="36">
        <v>443163802</v>
      </c>
      <c r="I377" s="39">
        <v>0</v>
      </c>
      <c r="J377" s="38">
        <v>0</v>
      </c>
      <c r="K377" s="38">
        <v>0</v>
      </c>
      <c r="L377" s="38">
        <v>0.79</v>
      </c>
      <c r="M377" s="38">
        <v>10022.56</v>
      </c>
      <c r="N377" s="46" t="s">
        <v>405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40">
        <v>45918.141423611109</v>
      </c>
      <c r="B378" s="41">
        <v>443952837</v>
      </c>
      <c r="C378" s="42" t="s">
        <v>36</v>
      </c>
      <c r="D378" s="42" t="s">
        <v>37</v>
      </c>
      <c r="E378" s="42" t="s">
        <v>47</v>
      </c>
      <c r="F378" s="42" t="s">
        <v>38</v>
      </c>
      <c r="G378" s="43">
        <v>3663.76</v>
      </c>
      <c r="H378" s="41">
        <v>443163803</v>
      </c>
      <c r="I378" s="44">
        <v>0</v>
      </c>
      <c r="J378" s="43">
        <v>0</v>
      </c>
      <c r="K378" s="43">
        <v>0</v>
      </c>
      <c r="L378" s="43">
        <v>0.68</v>
      </c>
      <c r="M378" s="43">
        <v>10023.24</v>
      </c>
      <c r="N378" s="45" t="s">
        <v>405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35">
        <v>45918.141539351855</v>
      </c>
      <c r="B379" s="36">
        <v>443952858</v>
      </c>
      <c r="C379" s="37" t="s">
        <v>36</v>
      </c>
      <c r="D379" s="37" t="s">
        <v>39</v>
      </c>
      <c r="E379" s="37" t="s">
        <v>46</v>
      </c>
      <c r="F379" s="37" t="s">
        <v>38</v>
      </c>
      <c r="G379" s="38">
        <v>3663.65</v>
      </c>
      <c r="H379" s="36">
        <v>443163826</v>
      </c>
      <c r="I379" s="39">
        <v>0</v>
      </c>
      <c r="J379" s="38">
        <v>0</v>
      </c>
      <c r="K379" s="38">
        <v>0</v>
      </c>
      <c r="L379" s="38">
        <v>0</v>
      </c>
      <c r="M379" s="38">
        <v>10023.24</v>
      </c>
      <c r="N379" s="46" t="s">
        <v>49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40">
        <v>45918.141539351855</v>
      </c>
      <c r="B380" s="41">
        <v>443952859</v>
      </c>
      <c r="C380" s="42" t="s">
        <v>36</v>
      </c>
      <c r="D380" s="42" t="s">
        <v>39</v>
      </c>
      <c r="E380" s="42" t="s">
        <v>46</v>
      </c>
      <c r="F380" s="42" t="s">
        <v>38</v>
      </c>
      <c r="G380" s="43">
        <v>3663.65</v>
      </c>
      <c r="H380" s="41">
        <v>443163827</v>
      </c>
      <c r="I380" s="44">
        <v>0</v>
      </c>
      <c r="J380" s="43">
        <v>0</v>
      </c>
      <c r="K380" s="43">
        <v>0</v>
      </c>
      <c r="L380" s="43">
        <v>0</v>
      </c>
      <c r="M380" s="43">
        <v>10023.24</v>
      </c>
      <c r="N380" s="45" t="s">
        <v>48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35">
        <v>45918.141539351855</v>
      </c>
      <c r="B381" s="36">
        <v>443952860</v>
      </c>
      <c r="C381" s="37" t="s">
        <v>36</v>
      </c>
      <c r="D381" s="37" t="s">
        <v>39</v>
      </c>
      <c r="E381" s="37" t="s">
        <v>46</v>
      </c>
      <c r="F381" s="37" t="s">
        <v>38</v>
      </c>
      <c r="G381" s="38">
        <v>3663.64</v>
      </c>
      <c r="H381" s="36">
        <v>443163828</v>
      </c>
      <c r="I381" s="39">
        <v>0</v>
      </c>
      <c r="J381" s="38">
        <v>0</v>
      </c>
      <c r="K381" s="38">
        <v>0</v>
      </c>
      <c r="L381" s="38">
        <v>0</v>
      </c>
      <c r="M381" s="38">
        <v>10023.24</v>
      </c>
      <c r="N381" s="46" t="s">
        <v>53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40">
        <v>45918.143182870372</v>
      </c>
      <c r="B382" s="41">
        <v>443953691</v>
      </c>
      <c r="C382" s="42" t="s">
        <v>36</v>
      </c>
      <c r="D382" s="42" t="s">
        <v>37</v>
      </c>
      <c r="E382" s="42" t="s">
        <v>47</v>
      </c>
      <c r="F382" s="42" t="s">
        <v>38</v>
      </c>
      <c r="G382" s="43">
        <v>3661.91</v>
      </c>
      <c r="H382" s="41">
        <v>443164660</v>
      </c>
      <c r="I382" s="44">
        <v>0</v>
      </c>
      <c r="J382" s="43">
        <v>0</v>
      </c>
      <c r="K382" s="43">
        <v>0</v>
      </c>
      <c r="L382" s="43">
        <v>1.57</v>
      </c>
      <c r="M382" s="43">
        <v>10024.81</v>
      </c>
      <c r="N382" s="45" t="s">
        <v>406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35">
        <v>45918.144016203703</v>
      </c>
      <c r="B383" s="36">
        <v>443953837</v>
      </c>
      <c r="C383" s="37" t="s">
        <v>36</v>
      </c>
      <c r="D383" s="37" t="s">
        <v>37</v>
      </c>
      <c r="E383" s="37" t="s">
        <v>47</v>
      </c>
      <c r="F383" s="37" t="s">
        <v>38</v>
      </c>
      <c r="G383" s="38">
        <v>3663.22</v>
      </c>
      <c r="H383" s="36">
        <v>443164812</v>
      </c>
      <c r="I383" s="39">
        <v>0</v>
      </c>
      <c r="J383" s="38">
        <v>0</v>
      </c>
      <c r="K383" s="38">
        <v>0</v>
      </c>
      <c r="L383" s="38">
        <v>0.43</v>
      </c>
      <c r="M383" s="38">
        <v>10025.24</v>
      </c>
      <c r="N383" s="46" t="s">
        <v>407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40">
        <v>45918.144016203703</v>
      </c>
      <c r="B384" s="41">
        <v>443953838</v>
      </c>
      <c r="C384" s="42" t="s">
        <v>36</v>
      </c>
      <c r="D384" s="42" t="s">
        <v>37</v>
      </c>
      <c r="E384" s="42" t="s">
        <v>47</v>
      </c>
      <c r="F384" s="42" t="s">
        <v>38</v>
      </c>
      <c r="G384" s="43">
        <v>3663.22</v>
      </c>
      <c r="H384" s="41">
        <v>443164813</v>
      </c>
      <c r="I384" s="44">
        <v>0</v>
      </c>
      <c r="J384" s="43">
        <v>0</v>
      </c>
      <c r="K384" s="43">
        <v>0</v>
      </c>
      <c r="L384" s="43">
        <v>0.43</v>
      </c>
      <c r="M384" s="43">
        <v>10025.67</v>
      </c>
      <c r="N384" s="45" t="s">
        <v>407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35">
        <v>45918.144016203703</v>
      </c>
      <c r="B385" s="36">
        <v>443953839</v>
      </c>
      <c r="C385" s="37" t="s">
        <v>36</v>
      </c>
      <c r="D385" s="37" t="s">
        <v>37</v>
      </c>
      <c r="E385" s="37" t="s">
        <v>47</v>
      </c>
      <c r="F385" s="37" t="s">
        <v>38</v>
      </c>
      <c r="G385" s="38">
        <v>3663.22</v>
      </c>
      <c r="H385" s="36">
        <v>443164814</v>
      </c>
      <c r="I385" s="39">
        <v>0</v>
      </c>
      <c r="J385" s="38">
        <v>0</v>
      </c>
      <c r="K385" s="38">
        <v>0</v>
      </c>
      <c r="L385" s="38">
        <v>0.42</v>
      </c>
      <c r="M385" s="38">
        <v>10026.09</v>
      </c>
      <c r="N385" s="46" t="s">
        <v>408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40">
        <v>45918.144548611112</v>
      </c>
      <c r="B386" s="41">
        <v>443953884</v>
      </c>
      <c r="C386" s="42" t="s">
        <v>36</v>
      </c>
      <c r="D386" s="42" t="s">
        <v>39</v>
      </c>
      <c r="E386" s="42" t="s">
        <v>46</v>
      </c>
      <c r="F386" s="42" t="s">
        <v>38</v>
      </c>
      <c r="G386" s="43">
        <v>3662.69</v>
      </c>
      <c r="H386" s="41">
        <v>443164859</v>
      </c>
      <c r="I386" s="44">
        <v>0</v>
      </c>
      <c r="J386" s="43">
        <v>0</v>
      </c>
      <c r="K386" s="43">
        <v>0</v>
      </c>
      <c r="L386" s="43">
        <v>0</v>
      </c>
      <c r="M386" s="43">
        <v>10026.09</v>
      </c>
      <c r="N386" s="45" t="s">
        <v>150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35">
        <v>45918.144548611112</v>
      </c>
      <c r="B387" s="36">
        <v>443953886</v>
      </c>
      <c r="C387" s="37" t="s">
        <v>36</v>
      </c>
      <c r="D387" s="37" t="s">
        <v>39</v>
      </c>
      <c r="E387" s="37" t="s">
        <v>46</v>
      </c>
      <c r="F387" s="37" t="s">
        <v>38</v>
      </c>
      <c r="G387" s="38">
        <v>3662.69</v>
      </c>
      <c r="H387" s="36">
        <v>443164860</v>
      </c>
      <c r="I387" s="39">
        <v>0</v>
      </c>
      <c r="J387" s="38">
        <v>0</v>
      </c>
      <c r="K387" s="38">
        <v>0</v>
      </c>
      <c r="L387" s="38">
        <v>0</v>
      </c>
      <c r="M387" s="38">
        <v>10026.09</v>
      </c>
      <c r="N387" s="46" t="s">
        <v>48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40">
        <v>45918.144548611112</v>
      </c>
      <c r="B388" s="41">
        <v>443953887</v>
      </c>
      <c r="C388" s="42" t="s">
        <v>36</v>
      </c>
      <c r="D388" s="42" t="s">
        <v>39</v>
      </c>
      <c r="E388" s="42" t="s">
        <v>46</v>
      </c>
      <c r="F388" s="42" t="s">
        <v>38</v>
      </c>
      <c r="G388" s="43">
        <v>3662.64</v>
      </c>
      <c r="H388" s="41">
        <v>443164861</v>
      </c>
      <c r="I388" s="44">
        <v>0</v>
      </c>
      <c r="J388" s="43">
        <v>0</v>
      </c>
      <c r="K388" s="43">
        <v>0</v>
      </c>
      <c r="L388" s="43">
        <v>0</v>
      </c>
      <c r="M388" s="43">
        <v>10026.09</v>
      </c>
      <c r="N388" s="45" t="s">
        <v>53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35">
        <v>45918.144548611112</v>
      </c>
      <c r="B389" s="36">
        <v>443953888</v>
      </c>
      <c r="C389" s="37" t="s">
        <v>36</v>
      </c>
      <c r="D389" s="37" t="s">
        <v>39</v>
      </c>
      <c r="E389" s="37" t="s">
        <v>46</v>
      </c>
      <c r="F389" s="37" t="s">
        <v>38</v>
      </c>
      <c r="G389" s="38">
        <v>3662.64</v>
      </c>
      <c r="H389" s="36">
        <v>443164862</v>
      </c>
      <c r="I389" s="39">
        <v>0</v>
      </c>
      <c r="J389" s="38">
        <v>0</v>
      </c>
      <c r="K389" s="38">
        <v>0</v>
      </c>
      <c r="L389" s="38">
        <v>0</v>
      </c>
      <c r="M389" s="38">
        <v>10026.09</v>
      </c>
      <c r="N389" s="46" t="s">
        <v>49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40">
        <v>45918.146284722221</v>
      </c>
      <c r="B390" s="41">
        <v>443954043</v>
      </c>
      <c r="C390" s="42" t="s">
        <v>36</v>
      </c>
      <c r="D390" s="42" t="s">
        <v>39</v>
      </c>
      <c r="E390" s="42" t="s">
        <v>46</v>
      </c>
      <c r="F390" s="42" t="s">
        <v>38</v>
      </c>
      <c r="G390" s="43">
        <v>3663.14</v>
      </c>
      <c r="H390" s="41">
        <v>443165010</v>
      </c>
      <c r="I390" s="44">
        <v>0</v>
      </c>
      <c r="J390" s="43">
        <v>0</v>
      </c>
      <c r="K390" s="43">
        <v>0</v>
      </c>
      <c r="L390" s="43">
        <v>0</v>
      </c>
      <c r="M390" s="43">
        <v>10026.09</v>
      </c>
      <c r="N390" s="45" t="s">
        <v>395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35">
        <v>45918.146284722221</v>
      </c>
      <c r="B391" s="36">
        <v>443954044</v>
      </c>
      <c r="C391" s="37" t="s">
        <v>36</v>
      </c>
      <c r="D391" s="37" t="s">
        <v>39</v>
      </c>
      <c r="E391" s="37" t="s">
        <v>46</v>
      </c>
      <c r="F391" s="37" t="s">
        <v>38</v>
      </c>
      <c r="G391" s="38">
        <v>3663.14</v>
      </c>
      <c r="H391" s="36">
        <v>443165011</v>
      </c>
      <c r="I391" s="39">
        <v>0</v>
      </c>
      <c r="J391" s="38">
        <v>0</v>
      </c>
      <c r="K391" s="38">
        <v>0</v>
      </c>
      <c r="L391" s="38">
        <v>0</v>
      </c>
      <c r="M391" s="38">
        <v>10026.09</v>
      </c>
      <c r="N391" s="46" t="s">
        <v>268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40">
        <v>45918.15079861111</v>
      </c>
      <c r="B392" s="41">
        <v>443955159</v>
      </c>
      <c r="C392" s="42" t="s">
        <v>36</v>
      </c>
      <c r="D392" s="42" t="s">
        <v>37</v>
      </c>
      <c r="E392" s="42" t="s">
        <v>47</v>
      </c>
      <c r="F392" s="42" t="s">
        <v>38</v>
      </c>
      <c r="G392" s="43">
        <v>3661</v>
      </c>
      <c r="H392" s="41">
        <v>443166135</v>
      </c>
      <c r="I392" s="44">
        <v>0</v>
      </c>
      <c r="J392" s="43">
        <v>0</v>
      </c>
      <c r="K392" s="43">
        <v>0</v>
      </c>
      <c r="L392" s="43">
        <v>1.69</v>
      </c>
      <c r="M392" s="43">
        <v>10027.780000000001</v>
      </c>
      <c r="N392" s="45" t="s">
        <v>409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35">
        <v>45918.151944444442</v>
      </c>
      <c r="B393" s="36">
        <v>443955803</v>
      </c>
      <c r="C393" s="37" t="s">
        <v>36</v>
      </c>
      <c r="D393" s="37" t="s">
        <v>37</v>
      </c>
      <c r="E393" s="37" t="s">
        <v>47</v>
      </c>
      <c r="F393" s="37" t="s">
        <v>38</v>
      </c>
      <c r="G393" s="38">
        <v>3659.68</v>
      </c>
      <c r="H393" s="36">
        <v>443166741</v>
      </c>
      <c r="I393" s="39">
        <v>0</v>
      </c>
      <c r="J393" s="38">
        <v>0</v>
      </c>
      <c r="K393" s="38">
        <v>0</v>
      </c>
      <c r="L393" s="38">
        <v>3.01</v>
      </c>
      <c r="M393" s="38">
        <v>10030.790000000001</v>
      </c>
      <c r="N393" s="46" t="s">
        <v>410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40">
        <v>45918.151944444442</v>
      </c>
      <c r="B394" s="41">
        <v>443955804</v>
      </c>
      <c r="C394" s="42" t="s">
        <v>36</v>
      </c>
      <c r="D394" s="42" t="s">
        <v>37</v>
      </c>
      <c r="E394" s="42" t="s">
        <v>47</v>
      </c>
      <c r="F394" s="42" t="s">
        <v>38</v>
      </c>
      <c r="G394" s="43">
        <v>3659.68</v>
      </c>
      <c r="H394" s="41">
        <v>443166742</v>
      </c>
      <c r="I394" s="44">
        <v>0</v>
      </c>
      <c r="J394" s="43">
        <v>0</v>
      </c>
      <c r="K394" s="43">
        <v>0</v>
      </c>
      <c r="L394" s="43">
        <v>2.96</v>
      </c>
      <c r="M394" s="43">
        <v>10033.75</v>
      </c>
      <c r="N394" s="45" t="s">
        <v>410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35">
        <v>45918.151944444442</v>
      </c>
      <c r="B395" s="36">
        <v>443955805</v>
      </c>
      <c r="C395" s="37" t="s">
        <v>36</v>
      </c>
      <c r="D395" s="37" t="s">
        <v>37</v>
      </c>
      <c r="E395" s="37" t="s">
        <v>47</v>
      </c>
      <c r="F395" s="37" t="s">
        <v>38</v>
      </c>
      <c r="G395" s="38">
        <v>3659.68</v>
      </c>
      <c r="H395" s="36">
        <v>443166743</v>
      </c>
      <c r="I395" s="39">
        <v>0</v>
      </c>
      <c r="J395" s="38">
        <v>0</v>
      </c>
      <c r="K395" s="38">
        <v>0</v>
      </c>
      <c r="L395" s="38">
        <v>3.46</v>
      </c>
      <c r="M395" s="38">
        <v>10037.209999999999</v>
      </c>
      <c r="N395" s="46" t="s">
        <v>411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40">
        <v>45918.151944444442</v>
      </c>
      <c r="B396" s="41">
        <v>443955806</v>
      </c>
      <c r="C396" s="42" t="s">
        <v>36</v>
      </c>
      <c r="D396" s="42" t="s">
        <v>37</v>
      </c>
      <c r="E396" s="42" t="s">
        <v>47</v>
      </c>
      <c r="F396" s="42" t="s">
        <v>38</v>
      </c>
      <c r="G396" s="43">
        <v>3659.68</v>
      </c>
      <c r="H396" s="41">
        <v>443166744</v>
      </c>
      <c r="I396" s="44">
        <v>0</v>
      </c>
      <c r="J396" s="43">
        <v>0</v>
      </c>
      <c r="K396" s="43">
        <v>0</v>
      </c>
      <c r="L396" s="43">
        <v>3.46</v>
      </c>
      <c r="M396" s="43">
        <v>10040.67</v>
      </c>
      <c r="N396" s="45" t="s">
        <v>411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35">
        <v>45918.152233796296</v>
      </c>
      <c r="B397" s="36">
        <v>443955921</v>
      </c>
      <c r="C397" s="37" t="s">
        <v>36</v>
      </c>
      <c r="D397" s="37" t="s">
        <v>37</v>
      </c>
      <c r="E397" s="37" t="s">
        <v>47</v>
      </c>
      <c r="F397" s="37" t="s">
        <v>38</v>
      </c>
      <c r="G397" s="38">
        <v>3659.17</v>
      </c>
      <c r="H397" s="36">
        <v>443166857</v>
      </c>
      <c r="I397" s="39">
        <v>0</v>
      </c>
      <c r="J397" s="38">
        <v>0</v>
      </c>
      <c r="K397" s="38">
        <v>0</v>
      </c>
      <c r="L397" s="38">
        <v>3.47</v>
      </c>
      <c r="M397" s="38">
        <v>10044.14</v>
      </c>
      <c r="N397" s="46" t="s">
        <v>412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40">
        <v>45918.155659722222</v>
      </c>
      <c r="B398" s="41">
        <v>443956815</v>
      </c>
      <c r="C398" s="42" t="s">
        <v>36</v>
      </c>
      <c r="D398" s="42" t="s">
        <v>39</v>
      </c>
      <c r="E398" s="42" t="s">
        <v>46</v>
      </c>
      <c r="F398" s="42" t="s">
        <v>38</v>
      </c>
      <c r="G398" s="43">
        <v>3659.56</v>
      </c>
      <c r="H398" s="41">
        <v>443167731</v>
      </c>
      <c r="I398" s="44">
        <v>0</v>
      </c>
      <c r="J398" s="43">
        <v>0</v>
      </c>
      <c r="K398" s="43">
        <v>0</v>
      </c>
      <c r="L398" s="43">
        <v>0</v>
      </c>
      <c r="M398" s="43">
        <v>10044.14</v>
      </c>
      <c r="N398" s="45" t="s">
        <v>150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35">
        <v>45918.155659722222</v>
      </c>
      <c r="B399" s="36">
        <v>443956816</v>
      </c>
      <c r="C399" s="37" t="s">
        <v>36</v>
      </c>
      <c r="D399" s="37" t="s">
        <v>39</v>
      </c>
      <c r="E399" s="37" t="s">
        <v>46</v>
      </c>
      <c r="F399" s="37" t="s">
        <v>38</v>
      </c>
      <c r="G399" s="38">
        <v>3659.56</v>
      </c>
      <c r="H399" s="36">
        <v>443167732</v>
      </c>
      <c r="I399" s="39">
        <v>0</v>
      </c>
      <c r="J399" s="38">
        <v>0</v>
      </c>
      <c r="K399" s="38">
        <v>0</v>
      </c>
      <c r="L399" s="38">
        <v>0</v>
      </c>
      <c r="M399" s="38">
        <v>10044.14</v>
      </c>
      <c r="N399" s="46" t="s">
        <v>49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40">
        <v>45918.155659722222</v>
      </c>
      <c r="B400" s="41">
        <v>443956817</v>
      </c>
      <c r="C400" s="42" t="s">
        <v>36</v>
      </c>
      <c r="D400" s="42" t="s">
        <v>39</v>
      </c>
      <c r="E400" s="42" t="s">
        <v>46</v>
      </c>
      <c r="F400" s="42" t="s">
        <v>38</v>
      </c>
      <c r="G400" s="43">
        <v>3659.56</v>
      </c>
      <c r="H400" s="41">
        <v>443167733</v>
      </c>
      <c r="I400" s="44">
        <v>0</v>
      </c>
      <c r="J400" s="43">
        <v>0</v>
      </c>
      <c r="K400" s="43">
        <v>0</v>
      </c>
      <c r="L400" s="43">
        <v>0</v>
      </c>
      <c r="M400" s="43">
        <v>10044.14</v>
      </c>
      <c r="N400" s="45" t="s">
        <v>48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35">
        <v>45918.155659722222</v>
      </c>
      <c r="B401" s="36">
        <v>443956818</v>
      </c>
      <c r="C401" s="37" t="s">
        <v>36</v>
      </c>
      <c r="D401" s="37" t="s">
        <v>39</v>
      </c>
      <c r="E401" s="37" t="s">
        <v>46</v>
      </c>
      <c r="F401" s="37" t="s">
        <v>38</v>
      </c>
      <c r="G401" s="38">
        <v>3659.56</v>
      </c>
      <c r="H401" s="36">
        <v>443167734</v>
      </c>
      <c r="I401" s="39">
        <v>0</v>
      </c>
      <c r="J401" s="38">
        <v>0</v>
      </c>
      <c r="K401" s="38">
        <v>0</v>
      </c>
      <c r="L401" s="38">
        <v>0</v>
      </c>
      <c r="M401" s="38">
        <v>10044.14</v>
      </c>
      <c r="N401" s="46" t="s">
        <v>53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40">
        <v>45918.156469907408</v>
      </c>
      <c r="B402" s="41">
        <v>443956972</v>
      </c>
      <c r="C402" s="42" t="s">
        <v>36</v>
      </c>
      <c r="D402" s="42" t="s">
        <v>39</v>
      </c>
      <c r="E402" s="42" t="s">
        <v>46</v>
      </c>
      <c r="F402" s="42" t="s">
        <v>38</v>
      </c>
      <c r="G402" s="43">
        <v>3660.2</v>
      </c>
      <c r="H402" s="41">
        <v>443167890</v>
      </c>
      <c r="I402" s="44">
        <v>0</v>
      </c>
      <c r="J402" s="43">
        <v>0</v>
      </c>
      <c r="K402" s="43">
        <v>0</v>
      </c>
      <c r="L402" s="43">
        <v>0</v>
      </c>
      <c r="M402" s="43">
        <v>10044.14</v>
      </c>
      <c r="N402" s="45" t="s">
        <v>268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35">
        <v>45918.157569444447</v>
      </c>
      <c r="B403" s="36">
        <v>443957522</v>
      </c>
      <c r="C403" s="37" t="s">
        <v>36</v>
      </c>
      <c r="D403" s="37" t="s">
        <v>37</v>
      </c>
      <c r="E403" s="37" t="s">
        <v>47</v>
      </c>
      <c r="F403" s="37" t="s">
        <v>38</v>
      </c>
      <c r="G403" s="38">
        <v>3662.11</v>
      </c>
      <c r="H403" s="36">
        <v>443168441</v>
      </c>
      <c r="I403" s="39">
        <v>0</v>
      </c>
      <c r="J403" s="38">
        <v>0</v>
      </c>
      <c r="K403" s="38">
        <v>0</v>
      </c>
      <c r="L403" s="38">
        <v>-2.5499999999999998</v>
      </c>
      <c r="M403" s="38">
        <v>10041.59</v>
      </c>
      <c r="N403" s="46" t="s">
        <v>413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40">
        <v>45918.158009259256</v>
      </c>
      <c r="B404" s="41">
        <v>443957680</v>
      </c>
      <c r="C404" s="42" t="s">
        <v>36</v>
      </c>
      <c r="D404" s="42" t="s">
        <v>37</v>
      </c>
      <c r="E404" s="42" t="s">
        <v>47</v>
      </c>
      <c r="F404" s="42" t="s">
        <v>38</v>
      </c>
      <c r="G404" s="43">
        <v>3662.65</v>
      </c>
      <c r="H404" s="41">
        <v>443168599</v>
      </c>
      <c r="I404" s="44">
        <v>0</v>
      </c>
      <c r="J404" s="43">
        <v>0</v>
      </c>
      <c r="K404" s="43">
        <v>0</v>
      </c>
      <c r="L404" s="43">
        <v>-3.09</v>
      </c>
      <c r="M404" s="43">
        <v>10038.5</v>
      </c>
      <c r="N404" s="45" t="s">
        <v>414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35">
        <v>45918.158009259256</v>
      </c>
      <c r="B405" s="36">
        <v>443957681</v>
      </c>
      <c r="C405" s="37" t="s">
        <v>36</v>
      </c>
      <c r="D405" s="37" t="s">
        <v>37</v>
      </c>
      <c r="E405" s="37" t="s">
        <v>47</v>
      </c>
      <c r="F405" s="37" t="s">
        <v>38</v>
      </c>
      <c r="G405" s="38">
        <v>3662.65</v>
      </c>
      <c r="H405" s="36">
        <v>443168600</v>
      </c>
      <c r="I405" s="39">
        <v>0</v>
      </c>
      <c r="J405" s="38">
        <v>0</v>
      </c>
      <c r="K405" s="38">
        <v>0</v>
      </c>
      <c r="L405" s="38">
        <v>-3.09</v>
      </c>
      <c r="M405" s="38">
        <v>10035.41</v>
      </c>
      <c r="N405" s="46" t="s">
        <v>414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40">
        <v>45918.158009259256</v>
      </c>
      <c r="B406" s="41">
        <v>443957682</v>
      </c>
      <c r="C406" s="42" t="s">
        <v>36</v>
      </c>
      <c r="D406" s="42" t="s">
        <v>37</v>
      </c>
      <c r="E406" s="42" t="s">
        <v>47</v>
      </c>
      <c r="F406" s="42" t="s">
        <v>38</v>
      </c>
      <c r="G406" s="43">
        <v>3662.65</v>
      </c>
      <c r="H406" s="41">
        <v>443168601</v>
      </c>
      <c r="I406" s="44">
        <v>0</v>
      </c>
      <c r="J406" s="43">
        <v>0</v>
      </c>
      <c r="K406" s="43">
        <v>0</v>
      </c>
      <c r="L406" s="43">
        <v>-3.09</v>
      </c>
      <c r="M406" s="43">
        <v>10032.32</v>
      </c>
      <c r="N406" s="45" t="s">
        <v>414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35">
        <v>45918.158680555556</v>
      </c>
      <c r="B407" s="36">
        <v>443957927</v>
      </c>
      <c r="C407" s="37" t="s">
        <v>36</v>
      </c>
      <c r="D407" s="37" t="s">
        <v>37</v>
      </c>
      <c r="E407" s="37" t="s">
        <v>47</v>
      </c>
      <c r="F407" s="37" t="s">
        <v>38</v>
      </c>
      <c r="G407" s="38">
        <v>3663.25</v>
      </c>
      <c r="H407" s="36">
        <v>443168832</v>
      </c>
      <c r="I407" s="39">
        <v>0</v>
      </c>
      <c r="J407" s="38">
        <v>0</v>
      </c>
      <c r="K407" s="38">
        <v>0</v>
      </c>
      <c r="L407" s="38">
        <v>-3.05</v>
      </c>
      <c r="M407" s="38">
        <v>10029.27</v>
      </c>
      <c r="N407" s="46" t="s">
        <v>415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40">
        <v>45918.16815972222</v>
      </c>
      <c r="B408" s="41">
        <v>443962100</v>
      </c>
      <c r="C408" s="42" t="s">
        <v>36</v>
      </c>
      <c r="D408" s="42" t="s">
        <v>37</v>
      </c>
      <c r="E408" s="42" t="s">
        <v>46</v>
      </c>
      <c r="F408" s="42" t="s">
        <v>38</v>
      </c>
      <c r="G408" s="43">
        <v>3666</v>
      </c>
      <c r="H408" s="41">
        <v>443173042</v>
      </c>
      <c r="I408" s="44">
        <v>0</v>
      </c>
      <c r="J408" s="43">
        <v>0</v>
      </c>
      <c r="K408" s="43">
        <v>0</v>
      </c>
      <c r="L408" s="43">
        <v>0</v>
      </c>
      <c r="M408" s="43">
        <v>10029.27</v>
      </c>
      <c r="N408" s="45" t="s">
        <v>150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35">
        <v>45918.16815972222</v>
      </c>
      <c r="B409" s="36">
        <v>443962101</v>
      </c>
      <c r="C409" s="37" t="s">
        <v>36</v>
      </c>
      <c r="D409" s="37" t="s">
        <v>37</v>
      </c>
      <c r="E409" s="37" t="s">
        <v>46</v>
      </c>
      <c r="F409" s="37" t="s">
        <v>38</v>
      </c>
      <c r="G409" s="38">
        <v>3665.97</v>
      </c>
      <c r="H409" s="36">
        <v>443173043</v>
      </c>
      <c r="I409" s="39">
        <v>0</v>
      </c>
      <c r="J409" s="38">
        <v>0</v>
      </c>
      <c r="K409" s="38">
        <v>0</v>
      </c>
      <c r="L409" s="38">
        <v>0</v>
      </c>
      <c r="M409" s="38">
        <v>10029.27</v>
      </c>
      <c r="N409" s="46" t="s">
        <v>48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40">
        <v>45918.16815972222</v>
      </c>
      <c r="B410" s="41">
        <v>443962102</v>
      </c>
      <c r="C410" s="42" t="s">
        <v>36</v>
      </c>
      <c r="D410" s="42" t="s">
        <v>37</v>
      </c>
      <c r="E410" s="42" t="s">
        <v>46</v>
      </c>
      <c r="F410" s="42" t="s">
        <v>38</v>
      </c>
      <c r="G410" s="43">
        <v>3665.9</v>
      </c>
      <c r="H410" s="41">
        <v>443173044</v>
      </c>
      <c r="I410" s="44">
        <v>0</v>
      </c>
      <c r="J410" s="43">
        <v>0</v>
      </c>
      <c r="K410" s="43">
        <v>0</v>
      </c>
      <c r="L410" s="43">
        <v>0</v>
      </c>
      <c r="M410" s="43">
        <v>10029.27</v>
      </c>
      <c r="N410" s="45" t="s">
        <v>49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35">
        <v>45918.16815972222</v>
      </c>
      <c r="B411" s="36">
        <v>443962103</v>
      </c>
      <c r="C411" s="37" t="s">
        <v>36</v>
      </c>
      <c r="D411" s="37" t="s">
        <v>37</v>
      </c>
      <c r="E411" s="37" t="s">
        <v>46</v>
      </c>
      <c r="F411" s="37" t="s">
        <v>38</v>
      </c>
      <c r="G411" s="38">
        <v>3665.88</v>
      </c>
      <c r="H411" s="36">
        <v>443173045</v>
      </c>
      <c r="I411" s="39">
        <v>0</v>
      </c>
      <c r="J411" s="38">
        <v>0</v>
      </c>
      <c r="K411" s="38">
        <v>0</v>
      </c>
      <c r="L411" s="38">
        <v>0</v>
      </c>
      <c r="M411" s="38">
        <v>10029.27</v>
      </c>
      <c r="N411" s="46" t="s">
        <v>53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40">
        <v>45918.169340277775</v>
      </c>
      <c r="B412" s="41">
        <v>443963070</v>
      </c>
      <c r="C412" s="42" t="s">
        <v>36</v>
      </c>
      <c r="D412" s="42" t="s">
        <v>39</v>
      </c>
      <c r="E412" s="42" t="s">
        <v>47</v>
      </c>
      <c r="F412" s="42" t="s">
        <v>38</v>
      </c>
      <c r="G412" s="43">
        <v>3663.42</v>
      </c>
      <c r="H412" s="41">
        <v>443174012</v>
      </c>
      <c r="I412" s="44">
        <v>0</v>
      </c>
      <c r="J412" s="43">
        <v>0</v>
      </c>
      <c r="K412" s="43">
        <v>0</v>
      </c>
      <c r="L412" s="43">
        <v>-2.48</v>
      </c>
      <c r="M412" s="43">
        <v>10026.790000000001</v>
      </c>
      <c r="N412" s="45" t="s">
        <v>416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35">
        <v>45918.169374999998</v>
      </c>
      <c r="B413" s="36">
        <v>443963155</v>
      </c>
      <c r="C413" s="37" t="s">
        <v>36</v>
      </c>
      <c r="D413" s="37" t="s">
        <v>39</v>
      </c>
      <c r="E413" s="37" t="s">
        <v>47</v>
      </c>
      <c r="F413" s="37" t="s">
        <v>38</v>
      </c>
      <c r="G413" s="38">
        <v>3662.99</v>
      </c>
      <c r="H413" s="36">
        <v>443174097</v>
      </c>
      <c r="I413" s="39">
        <v>0</v>
      </c>
      <c r="J413" s="38">
        <v>0</v>
      </c>
      <c r="K413" s="38">
        <v>0</v>
      </c>
      <c r="L413" s="38">
        <v>-3.01</v>
      </c>
      <c r="M413" s="38">
        <v>10023.780000000001</v>
      </c>
      <c r="N413" s="46" t="s">
        <v>417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40">
        <v>45918.169398148151</v>
      </c>
      <c r="B414" s="41">
        <v>443963161</v>
      </c>
      <c r="C414" s="42" t="s">
        <v>36</v>
      </c>
      <c r="D414" s="42" t="s">
        <v>39</v>
      </c>
      <c r="E414" s="42" t="s">
        <v>47</v>
      </c>
      <c r="F414" s="42" t="s">
        <v>38</v>
      </c>
      <c r="G414" s="43">
        <v>3662.97</v>
      </c>
      <c r="H414" s="41">
        <v>443174103</v>
      </c>
      <c r="I414" s="44">
        <v>0</v>
      </c>
      <c r="J414" s="43">
        <v>0</v>
      </c>
      <c r="K414" s="43">
        <v>0</v>
      </c>
      <c r="L414" s="43">
        <v>-3</v>
      </c>
      <c r="M414" s="43">
        <v>10020.780000000001</v>
      </c>
      <c r="N414" s="45" t="s">
        <v>418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35">
        <v>45918.169398148151</v>
      </c>
      <c r="B415" s="36">
        <v>443963162</v>
      </c>
      <c r="C415" s="37" t="s">
        <v>36</v>
      </c>
      <c r="D415" s="37" t="s">
        <v>39</v>
      </c>
      <c r="E415" s="37" t="s">
        <v>47</v>
      </c>
      <c r="F415" s="37" t="s">
        <v>38</v>
      </c>
      <c r="G415" s="38">
        <v>3662.97</v>
      </c>
      <c r="H415" s="36">
        <v>443174104</v>
      </c>
      <c r="I415" s="39">
        <v>0</v>
      </c>
      <c r="J415" s="38">
        <v>0</v>
      </c>
      <c r="K415" s="38">
        <v>0</v>
      </c>
      <c r="L415" s="38">
        <v>-2.91</v>
      </c>
      <c r="M415" s="38">
        <v>10017.870000000001</v>
      </c>
      <c r="N415" s="46" t="s">
        <v>418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40">
        <v>45918.169432870367</v>
      </c>
      <c r="B416" s="41">
        <v>443963214</v>
      </c>
      <c r="C416" s="42" t="s">
        <v>36</v>
      </c>
      <c r="D416" s="42" t="s">
        <v>39</v>
      </c>
      <c r="E416" s="42" t="s">
        <v>46</v>
      </c>
      <c r="F416" s="42" t="s">
        <v>38</v>
      </c>
      <c r="G416" s="43">
        <v>3662.55</v>
      </c>
      <c r="H416" s="41">
        <v>443174155</v>
      </c>
      <c r="I416" s="44">
        <v>0</v>
      </c>
      <c r="J416" s="43">
        <v>0</v>
      </c>
      <c r="K416" s="43">
        <v>0</v>
      </c>
      <c r="L416" s="43">
        <v>0</v>
      </c>
      <c r="M416" s="43">
        <v>10017.870000000001</v>
      </c>
      <c r="N416" s="45" t="s">
        <v>125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35">
        <v>45918.169432870367</v>
      </c>
      <c r="B417" s="36">
        <v>443963240</v>
      </c>
      <c r="C417" s="37" t="s">
        <v>36</v>
      </c>
      <c r="D417" s="37" t="s">
        <v>39</v>
      </c>
      <c r="E417" s="37" t="s">
        <v>46</v>
      </c>
      <c r="F417" s="37" t="s">
        <v>38</v>
      </c>
      <c r="G417" s="38">
        <v>3662.41</v>
      </c>
      <c r="H417" s="36">
        <v>443174180</v>
      </c>
      <c r="I417" s="39">
        <v>0</v>
      </c>
      <c r="J417" s="38">
        <v>0</v>
      </c>
      <c r="K417" s="38">
        <v>0</v>
      </c>
      <c r="L417" s="38">
        <v>0</v>
      </c>
      <c r="M417" s="38">
        <v>10017.870000000001</v>
      </c>
      <c r="N417" s="46" t="s">
        <v>124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40">
        <v>45918.169456018521</v>
      </c>
      <c r="B418" s="41">
        <v>443963397</v>
      </c>
      <c r="C418" s="42" t="s">
        <v>36</v>
      </c>
      <c r="D418" s="42" t="s">
        <v>39</v>
      </c>
      <c r="E418" s="42" t="s">
        <v>46</v>
      </c>
      <c r="F418" s="42" t="s">
        <v>38</v>
      </c>
      <c r="G418" s="43">
        <v>3661.92</v>
      </c>
      <c r="H418" s="41">
        <v>443174338</v>
      </c>
      <c r="I418" s="44">
        <v>0</v>
      </c>
      <c r="J418" s="43">
        <v>0</v>
      </c>
      <c r="K418" s="43">
        <v>0</v>
      </c>
      <c r="L418" s="43">
        <v>0</v>
      </c>
      <c r="M418" s="43">
        <v>10017.870000000001</v>
      </c>
      <c r="N418" s="45" t="s">
        <v>123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35">
        <v>45918.174143518518</v>
      </c>
      <c r="B419" s="36">
        <v>443965158</v>
      </c>
      <c r="C419" s="37" t="s">
        <v>36</v>
      </c>
      <c r="D419" s="37" t="s">
        <v>37</v>
      </c>
      <c r="E419" s="37" t="s">
        <v>47</v>
      </c>
      <c r="F419" s="37" t="s">
        <v>38</v>
      </c>
      <c r="G419" s="38">
        <v>3657.3</v>
      </c>
      <c r="H419" s="36">
        <v>443176079</v>
      </c>
      <c r="I419" s="39">
        <v>0</v>
      </c>
      <c r="J419" s="38">
        <v>0</v>
      </c>
      <c r="K419" s="38">
        <v>0</v>
      </c>
      <c r="L419" s="38">
        <v>4.62</v>
      </c>
      <c r="M419" s="38">
        <v>10022.49</v>
      </c>
      <c r="N419" s="46" t="s">
        <v>419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40">
        <v>45918.174212962964</v>
      </c>
      <c r="B420" s="41">
        <v>443965251</v>
      </c>
      <c r="C420" s="42" t="s">
        <v>36</v>
      </c>
      <c r="D420" s="42" t="s">
        <v>37</v>
      </c>
      <c r="E420" s="42" t="s">
        <v>47</v>
      </c>
      <c r="F420" s="42" t="s">
        <v>38</v>
      </c>
      <c r="G420" s="43">
        <v>3656.56</v>
      </c>
      <c r="H420" s="41">
        <v>443176167</v>
      </c>
      <c r="I420" s="44">
        <v>0</v>
      </c>
      <c r="J420" s="43">
        <v>0</v>
      </c>
      <c r="K420" s="43">
        <v>0</v>
      </c>
      <c r="L420" s="43">
        <v>5.99</v>
      </c>
      <c r="M420" s="43">
        <v>10028.48</v>
      </c>
      <c r="N420" s="45" t="s">
        <v>420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35">
        <v>45918.175219907411</v>
      </c>
      <c r="B421" s="36">
        <v>443965934</v>
      </c>
      <c r="C421" s="37" t="s">
        <v>36</v>
      </c>
      <c r="D421" s="37" t="s">
        <v>39</v>
      </c>
      <c r="E421" s="37" t="s">
        <v>46</v>
      </c>
      <c r="F421" s="37" t="s">
        <v>38</v>
      </c>
      <c r="G421" s="38">
        <v>3658.85</v>
      </c>
      <c r="H421" s="36">
        <v>443176844</v>
      </c>
      <c r="I421" s="39">
        <v>0</v>
      </c>
      <c r="J421" s="38">
        <v>0</v>
      </c>
      <c r="K421" s="38">
        <v>0</v>
      </c>
      <c r="L421" s="38">
        <v>0</v>
      </c>
      <c r="M421" s="38">
        <v>10028.48</v>
      </c>
      <c r="N421" s="46" t="s">
        <v>150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40">
        <v>45918.175219907411</v>
      </c>
      <c r="B422" s="41">
        <v>443965935</v>
      </c>
      <c r="C422" s="42" t="s">
        <v>36</v>
      </c>
      <c r="D422" s="42" t="s">
        <v>39</v>
      </c>
      <c r="E422" s="42" t="s">
        <v>46</v>
      </c>
      <c r="F422" s="42" t="s">
        <v>38</v>
      </c>
      <c r="G422" s="43">
        <v>3658.85</v>
      </c>
      <c r="H422" s="41">
        <v>443176846</v>
      </c>
      <c r="I422" s="44">
        <v>0</v>
      </c>
      <c r="J422" s="43">
        <v>0</v>
      </c>
      <c r="K422" s="43">
        <v>0</v>
      </c>
      <c r="L422" s="43">
        <v>0</v>
      </c>
      <c r="M422" s="43">
        <v>10028.48</v>
      </c>
      <c r="N422" s="45" t="s">
        <v>48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35">
        <v>45918.175219907411</v>
      </c>
      <c r="B423" s="36">
        <v>443965936</v>
      </c>
      <c r="C423" s="37" t="s">
        <v>36</v>
      </c>
      <c r="D423" s="37" t="s">
        <v>39</v>
      </c>
      <c r="E423" s="37" t="s">
        <v>46</v>
      </c>
      <c r="F423" s="37" t="s">
        <v>38</v>
      </c>
      <c r="G423" s="38">
        <v>3658.86</v>
      </c>
      <c r="H423" s="36">
        <v>443176847</v>
      </c>
      <c r="I423" s="39">
        <v>0</v>
      </c>
      <c r="J423" s="38">
        <v>0</v>
      </c>
      <c r="K423" s="38">
        <v>0</v>
      </c>
      <c r="L423" s="38">
        <v>0</v>
      </c>
      <c r="M423" s="38">
        <v>10028.48</v>
      </c>
      <c r="N423" s="46" t="s">
        <v>49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40">
        <v>45918.175219907411</v>
      </c>
      <c r="B424" s="41">
        <v>443965937</v>
      </c>
      <c r="C424" s="42" t="s">
        <v>36</v>
      </c>
      <c r="D424" s="42" t="s">
        <v>39</v>
      </c>
      <c r="E424" s="42" t="s">
        <v>46</v>
      </c>
      <c r="F424" s="42" t="s">
        <v>38</v>
      </c>
      <c r="G424" s="43">
        <v>3658.86</v>
      </c>
      <c r="H424" s="41">
        <v>443176848</v>
      </c>
      <c r="I424" s="44">
        <v>0</v>
      </c>
      <c r="J424" s="43">
        <v>0</v>
      </c>
      <c r="K424" s="43">
        <v>0</v>
      </c>
      <c r="L424" s="43">
        <v>0</v>
      </c>
      <c r="M424" s="43">
        <v>10028.48</v>
      </c>
      <c r="N424" s="45" t="s">
        <v>53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35">
        <v>45918.175543981481</v>
      </c>
      <c r="B425" s="36">
        <v>443966004</v>
      </c>
      <c r="C425" s="37" t="s">
        <v>36</v>
      </c>
      <c r="D425" s="37" t="s">
        <v>37</v>
      </c>
      <c r="E425" s="37" t="s">
        <v>47</v>
      </c>
      <c r="F425" s="37" t="s">
        <v>38</v>
      </c>
      <c r="G425" s="38">
        <v>3660.27</v>
      </c>
      <c r="H425" s="36">
        <v>443176914</v>
      </c>
      <c r="I425" s="39">
        <v>0</v>
      </c>
      <c r="J425" s="38">
        <v>0</v>
      </c>
      <c r="K425" s="38">
        <v>0</v>
      </c>
      <c r="L425" s="38">
        <v>2.14</v>
      </c>
      <c r="M425" s="38">
        <v>10030.620000000001</v>
      </c>
      <c r="N425" s="46" t="s">
        <v>421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40">
        <v>45918.176736111112</v>
      </c>
      <c r="B426" s="41">
        <v>443966436</v>
      </c>
      <c r="C426" s="42" t="s">
        <v>36</v>
      </c>
      <c r="D426" s="42" t="s">
        <v>37</v>
      </c>
      <c r="E426" s="42" t="s">
        <v>47</v>
      </c>
      <c r="F426" s="42" t="s">
        <v>38</v>
      </c>
      <c r="G426" s="43">
        <v>3661.43</v>
      </c>
      <c r="H426" s="41">
        <v>443177346</v>
      </c>
      <c r="I426" s="44">
        <v>0</v>
      </c>
      <c r="J426" s="43">
        <v>0</v>
      </c>
      <c r="K426" s="43">
        <v>0</v>
      </c>
      <c r="L426" s="43">
        <v>-2.57</v>
      </c>
      <c r="M426" s="43">
        <v>10028.049999999999</v>
      </c>
      <c r="N426" s="45" t="s">
        <v>422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35">
        <v>45918.177361111113</v>
      </c>
      <c r="B427" s="36">
        <v>443966848</v>
      </c>
      <c r="C427" s="37" t="s">
        <v>36</v>
      </c>
      <c r="D427" s="37" t="s">
        <v>37</v>
      </c>
      <c r="E427" s="37" t="s">
        <v>47</v>
      </c>
      <c r="F427" s="37" t="s">
        <v>38</v>
      </c>
      <c r="G427" s="38">
        <v>3657.29</v>
      </c>
      <c r="H427" s="36">
        <v>443177728</v>
      </c>
      <c r="I427" s="39">
        <v>0</v>
      </c>
      <c r="J427" s="38">
        <v>0</v>
      </c>
      <c r="K427" s="38">
        <v>0</v>
      </c>
      <c r="L427" s="38">
        <v>1.56</v>
      </c>
      <c r="M427" s="38">
        <v>10029.61</v>
      </c>
      <c r="N427" s="46" t="s">
        <v>423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40">
        <v>45918.177905092591</v>
      </c>
      <c r="B428" s="41">
        <v>443967107</v>
      </c>
      <c r="C428" s="42" t="s">
        <v>36</v>
      </c>
      <c r="D428" s="42" t="s">
        <v>37</v>
      </c>
      <c r="E428" s="42" t="s">
        <v>47</v>
      </c>
      <c r="F428" s="42" t="s">
        <v>38</v>
      </c>
      <c r="G428" s="43">
        <v>3655.61</v>
      </c>
      <c r="H428" s="41">
        <v>443177980</v>
      </c>
      <c r="I428" s="44">
        <v>0</v>
      </c>
      <c r="J428" s="43">
        <v>0</v>
      </c>
      <c r="K428" s="43">
        <v>0</v>
      </c>
      <c r="L428" s="43">
        <v>3.24</v>
      </c>
      <c r="M428" s="43">
        <v>10032.85</v>
      </c>
      <c r="N428" s="45" t="s">
        <v>424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35">
        <v>45918.179872685185</v>
      </c>
      <c r="B429" s="36">
        <v>443967478</v>
      </c>
      <c r="C429" s="37" t="s">
        <v>36</v>
      </c>
      <c r="D429" s="37" t="s">
        <v>37</v>
      </c>
      <c r="E429" s="37" t="s">
        <v>47</v>
      </c>
      <c r="F429" s="37" t="s">
        <v>38</v>
      </c>
      <c r="G429" s="38">
        <v>3655.34</v>
      </c>
      <c r="H429" s="36">
        <v>443178343</v>
      </c>
      <c r="I429" s="39">
        <v>0</v>
      </c>
      <c r="J429" s="38">
        <v>0</v>
      </c>
      <c r="K429" s="38">
        <v>0</v>
      </c>
      <c r="L429" s="38">
        <v>3.52</v>
      </c>
      <c r="M429" s="38">
        <v>10036.370000000001</v>
      </c>
      <c r="N429" s="46" t="s">
        <v>425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40">
        <v>45918.184131944443</v>
      </c>
      <c r="B430" s="41">
        <v>443968734</v>
      </c>
      <c r="C430" s="42" t="s">
        <v>36</v>
      </c>
      <c r="D430" s="42" t="s">
        <v>39</v>
      </c>
      <c r="E430" s="42" t="s">
        <v>46</v>
      </c>
      <c r="F430" s="42" t="s">
        <v>38</v>
      </c>
      <c r="G430" s="43">
        <v>3654.67</v>
      </c>
      <c r="H430" s="41">
        <v>443179581</v>
      </c>
      <c r="I430" s="44">
        <v>0</v>
      </c>
      <c r="J430" s="43">
        <v>0</v>
      </c>
      <c r="K430" s="43">
        <v>0</v>
      </c>
      <c r="L430" s="43">
        <v>0</v>
      </c>
      <c r="M430" s="43">
        <v>10036.370000000001</v>
      </c>
      <c r="N430" s="45" t="s">
        <v>150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35">
        <v>45918.184131944443</v>
      </c>
      <c r="B431" s="36">
        <v>443968735</v>
      </c>
      <c r="C431" s="37" t="s">
        <v>36</v>
      </c>
      <c r="D431" s="37" t="s">
        <v>39</v>
      </c>
      <c r="E431" s="37" t="s">
        <v>46</v>
      </c>
      <c r="F431" s="37" t="s">
        <v>38</v>
      </c>
      <c r="G431" s="38">
        <v>3654.69</v>
      </c>
      <c r="H431" s="36">
        <v>443179582</v>
      </c>
      <c r="I431" s="39">
        <v>0</v>
      </c>
      <c r="J431" s="38">
        <v>0</v>
      </c>
      <c r="K431" s="38">
        <v>0</v>
      </c>
      <c r="L431" s="38">
        <v>0</v>
      </c>
      <c r="M431" s="38">
        <v>10036.370000000001</v>
      </c>
      <c r="N431" s="46" t="s">
        <v>53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40">
        <v>45918.184131944443</v>
      </c>
      <c r="B432" s="41">
        <v>443968737</v>
      </c>
      <c r="C432" s="42" t="s">
        <v>36</v>
      </c>
      <c r="D432" s="42" t="s">
        <v>39</v>
      </c>
      <c r="E432" s="42" t="s">
        <v>46</v>
      </c>
      <c r="F432" s="42" t="s">
        <v>38</v>
      </c>
      <c r="G432" s="43">
        <v>3654.71</v>
      </c>
      <c r="H432" s="41">
        <v>443179584</v>
      </c>
      <c r="I432" s="44">
        <v>0</v>
      </c>
      <c r="J432" s="43">
        <v>0</v>
      </c>
      <c r="K432" s="43">
        <v>0</v>
      </c>
      <c r="L432" s="43">
        <v>0</v>
      </c>
      <c r="M432" s="43">
        <v>10036.370000000001</v>
      </c>
      <c r="N432" s="45" t="s">
        <v>48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35">
        <v>45918.184131944443</v>
      </c>
      <c r="B433" s="36">
        <v>443968738</v>
      </c>
      <c r="C433" s="37" t="s">
        <v>36</v>
      </c>
      <c r="D433" s="37" t="s">
        <v>39</v>
      </c>
      <c r="E433" s="37" t="s">
        <v>46</v>
      </c>
      <c r="F433" s="37" t="s">
        <v>38</v>
      </c>
      <c r="G433" s="38">
        <v>3654.71</v>
      </c>
      <c r="H433" s="36">
        <v>443179586</v>
      </c>
      <c r="I433" s="39">
        <v>0</v>
      </c>
      <c r="J433" s="38">
        <v>0</v>
      </c>
      <c r="K433" s="38">
        <v>0</v>
      </c>
      <c r="L433" s="38">
        <v>0</v>
      </c>
      <c r="M433" s="38">
        <v>10036.370000000001</v>
      </c>
      <c r="N433" s="46" t="s">
        <v>49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40">
        <v>45918.184710648151</v>
      </c>
      <c r="B434" s="41">
        <v>443968834</v>
      </c>
      <c r="C434" s="42" t="s">
        <v>36</v>
      </c>
      <c r="D434" s="42" t="s">
        <v>39</v>
      </c>
      <c r="E434" s="42" t="s">
        <v>46</v>
      </c>
      <c r="F434" s="42" t="s">
        <v>38</v>
      </c>
      <c r="G434" s="43">
        <v>3655.8</v>
      </c>
      <c r="H434" s="41">
        <v>443179681</v>
      </c>
      <c r="I434" s="44">
        <v>0</v>
      </c>
      <c r="J434" s="43">
        <v>0</v>
      </c>
      <c r="K434" s="43">
        <v>0</v>
      </c>
      <c r="L434" s="43">
        <v>0</v>
      </c>
      <c r="M434" s="43">
        <v>10036.370000000001</v>
      </c>
      <c r="N434" s="45" t="s">
        <v>268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35">
        <v>45918.185810185183</v>
      </c>
      <c r="B435" s="36">
        <v>443969319</v>
      </c>
      <c r="C435" s="37" t="s">
        <v>36</v>
      </c>
      <c r="D435" s="37" t="s">
        <v>37</v>
      </c>
      <c r="E435" s="37" t="s">
        <v>47</v>
      </c>
      <c r="F435" s="37" t="s">
        <v>38</v>
      </c>
      <c r="G435" s="38">
        <v>3657.24</v>
      </c>
      <c r="H435" s="36">
        <v>443180173</v>
      </c>
      <c r="I435" s="39">
        <v>0</v>
      </c>
      <c r="J435" s="38">
        <v>0</v>
      </c>
      <c r="K435" s="38">
        <v>0</v>
      </c>
      <c r="L435" s="38">
        <v>-2.5299999999999998</v>
      </c>
      <c r="M435" s="38">
        <v>10033.84</v>
      </c>
      <c r="N435" s="46" t="s">
        <v>426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40">
        <v>45918.185844907406</v>
      </c>
      <c r="B436" s="41">
        <v>443969336</v>
      </c>
      <c r="C436" s="42" t="s">
        <v>36</v>
      </c>
      <c r="D436" s="42" t="s">
        <v>37</v>
      </c>
      <c r="E436" s="42" t="s">
        <v>47</v>
      </c>
      <c r="F436" s="42" t="s">
        <v>38</v>
      </c>
      <c r="G436" s="43">
        <v>3657.9</v>
      </c>
      <c r="H436" s="41">
        <v>443180188</v>
      </c>
      <c r="I436" s="44">
        <v>0</v>
      </c>
      <c r="J436" s="43">
        <v>0</v>
      </c>
      <c r="K436" s="43">
        <v>0</v>
      </c>
      <c r="L436" s="43">
        <v>-3.23</v>
      </c>
      <c r="M436" s="43">
        <v>10030.61</v>
      </c>
      <c r="N436" s="45" t="s">
        <v>427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35">
        <v>45918.185844907406</v>
      </c>
      <c r="B437" s="36">
        <v>443969339</v>
      </c>
      <c r="C437" s="37" t="s">
        <v>36</v>
      </c>
      <c r="D437" s="37" t="s">
        <v>37</v>
      </c>
      <c r="E437" s="37" t="s">
        <v>47</v>
      </c>
      <c r="F437" s="37" t="s">
        <v>38</v>
      </c>
      <c r="G437" s="38">
        <v>3657.9</v>
      </c>
      <c r="H437" s="36">
        <v>443180189</v>
      </c>
      <c r="I437" s="39">
        <v>0</v>
      </c>
      <c r="J437" s="38">
        <v>0</v>
      </c>
      <c r="K437" s="38">
        <v>0</v>
      </c>
      <c r="L437" s="38">
        <v>-3.21</v>
      </c>
      <c r="M437" s="38">
        <v>10027.4</v>
      </c>
      <c r="N437" s="46" t="s">
        <v>428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40">
        <v>45918.185844907406</v>
      </c>
      <c r="B438" s="41">
        <v>443969340</v>
      </c>
      <c r="C438" s="42" t="s">
        <v>36</v>
      </c>
      <c r="D438" s="42" t="s">
        <v>37</v>
      </c>
      <c r="E438" s="42" t="s">
        <v>47</v>
      </c>
      <c r="F438" s="42" t="s">
        <v>38</v>
      </c>
      <c r="G438" s="43">
        <v>3657.9</v>
      </c>
      <c r="H438" s="41">
        <v>443180190</v>
      </c>
      <c r="I438" s="44">
        <v>0</v>
      </c>
      <c r="J438" s="43">
        <v>0</v>
      </c>
      <c r="K438" s="43">
        <v>0</v>
      </c>
      <c r="L438" s="43">
        <v>-3.19</v>
      </c>
      <c r="M438" s="43">
        <v>10024.209999999999</v>
      </c>
      <c r="N438" s="45" t="s">
        <v>428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35">
        <v>45918.186793981484</v>
      </c>
      <c r="B439" s="36">
        <v>443969559</v>
      </c>
      <c r="C439" s="37" t="s">
        <v>36</v>
      </c>
      <c r="D439" s="37" t="s">
        <v>39</v>
      </c>
      <c r="E439" s="37" t="s">
        <v>46</v>
      </c>
      <c r="F439" s="37" t="s">
        <v>38</v>
      </c>
      <c r="G439" s="38">
        <v>3655.94</v>
      </c>
      <c r="H439" s="36">
        <v>443180410</v>
      </c>
      <c r="I439" s="39">
        <v>0</v>
      </c>
      <c r="J439" s="38">
        <v>0</v>
      </c>
      <c r="K439" s="38">
        <v>0</v>
      </c>
      <c r="L439" s="38">
        <v>0</v>
      </c>
      <c r="M439" s="38">
        <v>10024.209999999999</v>
      </c>
      <c r="N439" s="46" t="s">
        <v>150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40">
        <v>45918.186793981484</v>
      </c>
      <c r="B440" s="41">
        <v>443969560</v>
      </c>
      <c r="C440" s="42" t="s">
        <v>36</v>
      </c>
      <c r="D440" s="42" t="s">
        <v>39</v>
      </c>
      <c r="E440" s="42" t="s">
        <v>46</v>
      </c>
      <c r="F440" s="42" t="s">
        <v>38</v>
      </c>
      <c r="G440" s="43">
        <v>3655.94</v>
      </c>
      <c r="H440" s="41">
        <v>443180411</v>
      </c>
      <c r="I440" s="44">
        <v>0</v>
      </c>
      <c r="J440" s="43">
        <v>0</v>
      </c>
      <c r="K440" s="43">
        <v>0</v>
      </c>
      <c r="L440" s="43">
        <v>0</v>
      </c>
      <c r="M440" s="43">
        <v>10024.209999999999</v>
      </c>
      <c r="N440" s="45" t="s">
        <v>48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35">
        <v>45918.186793981484</v>
      </c>
      <c r="B441" s="36">
        <v>443969561</v>
      </c>
      <c r="C441" s="37" t="s">
        <v>36</v>
      </c>
      <c r="D441" s="37" t="s">
        <v>39</v>
      </c>
      <c r="E441" s="37" t="s">
        <v>46</v>
      </c>
      <c r="F441" s="37" t="s">
        <v>38</v>
      </c>
      <c r="G441" s="38">
        <v>3655.94</v>
      </c>
      <c r="H441" s="36">
        <v>443180412</v>
      </c>
      <c r="I441" s="39">
        <v>0</v>
      </c>
      <c r="J441" s="38">
        <v>0</v>
      </c>
      <c r="K441" s="38">
        <v>0</v>
      </c>
      <c r="L441" s="38">
        <v>0</v>
      </c>
      <c r="M441" s="38">
        <v>10024.209999999999</v>
      </c>
      <c r="N441" s="46" t="s">
        <v>53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40">
        <v>45918.186793981484</v>
      </c>
      <c r="B442" s="41">
        <v>443969562</v>
      </c>
      <c r="C442" s="42" t="s">
        <v>36</v>
      </c>
      <c r="D442" s="42" t="s">
        <v>39</v>
      </c>
      <c r="E442" s="42" t="s">
        <v>46</v>
      </c>
      <c r="F442" s="42" t="s">
        <v>38</v>
      </c>
      <c r="G442" s="43">
        <v>3655.98</v>
      </c>
      <c r="H442" s="41">
        <v>443180413</v>
      </c>
      <c r="I442" s="44">
        <v>0</v>
      </c>
      <c r="J442" s="43">
        <v>0</v>
      </c>
      <c r="K442" s="43">
        <v>0</v>
      </c>
      <c r="L442" s="43">
        <v>0</v>
      </c>
      <c r="M442" s="43">
        <v>10024.209999999999</v>
      </c>
      <c r="N442" s="45" t="s">
        <v>49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35">
        <v>45918.188217592593</v>
      </c>
      <c r="B443" s="36">
        <v>443969801</v>
      </c>
      <c r="C443" s="37" t="s">
        <v>36</v>
      </c>
      <c r="D443" s="37" t="s">
        <v>37</v>
      </c>
      <c r="E443" s="37" t="s">
        <v>47</v>
      </c>
      <c r="F443" s="37" t="s">
        <v>38</v>
      </c>
      <c r="G443" s="38">
        <v>3654.37</v>
      </c>
      <c r="H443" s="36">
        <v>443180653</v>
      </c>
      <c r="I443" s="39">
        <v>0</v>
      </c>
      <c r="J443" s="38">
        <v>0</v>
      </c>
      <c r="K443" s="38">
        <v>0</v>
      </c>
      <c r="L443" s="38">
        <v>1.57</v>
      </c>
      <c r="M443" s="38">
        <v>10025.780000000001</v>
      </c>
      <c r="N443" s="46" t="s">
        <v>429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40">
        <v>45918.189016203702</v>
      </c>
      <c r="B444" s="41">
        <v>443970187</v>
      </c>
      <c r="C444" s="42" t="s">
        <v>36</v>
      </c>
      <c r="D444" s="42" t="s">
        <v>37</v>
      </c>
      <c r="E444" s="42" t="s">
        <v>47</v>
      </c>
      <c r="F444" s="42" t="s">
        <v>38</v>
      </c>
      <c r="G444" s="43">
        <v>3652.87</v>
      </c>
      <c r="H444" s="41">
        <v>443181031</v>
      </c>
      <c r="I444" s="44">
        <v>0</v>
      </c>
      <c r="J444" s="43">
        <v>0</v>
      </c>
      <c r="K444" s="43">
        <v>0</v>
      </c>
      <c r="L444" s="43">
        <v>3.07</v>
      </c>
      <c r="M444" s="43">
        <v>10028.85</v>
      </c>
      <c r="N444" s="45" t="s">
        <v>430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35">
        <v>45918.189016203702</v>
      </c>
      <c r="B445" s="36">
        <v>443970189</v>
      </c>
      <c r="C445" s="37" t="s">
        <v>36</v>
      </c>
      <c r="D445" s="37" t="s">
        <v>37</v>
      </c>
      <c r="E445" s="37" t="s">
        <v>47</v>
      </c>
      <c r="F445" s="37" t="s">
        <v>38</v>
      </c>
      <c r="G445" s="38">
        <v>3652.87</v>
      </c>
      <c r="H445" s="36">
        <v>443181033</v>
      </c>
      <c r="I445" s="39">
        <v>0</v>
      </c>
      <c r="J445" s="38">
        <v>0</v>
      </c>
      <c r="K445" s="38">
        <v>0</v>
      </c>
      <c r="L445" s="38">
        <v>3.11</v>
      </c>
      <c r="M445" s="38">
        <v>10031.959999999999</v>
      </c>
      <c r="N445" s="46" t="s">
        <v>430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40">
        <v>45918.189699074072</v>
      </c>
      <c r="B446" s="41">
        <v>443970870</v>
      </c>
      <c r="C446" s="42" t="s">
        <v>36</v>
      </c>
      <c r="D446" s="42" t="s">
        <v>37</v>
      </c>
      <c r="E446" s="42" t="s">
        <v>47</v>
      </c>
      <c r="F446" s="42" t="s">
        <v>38</v>
      </c>
      <c r="G446" s="43">
        <v>3654.71</v>
      </c>
      <c r="H446" s="41">
        <v>443181707</v>
      </c>
      <c r="I446" s="44">
        <v>0</v>
      </c>
      <c r="J446" s="43">
        <v>0</v>
      </c>
      <c r="K446" s="43">
        <v>0</v>
      </c>
      <c r="L446" s="43">
        <v>1.23</v>
      </c>
      <c r="M446" s="43">
        <v>10033.19</v>
      </c>
      <c r="N446" s="45" t="s">
        <v>431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35">
        <v>45918.189918981479</v>
      </c>
      <c r="B447" s="36">
        <v>443970933</v>
      </c>
      <c r="C447" s="37" t="s">
        <v>36</v>
      </c>
      <c r="D447" s="37" t="s">
        <v>39</v>
      </c>
      <c r="E447" s="37" t="s">
        <v>46</v>
      </c>
      <c r="F447" s="37" t="s">
        <v>38</v>
      </c>
      <c r="G447" s="38">
        <v>3654.48</v>
      </c>
      <c r="H447" s="36">
        <v>443181766</v>
      </c>
      <c r="I447" s="39">
        <v>0</v>
      </c>
      <c r="J447" s="38">
        <v>0</v>
      </c>
      <c r="K447" s="38">
        <v>0</v>
      </c>
      <c r="L447" s="38">
        <v>0</v>
      </c>
      <c r="M447" s="38">
        <v>10033.19</v>
      </c>
      <c r="N447" s="46" t="s">
        <v>150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40">
        <v>45918.189918981479</v>
      </c>
      <c r="B448" s="41">
        <v>443970934</v>
      </c>
      <c r="C448" s="42" t="s">
        <v>36</v>
      </c>
      <c r="D448" s="42" t="s">
        <v>39</v>
      </c>
      <c r="E448" s="42" t="s">
        <v>46</v>
      </c>
      <c r="F448" s="42" t="s">
        <v>38</v>
      </c>
      <c r="G448" s="43">
        <v>3654.44</v>
      </c>
      <c r="H448" s="41">
        <v>443181767</v>
      </c>
      <c r="I448" s="44">
        <v>0</v>
      </c>
      <c r="J448" s="43">
        <v>0</v>
      </c>
      <c r="K448" s="43">
        <v>0</v>
      </c>
      <c r="L448" s="43">
        <v>0</v>
      </c>
      <c r="M448" s="43">
        <v>10033.19</v>
      </c>
      <c r="N448" s="45" t="s">
        <v>49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35">
        <v>45918.189918981479</v>
      </c>
      <c r="B449" s="36">
        <v>443970936</v>
      </c>
      <c r="C449" s="37" t="s">
        <v>36</v>
      </c>
      <c r="D449" s="37" t="s">
        <v>39</v>
      </c>
      <c r="E449" s="37" t="s">
        <v>46</v>
      </c>
      <c r="F449" s="37" t="s">
        <v>38</v>
      </c>
      <c r="G449" s="38">
        <v>3654.45</v>
      </c>
      <c r="H449" s="36">
        <v>443181769</v>
      </c>
      <c r="I449" s="39">
        <v>0</v>
      </c>
      <c r="J449" s="38">
        <v>0</v>
      </c>
      <c r="K449" s="38">
        <v>0</v>
      </c>
      <c r="L449" s="38">
        <v>0</v>
      </c>
      <c r="M449" s="38">
        <v>10033.19</v>
      </c>
      <c r="N449" s="46" t="s">
        <v>53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40">
        <v>45918.189918981479</v>
      </c>
      <c r="B450" s="41">
        <v>443970937</v>
      </c>
      <c r="C450" s="42" t="s">
        <v>36</v>
      </c>
      <c r="D450" s="42" t="s">
        <v>39</v>
      </c>
      <c r="E450" s="42" t="s">
        <v>46</v>
      </c>
      <c r="F450" s="42" t="s">
        <v>38</v>
      </c>
      <c r="G450" s="43">
        <v>3654.45</v>
      </c>
      <c r="H450" s="41">
        <v>443181770</v>
      </c>
      <c r="I450" s="44">
        <v>0</v>
      </c>
      <c r="J450" s="43">
        <v>0</v>
      </c>
      <c r="K450" s="43">
        <v>0</v>
      </c>
      <c r="L450" s="43">
        <v>0</v>
      </c>
      <c r="M450" s="43">
        <v>10033.19</v>
      </c>
      <c r="N450" s="45" t="s">
        <v>48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35">
        <v>45918.190104166664</v>
      </c>
      <c r="B451" s="36">
        <v>443971002</v>
      </c>
      <c r="C451" s="37" t="s">
        <v>36</v>
      </c>
      <c r="D451" s="37" t="s">
        <v>37</v>
      </c>
      <c r="E451" s="37" t="s">
        <v>47</v>
      </c>
      <c r="F451" s="37" t="s">
        <v>38</v>
      </c>
      <c r="G451" s="38">
        <v>3655</v>
      </c>
      <c r="H451" s="36">
        <v>443181828</v>
      </c>
      <c r="I451" s="39">
        <v>0</v>
      </c>
      <c r="J451" s="38">
        <v>0</v>
      </c>
      <c r="K451" s="38">
        <v>0</v>
      </c>
      <c r="L451" s="38">
        <v>0.8</v>
      </c>
      <c r="M451" s="38">
        <v>10033.99</v>
      </c>
      <c r="N451" s="46" t="s">
        <v>432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40">
        <v>45918.190266203703</v>
      </c>
      <c r="B452" s="41">
        <v>443971087</v>
      </c>
      <c r="C452" s="42" t="s">
        <v>36</v>
      </c>
      <c r="D452" s="42" t="s">
        <v>39</v>
      </c>
      <c r="E452" s="42" t="s">
        <v>46</v>
      </c>
      <c r="F452" s="42" t="s">
        <v>38</v>
      </c>
      <c r="G452" s="43">
        <v>3655.2</v>
      </c>
      <c r="H452" s="41">
        <v>443181911</v>
      </c>
      <c r="I452" s="44">
        <v>0</v>
      </c>
      <c r="J452" s="43">
        <v>0</v>
      </c>
      <c r="K452" s="43">
        <v>0</v>
      </c>
      <c r="L452" s="43">
        <v>0</v>
      </c>
      <c r="M452" s="43">
        <v>10033.99</v>
      </c>
      <c r="N452" s="45" t="s">
        <v>268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35">
        <v>45918.193182870367</v>
      </c>
      <c r="B453" s="36">
        <v>443971854</v>
      </c>
      <c r="C453" s="37" t="s">
        <v>36</v>
      </c>
      <c r="D453" s="37" t="s">
        <v>37</v>
      </c>
      <c r="E453" s="37" t="s">
        <v>47</v>
      </c>
      <c r="F453" s="37" t="s">
        <v>38</v>
      </c>
      <c r="G453" s="38">
        <v>3652.8</v>
      </c>
      <c r="H453" s="36">
        <v>443182696</v>
      </c>
      <c r="I453" s="39">
        <v>0</v>
      </c>
      <c r="J453" s="38">
        <v>0</v>
      </c>
      <c r="K453" s="38">
        <v>0</v>
      </c>
      <c r="L453" s="38">
        <v>1.68</v>
      </c>
      <c r="M453" s="38">
        <v>10035.67</v>
      </c>
      <c r="N453" s="46" t="s">
        <v>433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40">
        <v>45918.193391203706</v>
      </c>
      <c r="B454" s="41">
        <v>443971984</v>
      </c>
      <c r="C454" s="42" t="s">
        <v>36</v>
      </c>
      <c r="D454" s="42" t="s">
        <v>39</v>
      </c>
      <c r="E454" s="42" t="s">
        <v>46</v>
      </c>
      <c r="F454" s="42" t="s">
        <v>38</v>
      </c>
      <c r="G454" s="43">
        <v>3654.48</v>
      </c>
      <c r="H454" s="41">
        <v>443182825</v>
      </c>
      <c r="I454" s="44">
        <v>0</v>
      </c>
      <c r="J454" s="43">
        <v>0</v>
      </c>
      <c r="K454" s="43">
        <v>0</v>
      </c>
      <c r="L454" s="43">
        <v>0</v>
      </c>
      <c r="M454" s="43">
        <v>10035.67</v>
      </c>
      <c r="N454" s="45" t="s">
        <v>150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35">
        <v>45918.194421296299</v>
      </c>
      <c r="B455" s="36">
        <v>443972227</v>
      </c>
      <c r="C455" s="37" t="s">
        <v>36</v>
      </c>
      <c r="D455" s="37" t="s">
        <v>37</v>
      </c>
      <c r="E455" s="37" t="s">
        <v>47</v>
      </c>
      <c r="F455" s="37" t="s">
        <v>38</v>
      </c>
      <c r="G455" s="38">
        <v>3657.14</v>
      </c>
      <c r="H455" s="36">
        <v>443183063</v>
      </c>
      <c r="I455" s="39">
        <v>0</v>
      </c>
      <c r="J455" s="38">
        <v>0</v>
      </c>
      <c r="K455" s="38">
        <v>0</v>
      </c>
      <c r="L455" s="38">
        <v>-2.7</v>
      </c>
      <c r="M455" s="38">
        <v>10032.969999999999</v>
      </c>
      <c r="N455" s="46" t="s">
        <v>434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40">
        <v>45918.194444444445</v>
      </c>
      <c r="B456" s="41">
        <v>443972238</v>
      </c>
      <c r="C456" s="42" t="s">
        <v>36</v>
      </c>
      <c r="D456" s="42" t="s">
        <v>37</v>
      </c>
      <c r="E456" s="42" t="s">
        <v>47</v>
      </c>
      <c r="F456" s="42" t="s">
        <v>38</v>
      </c>
      <c r="G456" s="43">
        <v>3657.46</v>
      </c>
      <c r="H456" s="41">
        <v>443183073</v>
      </c>
      <c r="I456" s="44">
        <v>0</v>
      </c>
      <c r="J456" s="43">
        <v>0</v>
      </c>
      <c r="K456" s="43">
        <v>0</v>
      </c>
      <c r="L456" s="43">
        <v>-2.98</v>
      </c>
      <c r="M456" s="43">
        <v>10029.99</v>
      </c>
      <c r="N456" s="45" t="s">
        <v>435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35">
        <v>45918.194444444445</v>
      </c>
      <c r="B457" s="36">
        <v>443972247</v>
      </c>
      <c r="C457" s="37" t="s">
        <v>36</v>
      </c>
      <c r="D457" s="37" t="s">
        <v>37</v>
      </c>
      <c r="E457" s="37" t="s">
        <v>47</v>
      </c>
      <c r="F457" s="37" t="s">
        <v>38</v>
      </c>
      <c r="G457" s="38">
        <v>3657.48</v>
      </c>
      <c r="H457" s="36">
        <v>443183082</v>
      </c>
      <c r="I457" s="39">
        <v>0</v>
      </c>
      <c r="J457" s="38">
        <v>0</v>
      </c>
      <c r="K457" s="38">
        <v>0</v>
      </c>
      <c r="L457" s="38">
        <v>-3.03</v>
      </c>
      <c r="M457" s="38">
        <v>10026.959999999999</v>
      </c>
      <c r="N457" s="46" t="s">
        <v>436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40">
        <v>45918.194444444445</v>
      </c>
      <c r="B458" s="41">
        <v>443972248</v>
      </c>
      <c r="C458" s="42" t="s">
        <v>36</v>
      </c>
      <c r="D458" s="42" t="s">
        <v>37</v>
      </c>
      <c r="E458" s="42" t="s">
        <v>47</v>
      </c>
      <c r="F458" s="42" t="s">
        <v>38</v>
      </c>
      <c r="G458" s="43">
        <v>3657.48</v>
      </c>
      <c r="H458" s="41">
        <v>443183083</v>
      </c>
      <c r="I458" s="44">
        <v>0</v>
      </c>
      <c r="J458" s="43">
        <v>0</v>
      </c>
      <c r="K458" s="43">
        <v>0</v>
      </c>
      <c r="L458" s="43">
        <v>-3.03</v>
      </c>
      <c r="M458" s="43">
        <v>10023.93</v>
      </c>
      <c r="N458" s="45" t="s">
        <v>436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35">
        <v>45918.195057870369</v>
      </c>
      <c r="B459" s="36">
        <v>443972457</v>
      </c>
      <c r="C459" s="37" t="s">
        <v>36</v>
      </c>
      <c r="D459" s="37" t="s">
        <v>37</v>
      </c>
      <c r="E459" s="37" t="s">
        <v>47</v>
      </c>
      <c r="F459" s="37" t="s">
        <v>38</v>
      </c>
      <c r="G459" s="38">
        <v>3658.3</v>
      </c>
      <c r="H459" s="36">
        <v>443183291</v>
      </c>
      <c r="I459" s="39">
        <v>0</v>
      </c>
      <c r="J459" s="38">
        <v>0</v>
      </c>
      <c r="K459" s="38">
        <v>0</v>
      </c>
      <c r="L459" s="38">
        <v>-3.1</v>
      </c>
      <c r="M459" s="38">
        <v>10020.83</v>
      </c>
      <c r="N459" s="46" t="s">
        <v>437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40">
        <v>45918.196168981478</v>
      </c>
      <c r="B460" s="41">
        <v>443973177</v>
      </c>
      <c r="C460" s="42" t="s">
        <v>36</v>
      </c>
      <c r="D460" s="42" t="s">
        <v>39</v>
      </c>
      <c r="E460" s="42" t="s">
        <v>46</v>
      </c>
      <c r="F460" s="42" t="s">
        <v>38</v>
      </c>
      <c r="G460" s="43">
        <v>3655.35</v>
      </c>
      <c r="H460" s="41">
        <v>443184013</v>
      </c>
      <c r="I460" s="44">
        <v>0</v>
      </c>
      <c r="J460" s="43">
        <v>0</v>
      </c>
      <c r="K460" s="43">
        <v>0</v>
      </c>
      <c r="L460" s="43">
        <v>0</v>
      </c>
      <c r="M460" s="43">
        <v>10020.83</v>
      </c>
      <c r="N460" s="45" t="s">
        <v>268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35">
        <v>45918.208784722221</v>
      </c>
      <c r="B461" s="36">
        <v>443975790</v>
      </c>
      <c r="C461" s="37" t="s">
        <v>36</v>
      </c>
      <c r="D461" s="37" t="s">
        <v>39</v>
      </c>
      <c r="E461" s="37" t="s">
        <v>46</v>
      </c>
      <c r="F461" s="37" t="s">
        <v>38</v>
      </c>
      <c r="G461" s="38">
        <v>3655.81</v>
      </c>
      <c r="H461" s="36">
        <v>443186621</v>
      </c>
      <c r="I461" s="39">
        <v>0</v>
      </c>
      <c r="J461" s="38">
        <v>0</v>
      </c>
      <c r="K461" s="38">
        <v>0</v>
      </c>
      <c r="L461" s="38">
        <v>0</v>
      </c>
      <c r="M461" s="38">
        <v>10020.83</v>
      </c>
      <c r="N461" s="46" t="s">
        <v>395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40">
        <v>45918.211215277777</v>
      </c>
      <c r="B462" s="41">
        <v>443976123</v>
      </c>
      <c r="C462" s="42" t="s">
        <v>36</v>
      </c>
      <c r="D462" s="42" t="s">
        <v>37</v>
      </c>
      <c r="E462" s="42" t="s">
        <v>46</v>
      </c>
      <c r="F462" s="42" t="s">
        <v>38</v>
      </c>
      <c r="G462" s="43">
        <v>3656.76</v>
      </c>
      <c r="H462" s="41">
        <v>443186951</v>
      </c>
      <c r="I462" s="44">
        <v>0</v>
      </c>
      <c r="J462" s="43">
        <v>0</v>
      </c>
      <c r="K462" s="43">
        <v>0</v>
      </c>
      <c r="L462" s="43">
        <v>0</v>
      </c>
      <c r="M462" s="43">
        <v>10020.83</v>
      </c>
      <c r="N462" s="45" t="s">
        <v>150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35">
        <v>45918.211215277777</v>
      </c>
      <c r="B463" s="36">
        <v>443976125</v>
      </c>
      <c r="C463" s="37" t="s">
        <v>36</v>
      </c>
      <c r="D463" s="37" t="s">
        <v>37</v>
      </c>
      <c r="E463" s="37" t="s">
        <v>46</v>
      </c>
      <c r="F463" s="37" t="s">
        <v>38</v>
      </c>
      <c r="G463" s="38">
        <v>3656.76</v>
      </c>
      <c r="H463" s="36">
        <v>443186953</v>
      </c>
      <c r="I463" s="39">
        <v>0</v>
      </c>
      <c r="J463" s="38">
        <v>0</v>
      </c>
      <c r="K463" s="38">
        <v>0</v>
      </c>
      <c r="L463" s="38">
        <v>0</v>
      </c>
      <c r="M463" s="38">
        <v>10020.83</v>
      </c>
      <c r="N463" s="46" t="s">
        <v>49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40">
        <v>45918.211215277777</v>
      </c>
      <c r="B464" s="41">
        <v>443976126</v>
      </c>
      <c r="C464" s="42" t="s">
        <v>36</v>
      </c>
      <c r="D464" s="42" t="s">
        <v>37</v>
      </c>
      <c r="E464" s="42" t="s">
        <v>46</v>
      </c>
      <c r="F464" s="42" t="s">
        <v>38</v>
      </c>
      <c r="G464" s="43">
        <v>3656.76</v>
      </c>
      <c r="H464" s="41">
        <v>443186954</v>
      </c>
      <c r="I464" s="44">
        <v>0</v>
      </c>
      <c r="J464" s="43">
        <v>0</v>
      </c>
      <c r="K464" s="43">
        <v>0</v>
      </c>
      <c r="L464" s="43">
        <v>0</v>
      </c>
      <c r="M464" s="43">
        <v>10020.83</v>
      </c>
      <c r="N464" s="45" t="s">
        <v>48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35">
        <v>45918.211215277777</v>
      </c>
      <c r="B465" s="36">
        <v>443976127</v>
      </c>
      <c r="C465" s="37" t="s">
        <v>36</v>
      </c>
      <c r="D465" s="37" t="s">
        <v>37</v>
      </c>
      <c r="E465" s="37" t="s">
        <v>46</v>
      </c>
      <c r="F465" s="37" t="s">
        <v>38</v>
      </c>
      <c r="G465" s="38">
        <v>3656.78</v>
      </c>
      <c r="H465" s="36">
        <v>443186955</v>
      </c>
      <c r="I465" s="39">
        <v>0</v>
      </c>
      <c r="J465" s="38">
        <v>0</v>
      </c>
      <c r="K465" s="38">
        <v>0</v>
      </c>
      <c r="L465" s="38">
        <v>0</v>
      </c>
      <c r="M465" s="38">
        <v>10020.83</v>
      </c>
      <c r="N465" s="46" t="s">
        <v>53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40">
        <v>45918.212418981479</v>
      </c>
      <c r="B466" s="41">
        <v>443976418</v>
      </c>
      <c r="C466" s="42" t="s">
        <v>36</v>
      </c>
      <c r="D466" s="42" t="s">
        <v>37</v>
      </c>
      <c r="E466" s="42" t="s">
        <v>47</v>
      </c>
      <c r="F466" s="42" t="s">
        <v>38</v>
      </c>
      <c r="G466" s="43">
        <v>3658.35</v>
      </c>
      <c r="H466" s="41">
        <v>443187237</v>
      </c>
      <c r="I466" s="44">
        <v>0</v>
      </c>
      <c r="J466" s="43">
        <v>0</v>
      </c>
      <c r="K466" s="43">
        <v>0</v>
      </c>
      <c r="L466" s="43">
        <v>-3</v>
      </c>
      <c r="M466" s="43">
        <v>10017.83</v>
      </c>
      <c r="N466" s="45" t="s">
        <v>438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35">
        <v>45918.212523148148</v>
      </c>
      <c r="B467" s="36">
        <v>443976465</v>
      </c>
      <c r="C467" s="37" t="s">
        <v>36</v>
      </c>
      <c r="D467" s="37" t="s">
        <v>39</v>
      </c>
      <c r="E467" s="37" t="s">
        <v>47</v>
      </c>
      <c r="F467" s="37" t="s">
        <v>38</v>
      </c>
      <c r="G467" s="38">
        <v>3658.3</v>
      </c>
      <c r="H467" s="36">
        <v>443187282</v>
      </c>
      <c r="I467" s="39">
        <v>0</v>
      </c>
      <c r="J467" s="38">
        <v>0</v>
      </c>
      <c r="K467" s="38">
        <v>0</v>
      </c>
      <c r="L467" s="38">
        <v>1.54</v>
      </c>
      <c r="M467" s="38">
        <v>10019.370000000001</v>
      </c>
      <c r="N467" s="46" t="s">
        <v>439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40">
        <v>45918.212685185186</v>
      </c>
      <c r="B468" s="41">
        <v>443976583</v>
      </c>
      <c r="C468" s="42" t="s">
        <v>36</v>
      </c>
      <c r="D468" s="42" t="s">
        <v>37</v>
      </c>
      <c r="E468" s="42" t="s">
        <v>47</v>
      </c>
      <c r="F468" s="42" t="s">
        <v>38</v>
      </c>
      <c r="G468" s="43">
        <v>3658.88</v>
      </c>
      <c r="H468" s="41">
        <v>443187400</v>
      </c>
      <c r="I468" s="44">
        <v>0</v>
      </c>
      <c r="J468" s="43">
        <v>0</v>
      </c>
      <c r="K468" s="43">
        <v>0</v>
      </c>
      <c r="L468" s="43">
        <v>-3.07</v>
      </c>
      <c r="M468" s="43">
        <v>10016.299999999999</v>
      </c>
      <c r="N468" s="45" t="s">
        <v>440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35">
        <v>45918.21297453704</v>
      </c>
      <c r="B469" s="36">
        <v>443976824</v>
      </c>
      <c r="C469" s="37" t="s">
        <v>36</v>
      </c>
      <c r="D469" s="37" t="s">
        <v>39</v>
      </c>
      <c r="E469" s="37" t="s">
        <v>47</v>
      </c>
      <c r="F469" s="37" t="s">
        <v>38</v>
      </c>
      <c r="G469" s="38">
        <v>3659.76</v>
      </c>
      <c r="H469" s="36">
        <v>443187634</v>
      </c>
      <c r="I469" s="39">
        <v>0</v>
      </c>
      <c r="J469" s="38">
        <v>0</v>
      </c>
      <c r="K469" s="38">
        <v>0</v>
      </c>
      <c r="L469" s="38">
        <v>3</v>
      </c>
      <c r="M469" s="38">
        <v>10019.299999999999</v>
      </c>
      <c r="N469" s="46" t="s">
        <v>254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40">
        <v>45918.21297453704</v>
      </c>
      <c r="B470" s="41">
        <v>443976826</v>
      </c>
      <c r="C470" s="42" t="s">
        <v>36</v>
      </c>
      <c r="D470" s="42" t="s">
        <v>39</v>
      </c>
      <c r="E470" s="42" t="s">
        <v>47</v>
      </c>
      <c r="F470" s="42" t="s">
        <v>38</v>
      </c>
      <c r="G470" s="43">
        <v>3659.76</v>
      </c>
      <c r="H470" s="41">
        <v>443187635</v>
      </c>
      <c r="I470" s="44">
        <v>0</v>
      </c>
      <c r="J470" s="43">
        <v>0</v>
      </c>
      <c r="K470" s="43">
        <v>0</v>
      </c>
      <c r="L470" s="43">
        <v>3</v>
      </c>
      <c r="M470" s="43">
        <v>10022.299999999999</v>
      </c>
      <c r="N470" s="45" t="s">
        <v>254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35">
        <v>45918.213310185187</v>
      </c>
      <c r="B471" s="36">
        <v>443976963</v>
      </c>
      <c r="C471" s="37" t="s">
        <v>36</v>
      </c>
      <c r="D471" s="37" t="s">
        <v>39</v>
      </c>
      <c r="E471" s="37" t="s">
        <v>47</v>
      </c>
      <c r="F471" s="37" t="s">
        <v>38</v>
      </c>
      <c r="G471" s="38">
        <v>3660.27</v>
      </c>
      <c r="H471" s="36">
        <v>443187774</v>
      </c>
      <c r="I471" s="39">
        <v>0</v>
      </c>
      <c r="J471" s="38">
        <v>0</v>
      </c>
      <c r="K471" s="38">
        <v>0</v>
      </c>
      <c r="L471" s="38">
        <v>3.49</v>
      </c>
      <c r="M471" s="38">
        <v>10025.790000000001</v>
      </c>
      <c r="N471" s="46" t="s">
        <v>441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40">
        <v>45918.219884259262</v>
      </c>
      <c r="B472" s="41">
        <v>443978888</v>
      </c>
      <c r="C472" s="42" t="s">
        <v>36</v>
      </c>
      <c r="D472" s="42" t="s">
        <v>37</v>
      </c>
      <c r="E472" s="42" t="s">
        <v>46</v>
      </c>
      <c r="F472" s="42" t="s">
        <v>38</v>
      </c>
      <c r="G472" s="43">
        <v>3661.86</v>
      </c>
      <c r="H472" s="41">
        <v>443189685</v>
      </c>
      <c r="I472" s="44">
        <v>0</v>
      </c>
      <c r="J472" s="43">
        <v>0</v>
      </c>
      <c r="K472" s="43">
        <v>0</v>
      </c>
      <c r="L472" s="43">
        <v>0</v>
      </c>
      <c r="M472" s="43">
        <v>10025.790000000001</v>
      </c>
      <c r="N472" s="45" t="s">
        <v>150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35">
        <v>45918.219895833332</v>
      </c>
      <c r="B473" s="36">
        <v>443978889</v>
      </c>
      <c r="C473" s="37" t="s">
        <v>36</v>
      </c>
      <c r="D473" s="37" t="s">
        <v>37</v>
      </c>
      <c r="E473" s="37" t="s">
        <v>46</v>
      </c>
      <c r="F473" s="37" t="s">
        <v>38</v>
      </c>
      <c r="G473" s="38">
        <v>3661.86</v>
      </c>
      <c r="H473" s="36">
        <v>443189686</v>
      </c>
      <c r="I473" s="39">
        <v>0</v>
      </c>
      <c r="J473" s="38">
        <v>0</v>
      </c>
      <c r="K473" s="38">
        <v>0</v>
      </c>
      <c r="L473" s="38">
        <v>0</v>
      </c>
      <c r="M473" s="38">
        <v>10025.790000000001</v>
      </c>
      <c r="N473" s="46" t="s">
        <v>49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40">
        <v>45918.219895833332</v>
      </c>
      <c r="B474" s="41">
        <v>443978890</v>
      </c>
      <c r="C474" s="42" t="s">
        <v>36</v>
      </c>
      <c r="D474" s="42" t="s">
        <v>37</v>
      </c>
      <c r="E474" s="42" t="s">
        <v>46</v>
      </c>
      <c r="F474" s="42" t="s">
        <v>38</v>
      </c>
      <c r="G474" s="43">
        <v>3661.86</v>
      </c>
      <c r="H474" s="41">
        <v>443189687</v>
      </c>
      <c r="I474" s="44">
        <v>0</v>
      </c>
      <c r="J474" s="43">
        <v>0</v>
      </c>
      <c r="K474" s="43">
        <v>0</v>
      </c>
      <c r="L474" s="43">
        <v>0</v>
      </c>
      <c r="M474" s="43">
        <v>10025.790000000001</v>
      </c>
      <c r="N474" s="45" t="s">
        <v>53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35">
        <v>45918.219895833332</v>
      </c>
      <c r="B475" s="36">
        <v>443978895</v>
      </c>
      <c r="C475" s="37" t="s">
        <v>36</v>
      </c>
      <c r="D475" s="37" t="s">
        <v>37</v>
      </c>
      <c r="E475" s="37" t="s">
        <v>46</v>
      </c>
      <c r="F475" s="37" t="s">
        <v>38</v>
      </c>
      <c r="G475" s="38">
        <v>3661.84</v>
      </c>
      <c r="H475" s="36">
        <v>443189692</v>
      </c>
      <c r="I475" s="39">
        <v>0</v>
      </c>
      <c r="J475" s="38">
        <v>0</v>
      </c>
      <c r="K475" s="38">
        <v>0</v>
      </c>
      <c r="L475" s="38">
        <v>0</v>
      </c>
      <c r="M475" s="38">
        <v>10025.790000000001</v>
      </c>
      <c r="N475" s="46" t="s">
        <v>48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40">
        <v>45918.226724537039</v>
      </c>
      <c r="B476" s="41">
        <v>443979671</v>
      </c>
      <c r="C476" s="42" t="s">
        <v>36</v>
      </c>
      <c r="D476" s="42" t="s">
        <v>39</v>
      </c>
      <c r="E476" s="42" t="s">
        <v>47</v>
      </c>
      <c r="F476" s="42" t="s">
        <v>38</v>
      </c>
      <c r="G476" s="43">
        <v>3663.39</v>
      </c>
      <c r="H476" s="41">
        <v>443190445</v>
      </c>
      <c r="I476" s="44">
        <v>0</v>
      </c>
      <c r="J476" s="43">
        <v>0</v>
      </c>
      <c r="K476" s="43">
        <v>0</v>
      </c>
      <c r="L476" s="43">
        <v>1.53</v>
      </c>
      <c r="M476" s="43">
        <v>10027.32</v>
      </c>
      <c r="N476" s="45" t="s">
        <v>442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35">
        <v>45918.227986111109</v>
      </c>
      <c r="B477" s="36">
        <v>443979799</v>
      </c>
      <c r="C477" s="37" t="s">
        <v>36</v>
      </c>
      <c r="D477" s="37" t="s">
        <v>37</v>
      </c>
      <c r="E477" s="37" t="s">
        <v>46</v>
      </c>
      <c r="F477" s="37" t="s">
        <v>38</v>
      </c>
      <c r="G477" s="38">
        <v>3662.57</v>
      </c>
      <c r="H477" s="36">
        <v>443190570</v>
      </c>
      <c r="I477" s="39">
        <v>0</v>
      </c>
      <c r="J477" s="38">
        <v>0</v>
      </c>
      <c r="K477" s="38">
        <v>0</v>
      </c>
      <c r="L477" s="38">
        <v>0</v>
      </c>
      <c r="M477" s="38">
        <v>10027.32</v>
      </c>
      <c r="N477" s="46" t="s">
        <v>150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40">
        <v>45918.228009259263</v>
      </c>
      <c r="B478" s="41">
        <v>443979802</v>
      </c>
      <c r="C478" s="42" t="s">
        <v>36</v>
      </c>
      <c r="D478" s="42" t="s">
        <v>39</v>
      </c>
      <c r="E478" s="42" t="s">
        <v>47</v>
      </c>
      <c r="F478" s="42" t="s">
        <v>38</v>
      </c>
      <c r="G478" s="43">
        <v>3662.19</v>
      </c>
      <c r="H478" s="41">
        <v>443190573</v>
      </c>
      <c r="I478" s="44">
        <v>0</v>
      </c>
      <c r="J478" s="43">
        <v>0</v>
      </c>
      <c r="K478" s="43">
        <v>0</v>
      </c>
      <c r="L478" s="43">
        <v>0.33</v>
      </c>
      <c r="M478" s="43">
        <v>10027.65</v>
      </c>
      <c r="N478" s="45" t="s">
        <v>443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35">
        <v>45918.228009259263</v>
      </c>
      <c r="B479" s="36">
        <v>443979803</v>
      </c>
      <c r="C479" s="37" t="s">
        <v>36</v>
      </c>
      <c r="D479" s="37" t="s">
        <v>39</v>
      </c>
      <c r="E479" s="37" t="s">
        <v>47</v>
      </c>
      <c r="F479" s="37" t="s">
        <v>38</v>
      </c>
      <c r="G479" s="38">
        <v>3662.19</v>
      </c>
      <c r="H479" s="36">
        <v>443190574</v>
      </c>
      <c r="I479" s="39">
        <v>0</v>
      </c>
      <c r="J479" s="38">
        <v>0</v>
      </c>
      <c r="K479" s="38">
        <v>0</v>
      </c>
      <c r="L479" s="38">
        <v>0.33</v>
      </c>
      <c r="M479" s="38">
        <v>10027.98</v>
      </c>
      <c r="N479" s="46" t="s">
        <v>443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40">
        <v>45918.228009259263</v>
      </c>
      <c r="B480" s="41">
        <v>443979804</v>
      </c>
      <c r="C480" s="42" t="s">
        <v>36</v>
      </c>
      <c r="D480" s="42" t="s">
        <v>39</v>
      </c>
      <c r="E480" s="42" t="s">
        <v>47</v>
      </c>
      <c r="F480" s="42" t="s">
        <v>38</v>
      </c>
      <c r="G480" s="43">
        <v>3662.19</v>
      </c>
      <c r="H480" s="41">
        <v>443190575</v>
      </c>
      <c r="I480" s="44">
        <v>0</v>
      </c>
      <c r="J480" s="43">
        <v>0</v>
      </c>
      <c r="K480" s="43">
        <v>0</v>
      </c>
      <c r="L480" s="43">
        <v>0.35</v>
      </c>
      <c r="M480" s="43">
        <v>10028.33</v>
      </c>
      <c r="N480" s="45" t="s">
        <v>444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35">
        <v>45918.228564814817</v>
      </c>
      <c r="B481" s="36">
        <v>443979865</v>
      </c>
      <c r="C481" s="37" t="s">
        <v>36</v>
      </c>
      <c r="D481" s="37" t="s">
        <v>37</v>
      </c>
      <c r="E481" s="37" t="s">
        <v>46</v>
      </c>
      <c r="F481" s="37" t="s">
        <v>38</v>
      </c>
      <c r="G481" s="38">
        <v>3662.52</v>
      </c>
      <c r="H481" s="36">
        <v>443190634</v>
      </c>
      <c r="I481" s="39">
        <v>0</v>
      </c>
      <c r="J481" s="38">
        <v>0</v>
      </c>
      <c r="K481" s="38">
        <v>0</v>
      </c>
      <c r="L481" s="38">
        <v>0</v>
      </c>
      <c r="M481" s="38">
        <v>10028.33</v>
      </c>
      <c r="N481" s="46" t="s">
        <v>48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40">
        <v>45918.228576388887</v>
      </c>
      <c r="B482" s="41">
        <v>443979866</v>
      </c>
      <c r="C482" s="42" t="s">
        <v>36</v>
      </c>
      <c r="D482" s="42" t="s">
        <v>37</v>
      </c>
      <c r="E482" s="42" t="s">
        <v>46</v>
      </c>
      <c r="F482" s="42" t="s">
        <v>38</v>
      </c>
      <c r="G482" s="43">
        <v>3662.52</v>
      </c>
      <c r="H482" s="41">
        <v>443190635</v>
      </c>
      <c r="I482" s="44">
        <v>0</v>
      </c>
      <c r="J482" s="43">
        <v>0</v>
      </c>
      <c r="K482" s="43">
        <v>0</v>
      </c>
      <c r="L482" s="43">
        <v>0</v>
      </c>
      <c r="M482" s="43">
        <v>10028.33</v>
      </c>
      <c r="N482" s="45" t="s">
        <v>53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35">
        <v>45918.228576388887</v>
      </c>
      <c r="B483" s="36">
        <v>443979867</v>
      </c>
      <c r="C483" s="37" t="s">
        <v>36</v>
      </c>
      <c r="D483" s="37" t="s">
        <v>37</v>
      </c>
      <c r="E483" s="37" t="s">
        <v>46</v>
      </c>
      <c r="F483" s="37" t="s">
        <v>38</v>
      </c>
      <c r="G483" s="38">
        <v>3662.52</v>
      </c>
      <c r="H483" s="36">
        <v>443190636</v>
      </c>
      <c r="I483" s="39">
        <v>0</v>
      </c>
      <c r="J483" s="38">
        <v>0</v>
      </c>
      <c r="K483" s="38">
        <v>0</v>
      </c>
      <c r="L483" s="38">
        <v>0</v>
      </c>
      <c r="M483" s="38">
        <v>10028.33</v>
      </c>
      <c r="N483" s="46" t="s">
        <v>49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40">
        <v>45918.231342592589</v>
      </c>
      <c r="B484" s="41">
        <v>443980430</v>
      </c>
      <c r="C484" s="42" t="s">
        <v>36</v>
      </c>
      <c r="D484" s="42" t="s">
        <v>37</v>
      </c>
      <c r="E484" s="42" t="s">
        <v>46</v>
      </c>
      <c r="F484" s="42" t="s">
        <v>38</v>
      </c>
      <c r="G484" s="43">
        <v>3662.6</v>
      </c>
      <c r="H484" s="41">
        <v>443191208</v>
      </c>
      <c r="I484" s="44">
        <v>0</v>
      </c>
      <c r="J484" s="43">
        <v>0</v>
      </c>
      <c r="K484" s="43">
        <v>0</v>
      </c>
      <c r="L484" s="43">
        <v>0</v>
      </c>
      <c r="M484" s="43">
        <v>10028.33</v>
      </c>
      <c r="N484" s="45" t="s">
        <v>395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35">
        <v>45918.231354166666</v>
      </c>
      <c r="B485" s="36">
        <v>443980431</v>
      </c>
      <c r="C485" s="37" t="s">
        <v>36</v>
      </c>
      <c r="D485" s="37" t="s">
        <v>37</v>
      </c>
      <c r="E485" s="37" t="s">
        <v>46</v>
      </c>
      <c r="F485" s="37" t="s">
        <v>38</v>
      </c>
      <c r="G485" s="38">
        <v>3662.6</v>
      </c>
      <c r="H485" s="36">
        <v>443191209</v>
      </c>
      <c r="I485" s="39">
        <v>0</v>
      </c>
      <c r="J485" s="38">
        <v>0</v>
      </c>
      <c r="K485" s="38">
        <v>0</v>
      </c>
      <c r="L485" s="38">
        <v>0</v>
      </c>
      <c r="M485" s="38">
        <v>10028.33</v>
      </c>
      <c r="N485" s="46" t="s">
        <v>268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40">
        <v>45918.232546296298</v>
      </c>
      <c r="B486" s="41">
        <v>443980789</v>
      </c>
      <c r="C486" s="42" t="s">
        <v>36</v>
      </c>
      <c r="D486" s="42" t="s">
        <v>39</v>
      </c>
      <c r="E486" s="42" t="s">
        <v>47</v>
      </c>
      <c r="F486" s="42" t="s">
        <v>38</v>
      </c>
      <c r="G486" s="43">
        <v>3660.02</v>
      </c>
      <c r="H486" s="41">
        <v>443191568</v>
      </c>
      <c r="I486" s="44">
        <v>0</v>
      </c>
      <c r="J486" s="43">
        <v>0</v>
      </c>
      <c r="K486" s="43">
        <v>0</v>
      </c>
      <c r="L486" s="43">
        <v>-2.5</v>
      </c>
      <c r="M486" s="43">
        <v>10025.83</v>
      </c>
      <c r="N486" s="45" t="s">
        <v>445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35">
        <v>45918.235914351855</v>
      </c>
      <c r="B487" s="36">
        <v>443981728</v>
      </c>
      <c r="C487" s="37" t="s">
        <v>36</v>
      </c>
      <c r="D487" s="37" t="s">
        <v>39</v>
      </c>
      <c r="E487" s="37" t="s">
        <v>47</v>
      </c>
      <c r="F487" s="37" t="s">
        <v>38</v>
      </c>
      <c r="G487" s="38">
        <v>3664.08</v>
      </c>
      <c r="H487" s="36">
        <v>443192491</v>
      </c>
      <c r="I487" s="39">
        <v>0</v>
      </c>
      <c r="J487" s="38">
        <v>0</v>
      </c>
      <c r="K487" s="38">
        <v>0</v>
      </c>
      <c r="L487" s="38">
        <v>1.51</v>
      </c>
      <c r="M487" s="38">
        <v>10027.34</v>
      </c>
      <c r="N487" s="46" t="s">
        <v>446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40">
        <v>45918.237141203703</v>
      </c>
      <c r="B488" s="41">
        <v>443982354</v>
      </c>
      <c r="C488" s="42" t="s">
        <v>36</v>
      </c>
      <c r="D488" s="42" t="s">
        <v>39</v>
      </c>
      <c r="E488" s="42" t="s">
        <v>47</v>
      </c>
      <c r="F488" s="42" t="s">
        <v>38</v>
      </c>
      <c r="G488" s="43">
        <v>3662.46</v>
      </c>
      <c r="H488" s="41">
        <v>443193111</v>
      </c>
      <c r="I488" s="44">
        <v>0</v>
      </c>
      <c r="J488" s="43">
        <v>0</v>
      </c>
      <c r="K488" s="43">
        <v>0</v>
      </c>
      <c r="L488" s="43">
        <v>-0.06</v>
      </c>
      <c r="M488" s="43">
        <v>10027.280000000001</v>
      </c>
      <c r="N488" s="45" t="s">
        <v>447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35">
        <v>45918.237141203703</v>
      </c>
      <c r="B489" s="36">
        <v>443982355</v>
      </c>
      <c r="C489" s="37" t="s">
        <v>36</v>
      </c>
      <c r="D489" s="37" t="s">
        <v>39</v>
      </c>
      <c r="E489" s="37" t="s">
        <v>47</v>
      </c>
      <c r="F489" s="37" t="s">
        <v>38</v>
      </c>
      <c r="G489" s="38">
        <v>3662.46</v>
      </c>
      <c r="H489" s="36">
        <v>443193112</v>
      </c>
      <c r="I489" s="39">
        <v>0</v>
      </c>
      <c r="J489" s="38">
        <v>0</v>
      </c>
      <c r="K489" s="38">
        <v>0</v>
      </c>
      <c r="L489" s="38">
        <v>-0.06</v>
      </c>
      <c r="M489" s="38">
        <v>10027.219999999999</v>
      </c>
      <c r="N489" s="46" t="s">
        <v>447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40">
        <v>45918.244537037041</v>
      </c>
      <c r="B490" s="41">
        <v>443983690</v>
      </c>
      <c r="C490" s="42" t="s">
        <v>36</v>
      </c>
      <c r="D490" s="42" t="s">
        <v>37</v>
      </c>
      <c r="E490" s="42" t="s">
        <v>46</v>
      </c>
      <c r="F490" s="42" t="s">
        <v>38</v>
      </c>
      <c r="G490" s="43">
        <v>3664.23</v>
      </c>
      <c r="H490" s="41">
        <v>443194416</v>
      </c>
      <c r="I490" s="44">
        <v>0</v>
      </c>
      <c r="J490" s="43">
        <v>0</v>
      </c>
      <c r="K490" s="43">
        <v>0</v>
      </c>
      <c r="L490" s="43">
        <v>0</v>
      </c>
      <c r="M490" s="43">
        <v>10027.219999999999</v>
      </c>
      <c r="N490" s="45" t="s">
        <v>150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35">
        <v>45918.24454861111</v>
      </c>
      <c r="B491" s="36">
        <v>443983691</v>
      </c>
      <c r="C491" s="37" t="s">
        <v>36</v>
      </c>
      <c r="D491" s="37" t="s">
        <v>37</v>
      </c>
      <c r="E491" s="37" t="s">
        <v>46</v>
      </c>
      <c r="F491" s="37" t="s">
        <v>38</v>
      </c>
      <c r="G491" s="38">
        <v>3664.23</v>
      </c>
      <c r="H491" s="36">
        <v>443194417</v>
      </c>
      <c r="I491" s="39">
        <v>0</v>
      </c>
      <c r="J491" s="38">
        <v>0</v>
      </c>
      <c r="K491" s="38">
        <v>0</v>
      </c>
      <c r="L491" s="38">
        <v>0</v>
      </c>
      <c r="M491" s="38">
        <v>10027.219999999999</v>
      </c>
      <c r="N491" s="46" t="s">
        <v>49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40">
        <v>45918.24454861111</v>
      </c>
      <c r="B492" s="41">
        <v>443983692</v>
      </c>
      <c r="C492" s="42" t="s">
        <v>36</v>
      </c>
      <c r="D492" s="42" t="s">
        <v>37</v>
      </c>
      <c r="E492" s="42" t="s">
        <v>46</v>
      </c>
      <c r="F492" s="42" t="s">
        <v>38</v>
      </c>
      <c r="G492" s="43">
        <v>3664.23</v>
      </c>
      <c r="H492" s="41">
        <v>443194418</v>
      </c>
      <c r="I492" s="44">
        <v>0</v>
      </c>
      <c r="J492" s="43">
        <v>0</v>
      </c>
      <c r="K492" s="43">
        <v>0</v>
      </c>
      <c r="L492" s="43">
        <v>0</v>
      </c>
      <c r="M492" s="43">
        <v>10027.219999999999</v>
      </c>
      <c r="N492" s="45" t="s">
        <v>53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35">
        <v>45918.24454861111</v>
      </c>
      <c r="B493" s="36">
        <v>443983693</v>
      </c>
      <c r="C493" s="37" t="s">
        <v>36</v>
      </c>
      <c r="D493" s="37" t="s">
        <v>37</v>
      </c>
      <c r="E493" s="37" t="s">
        <v>46</v>
      </c>
      <c r="F493" s="37" t="s">
        <v>38</v>
      </c>
      <c r="G493" s="38">
        <v>3664.23</v>
      </c>
      <c r="H493" s="36">
        <v>443194419</v>
      </c>
      <c r="I493" s="39">
        <v>0</v>
      </c>
      <c r="J493" s="38">
        <v>0</v>
      </c>
      <c r="K493" s="38">
        <v>0</v>
      </c>
      <c r="L493" s="38">
        <v>0</v>
      </c>
      <c r="M493" s="38">
        <v>10027.219999999999</v>
      </c>
      <c r="N493" s="46" t="s">
        <v>48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40">
        <v>45918.249456018515</v>
      </c>
      <c r="B494" s="41">
        <v>443984630</v>
      </c>
      <c r="C494" s="42" t="s">
        <v>36</v>
      </c>
      <c r="D494" s="42" t="s">
        <v>39</v>
      </c>
      <c r="E494" s="42" t="s">
        <v>47</v>
      </c>
      <c r="F494" s="42" t="s">
        <v>38</v>
      </c>
      <c r="G494" s="43">
        <v>3665.82</v>
      </c>
      <c r="H494" s="41">
        <v>443195337</v>
      </c>
      <c r="I494" s="44">
        <v>0</v>
      </c>
      <c r="J494" s="43">
        <v>0</v>
      </c>
      <c r="K494" s="43">
        <v>0</v>
      </c>
      <c r="L494" s="43">
        <v>1.59</v>
      </c>
      <c r="M494" s="43">
        <v>10028.81</v>
      </c>
      <c r="N494" s="45" t="s">
        <v>448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35">
        <v>45918.24962962963</v>
      </c>
      <c r="B495" s="36">
        <v>443984665</v>
      </c>
      <c r="C495" s="37" t="s">
        <v>36</v>
      </c>
      <c r="D495" s="37" t="s">
        <v>37</v>
      </c>
      <c r="E495" s="37" t="s">
        <v>46</v>
      </c>
      <c r="F495" s="37" t="s">
        <v>38</v>
      </c>
      <c r="G495" s="38">
        <v>3665.06</v>
      </c>
      <c r="H495" s="36">
        <v>443195368</v>
      </c>
      <c r="I495" s="39">
        <v>0</v>
      </c>
      <c r="J495" s="38">
        <v>0</v>
      </c>
      <c r="K495" s="38">
        <v>0</v>
      </c>
      <c r="L495" s="38">
        <v>0</v>
      </c>
      <c r="M495" s="38">
        <v>10028.81</v>
      </c>
      <c r="N495" s="46" t="s">
        <v>150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40">
        <v>45918.250833333332</v>
      </c>
      <c r="B496" s="41">
        <v>443984988</v>
      </c>
      <c r="C496" s="42" t="s">
        <v>36</v>
      </c>
      <c r="D496" s="42" t="s">
        <v>39</v>
      </c>
      <c r="E496" s="42" t="s">
        <v>47</v>
      </c>
      <c r="F496" s="42" t="s">
        <v>38</v>
      </c>
      <c r="G496" s="43">
        <v>3664.72</v>
      </c>
      <c r="H496" s="41">
        <v>443195700</v>
      </c>
      <c r="I496" s="44">
        <v>0</v>
      </c>
      <c r="J496" s="43">
        <v>0</v>
      </c>
      <c r="K496" s="43">
        <v>0</v>
      </c>
      <c r="L496" s="43">
        <v>0.49</v>
      </c>
      <c r="M496" s="43">
        <v>10029.299999999999</v>
      </c>
      <c r="N496" s="45" t="s">
        <v>449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35">
        <v>45918.250833333332</v>
      </c>
      <c r="B497" s="36">
        <v>443984990</v>
      </c>
      <c r="C497" s="37" t="s">
        <v>36</v>
      </c>
      <c r="D497" s="37" t="s">
        <v>39</v>
      </c>
      <c r="E497" s="37" t="s">
        <v>47</v>
      </c>
      <c r="F497" s="37" t="s">
        <v>38</v>
      </c>
      <c r="G497" s="38">
        <v>3664.72</v>
      </c>
      <c r="H497" s="36">
        <v>443195701</v>
      </c>
      <c r="I497" s="39">
        <v>0</v>
      </c>
      <c r="J497" s="38">
        <v>0</v>
      </c>
      <c r="K497" s="38">
        <v>0</v>
      </c>
      <c r="L497" s="38">
        <v>0.49</v>
      </c>
      <c r="M497" s="38">
        <v>10029.790000000001</v>
      </c>
      <c r="N497" s="46" t="s">
        <v>449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40">
        <v>45918.250833333332</v>
      </c>
      <c r="B498" s="41">
        <v>443984991</v>
      </c>
      <c r="C498" s="42" t="s">
        <v>36</v>
      </c>
      <c r="D498" s="42" t="s">
        <v>39</v>
      </c>
      <c r="E498" s="42" t="s">
        <v>47</v>
      </c>
      <c r="F498" s="42" t="s">
        <v>38</v>
      </c>
      <c r="G498" s="43">
        <v>3664.72</v>
      </c>
      <c r="H498" s="41">
        <v>443195702</v>
      </c>
      <c r="I498" s="44">
        <v>0</v>
      </c>
      <c r="J498" s="43">
        <v>0</v>
      </c>
      <c r="K498" s="43">
        <v>0</v>
      </c>
      <c r="L498" s="43">
        <v>0.49</v>
      </c>
      <c r="M498" s="43">
        <v>10030.280000000001</v>
      </c>
      <c r="N498" s="45" t="s">
        <v>449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35">
        <v>45918.250902777778</v>
      </c>
      <c r="B499" s="36">
        <v>443985011</v>
      </c>
      <c r="C499" s="37" t="s">
        <v>36</v>
      </c>
      <c r="D499" s="37" t="s">
        <v>37</v>
      </c>
      <c r="E499" s="37" t="s">
        <v>46</v>
      </c>
      <c r="F499" s="37" t="s">
        <v>38</v>
      </c>
      <c r="G499" s="38">
        <v>3664.98</v>
      </c>
      <c r="H499" s="36">
        <v>443195725</v>
      </c>
      <c r="I499" s="39">
        <v>0</v>
      </c>
      <c r="J499" s="38">
        <v>0</v>
      </c>
      <c r="K499" s="38">
        <v>0</v>
      </c>
      <c r="L499" s="38">
        <v>0</v>
      </c>
      <c r="M499" s="38">
        <v>10030.280000000001</v>
      </c>
      <c r="N499" s="46" t="s">
        <v>48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40">
        <v>45918.250914351855</v>
      </c>
      <c r="B500" s="41">
        <v>443985012</v>
      </c>
      <c r="C500" s="42" t="s">
        <v>36</v>
      </c>
      <c r="D500" s="42" t="s">
        <v>37</v>
      </c>
      <c r="E500" s="42" t="s">
        <v>46</v>
      </c>
      <c r="F500" s="42" t="s">
        <v>38</v>
      </c>
      <c r="G500" s="43">
        <v>3665.04</v>
      </c>
      <c r="H500" s="41">
        <v>443195726</v>
      </c>
      <c r="I500" s="44">
        <v>0</v>
      </c>
      <c r="J500" s="43">
        <v>0</v>
      </c>
      <c r="K500" s="43">
        <v>0</v>
      </c>
      <c r="L500" s="43">
        <v>0</v>
      </c>
      <c r="M500" s="43">
        <v>10030.280000000001</v>
      </c>
      <c r="N500" s="45" t="s">
        <v>49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35">
        <v>45918.250914351855</v>
      </c>
      <c r="B501" s="36">
        <v>443985015</v>
      </c>
      <c r="C501" s="37" t="s">
        <v>36</v>
      </c>
      <c r="D501" s="37" t="s">
        <v>37</v>
      </c>
      <c r="E501" s="37" t="s">
        <v>46</v>
      </c>
      <c r="F501" s="37" t="s">
        <v>38</v>
      </c>
      <c r="G501" s="38">
        <v>3665.05</v>
      </c>
      <c r="H501" s="36">
        <v>443195729</v>
      </c>
      <c r="I501" s="39">
        <v>0</v>
      </c>
      <c r="J501" s="38">
        <v>0</v>
      </c>
      <c r="K501" s="38">
        <v>0</v>
      </c>
      <c r="L501" s="38">
        <v>0</v>
      </c>
      <c r="M501" s="38">
        <v>10030.280000000001</v>
      </c>
      <c r="N501" s="46" t="s">
        <v>53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40">
        <v>45918.250949074078</v>
      </c>
      <c r="B502" s="41">
        <v>443985027</v>
      </c>
      <c r="C502" s="42" t="s">
        <v>36</v>
      </c>
      <c r="D502" s="42" t="s">
        <v>39</v>
      </c>
      <c r="E502" s="42" t="s">
        <v>47</v>
      </c>
      <c r="F502" s="42" t="s">
        <v>38</v>
      </c>
      <c r="G502" s="43">
        <v>3664.28</v>
      </c>
      <c r="H502" s="41">
        <v>443195739</v>
      </c>
      <c r="I502" s="44">
        <v>0</v>
      </c>
      <c r="J502" s="43">
        <v>0</v>
      </c>
      <c r="K502" s="43">
        <v>0</v>
      </c>
      <c r="L502" s="43">
        <v>1.68</v>
      </c>
      <c r="M502" s="43">
        <v>10031.959999999999</v>
      </c>
      <c r="N502" s="45" t="s">
        <v>450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35">
        <v>45918.250949074078</v>
      </c>
      <c r="B503" s="36">
        <v>443985028</v>
      </c>
      <c r="C503" s="37" t="s">
        <v>36</v>
      </c>
      <c r="D503" s="37" t="s">
        <v>39</v>
      </c>
      <c r="E503" s="37" t="s">
        <v>47</v>
      </c>
      <c r="F503" s="37" t="s">
        <v>38</v>
      </c>
      <c r="G503" s="38">
        <v>3664.28</v>
      </c>
      <c r="H503" s="36">
        <v>443195740</v>
      </c>
      <c r="I503" s="39">
        <v>0</v>
      </c>
      <c r="J503" s="38">
        <v>0</v>
      </c>
      <c r="K503" s="38">
        <v>0</v>
      </c>
      <c r="L503" s="38">
        <v>1.68</v>
      </c>
      <c r="M503" s="38">
        <v>10033.64</v>
      </c>
      <c r="N503" s="46" t="s">
        <v>450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40">
        <v>45918.251018518517</v>
      </c>
      <c r="B504" s="41">
        <v>443985065</v>
      </c>
      <c r="C504" s="42" t="s">
        <v>36</v>
      </c>
      <c r="D504" s="42" t="s">
        <v>37</v>
      </c>
      <c r="E504" s="42" t="s">
        <v>46</v>
      </c>
      <c r="F504" s="42" t="s">
        <v>38</v>
      </c>
      <c r="G504" s="43">
        <v>3664.52</v>
      </c>
      <c r="H504" s="41">
        <v>443195777</v>
      </c>
      <c r="I504" s="44">
        <v>0</v>
      </c>
      <c r="J504" s="43">
        <v>0</v>
      </c>
      <c r="K504" s="43">
        <v>0</v>
      </c>
      <c r="L504" s="43">
        <v>0</v>
      </c>
      <c r="M504" s="43">
        <v>10033.64</v>
      </c>
      <c r="N504" s="45" t="s">
        <v>268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35">
        <v>45918.251030092593</v>
      </c>
      <c r="B505" s="36">
        <v>443985069</v>
      </c>
      <c r="C505" s="37" t="s">
        <v>36</v>
      </c>
      <c r="D505" s="37" t="s">
        <v>37</v>
      </c>
      <c r="E505" s="37" t="s">
        <v>46</v>
      </c>
      <c r="F505" s="37" t="s">
        <v>38</v>
      </c>
      <c r="G505" s="38">
        <v>3664.53</v>
      </c>
      <c r="H505" s="36">
        <v>443195781</v>
      </c>
      <c r="I505" s="39">
        <v>0</v>
      </c>
      <c r="J505" s="38">
        <v>0</v>
      </c>
      <c r="K505" s="38">
        <v>0</v>
      </c>
      <c r="L505" s="38">
        <v>0</v>
      </c>
      <c r="M505" s="38">
        <v>10033.64</v>
      </c>
      <c r="N505" s="46" t="s">
        <v>395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40">
        <v>45918.252835648149</v>
      </c>
      <c r="B506" s="41">
        <v>443985673</v>
      </c>
      <c r="C506" s="42" t="s">
        <v>36</v>
      </c>
      <c r="D506" s="42" t="s">
        <v>39</v>
      </c>
      <c r="E506" s="42" t="s">
        <v>47</v>
      </c>
      <c r="F506" s="42" t="s">
        <v>38</v>
      </c>
      <c r="G506" s="43">
        <v>3662.48</v>
      </c>
      <c r="H506" s="41">
        <v>443196374</v>
      </c>
      <c r="I506" s="44">
        <v>0</v>
      </c>
      <c r="J506" s="43">
        <v>0</v>
      </c>
      <c r="K506" s="43">
        <v>0</v>
      </c>
      <c r="L506" s="43">
        <v>-2.56</v>
      </c>
      <c r="M506" s="43">
        <v>10031.08</v>
      </c>
      <c r="N506" s="45" t="s">
        <v>451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35">
        <v>45918.254432870373</v>
      </c>
      <c r="B507" s="36">
        <v>443986080</v>
      </c>
      <c r="C507" s="37" t="s">
        <v>36</v>
      </c>
      <c r="D507" s="37" t="s">
        <v>39</v>
      </c>
      <c r="E507" s="37" t="s">
        <v>47</v>
      </c>
      <c r="F507" s="37" t="s">
        <v>38</v>
      </c>
      <c r="G507" s="38">
        <v>3662.06</v>
      </c>
      <c r="H507" s="36">
        <v>443196767</v>
      </c>
      <c r="I507" s="39">
        <v>0</v>
      </c>
      <c r="J507" s="38">
        <v>0</v>
      </c>
      <c r="K507" s="38">
        <v>0</v>
      </c>
      <c r="L507" s="38">
        <v>-3</v>
      </c>
      <c r="M507" s="38">
        <v>10028.08</v>
      </c>
      <c r="N507" s="46" t="s">
        <v>413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40">
        <v>45918.254872685182</v>
      </c>
      <c r="B508" s="41">
        <v>443986148</v>
      </c>
      <c r="C508" s="42" t="s">
        <v>36</v>
      </c>
      <c r="D508" s="42" t="s">
        <v>39</v>
      </c>
      <c r="E508" s="42" t="s">
        <v>47</v>
      </c>
      <c r="F508" s="42" t="s">
        <v>38</v>
      </c>
      <c r="G508" s="43">
        <v>3662.01</v>
      </c>
      <c r="H508" s="41">
        <v>443196833</v>
      </c>
      <c r="I508" s="44">
        <v>0</v>
      </c>
      <c r="J508" s="43">
        <v>0</v>
      </c>
      <c r="K508" s="43">
        <v>0</v>
      </c>
      <c r="L508" s="43">
        <v>-2.97</v>
      </c>
      <c r="M508" s="43">
        <v>10025.11</v>
      </c>
      <c r="N508" s="45" t="s">
        <v>452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35">
        <v>45918.254872685182</v>
      </c>
      <c r="B509" s="36">
        <v>443986149</v>
      </c>
      <c r="C509" s="37" t="s">
        <v>36</v>
      </c>
      <c r="D509" s="37" t="s">
        <v>39</v>
      </c>
      <c r="E509" s="37" t="s">
        <v>47</v>
      </c>
      <c r="F509" s="37" t="s">
        <v>38</v>
      </c>
      <c r="G509" s="38">
        <v>3661.96</v>
      </c>
      <c r="H509" s="36">
        <v>443196834</v>
      </c>
      <c r="I509" s="39">
        <v>0</v>
      </c>
      <c r="J509" s="38">
        <v>0</v>
      </c>
      <c r="K509" s="38">
        <v>0</v>
      </c>
      <c r="L509" s="38">
        <v>-3.09</v>
      </c>
      <c r="M509" s="38">
        <v>10022.02</v>
      </c>
      <c r="N509" s="46" t="s">
        <v>453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40">
        <v>45918.254988425928</v>
      </c>
      <c r="B510" s="41">
        <v>443986180</v>
      </c>
      <c r="C510" s="42" t="s">
        <v>36</v>
      </c>
      <c r="D510" s="42" t="s">
        <v>39</v>
      </c>
      <c r="E510" s="42" t="s">
        <v>47</v>
      </c>
      <c r="F510" s="42" t="s">
        <v>38</v>
      </c>
      <c r="G510" s="43">
        <v>3661.49</v>
      </c>
      <c r="H510" s="41">
        <v>443196863</v>
      </c>
      <c r="I510" s="44">
        <v>0</v>
      </c>
      <c r="J510" s="43">
        <v>0</v>
      </c>
      <c r="K510" s="43">
        <v>0</v>
      </c>
      <c r="L510" s="43">
        <v>-3.03</v>
      </c>
      <c r="M510" s="43">
        <v>10018.99</v>
      </c>
      <c r="N510" s="45" t="s">
        <v>454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35">
        <v>45918.254988425928</v>
      </c>
      <c r="B511" s="36">
        <v>443986181</v>
      </c>
      <c r="C511" s="37" t="s">
        <v>36</v>
      </c>
      <c r="D511" s="37" t="s">
        <v>39</v>
      </c>
      <c r="E511" s="37" t="s">
        <v>47</v>
      </c>
      <c r="F511" s="37" t="s">
        <v>38</v>
      </c>
      <c r="G511" s="38">
        <v>3661.49</v>
      </c>
      <c r="H511" s="36">
        <v>443196864</v>
      </c>
      <c r="I511" s="39">
        <v>0</v>
      </c>
      <c r="J511" s="38">
        <v>0</v>
      </c>
      <c r="K511" s="38">
        <v>0</v>
      </c>
      <c r="L511" s="38">
        <v>-3.04</v>
      </c>
      <c r="M511" s="38">
        <v>10015.950000000001</v>
      </c>
      <c r="N511" s="46" t="s">
        <v>384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40">
        <v>45918.256805555553</v>
      </c>
      <c r="B512" s="41">
        <v>443986679</v>
      </c>
      <c r="C512" s="42" t="s">
        <v>36</v>
      </c>
      <c r="D512" s="42" t="s">
        <v>39</v>
      </c>
      <c r="E512" s="42" t="s">
        <v>46</v>
      </c>
      <c r="F512" s="42" t="s">
        <v>38</v>
      </c>
      <c r="G512" s="43">
        <v>3662.48</v>
      </c>
      <c r="H512" s="41">
        <v>443197339</v>
      </c>
      <c r="I512" s="44">
        <v>0</v>
      </c>
      <c r="J512" s="43">
        <v>0</v>
      </c>
      <c r="K512" s="43">
        <v>0</v>
      </c>
      <c r="L512" s="43">
        <v>0</v>
      </c>
      <c r="M512" s="43">
        <v>10015.950000000001</v>
      </c>
      <c r="N512" s="45" t="s">
        <v>150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35">
        <v>45918.25681712963</v>
      </c>
      <c r="B513" s="36">
        <v>443986682</v>
      </c>
      <c r="C513" s="37" t="s">
        <v>36</v>
      </c>
      <c r="D513" s="37" t="s">
        <v>39</v>
      </c>
      <c r="E513" s="37" t="s">
        <v>46</v>
      </c>
      <c r="F513" s="37" t="s">
        <v>38</v>
      </c>
      <c r="G513" s="38">
        <v>3662.58</v>
      </c>
      <c r="H513" s="36">
        <v>443197342</v>
      </c>
      <c r="I513" s="39">
        <v>0</v>
      </c>
      <c r="J513" s="38">
        <v>0</v>
      </c>
      <c r="K513" s="38">
        <v>0</v>
      </c>
      <c r="L513" s="38">
        <v>0</v>
      </c>
      <c r="M513" s="38">
        <v>10015.950000000001</v>
      </c>
      <c r="N513" s="46" t="s">
        <v>48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40">
        <v>45918.25681712963</v>
      </c>
      <c r="B514" s="41">
        <v>443986683</v>
      </c>
      <c r="C514" s="42" t="s">
        <v>36</v>
      </c>
      <c r="D514" s="42" t="s">
        <v>39</v>
      </c>
      <c r="E514" s="42" t="s">
        <v>46</v>
      </c>
      <c r="F514" s="42" t="s">
        <v>38</v>
      </c>
      <c r="G514" s="43">
        <v>3662.58</v>
      </c>
      <c r="H514" s="41">
        <v>443197343</v>
      </c>
      <c r="I514" s="44">
        <v>0</v>
      </c>
      <c r="J514" s="43">
        <v>0</v>
      </c>
      <c r="K514" s="43">
        <v>0</v>
      </c>
      <c r="L514" s="43">
        <v>0</v>
      </c>
      <c r="M514" s="43">
        <v>10015.950000000001</v>
      </c>
      <c r="N514" s="45" t="s">
        <v>49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35">
        <v>45918.25681712963</v>
      </c>
      <c r="B515" s="36">
        <v>443986685</v>
      </c>
      <c r="C515" s="37" t="s">
        <v>36</v>
      </c>
      <c r="D515" s="37" t="s">
        <v>39</v>
      </c>
      <c r="E515" s="37" t="s">
        <v>46</v>
      </c>
      <c r="F515" s="37" t="s">
        <v>38</v>
      </c>
      <c r="G515" s="38">
        <v>3662.58</v>
      </c>
      <c r="H515" s="36">
        <v>443197345</v>
      </c>
      <c r="I515" s="39">
        <v>0</v>
      </c>
      <c r="J515" s="38">
        <v>0</v>
      </c>
      <c r="K515" s="38">
        <v>0</v>
      </c>
      <c r="L515" s="38">
        <v>0</v>
      </c>
      <c r="M515" s="38">
        <v>10015.950000000001</v>
      </c>
      <c r="N515" s="46" t="s">
        <v>53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40">
        <v>45918.257384259261</v>
      </c>
      <c r="B516" s="41">
        <v>443986792</v>
      </c>
      <c r="C516" s="42" t="s">
        <v>36</v>
      </c>
      <c r="D516" s="42" t="s">
        <v>37</v>
      </c>
      <c r="E516" s="42" t="s">
        <v>46</v>
      </c>
      <c r="F516" s="42" t="s">
        <v>38</v>
      </c>
      <c r="G516" s="43">
        <v>3663.03</v>
      </c>
      <c r="H516" s="41">
        <v>443197453</v>
      </c>
      <c r="I516" s="44">
        <v>0</v>
      </c>
      <c r="J516" s="43">
        <v>0</v>
      </c>
      <c r="K516" s="43">
        <v>0</v>
      </c>
      <c r="L516" s="43">
        <v>0</v>
      </c>
      <c r="M516" s="43">
        <v>10015.950000000001</v>
      </c>
      <c r="N516" s="45" t="s">
        <v>268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35">
        <v>45918.257395833331</v>
      </c>
      <c r="B517" s="36">
        <v>443986793</v>
      </c>
      <c r="C517" s="37" t="s">
        <v>36</v>
      </c>
      <c r="D517" s="37" t="s">
        <v>37</v>
      </c>
      <c r="E517" s="37" t="s">
        <v>46</v>
      </c>
      <c r="F517" s="37" t="s">
        <v>38</v>
      </c>
      <c r="G517" s="38">
        <v>3663.03</v>
      </c>
      <c r="H517" s="36">
        <v>443197454</v>
      </c>
      <c r="I517" s="39">
        <v>0</v>
      </c>
      <c r="J517" s="38">
        <v>0</v>
      </c>
      <c r="K517" s="38">
        <v>0</v>
      </c>
      <c r="L517" s="38">
        <v>0</v>
      </c>
      <c r="M517" s="38">
        <v>10015.950000000001</v>
      </c>
      <c r="N517" s="46" t="s">
        <v>395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40">
        <v>45918.267361111109</v>
      </c>
      <c r="B518" s="41">
        <v>443988603</v>
      </c>
      <c r="C518" s="42" t="s">
        <v>36</v>
      </c>
      <c r="D518" s="42" t="s">
        <v>37</v>
      </c>
      <c r="E518" s="42" t="s">
        <v>47</v>
      </c>
      <c r="F518" s="42" t="s">
        <v>38</v>
      </c>
      <c r="G518" s="43">
        <v>3662.31</v>
      </c>
      <c r="H518" s="41">
        <v>443199199</v>
      </c>
      <c r="I518" s="44">
        <v>0</v>
      </c>
      <c r="J518" s="43">
        <v>0</v>
      </c>
      <c r="K518" s="43">
        <v>0</v>
      </c>
      <c r="L518" s="43">
        <v>0.17</v>
      </c>
      <c r="M518" s="43">
        <v>10016.120000000001</v>
      </c>
      <c r="N518" s="45" t="s">
        <v>455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35">
        <v>45918.267361111109</v>
      </c>
      <c r="B519" s="36">
        <v>443988604</v>
      </c>
      <c r="C519" s="37" t="s">
        <v>36</v>
      </c>
      <c r="D519" s="37" t="s">
        <v>37</v>
      </c>
      <c r="E519" s="37" t="s">
        <v>47</v>
      </c>
      <c r="F519" s="37" t="s">
        <v>38</v>
      </c>
      <c r="G519" s="38">
        <v>3662.31</v>
      </c>
      <c r="H519" s="36">
        <v>443199200</v>
      </c>
      <c r="I519" s="39">
        <v>0</v>
      </c>
      <c r="J519" s="38">
        <v>0</v>
      </c>
      <c r="K519" s="38">
        <v>0</v>
      </c>
      <c r="L519" s="38">
        <v>0.27</v>
      </c>
      <c r="M519" s="38">
        <v>10016.39</v>
      </c>
      <c r="N519" s="46" t="s">
        <v>455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40">
        <v>45918.267361111109</v>
      </c>
      <c r="B520" s="41">
        <v>443988605</v>
      </c>
      <c r="C520" s="42" t="s">
        <v>36</v>
      </c>
      <c r="D520" s="42" t="s">
        <v>37</v>
      </c>
      <c r="E520" s="42" t="s">
        <v>47</v>
      </c>
      <c r="F520" s="42" t="s">
        <v>38</v>
      </c>
      <c r="G520" s="43">
        <v>3662.31</v>
      </c>
      <c r="H520" s="41">
        <v>443199201</v>
      </c>
      <c r="I520" s="44">
        <v>0</v>
      </c>
      <c r="J520" s="43">
        <v>0</v>
      </c>
      <c r="K520" s="43">
        <v>0</v>
      </c>
      <c r="L520" s="43">
        <v>0.27</v>
      </c>
      <c r="M520" s="43">
        <v>10016.66</v>
      </c>
      <c r="N520" s="45" t="s">
        <v>455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35">
        <v>45918.267361111109</v>
      </c>
      <c r="B521" s="36">
        <v>443988606</v>
      </c>
      <c r="C521" s="37" t="s">
        <v>36</v>
      </c>
      <c r="D521" s="37" t="s">
        <v>37</v>
      </c>
      <c r="E521" s="37" t="s">
        <v>47</v>
      </c>
      <c r="F521" s="37" t="s">
        <v>38</v>
      </c>
      <c r="G521" s="38">
        <v>3662.31</v>
      </c>
      <c r="H521" s="36">
        <v>443199202</v>
      </c>
      <c r="I521" s="39">
        <v>0</v>
      </c>
      <c r="J521" s="38">
        <v>0</v>
      </c>
      <c r="K521" s="38">
        <v>0</v>
      </c>
      <c r="L521" s="38">
        <v>0.27</v>
      </c>
      <c r="M521" s="38">
        <v>10016.93</v>
      </c>
      <c r="N521" s="46" t="s">
        <v>455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40">
        <v>45918.267685185187</v>
      </c>
      <c r="B522" s="41">
        <v>443988659</v>
      </c>
      <c r="C522" s="42" t="s">
        <v>36</v>
      </c>
      <c r="D522" s="42" t="s">
        <v>39</v>
      </c>
      <c r="E522" s="42" t="s">
        <v>46</v>
      </c>
      <c r="F522" s="42" t="s">
        <v>38</v>
      </c>
      <c r="G522" s="43">
        <v>3661.97</v>
      </c>
      <c r="H522" s="41">
        <v>443199246</v>
      </c>
      <c r="I522" s="44">
        <v>0</v>
      </c>
      <c r="J522" s="43">
        <v>0</v>
      </c>
      <c r="K522" s="43">
        <v>0</v>
      </c>
      <c r="L522" s="43">
        <v>0</v>
      </c>
      <c r="M522" s="43">
        <v>10016.93</v>
      </c>
      <c r="N522" s="45" t="s">
        <v>53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35">
        <v>45918.267696759256</v>
      </c>
      <c r="B523" s="36">
        <v>443988661</v>
      </c>
      <c r="C523" s="37" t="s">
        <v>36</v>
      </c>
      <c r="D523" s="37" t="s">
        <v>39</v>
      </c>
      <c r="E523" s="37" t="s">
        <v>46</v>
      </c>
      <c r="F523" s="37" t="s">
        <v>38</v>
      </c>
      <c r="G523" s="38">
        <v>3661.97</v>
      </c>
      <c r="H523" s="36">
        <v>443199248</v>
      </c>
      <c r="I523" s="39">
        <v>0</v>
      </c>
      <c r="J523" s="38">
        <v>0</v>
      </c>
      <c r="K523" s="38">
        <v>0</v>
      </c>
      <c r="L523" s="38">
        <v>0</v>
      </c>
      <c r="M523" s="38">
        <v>10016.93</v>
      </c>
      <c r="N523" s="46" t="s">
        <v>48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40">
        <v>45918.267696759256</v>
      </c>
      <c r="B524" s="41">
        <v>443988664</v>
      </c>
      <c r="C524" s="42" t="s">
        <v>36</v>
      </c>
      <c r="D524" s="42" t="s">
        <v>39</v>
      </c>
      <c r="E524" s="42" t="s">
        <v>46</v>
      </c>
      <c r="F524" s="42" t="s">
        <v>38</v>
      </c>
      <c r="G524" s="43">
        <v>3661.97</v>
      </c>
      <c r="H524" s="41">
        <v>443199252</v>
      </c>
      <c r="I524" s="44">
        <v>0</v>
      </c>
      <c r="J524" s="43">
        <v>0</v>
      </c>
      <c r="K524" s="43">
        <v>0</v>
      </c>
      <c r="L524" s="43">
        <v>0</v>
      </c>
      <c r="M524" s="43">
        <v>10016.93</v>
      </c>
      <c r="N524" s="45" t="s">
        <v>150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35">
        <v>45918.267696759256</v>
      </c>
      <c r="B525" s="36">
        <v>443988666</v>
      </c>
      <c r="C525" s="37" t="s">
        <v>36</v>
      </c>
      <c r="D525" s="37" t="s">
        <v>39</v>
      </c>
      <c r="E525" s="37" t="s">
        <v>46</v>
      </c>
      <c r="F525" s="37" t="s">
        <v>38</v>
      </c>
      <c r="G525" s="38">
        <v>3661.97</v>
      </c>
      <c r="H525" s="36">
        <v>443199254</v>
      </c>
      <c r="I525" s="39">
        <v>0</v>
      </c>
      <c r="J525" s="38">
        <v>0</v>
      </c>
      <c r="K525" s="38">
        <v>0</v>
      </c>
      <c r="L525" s="38">
        <v>0</v>
      </c>
      <c r="M525" s="38">
        <v>10016.93</v>
      </c>
      <c r="N525" s="46" t="s">
        <v>49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Strategy_Builder</vt:lpstr>
      <vt:lpstr>Overall</vt:lpstr>
      <vt:lpstr>strategy_01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2025-09-18T06:36:02Z</dcterms:modified>
</cp:coreProperties>
</file>