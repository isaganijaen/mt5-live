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7223F439-80E6-456F-96EC-4927594B704D}" xr6:coauthVersionLast="47" xr6:coauthVersionMax="47" xr10:uidLastSave="{00000000-0000-0000-0000-000000000000}"/>
  <bookViews>
    <workbookView xWindow="390" yWindow="390" windowWidth="20280" windowHeight="14505" tabRatio="803" activeTab="3" xr2:uid="{00000000-000D-0000-FFFF-FFFF00000000}"/>
  </bookViews>
  <sheets>
    <sheet name="Strategy_Builder" sheetId="1" r:id="rId1"/>
    <sheet name="Overall" sheetId="8" r:id="rId2"/>
    <sheet name="Overall (01 00-04 00 &amp; 10 00-1)" sheetId="20" r:id="rId3"/>
    <sheet name="strategy_19" sheetId="23" r:id="rId4"/>
    <sheet name="strategy_31" sheetId="24" r:id="rId5"/>
    <sheet name="strategy_comparison" sheetId="17" r:id="rId6"/>
    <sheet name="Consolidate_Data" sheetId="10" r:id="rId7"/>
    <sheet name="Positions_Demo" sheetId="2" r:id="rId8"/>
    <sheet name="Deals_Demo" sheetId="3" r:id="rId9"/>
  </sheets>
  <definedNames>
    <definedName name="_xlnm._FilterDatabase" localSheetId="7" hidden="1">Positions_Demo!$A$1:$AA$14</definedName>
  </definedNames>
  <calcPr calcId="191029"/>
  <pivotCaches>
    <pivotCache cacheId="0" r:id="rId10"/>
    <pivotCache cacheId="1" r:id="rId11"/>
    <pivotCache cacheId="2" r:id="rId12"/>
    <pivotCache cacheId="3" r:id="rId13"/>
    <pivotCache cacheId="1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2" i="3" l="1"/>
  <c r="P132" i="3" s="1"/>
  <c r="O133" i="3"/>
  <c r="P133" i="3" s="1"/>
  <c r="O134" i="3"/>
  <c r="P134" i="3" s="1"/>
  <c r="O135" i="3"/>
  <c r="P135" i="3" s="1"/>
  <c r="O136" i="3"/>
  <c r="P136" i="3"/>
  <c r="S136" i="3" s="1"/>
  <c r="R136" i="3"/>
  <c r="O137" i="3"/>
  <c r="P137" i="3"/>
  <c r="Q137" i="3" s="1"/>
  <c r="S137" i="3"/>
  <c r="W70" i="2" s="1"/>
  <c r="O138" i="3"/>
  <c r="P138" i="3"/>
  <c r="Q138" i="3" s="1"/>
  <c r="O139" i="3"/>
  <c r="P139" i="3" s="1"/>
  <c r="O140" i="3"/>
  <c r="P140" i="3"/>
  <c r="Q140" i="3"/>
  <c r="R140" i="3"/>
  <c r="S140" i="3"/>
  <c r="O141" i="3"/>
  <c r="P141" i="3" s="1"/>
  <c r="O142" i="3"/>
  <c r="P142" i="3"/>
  <c r="Q142" i="3" s="1"/>
  <c r="R142" i="3"/>
  <c r="O143" i="3"/>
  <c r="P143" i="3" s="1"/>
  <c r="O144" i="3"/>
  <c r="P144" i="3"/>
  <c r="S144" i="3" s="1"/>
  <c r="W73" i="2" s="1"/>
  <c r="R144" i="3"/>
  <c r="V73" i="2" s="1"/>
  <c r="O145" i="3"/>
  <c r="P145" i="3"/>
  <c r="R145" i="3" s="1"/>
  <c r="Q145" i="3"/>
  <c r="S145" i="3"/>
  <c r="O146" i="3"/>
  <c r="P146" i="3"/>
  <c r="Q146" i="3" s="1"/>
  <c r="O147" i="3"/>
  <c r="P147" i="3" s="1"/>
  <c r="O148" i="3"/>
  <c r="P148" i="3"/>
  <c r="Q148" i="3"/>
  <c r="R148" i="3"/>
  <c r="S148" i="3"/>
  <c r="O149" i="3"/>
  <c r="S76" i="2" s="1"/>
  <c r="O150" i="3"/>
  <c r="P150" i="3"/>
  <c r="Q150" i="3" s="1"/>
  <c r="R150" i="3"/>
  <c r="O151" i="3"/>
  <c r="P151" i="3" s="1"/>
  <c r="O152" i="3"/>
  <c r="P152" i="3"/>
  <c r="S152" i="3" s="1"/>
  <c r="W77" i="2" s="1"/>
  <c r="R152" i="3"/>
  <c r="V77" i="2" s="1"/>
  <c r="O153" i="3"/>
  <c r="P153" i="3"/>
  <c r="R153" i="3" s="1"/>
  <c r="V78" i="2" s="1"/>
  <c r="Q153" i="3"/>
  <c r="S153" i="3"/>
  <c r="O154" i="3"/>
  <c r="P154" i="3"/>
  <c r="Q154" i="3" s="1"/>
  <c r="O155" i="3"/>
  <c r="P155" i="3" s="1"/>
  <c r="O156" i="3"/>
  <c r="P156" i="3"/>
  <c r="Q156" i="3"/>
  <c r="R156" i="3"/>
  <c r="S156" i="3"/>
  <c r="O157" i="3"/>
  <c r="P157" i="3" s="1"/>
  <c r="O158" i="3"/>
  <c r="P158" i="3"/>
  <c r="Q158" i="3" s="1"/>
  <c r="R158" i="3"/>
  <c r="O159" i="3"/>
  <c r="P159" i="3" s="1"/>
  <c r="O160" i="3"/>
  <c r="P160" i="3"/>
  <c r="S160" i="3" s="1"/>
  <c r="W81" i="2" s="1"/>
  <c r="R160" i="3"/>
  <c r="V81" i="2" s="1"/>
  <c r="O161" i="3"/>
  <c r="P161" i="3"/>
  <c r="R161" i="3" s="1"/>
  <c r="V82" i="2" s="1"/>
  <c r="Q161" i="3"/>
  <c r="S161" i="3"/>
  <c r="O162" i="3"/>
  <c r="P162" i="3"/>
  <c r="Q162" i="3" s="1"/>
  <c r="O163" i="3"/>
  <c r="P163" i="3" s="1"/>
  <c r="O164" i="3"/>
  <c r="P164" i="3"/>
  <c r="Q164" i="3"/>
  <c r="R164" i="3"/>
  <c r="S164" i="3"/>
  <c r="O165" i="3"/>
  <c r="P165" i="3" s="1"/>
  <c r="O166" i="3"/>
  <c r="P166" i="3"/>
  <c r="Q166" i="3" s="1"/>
  <c r="R166" i="3"/>
  <c r="O167" i="3"/>
  <c r="P167" i="3" s="1"/>
  <c r="O168" i="3"/>
  <c r="P168" i="3"/>
  <c r="S168" i="3" s="1"/>
  <c r="R168" i="3"/>
  <c r="O169" i="3"/>
  <c r="P169" i="3"/>
  <c r="R169" i="3" s="1"/>
  <c r="Q169" i="3"/>
  <c r="S169" i="3"/>
  <c r="O170" i="3"/>
  <c r="P170" i="3"/>
  <c r="Q170" i="3" s="1"/>
  <c r="O171" i="3"/>
  <c r="P171" i="3" s="1"/>
  <c r="O172" i="3"/>
  <c r="P172" i="3"/>
  <c r="Q172" i="3"/>
  <c r="R172" i="3"/>
  <c r="S172" i="3"/>
  <c r="O173" i="3"/>
  <c r="P173" i="3" s="1"/>
  <c r="O174" i="3"/>
  <c r="P174" i="3"/>
  <c r="Q174" i="3" s="1"/>
  <c r="R174" i="3"/>
  <c r="O175" i="3"/>
  <c r="P175" i="3" s="1"/>
  <c r="O176" i="3"/>
  <c r="P176" i="3"/>
  <c r="S176" i="3" s="1"/>
  <c r="R176" i="3"/>
  <c r="O177" i="3"/>
  <c r="P177" i="3"/>
  <c r="R177" i="3" s="1"/>
  <c r="V90" i="2" s="1"/>
  <c r="Q177" i="3"/>
  <c r="S177" i="3"/>
  <c r="O178" i="3"/>
  <c r="P178" i="3"/>
  <c r="Q178" i="3" s="1"/>
  <c r="O179" i="3"/>
  <c r="P179" i="3" s="1"/>
  <c r="O180" i="3"/>
  <c r="P180" i="3" s="1"/>
  <c r="O181" i="3"/>
  <c r="P181" i="3" s="1"/>
  <c r="O182" i="3"/>
  <c r="P182" i="3"/>
  <c r="Q182" i="3" s="1"/>
  <c r="R182" i="3"/>
  <c r="O183" i="3"/>
  <c r="P183" i="3" s="1"/>
  <c r="O184" i="3"/>
  <c r="P184" i="3"/>
  <c r="S184" i="3" s="1"/>
  <c r="W93" i="2" s="1"/>
  <c r="R184" i="3"/>
  <c r="V93" i="2" s="1"/>
  <c r="O185" i="3"/>
  <c r="P185" i="3"/>
  <c r="R185" i="3" s="1"/>
  <c r="Q185" i="3"/>
  <c r="S185" i="3"/>
  <c r="O186" i="3"/>
  <c r="P186" i="3"/>
  <c r="Q186" i="3" s="1"/>
  <c r="O187" i="3"/>
  <c r="P187" i="3" s="1"/>
  <c r="O188" i="3"/>
  <c r="P188" i="3" s="1"/>
  <c r="O189" i="3"/>
  <c r="P189" i="3" s="1"/>
  <c r="O190" i="3"/>
  <c r="P190" i="3"/>
  <c r="Q190" i="3" s="1"/>
  <c r="R190" i="3"/>
  <c r="O191" i="3"/>
  <c r="P191" i="3" s="1"/>
  <c r="O192" i="3"/>
  <c r="P192" i="3"/>
  <c r="S192" i="3" s="1"/>
  <c r="W97" i="2" s="1"/>
  <c r="R192" i="3"/>
  <c r="V97" i="2" s="1"/>
  <c r="O193" i="3"/>
  <c r="P193" i="3"/>
  <c r="R193" i="3" s="1"/>
  <c r="Q193" i="3"/>
  <c r="S193" i="3"/>
  <c r="O194" i="3"/>
  <c r="P194" i="3"/>
  <c r="Q194" i="3" s="1"/>
  <c r="O195" i="3"/>
  <c r="P195" i="3" s="1"/>
  <c r="O196" i="3"/>
  <c r="P196" i="3" s="1"/>
  <c r="O197" i="3"/>
  <c r="P197" i="3" s="1"/>
  <c r="O198" i="3"/>
  <c r="P198" i="3"/>
  <c r="Q198" i="3" s="1"/>
  <c r="R198" i="3"/>
  <c r="O199" i="3"/>
  <c r="P199" i="3" s="1"/>
  <c r="N67" i="2"/>
  <c r="O67" i="2"/>
  <c r="R67" i="2" s="1"/>
  <c r="P67" i="2"/>
  <c r="Q67" i="2"/>
  <c r="S67" i="2"/>
  <c r="X67" i="2"/>
  <c r="Y67" i="2"/>
  <c r="Z67" i="2"/>
  <c r="AA67" i="2"/>
  <c r="N68" i="2"/>
  <c r="O68" i="2"/>
  <c r="R68" i="2" s="1"/>
  <c r="P68" i="2"/>
  <c r="Q68" i="2"/>
  <c r="S68" i="2"/>
  <c r="X68" i="2"/>
  <c r="Y68" i="2"/>
  <c r="Z68" i="2"/>
  <c r="AA68" i="2"/>
  <c r="N69" i="2"/>
  <c r="O69" i="2"/>
  <c r="R69" i="2" s="1"/>
  <c r="P69" i="2"/>
  <c r="Q69" i="2"/>
  <c r="X69" i="2"/>
  <c r="Y69" i="2"/>
  <c r="Z69" i="2"/>
  <c r="AA69" i="2"/>
  <c r="N70" i="2"/>
  <c r="O70" i="2"/>
  <c r="R70" i="2" s="1"/>
  <c r="P70" i="2"/>
  <c r="Q70" i="2"/>
  <c r="S70" i="2"/>
  <c r="T70" i="2"/>
  <c r="U70" i="2" s="1"/>
  <c r="X70" i="2"/>
  <c r="Y70" i="2"/>
  <c r="Z70" i="2"/>
  <c r="AA70" i="2"/>
  <c r="N71" i="2"/>
  <c r="O71" i="2"/>
  <c r="P71" i="2"/>
  <c r="Q71" i="2"/>
  <c r="R71" i="2"/>
  <c r="S71" i="2"/>
  <c r="T71" i="2"/>
  <c r="U71" i="2" s="1"/>
  <c r="V71" i="2"/>
  <c r="W71" i="2"/>
  <c r="X71" i="2"/>
  <c r="Y71" i="2"/>
  <c r="Z71" i="2"/>
  <c r="AA71" i="2"/>
  <c r="N72" i="2"/>
  <c r="O72" i="2"/>
  <c r="R72" i="2" s="1"/>
  <c r="P72" i="2"/>
  <c r="Q72" i="2"/>
  <c r="S72" i="2"/>
  <c r="X72" i="2"/>
  <c r="Y72" i="2"/>
  <c r="Z72" i="2"/>
  <c r="AA72" i="2"/>
  <c r="N73" i="2"/>
  <c r="O73" i="2"/>
  <c r="R73" i="2" s="1"/>
  <c r="P73" i="2"/>
  <c r="Q73" i="2"/>
  <c r="S73" i="2"/>
  <c r="T73" i="2"/>
  <c r="U73" i="2"/>
  <c r="X73" i="2"/>
  <c r="Y73" i="2"/>
  <c r="Z73" i="2"/>
  <c r="AA73" i="2"/>
  <c r="N74" i="2"/>
  <c r="O74" i="2"/>
  <c r="R74" i="2" s="1"/>
  <c r="P74" i="2"/>
  <c r="Q74" i="2"/>
  <c r="S74" i="2"/>
  <c r="X74" i="2"/>
  <c r="Y74" i="2"/>
  <c r="Z74" i="2"/>
  <c r="AA74" i="2"/>
  <c r="N75" i="2"/>
  <c r="O75" i="2"/>
  <c r="P75" i="2"/>
  <c r="Q75" i="2"/>
  <c r="R75" i="2"/>
  <c r="S75" i="2"/>
  <c r="T75" i="2"/>
  <c r="U75" i="2" s="1"/>
  <c r="V75" i="2"/>
  <c r="W75" i="2"/>
  <c r="X75" i="2"/>
  <c r="Y75" i="2"/>
  <c r="Z75" i="2"/>
  <c r="AA75" i="2"/>
  <c r="N76" i="2"/>
  <c r="O76" i="2"/>
  <c r="R76" i="2" s="1"/>
  <c r="P76" i="2"/>
  <c r="Q76" i="2"/>
  <c r="X76" i="2"/>
  <c r="Y76" i="2"/>
  <c r="Z76" i="2"/>
  <c r="AA76" i="2"/>
  <c r="N77" i="2"/>
  <c r="O77" i="2"/>
  <c r="R77" i="2" s="1"/>
  <c r="P77" i="2"/>
  <c r="Q77" i="2"/>
  <c r="S77" i="2"/>
  <c r="T77" i="2"/>
  <c r="U77" i="2"/>
  <c r="X77" i="2"/>
  <c r="Y77" i="2"/>
  <c r="Z77" i="2"/>
  <c r="AA77" i="2"/>
  <c r="N78" i="2"/>
  <c r="O78" i="2"/>
  <c r="R78" i="2" s="1"/>
  <c r="P78" i="2"/>
  <c r="Q78" i="2"/>
  <c r="S78" i="2"/>
  <c r="T78" i="2"/>
  <c r="U78" i="2" s="1"/>
  <c r="W78" i="2"/>
  <c r="X78" i="2"/>
  <c r="Y78" i="2"/>
  <c r="Z78" i="2"/>
  <c r="AA78" i="2"/>
  <c r="N79" i="2"/>
  <c r="O79" i="2"/>
  <c r="P79" i="2"/>
  <c r="Q79" i="2"/>
  <c r="R79" i="2"/>
  <c r="S79" i="2"/>
  <c r="T79" i="2"/>
  <c r="U79" i="2" s="1"/>
  <c r="V79" i="2"/>
  <c r="W79" i="2"/>
  <c r="X79" i="2"/>
  <c r="Y79" i="2"/>
  <c r="Z79" i="2"/>
  <c r="AA79" i="2"/>
  <c r="N80" i="2"/>
  <c r="O80" i="2"/>
  <c r="R80" i="2" s="1"/>
  <c r="P80" i="2"/>
  <c r="Q80" i="2"/>
  <c r="S80" i="2"/>
  <c r="T80" i="2"/>
  <c r="U80" i="2" s="1"/>
  <c r="V80" i="2"/>
  <c r="X80" i="2"/>
  <c r="Y80" i="2"/>
  <c r="Z80" i="2"/>
  <c r="AA80" i="2"/>
  <c r="N81" i="2"/>
  <c r="O81" i="2"/>
  <c r="R81" i="2" s="1"/>
  <c r="P81" i="2"/>
  <c r="Q81" i="2"/>
  <c r="S81" i="2"/>
  <c r="T81" i="2"/>
  <c r="U81" i="2" s="1"/>
  <c r="X81" i="2"/>
  <c r="Y81" i="2"/>
  <c r="Z81" i="2"/>
  <c r="AA81" i="2"/>
  <c r="N82" i="2"/>
  <c r="O82" i="2"/>
  <c r="R82" i="2" s="1"/>
  <c r="P82" i="2"/>
  <c r="Q82" i="2"/>
  <c r="S82" i="2"/>
  <c r="T82" i="2"/>
  <c r="U82" i="2" s="1"/>
  <c r="W82" i="2"/>
  <c r="X82" i="2"/>
  <c r="Y82" i="2"/>
  <c r="Z82" i="2"/>
  <c r="AA82" i="2"/>
  <c r="N83" i="2"/>
  <c r="O83" i="2"/>
  <c r="P83" i="2"/>
  <c r="Q83" i="2"/>
  <c r="R83" i="2"/>
  <c r="S83" i="2"/>
  <c r="X83" i="2"/>
  <c r="Y83" i="2"/>
  <c r="Z83" i="2"/>
  <c r="AA83" i="2"/>
  <c r="N84" i="2"/>
  <c r="O84" i="2"/>
  <c r="R84" i="2" s="1"/>
  <c r="P84" i="2"/>
  <c r="Q84" i="2"/>
  <c r="S84" i="2"/>
  <c r="T84" i="2"/>
  <c r="U84" i="2" s="1"/>
  <c r="V84" i="2"/>
  <c r="X84" i="2"/>
  <c r="Y84" i="2"/>
  <c r="Z84" i="2"/>
  <c r="AA84" i="2"/>
  <c r="N85" i="2"/>
  <c r="O85" i="2"/>
  <c r="R85" i="2" s="1"/>
  <c r="P85" i="2"/>
  <c r="Q85" i="2"/>
  <c r="X85" i="2"/>
  <c r="Y85" i="2"/>
  <c r="Z85" i="2"/>
  <c r="AA85" i="2"/>
  <c r="N86" i="2"/>
  <c r="O86" i="2"/>
  <c r="R86" i="2" s="1"/>
  <c r="P86" i="2"/>
  <c r="Q86" i="2"/>
  <c r="S86" i="2"/>
  <c r="X86" i="2"/>
  <c r="Y86" i="2"/>
  <c r="Z86" i="2"/>
  <c r="AA86" i="2"/>
  <c r="N87" i="2"/>
  <c r="O87" i="2"/>
  <c r="P87" i="2"/>
  <c r="Q87" i="2"/>
  <c r="R87" i="2"/>
  <c r="S87" i="2"/>
  <c r="T87" i="2"/>
  <c r="U87" i="2" s="1"/>
  <c r="V87" i="2"/>
  <c r="W87" i="2"/>
  <c r="X87" i="2"/>
  <c r="Y87" i="2"/>
  <c r="Z87" i="2"/>
  <c r="AA87" i="2"/>
  <c r="N88" i="2"/>
  <c r="O88" i="2"/>
  <c r="R88" i="2" s="1"/>
  <c r="P88" i="2"/>
  <c r="Q88" i="2"/>
  <c r="S88" i="2"/>
  <c r="X88" i="2"/>
  <c r="Y88" i="2"/>
  <c r="Z88" i="2"/>
  <c r="AA88" i="2"/>
  <c r="N89" i="2"/>
  <c r="O89" i="2"/>
  <c r="R89" i="2" s="1"/>
  <c r="P89" i="2"/>
  <c r="Q89" i="2"/>
  <c r="X89" i="2"/>
  <c r="Y89" i="2"/>
  <c r="Z89" i="2"/>
  <c r="AA89" i="2"/>
  <c r="N90" i="2"/>
  <c r="O90" i="2"/>
  <c r="R90" i="2" s="1"/>
  <c r="P90" i="2"/>
  <c r="Q90" i="2"/>
  <c r="S90" i="2"/>
  <c r="T90" i="2"/>
  <c r="U90" i="2" s="1"/>
  <c r="W90" i="2"/>
  <c r="X90" i="2"/>
  <c r="Y90" i="2"/>
  <c r="Z90" i="2"/>
  <c r="AA90" i="2"/>
  <c r="N91" i="2"/>
  <c r="O91" i="2"/>
  <c r="R91" i="2" s="1"/>
  <c r="P91" i="2"/>
  <c r="Q91" i="2"/>
  <c r="S91" i="2"/>
  <c r="X91" i="2"/>
  <c r="Y91" i="2"/>
  <c r="Z91" i="2"/>
  <c r="AA91" i="2"/>
  <c r="N92" i="2"/>
  <c r="O92" i="2"/>
  <c r="R92" i="2" s="1"/>
  <c r="P92" i="2"/>
  <c r="Q92" i="2"/>
  <c r="S92" i="2"/>
  <c r="T92" i="2"/>
  <c r="U92" i="2"/>
  <c r="V92" i="2"/>
  <c r="X92" i="2"/>
  <c r="Y92" i="2"/>
  <c r="Z92" i="2"/>
  <c r="AA92" i="2"/>
  <c r="N93" i="2"/>
  <c r="O93" i="2"/>
  <c r="R93" i="2" s="1"/>
  <c r="P93" i="2"/>
  <c r="Q93" i="2"/>
  <c r="S93" i="2"/>
  <c r="T93" i="2"/>
  <c r="U93" i="2" s="1"/>
  <c r="X93" i="2"/>
  <c r="Y93" i="2"/>
  <c r="Z93" i="2"/>
  <c r="AA93" i="2"/>
  <c r="N94" i="2"/>
  <c r="O94" i="2"/>
  <c r="R94" i="2" s="1"/>
  <c r="P94" i="2"/>
  <c r="Q94" i="2"/>
  <c r="S94" i="2"/>
  <c r="X94" i="2"/>
  <c r="Y94" i="2"/>
  <c r="Z94" i="2"/>
  <c r="AA94" i="2"/>
  <c r="N95" i="2"/>
  <c r="O95" i="2"/>
  <c r="R95" i="2" s="1"/>
  <c r="P95" i="2"/>
  <c r="Q95" i="2"/>
  <c r="S95" i="2"/>
  <c r="X95" i="2"/>
  <c r="Y95" i="2"/>
  <c r="Z95" i="2"/>
  <c r="AA95" i="2"/>
  <c r="N96" i="2"/>
  <c r="O96" i="2"/>
  <c r="R96" i="2" s="1"/>
  <c r="P96" i="2"/>
  <c r="Q96" i="2"/>
  <c r="S96" i="2"/>
  <c r="T96" i="2"/>
  <c r="U96" i="2" s="1"/>
  <c r="V96" i="2"/>
  <c r="X96" i="2"/>
  <c r="Y96" i="2"/>
  <c r="Z96" i="2"/>
  <c r="AA96" i="2"/>
  <c r="N97" i="2"/>
  <c r="O97" i="2"/>
  <c r="R97" i="2" s="1"/>
  <c r="P97" i="2"/>
  <c r="Q97" i="2"/>
  <c r="S97" i="2"/>
  <c r="T97" i="2"/>
  <c r="U97" i="2" s="1"/>
  <c r="X97" i="2"/>
  <c r="Y97" i="2"/>
  <c r="Z97" i="2"/>
  <c r="AA97" i="2"/>
  <c r="N98" i="2"/>
  <c r="O98" i="2"/>
  <c r="R98" i="2" s="1"/>
  <c r="P98" i="2"/>
  <c r="Q98" i="2"/>
  <c r="S98" i="2"/>
  <c r="X98" i="2"/>
  <c r="Y98" i="2"/>
  <c r="Z98" i="2"/>
  <c r="AA98" i="2"/>
  <c r="N99" i="2"/>
  <c r="O99" i="2"/>
  <c r="R99" i="2" s="1"/>
  <c r="P99" i="2"/>
  <c r="Q99" i="2"/>
  <c r="S99" i="2"/>
  <c r="X99" i="2"/>
  <c r="Y99" i="2"/>
  <c r="Z99" i="2"/>
  <c r="AA99" i="2"/>
  <c r="N100" i="2"/>
  <c r="O100" i="2"/>
  <c r="R100" i="2" s="1"/>
  <c r="P100" i="2"/>
  <c r="Q100" i="2"/>
  <c r="S100" i="2"/>
  <c r="T100" i="2"/>
  <c r="U100" i="2" s="1"/>
  <c r="V100" i="2"/>
  <c r="X100" i="2"/>
  <c r="Y100" i="2"/>
  <c r="Z100" i="2"/>
  <c r="AA100" i="2"/>
  <c r="O108" i="3"/>
  <c r="P108" i="3" s="1"/>
  <c r="O109" i="3"/>
  <c r="P109" i="3"/>
  <c r="R109" i="3" s="1"/>
  <c r="O110" i="3"/>
  <c r="P110" i="3" s="1"/>
  <c r="O111" i="3"/>
  <c r="P111" i="3" s="1"/>
  <c r="O112" i="3"/>
  <c r="P112" i="3" s="1"/>
  <c r="O113" i="3"/>
  <c r="P113" i="3" s="1"/>
  <c r="O114" i="3"/>
  <c r="P114" i="3" s="1"/>
  <c r="Q114" i="3" s="1"/>
  <c r="O115" i="3"/>
  <c r="P115" i="3" s="1"/>
  <c r="Q115" i="3" s="1"/>
  <c r="O116" i="3"/>
  <c r="P116" i="3" s="1"/>
  <c r="O117" i="3"/>
  <c r="P117" i="3" s="1"/>
  <c r="O118" i="3"/>
  <c r="P118" i="3" s="1"/>
  <c r="O119" i="3"/>
  <c r="P119" i="3" s="1"/>
  <c r="O120" i="3"/>
  <c r="P120" i="3" s="1"/>
  <c r="O121" i="3"/>
  <c r="P121" i="3" s="1"/>
  <c r="O122" i="3"/>
  <c r="P122" i="3" s="1"/>
  <c r="Q122" i="3" s="1"/>
  <c r="O123" i="3"/>
  <c r="P123" i="3" s="1"/>
  <c r="O124" i="3"/>
  <c r="P124" i="3" s="1"/>
  <c r="O125" i="3"/>
  <c r="P125" i="3"/>
  <c r="R125" i="3" s="1"/>
  <c r="V64" i="2" s="1"/>
  <c r="O126" i="3"/>
  <c r="P126" i="3" s="1"/>
  <c r="O127" i="3"/>
  <c r="P127" i="3" s="1"/>
  <c r="O128" i="3"/>
  <c r="P128" i="3" s="1"/>
  <c r="O129" i="3"/>
  <c r="P129" i="3" s="1"/>
  <c r="O130" i="3"/>
  <c r="P130" i="3" s="1"/>
  <c r="Q130" i="3" s="1"/>
  <c r="O131" i="3"/>
  <c r="P131" i="3" s="1"/>
  <c r="N3" i="2"/>
  <c r="O3" i="2"/>
  <c r="R3" i="2" s="1"/>
  <c r="P3" i="2"/>
  <c r="Q3" i="2"/>
  <c r="X3" i="2"/>
  <c r="Y3" i="2"/>
  <c r="Z3" i="2"/>
  <c r="AA3" i="2"/>
  <c r="N4" i="2"/>
  <c r="O4" i="2"/>
  <c r="R4" i="2" s="1"/>
  <c r="P4" i="2"/>
  <c r="Q4" i="2"/>
  <c r="X4" i="2"/>
  <c r="Y4" i="2"/>
  <c r="Z4" i="2"/>
  <c r="AA4" i="2"/>
  <c r="N5" i="2"/>
  <c r="O5" i="2"/>
  <c r="R5" i="2" s="1"/>
  <c r="P5" i="2"/>
  <c r="Q5" i="2"/>
  <c r="X5" i="2"/>
  <c r="Y5" i="2"/>
  <c r="Z5" i="2"/>
  <c r="AA5" i="2"/>
  <c r="N6" i="2"/>
  <c r="O6" i="2"/>
  <c r="R6" i="2" s="1"/>
  <c r="P6" i="2"/>
  <c r="Q6" i="2"/>
  <c r="X6" i="2"/>
  <c r="Y6" i="2"/>
  <c r="Z6" i="2"/>
  <c r="AA6" i="2"/>
  <c r="N7" i="2"/>
  <c r="O7" i="2"/>
  <c r="R7" i="2" s="1"/>
  <c r="P7" i="2"/>
  <c r="Q7" i="2"/>
  <c r="X7" i="2"/>
  <c r="Y7" i="2"/>
  <c r="Z7" i="2"/>
  <c r="AA7" i="2"/>
  <c r="N8" i="2"/>
  <c r="O8" i="2"/>
  <c r="R8" i="2" s="1"/>
  <c r="P8" i="2"/>
  <c r="Q8" i="2"/>
  <c r="X8" i="2"/>
  <c r="Y8" i="2"/>
  <c r="Z8" i="2"/>
  <c r="AA8" i="2"/>
  <c r="N9" i="2"/>
  <c r="O9" i="2"/>
  <c r="P9" i="2"/>
  <c r="Q9" i="2"/>
  <c r="R9" i="2"/>
  <c r="X9" i="2"/>
  <c r="Y9" i="2"/>
  <c r="Z9" i="2"/>
  <c r="AA9" i="2"/>
  <c r="N10" i="2"/>
  <c r="O10" i="2"/>
  <c r="R10" i="2" s="1"/>
  <c r="P10" i="2"/>
  <c r="Q10" i="2"/>
  <c r="X10" i="2"/>
  <c r="Y10" i="2"/>
  <c r="Z10" i="2"/>
  <c r="AA10" i="2"/>
  <c r="N11" i="2"/>
  <c r="O11" i="2"/>
  <c r="R11" i="2" s="1"/>
  <c r="P11" i="2"/>
  <c r="Q11" i="2"/>
  <c r="X11" i="2"/>
  <c r="Y11" i="2"/>
  <c r="Z11" i="2"/>
  <c r="AA11" i="2"/>
  <c r="N12" i="2"/>
  <c r="O12" i="2"/>
  <c r="R12" i="2" s="1"/>
  <c r="P12" i="2"/>
  <c r="Q12" i="2"/>
  <c r="X12" i="2"/>
  <c r="Y12" i="2"/>
  <c r="Z12" i="2"/>
  <c r="AA12" i="2"/>
  <c r="N13" i="2"/>
  <c r="O13" i="2"/>
  <c r="P13" i="2"/>
  <c r="Q13" i="2"/>
  <c r="R13" i="2"/>
  <c r="X13" i="2"/>
  <c r="Y13" i="2"/>
  <c r="Z13" i="2"/>
  <c r="AA13" i="2"/>
  <c r="N14" i="2"/>
  <c r="O14" i="2"/>
  <c r="R14" i="2" s="1"/>
  <c r="P14" i="2"/>
  <c r="Q14" i="2"/>
  <c r="X14" i="2"/>
  <c r="Y14" i="2"/>
  <c r="Z14" i="2"/>
  <c r="AA14" i="2"/>
  <c r="N15" i="2"/>
  <c r="O15" i="2"/>
  <c r="R15" i="2" s="1"/>
  <c r="P15" i="2"/>
  <c r="Q15" i="2"/>
  <c r="X15" i="2"/>
  <c r="Y15" i="2"/>
  <c r="Z15" i="2"/>
  <c r="AA15" i="2"/>
  <c r="N16" i="2"/>
  <c r="O16" i="2"/>
  <c r="R16" i="2" s="1"/>
  <c r="P16" i="2"/>
  <c r="Q16" i="2"/>
  <c r="X16" i="2"/>
  <c r="Y16" i="2"/>
  <c r="Z16" i="2"/>
  <c r="AA16" i="2"/>
  <c r="N17" i="2"/>
  <c r="O17" i="2"/>
  <c r="P17" i="2"/>
  <c r="Q17" i="2"/>
  <c r="R17" i="2"/>
  <c r="X17" i="2"/>
  <c r="Y17" i="2"/>
  <c r="Z17" i="2"/>
  <c r="AA17" i="2"/>
  <c r="N18" i="2"/>
  <c r="O18" i="2"/>
  <c r="R18" i="2" s="1"/>
  <c r="P18" i="2"/>
  <c r="Q18" i="2"/>
  <c r="X18" i="2"/>
  <c r="Y18" i="2"/>
  <c r="Z18" i="2"/>
  <c r="AA18" i="2"/>
  <c r="N19" i="2"/>
  <c r="O19" i="2"/>
  <c r="R19" i="2" s="1"/>
  <c r="P19" i="2"/>
  <c r="Q19" i="2"/>
  <c r="X19" i="2"/>
  <c r="Y19" i="2"/>
  <c r="Z19" i="2"/>
  <c r="AA19" i="2"/>
  <c r="N20" i="2"/>
  <c r="O20" i="2"/>
  <c r="R20" i="2" s="1"/>
  <c r="P20" i="2"/>
  <c r="Q20" i="2"/>
  <c r="X20" i="2"/>
  <c r="Y20" i="2"/>
  <c r="Z20" i="2"/>
  <c r="AA20" i="2"/>
  <c r="N21" i="2"/>
  <c r="O21" i="2"/>
  <c r="P21" i="2"/>
  <c r="Q21" i="2"/>
  <c r="R21" i="2"/>
  <c r="X21" i="2"/>
  <c r="Y21" i="2"/>
  <c r="Z21" i="2"/>
  <c r="AA21" i="2"/>
  <c r="N22" i="2"/>
  <c r="O22" i="2"/>
  <c r="P22" i="2"/>
  <c r="Q22" i="2"/>
  <c r="R22" i="2"/>
  <c r="X22" i="2"/>
  <c r="Y22" i="2"/>
  <c r="Z22" i="2"/>
  <c r="AA22" i="2"/>
  <c r="N23" i="2"/>
  <c r="O23" i="2"/>
  <c r="R23" i="2" s="1"/>
  <c r="P23" i="2"/>
  <c r="Q23" i="2"/>
  <c r="X23" i="2"/>
  <c r="Y23" i="2"/>
  <c r="Z23" i="2"/>
  <c r="AA23" i="2"/>
  <c r="N24" i="2"/>
  <c r="O24" i="2"/>
  <c r="R24" i="2" s="1"/>
  <c r="P24" i="2"/>
  <c r="Q24" i="2"/>
  <c r="X24" i="2"/>
  <c r="Y24" i="2"/>
  <c r="Z24" i="2"/>
  <c r="AA24" i="2"/>
  <c r="N25" i="2"/>
  <c r="O25" i="2"/>
  <c r="R25" i="2" s="1"/>
  <c r="P25" i="2"/>
  <c r="Q25" i="2"/>
  <c r="X25" i="2"/>
  <c r="Y25" i="2"/>
  <c r="Z25" i="2"/>
  <c r="AA25" i="2"/>
  <c r="N26" i="2"/>
  <c r="O26" i="2"/>
  <c r="P26" i="2"/>
  <c r="Q26" i="2"/>
  <c r="R26" i="2"/>
  <c r="X26" i="2"/>
  <c r="Y26" i="2"/>
  <c r="Z26" i="2"/>
  <c r="AA26" i="2"/>
  <c r="N27" i="2"/>
  <c r="O27" i="2"/>
  <c r="R27" i="2" s="1"/>
  <c r="P27" i="2"/>
  <c r="Q27" i="2"/>
  <c r="X27" i="2"/>
  <c r="Y27" i="2"/>
  <c r="Z27" i="2"/>
  <c r="AA27" i="2"/>
  <c r="N28" i="2"/>
  <c r="O28" i="2"/>
  <c r="R28" i="2" s="1"/>
  <c r="P28" i="2"/>
  <c r="Q28" i="2"/>
  <c r="X28" i="2"/>
  <c r="Y28" i="2"/>
  <c r="Z28" i="2"/>
  <c r="AA28" i="2"/>
  <c r="N29" i="2"/>
  <c r="O29" i="2"/>
  <c r="R29" i="2" s="1"/>
  <c r="P29" i="2"/>
  <c r="Q29" i="2"/>
  <c r="X29" i="2"/>
  <c r="Y29" i="2"/>
  <c r="Z29" i="2"/>
  <c r="AA29" i="2"/>
  <c r="N30" i="2"/>
  <c r="O30" i="2"/>
  <c r="P30" i="2"/>
  <c r="Q30" i="2"/>
  <c r="R30" i="2"/>
  <c r="X30" i="2"/>
  <c r="Y30" i="2"/>
  <c r="Z30" i="2"/>
  <c r="AA30" i="2"/>
  <c r="N31" i="2"/>
  <c r="O31" i="2"/>
  <c r="R31" i="2" s="1"/>
  <c r="P31" i="2"/>
  <c r="Q31" i="2"/>
  <c r="X31" i="2"/>
  <c r="Y31" i="2"/>
  <c r="Z31" i="2"/>
  <c r="AA31" i="2"/>
  <c r="N32" i="2"/>
  <c r="O32" i="2"/>
  <c r="R32" i="2" s="1"/>
  <c r="P32" i="2"/>
  <c r="Q32" i="2"/>
  <c r="X32" i="2"/>
  <c r="Y32" i="2"/>
  <c r="Z32" i="2"/>
  <c r="AA32" i="2"/>
  <c r="N33" i="2"/>
  <c r="O33" i="2"/>
  <c r="R33" i="2" s="1"/>
  <c r="P33" i="2"/>
  <c r="Q33" i="2"/>
  <c r="X33" i="2"/>
  <c r="Y33" i="2"/>
  <c r="Z33" i="2"/>
  <c r="AA33" i="2"/>
  <c r="N34" i="2"/>
  <c r="O34" i="2"/>
  <c r="R34" i="2" s="1"/>
  <c r="P34" i="2"/>
  <c r="Q34" i="2"/>
  <c r="X34" i="2"/>
  <c r="Y34" i="2"/>
  <c r="Z34" i="2"/>
  <c r="AA34" i="2"/>
  <c r="N35" i="2"/>
  <c r="O35" i="2"/>
  <c r="P35" i="2"/>
  <c r="Q35" i="2"/>
  <c r="R35" i="2"/>
  <c r="X35" i="2"/>
  <c r="Y35" i="2"/>
  <c r="Z35" i="2"/>
  <c r="AA35" i="2"/>
  <c r="N36" i="2"/>
  <c r="O36" i="2"/>
  <c r="R36" i="2" s="1"/>
  <c r="P36" i="2"/>
  <c r="Q36" i="2"/>
  <c r="X36" i="2"/>
  <c r="Y36" i="2"/>
  <c r="Z36" i="2"/>
  <c r="AA36" i="2"/>
  <c r="N37" i="2"/>
  <c r="O37" i="2"/>
  <c r="R37" i="2" s="1"/>
  <c r="P37" i="2"/>
  <c r="Q37" i="2"/>
  <c r="X37" i="2"/>
  <c r="Y37" i="2"/>
  <c r="Z37" i="2"/>
  <c r="AA37" i="2"/>
  <c r="N38" i="2"/>
  <c r="O38" i="2"/>
  <c r="P38" i="2"/>
  <c r="Q38" i="2"/>
  <c r="R38" i="2"/>
  <c r="X38" i="2"/>
  <c r="Y38" i="2"/>
  <c r="Z38" i="2"/>
  <c r="AA38" i="2"/>
  <c r="N39" i="2"/>
  <c r="O39" i="2"/>
  <c r="P39" i="2"/>
  <c r="Q39" i="2"/>
  <c r="R39" i="2"/>
  <c r="X39" i="2"/>
  <c r="Y39" i="2"/>
  <c r="Z39" i="2"/>
  <c r="AA39" i="2"/>
  <c r="N40" i="2"/>
  <c r="O40" i="2"/>
  <c r="R40" i="2" s="1"/>
  <c r="P40" i="2"/>
  <c r="Q40" i="2"/>
  <c r="X40" i="2"/>
  <c r="Y40" i="2"/>
  <c r="Z40" i="2"/>
  <c r="AA40" i="2"/>
  <c r="N41" i="2"/>
  <c r="O41" i="2"/>
  <c r="R41" i="2" s="1"/>
  <c r="P41" i="2"/>
  <c r="Q41" i="2"/>
  <c r="X41" i="2"/>
  <c r="Y41" i="2"/>
  <c r="Z41" i="2"/>
  <c r="AA41" i="2"/>
  <c r="N42" i="2"/>
  <c r="O42" i="2"/>
  <c r="R42" i="2" s="1"/>
  <c r="P42" i="2"/>
  <c r="Q42" i="2"/>
  <c r="X42" i="2"/>
  <c r="Y42" i="2"/>
  <c r="Z42" i="2"/>
  <c r="AA42" i="2"/>
  <c r="N43" i="2"/>
  <c r="O43" i="2"/>
  <c r="P43" i="2"/>
  <c r="Q43" i="2"/>
  <c r="R43" i="2"/>
  <c r="T43" i="2"/>
  <c r="U43" i="2" s="1"/>
  <c r="X43" i="2"/>
  <c r="Y43" i="2"/>
  <c r="Z43" i="2"/>
  <c r="AA43" i="2"/>
  <c r="N44" i="2"/>
  <c r="O44" i="2"/>
  <c r="R44" i="2" s="1"/>
  <c r="P44" i="2"/>
  <c r="Q44" i="2"/>
  <c r="X44" i="2"/>
  <c r="Y44" i="2"/>
  <c r="Z44" i="2"/>
  <c r="AA44" i="2"/>
  <c r="N45" i="2"/>
  <c r="O45" i="2"/>
  <c r="R45" i="2" s="1"/>
  <c r="P45" i="2"/>
  <c r="Q45" i="2"/>
  <c r="X45" i="2"/>
  <c r="Y45" i="2"/>
  <c r="Z45" i="2"/>
  <c r="AA45" i="2"/>
  <c r="N46" i="2"/>
  <c r="O46" i="2"/>
  <c r="P46" i="2"/>
  <c r="Q46" i="2"/>
  <c r="R46" i="2"/>
  <c r="X46" i="2"/>
  <c r="Y46" i="2"/>
  <c r="Z46" i="2"/>
  <c r="AA46" i="2"/>
  <c r="N47" i="2"/>
  <c r="O47" i="2"/>
  <c r="P47" i="2"/>
  <c r="Q47" i="2"/>
  <c r="R47" i="2"/>
  <c r="X47" i="2"/>
  <c r="Y47" i="2"/>
  <c r="Z47" i="2"/>
  <c r="AA47" i="2"/>
  <c r="N48" i="2"/>
  <c r="O48" i="2"/>
  <c r="R48" i="2" s="1"/>
  <c r="P48" i="2"/>
  <c r="Q48" i="2"/>
  <c r="X48" i="2"/>
  <c r="Y48" i="2"/>
  <c r="Z48" i="2"/>
  <c r="AA48" i="2"/>
  <c r="N49" i="2"/>
  <c r="O49" i="2"/>
  <c r="R49" i="2" s="1"/>
  <c r="P49" i="2"/>
  <c r="Q49" i="2"/>
  <c r="X49" i="2"/>
  <c r="Y49" i="2"/>
  <c r="Z49" i="2"/>
  <c r="AA49" i="2"/>
  <c r="N50" i="2"/>
  <c r="O50" i="2"/>
  <c r="R50" i="2" s="1"/>
  <c r="P50" i="2"/>
  <c r="Q50" i="2"/>
  <c r="X50" i="2"/>
  <c r="Y50" i="2"/>
  <c r="Z50" i="2"/>
  <c r="AA50" i="2"/>
  <c r="N51" i="2"/>
  <c r="O51" i="2"/>
  <c r="P51" i="2"/>
  <c r="Q51" i="2"/>
  <c r="R51" i="2"/>
  <c r="X51" i="2"/>
  <c r="Y51" i="2"/>
  <c r="Z51" i="2"/>
  <c r="AA51" i="2"/>
  <c r="N52" i="2"/>
  <c r="O52" i="2"/>
  <c r="R52" i="2" s="1"/>
  <c r="P52" i="2"/>
  <c r="Q52" i="2"/>
  <c r="X52" i="2"/>
  <c r="Y52" i="2"/>
  <c r="Z52" i="2"/>
  <c r="AA52" i="2"/>
  <c r="N53" i="2"/>
  <c r="O53" i="2"/>
  <c r="R53" i="2" s="1"/>
  <c r="P53" i="2"/>
  <c r="Q53" i="2"/>
  <c r="X53" i="2"/>
  <c r="Y53" i="2"/>
  <c r="Z53" i="2"/>
  <c r="AA53" i="2"/>
  <c r="N54" i="2"/>
  <c r="O54" i="2"/>
  <c r="P54" i="2"/>
  <c r="Q54" i="2"/>
  <c r="R54" i="2"/>
  <c r="X54" i="2"/>
  <c r="Y54" i="2"/>
  <c r="Z54" i="2"/>
  <c r="AA54" i="2"/>
  <c r="N55" i="2"/>
  <c r="O55" i="2"/>
  <c r="P55" i="2"/>
  <c r="Q55" i="2"/>
  <c r="R55" i="2"/>
  <c r="S55" i="2"/>
  <c r="X55" i="2"/>
  <c r="Y55" i="2"/>
  <c r="Z55" i="2"/>
  <c r="AA55" i="2"/>
  <c r="N56" i="2"/>
  <c r="O56" i="2"/>
  <c r="R56" i="2" s="1"/>
  <c r="P56" i="2"/>
  <c r="Q56" i="2"/>
  <c r="X56" i="2"/>
  <c r="Y56" i="2"/>
  <c r="Z56" i="2"/>
  <c r="AA56" i="2"/>
  <c r="N57" i="2"/>
  <c r="O57" i="2"/>
  <c r="R57" i="2" s="1"/>
  <c r="P57" i="2"/>
  <c r="Q57" i="2"/>
  <c r="S57" i="2"/>
  <c r="X57" i="2"/>
  <c r="Y57" i="2"/>
  <c r="Z57" i="2"/>
  <c r="AA57" i="2"/>
  <c r="N58" i="2"/>
  <c r="O58" i="2"/>
  <c r="P58" i="2"/>
  <c r="Q58" i="2"/>
  <c r="R58" i="2"/>
  <c r="X58" i="2"/>
  <c r="Y58" i="2"/>
  <c r="Z58" i="2"/>
  <c r="AA58" i="2"/>
  <c r="N59" i="2"/>
  <c r="O59" i="2"/>
  <c r="R59" i="2" s="1"/>
  <c r="P59" i="2"/>
  <c r="Q59" i="2"/>
  <c r="S59" i="2"/>
  <c r="X59" i="2"/>
  <c r="Y59" i="2"/>
  <c r="Z59" i="2"/>
  <c r="AA59" i="2"/>
  <c r="N60" i="2"/>
  <c r="O60" i="2"/>
  <c r="R60" i="2" s="1"/>
  <c r="P60" i="2"/>
  <c r="Q60" i="2"/>
  <c r="S60" i="2"/>
  <c r="X60" i="2"/>
  <c r="Y60" i="2"/>
  <c r="Z60" i="2"/>
  <c r="AA60" i="2"/>
  <c r="N61" i="2"/>
  <c r="O61" i="2"/>
  <c r="P61" i="2"/>
  <c r="Q61" i="2"/>
  <c r="R61" i="2"/>
  <c r="X61" i="2"/>
  <c r="Y61" i="2"/>
  <c r="Z61" i="2"/>
  <c r="AA61" i="2"/>
  <c r="N62" i="2"/>
  <c r="O62" i="2"/>
  <c r="R62" i="2" s="1"/>
  <c r="P62" i="2"/>
  <c r="Q62" i="2"/>
  <c r="S62" i="2"/>
  <c r="X62" i="2"/>
  <c r="Y62" i="2"/>
  <c r="Z62" i="2"/>
  <c r="AA62" i="2"/>
  <c r="N63" i="2"/>
  <c r="O63" i="2"/>
  <c r="R63" i="2" s="1"/>
  <c r="P63" i="2"/>
  <c r="Q63" i="2"/>
  <c r="X63" i="2"/>
  <c r="Y63" i="2"/>
  <c r="Z63" i="2"/>
  <c r="AA63" i="2"/>
  <c r="N64" i="2"/>
  <c r="O64" i="2"/>
  <c r="R64" i="2" s="1"/>
  <c r="P64" i="2"/>
  <c r="Q64" i="2"/>
  <c r="S64" i="2"/>
  <c r="T64" i="2"/>
  <c r="U64" i="2" s="1"/>
  <c r="X64" i="2"/>
  <c r="Y64" i="2"/>
  <c r="Z64" i="2"/>
  <c r="AA64" i="2"/>
  <c r="N65" i="2"/>
  <c r="O65" i="2"/>
  <c r="P65" i="2"/>
  <c r="Q65" i="2"/>
  <c r="R65" i="2"/>
  <c r="X65" i="2"/>
  <c r="Y65" i="2"/>
  <c r="Z65" i="2"/>
  <c r="AA65" i="2"/>
  <c r="N66" i="2"/>
  <c r="O66" i="2"/>
  <c r="P66" i="2"/>
  <c r="Q66" i="2"/>
  <c r="R66" i="2"/>
  <c r="X66" i="2"/>
  <c r="Y66" i="2"/>
  <c r="Z66" i="2"/>
  <c r="AA66" i="2"/>
  <c r="AA2" i="2"/>
  <c r="Z2" i="2"/>
  <c r="Y2" i="2"/>
  <c r="X2" i="2"/>
  <c r="Q2" i="2"/>
  <c r="P2" i="2"/>
  <c r="O2" i="2"/>
  <c r="R2" i="2" s="1"/>
  <c r="N2" i="2"/>
  <c r="O86" i="3"/>
  <c r="P86" i="3" s="1"/>
  <c r="T44" i="2" s="1"/>
  <c r="U44" i="2" s="1"/>
  <c r="O87" i="3"/>
  <c r="P87" i="3"/>
  <c r="R87" i="3" s="1"/>
  <c r="O88" i="3"/>
  <c r="P88" i="3" s="1"/>
  <c r="T45" i="2" s="1"/>
  <c r="U45" i="2" s="1"/>
  <c r="O89" i="3"/>
  <c r="P89" i="3" s="1"/>
  <c r="O90" i="3"/>
  <c r="P90" i="3" s="1"/>
  <c r="T46" i="2" s="1"/>
  <c r="U46" i="2" s="1"/>
  <c r="O91" i="3"/>
  <c r="P91" i="3" s="1"/>
  <c r="O92" i="3"/>
  <c r="P92" i="3" s="1"/>
  <c r="T47" i="2" s="1"/>
  <c r="U47" i="2" s="1"/>
  <c r="O93" i="3"/>
  <c r="P93" i="3" s="1"/>
  <c r="O94" i="3"/>
  <c r="S48" i="2" s="1"/>
  <c r="P94" i="3"/>
  <c r="Q94" i="3" s="1"/>
  <c r="S94" i="3"/>
  <c r="W48" i="2" s="1"/>
  <c r="O95" i="3"/>
  <c r="P95" i="3"/>
  <c r="R95" i="3" s="1"/>
  <c r="O96" i="3"/>
  <c r="P96" i="3" s="1"/>
  <c r="O97" i="3"/>
  <c r="P97" i="3" s="1"/>
  <c r="O98" i="3"/>
  <c r="P98" i="3" s="1"/>
  <c r="T50" i="2" s="1"/>
  <c r="U50" i="2" s="1"/>
  <c r="O99" i="3"/>
  <c r="P99" i="3" s="1"/>
  <c r="O100" i="3"/>
  <c r="S51" i="2" s="1"/>
  <c r="O101" i="3"/>
  <c r="P101" i="3" s="1"/>
  <c r="Q101" i="3" s="1"/>
  <c r="O102" i="3"/>
  <c r="S52" i="2" s="1"/>
  <c r="O103" i="3"/>
  <c r="P103" i="3"/>
  <c r="R103" i="3" s="1"/>
  <c r="O104" i="3"/>
  <c r="S53" i="2" s="1"/>
  <c r="P104" i="3"/>
  <c r="T53" i="2" s="1"/>
  <c r="U53" i="2" s="1"/>
  <c r="S104" i="3"/>
  <c r="W53" i="2" s="1"/>
  <c r="O105" i="3"/>
  <c r="P105" i="3" s="1"/>
  <c r="O106" i="3"/>
  <c r="S54" i="2" s="1"/>
  <c r="O107" i="3"/>
  <c r="P107" i="3" s="1"/>
  <c r="O53" i="3"/>
  <c r="P53" i="3" s="1"/>
  <c r="T28" i="2" s="1"/>
  <c r="U28" i="2" s="1"/>
  <c r="O54" i="3"/>
  <c r="P54" i="3" s="1"/>
  <c r="R54" i="3" s="1"/>
  <c r="O55" i="3"/>
  <c r="P55" i="3"/>
  <c r="Q55" i="3" s="1"/>
  <c r="O56" i="3"/>
  <c r="P56" i="3" s="1"/>
  <c r="T29" i="2" s="1"/>
  <c r="U29" i="2" s="1"/>
  <c r="O57" i="3"/>
  <c r="P57" i="3" s="1"/>
  <c r="O58" i="3"/>
  <c r="S30" i="2" s="1"/>
  <c r="O59" i="3"/>
  <c r="S31" i="2" s="1"/>
  <c r="O60" i="3"/>
  <c r="P60" i="3" s="1"/>
  <c r="O61" i="3"/>
  <c r="P61" i="3" s="1"/>
  <c r="O62" i="3"/>
  <c r="S32" i="2" s="1"/>
  <c r="O63" i="3"/>
  <c r="P63" i="3" s="1"/>
  <c r="T33" i="2" s="1"/>
  <c r="U33" i="2" s="1"/>
  <c r="O64" i="3"/>
  <c r="P64" i="3" s="1"/>
  <c r="O65" i="3"/>
  <c r="S34" i="2" s="1"/>
  <c r="O66" i="3"/>
  <c r="P66" i="3" s="1"/>
  <c r="O67" i="3"/>
  <c r="P67" i="3" s="1"/>
  <c r="O68" i="3"/>
  <c r="P68" i="3" s="1"/>
  <c r="T35" i="2" s="1"/>
  <c r="U35" i="2" s="1"/>
  <c r="O69" i="3"/>
  <c r="P69" i="3" s="1"/>
  <c r="T36" i="2" s="1"/>
  <c r="U36" i="2" s="1"/>
  <c r="O70" i="3"/>
  <c r="P70" i="3" s="1"/>
  <c r="R70" i="3" s="1"/>
  <c r="O71" i="3"/>
  <c r="S37" i="2" s="1"/>
  <c r="O72" i="3"/>
  <c r="P72" i="3" s="1"/>
  <c r="O73" i="3"/>
  <c r="P73" i="3" s="1"/>
  <c r="O74" i="3"/>
  <c r="S38" i="2" s="1"/>
  <c r="O75" i="3"/>
  <c r="P75" i="3" s="1"/>
  <c r="T39" i="2" s="1"/>
  <c r="U39" i="2" s="1"/>
  <c r="O76" i="3"/>
  <c r="P76" i="3" s="1"/>
  <c r="O77" i="3"/>
  <c r="P77" i="3" s="1"/>
  <c r="O78" i="3"/>
  <c r="P78" i="3" s="1"/>
  <c r="O79" i="3"/>
  <c r="P79" i="3" s="1"/>
  <c r="T41" i="2" s="1"/>
  <c r="U41" i="2" s="1"/>
  <c r="O80" i="3"/>
  <c r="P80" i="3" s="1"/>
  <c r="O81" i="3"/>
  <c r="P81" i="3" s="1"/>
  <c r="O82" i="3"/>
  <c r="S42" i="2" s="1"/>
  <c r="O83" i="3"/>
  <c r="P83" i="3" s="1"/>
  <c r="O84" i="3"/>
  <c r="P84" i="3" s="1"/>
  <c r="O85" i="3"/>
  <c r="P85" i="3" s="1"/>
  <c r="O29" i="3"/>
  <c r="P29" i="3" s="1"/>
  <c r="T16" i="2" s="1"/>
  <c r="U16" i="2" s="1"/>
  <c r="O30" i="3"/>
  <c r="P30" i="3" s="1"/>
  <c r="R30" i="3" s="1"/>
  <c r="O31" i="3"/>
  <c r="P31" i="3" s="1"/>
  <c r="R31" i="3" s="1"/>
  <c r="O32" i="3"/>
  <c r="P32" i="3" s="1"/>
  <c r="T17" i="2" s="1"/>
  <c r="U17" i="2" s="1"/>
  <c r="O33" i="3"/>
  <c r="P33" i="3" s="1"/>
  <c r="T18" i="2" s="1"/>
  <c r="U18" i="2" s="1"/>
  <c r="O34" i="3"/>
  <c r="P34" i="3" s="1"/>
  <c r="O35" i="3"/>
  <c r="P35" i="3" s="1"/>
  <c r="O36" i="3"/>
  <c r="S19" i="2" s="1"/>
  <c r="O37" i="3"/>
  <c r="P37" i="3" s="1"/>
  <c r="T20" i="2" s="1"/>
  <c r="U20" i="2" s="1"/>
  <c r="O38" i="3"/>
  <c r="P38" i="3" s="1"/>
  <c r="R38" i="3" s="1"/>
  <c r="O39" i="3"/>
  <c r="P39" i="3" s="1"/>
  <c r="R39" i="3" s="1"/>
  <c r="O40" i="3"/>
  <c r="P40" i="3" s="1"/>
  <c r="T21" i="2" s="1"/>
  <c r="U21" i="2" s="1"/>
  <c r="O41" i="3"/>
  <c r="P41" i="3" s="1"/>
  <c r="T22" i="2" s="1"/>
  <c r="U22" i="2" s="1"/>
  <c r="O42" i="3"/>
  <c r="P42" i="3" s="1"/>
  <c r="O43" i="3"/>
  <c r="P43" i="3" s="1"/>
  <c r="O44" i="3"/>
  <c r="P44" i="3" s="1"/>
  <c r="T23" i="2" s="1"/>
  <c r="U23" i="2" s="1"/>
  <c r="O45" i="3"/>
  <c r="P45" i="3" s="1"/>
  <c r="O46" i="3"/>
  <c r="P46" i="3" s="1"/>
  <c r="R46" i="3" s="1"/>
  <c r="V24" i="2" s="1"/>
  <c r="O47" i="3"/>
  <c r="P47" i="3" s="1"/>
  <c r="T25" i="2" s="1"/>
  <c r="U25" i="2" s="1"/>
  <c r="O48" i="3"/>
  <c r="P48" i="3" s="1"/>
  <c r="O49" i="3"/>
  <c r="S26" i="2" s="1"/>
  <c r="O50" i="3"/>
  <c r="P50" i="3" s="1"/>
  <c r="Q50" i="3" s="1"/>
  <c r="O51" i="3"/>
  <c r="P51" i="3" s="1"/>
  <c r="O52" i="3"/>
  <c r="S27" i="2" s="1"/>
  <c r="F6" i="24"/>
  <c r="F5" i="24"/>
  <c r="E327" i="24"/>
  <c r="D327" i="24"/>
  <c r="E326" i="24"/>
  <c r="D326" i="24"/>
  <c r="E325" i="24"/>
  <c r="D325" i="24"/>
  <c r="E324" i="24"/>
  <c r="D324" i="24"/>
  <c r="E323" i="24"/>
  <c r="D323" i="24"/>
  <c r="E322" i="24"/>
  <c r="D322" i="24"/>
  <c r="E321" i="24"/>
  <c r="D321" i="24"/>
  <c r="C321" i="24"/>
  <c r="F321" i="24" s="1"/>
  <c r="D320" i="24"/>
  <c r="E320" i="24" s="1"/>
  <c r="C320" i="24"/>
  <c r="D319" i="24"/>
  <c r="E319" i="24" s="1"/>
  <c r="C319" i="24"/>
  <c r="D318" i="24"/>
  <c r="E318" i="24" s="1"/>
  <c r="C318" i="24"/>
  <c r="E317" i="24"/>
  <c r="D317" i="24"/>
  <c r="C317" i="24"/>
  <c r="D316" i="24"/>
  <c r="E316" i="24" s="1"/>
  <c r="C316" i="24"/>
  <c r="F316" i="24" s="1"/>
  <c r="H316" i="24" s="1"/>
  <c r="D315" i="24"/>
  <c r="E315" i="24" s="1"/>
  <c r="C315" i="24"/>
  <c r="F315" i="24" s="1"/>
  <c r="D314" i="24"/>
  <c r="E314" i="24" s="1"/>
  <c r="C314" i="24"/>
  <c r="E313" i="24"/>
  <c r="D313" i="24"/>
  <c r="C313" i="24"/>
  <c r="F313" i="24" s="1"/>
  <c r="H313" i="24" s="1"/>
  <c r="D312" i="24"/>
  <c r="E312" i="24" s="1"/>
  <c r="C312" i="24"/>
  <c r="D311" i="24"/>
  <c r="E311" i="24" s="1"/>
  <c r="C311" i="24"/>
  <c r="F311" i="24" s="1"/>
  <c r="D310" i="24"/>
  <c r="E310" i="24" s="1"/>
  <c r="C310" i="24"/>
  <c r="F310" i="24" s="1"/>
  <c r="G310" i="24" s="1"/>
  <c r="E309" i="24"/>
  <c r="D309" i="24"/>
  <c r="C309" i="24"/>
  <c r="D308" i="24"/>
  <c r="E308" i="24" s="1"/>
  <c r="C308" i="24"/>
  <c r="D307" i="24"/>
  <c r="E307" i="24" s="1"/>
  <c r="C307" i="24"/>
  <c r="F307" i="24" s="1"/>
  <c r="D306" i="24"/>
  <c r="E306" i="24" s="1"/>
  <c r="C306" i="24"/>
  <c r="F306" i="24" s="1"/>
  <c r="G306" i="24" s="1"/>
  <c r="E305" i="24"/>
  <c r="D305" i="24"/>
  <c r="C305" i="24"/>
  <c r="D304" i="24"/>
  <c r="E304" i="24" s="1"/>
  <c r="C304" i="24"/>
  <c r="D303" i="24"/>
  <c r="E303" i="24" s="1"/>
  <c r="C303" i="24"/>
  <c r="F303" i="24" s="1"/>
  <c r="D302" i="24"/>
  <c r="E302" i="24" s="1"/>
  <c r="C302" i="24"/>
  <c r="F302" i="24" s="1"/>
  <c r="E301" i="24"/>
  <c r="D301" i="24"/>
  <c r="C301" i="24"/>
  <c r="F301" i="24" s="1"/>
  <c r="H301" i="24" s="1"/>
  <c r="E300" i="24"/>
  <c r="L300" i="24" s="1"/>
  <c r="D300" i="24"/>
  <c r="C300" i="24"/>
  <c r="F300" i="24" s="1"/>
  <c r="H300" i="24" s="1"/>
  <c r="D299" i="24"/>
  <c r="E299" i="24" s="1"/>
  <c r="L299" i="24" s="1"/>
  <c r="C299" i="24"/>
  <c r="E298" i="24"/>
  <c r="L298" i="24" s="1"/>
  <c r="D298" i="24"/>
  <c r="C298" i="24"/>
  <c r="D297" i="24"/>
  <c r="E297" i="24" s="1"/>
  <c r="L297" i="24" s="1"/>
  <c r="C297" i="24"/>
  <c r="F297" i="24" s="1"/>
  <c r="E296" i="24"/>
  <c r="L296" i="24" s="1"/>
  <c r="D296" i="24"/>
  <c r="C296" i="24"/>
  <c r="D295" i="24"/>
  <c r="E295" i="24" s="1"/>
  <c r="L295" i="24" s="1"/>
  <c r="C295" i="24"/>
  <c r="F295" i="24" s="1"/>
  <c r="D294" i="24"/>
  <c r="E294" i="24" s="1"/>
  <c r="L294" i="24" s="1"/>
  <c r="C294" i="24"/>
  <c r="F294" i="24" s="1"/>
  <c r="E293" i="24"/>
  <c r="L293" i="24" s="1"/>
  <c r="D293" i="24"/>
  <c r="C293" i="24"/>
  <c r="F293" i="24" s="1"/>
  <c r="G293" i="24" s="1"/>
  <c r="E292" i="24"/>
  <c r="L292" i="24" s="1"/>
  <c r="D292" i="24"/>
  <c r="C292" i="24"/>
  <c r="F292" i="24" s="1"/>
  <c r="H292" i="24" s="1"/>
  <c r="D291" i="24"/>
  <c r="E291" i="24" s="1"/>
  <c r="L291" i="24" s="1"/>
  <c r="C291" i="24"/>
  <c r="F291" i="24" s="1"/>
  <c r="H291" i="24" s="1"/>
  <c r="E290" i="24"/>
  <c r="L290" i="24" s="1"/>
  <c r="D290" i="24"/>
  <c r="C290" i="24"/>
  <c r="D289" i="24"/>
  <c r="E289" i="24" s="1"/>
  <c r="L289" i="24" s="1"/>
  <c r="C289" i="24"/>
  <c r="F289" i="24" s="1"/>
  <c r="E288" i="24"/>
  <c r="L288" i="24" s="1"/>
  <c r="D288" i="24"/>
  <c r="C288" i="24"/>
  <c r="D287" i="24"/>
  <c r="E287" i="24" s="1"/>
  <c r="L287" i="24" s="1"/>
  <c r="C287" i="24"/>
  <c r="F287" i="24" s="1"/>
  <c r="G287" i="24" s="1"/>
  <c r="D286" i="24"/>
  <c r="E286" i="24" s="1"/>
  <c r="L286" i="24" s="1"/>
  <c r="C286" i="24"/>
  <c r="E285" i="24"/>
  <c r="L285" i="24" s="1"/>
  <c r="D285" i="24"/>
  <c r="C285" i="24"/>
  <c r="F285" i="24" s="1"/>
  <c r="G285" i="24" s="1"/>
  <c r="E284" i="24"/>
  <c r="L284" i="24" s="1"/>
  <c r="D284" i="24"/>
  <c r="C284" i="24"/>
  <c r="D283" i="24"/>
  <c r="E283" i="24" s="1"/>
  <c r="L283" i="24" s="1"/>
  <c r="C283" i="24"/>
  <c r="E282" i="24"/>
  <c r="L282" i="24" s="1"/>
  <c r="D282" i="24"/>
  <c r="C282" i="24"/>
  <c r="D281" i="24"/>
  <c r="E281" i="24" s="1"/>
  <c r="L281" i="24" s="1"/>
  <c r="C281" i="24"/>
  <c r="F281" i="24" s="1"/>
  <c r="E280" i="24"/>
  <c r="L280" i="24" s="1"/>
  <c r="D280" i="24"/>
  <c r="C280" i="24"/>
  <c r="D279" i="24"/>
  <c r="E279" i="24" s="1"/>
  <c r="L279" i="24" s="1"/>
  <c r="C279" i="24"/>
  <c r="F279" i="24" s="1"/>
  <c r="D278" i="24"/>
  <c r="E278" i="24" s="1"/>
  <c r="L278" i="24" s="1"/>
  <c r="C278" i="24"/>
  <c r="E277" i="24"/>
  <c r="L277" i="24" s="1"/>
  <c r="D277" i="24"/>
  <c r="C277" i="24"/>
  <c r="E276" i="24"/>
  <c r="L276" i="24" s="1"/>
  <c r="D276" i="24"/>
  <c r="C276" i="24"/>
  <c r="F276" i="24" s="1"/>
  <c r="D275" i="24"/>
  <c r="E275" i="24" s="1"/>
  <c r="L275" i="24" s="1"/>
  <c r="C275" i="24"/>
  <c r="F275" i="24" s="1"/>
  <c r="H275" i="24" s="1"/>
  <c r="E274" i="24"/>
  <c r="L274" i="24" s="1"/>
  <c r="D274" i="24"/>
  <c r="C274" i="24"/>
  <c r="D273" i="24"/>
  <c r="E273" i="24" s="1"/>
  <c r="L273" i="24" s="1"/>
  <c r="C273" i="24"/>
  <c r="F273" i="24" s="1"/>
  <c r="E272" i="24"/>
  <c r="L272" i="24" s="1"/>
  <c r="D272" i="24"/>
  <c r="C272" i="24"/>
  <c r="D271" i="24"/>
  <c r="E271" i="24" s="1"/>
  <c r="L271" i="24" s="1"/>
  <c r="C271" i="24"/>
  <c r="F271" i="24" s="1"/>
  <c r="D270" i="24"/>
  <c r="E270" i="24" s="1"/>
  <c r="L270" i="24" s="1"/>
  <c r="C270" i="24"/>
  <c r="E269" i="24"/>
  <c r="L269" i="24" s="1"/>
  <c r="D269" i="24"/>
  <c r="C269" i="24"/>
  <c r="F269" i="24" s="1"/>
  <c r="G269" i="24" s="1"/>
  <c r="E268" i="24"/>
  <c r="L268" i="24" s="1"/>
  <c r="D268" i="24"/>
  <c r="C268" i="24"/>
  <c r="E267" i="24"/>
  <c r="L267" i="24" s="1"/>
  <c r="D267" i="24"/>
  <c r="C267" i="24"/>
  <c r="F267" i="24" s="1"/>
  <c r="H267" i="24" s="1"/>
  <c r="D266" i="24"/>
  <c r="E266" i="24" s="1"/>
  <c r="L266" i="24" s="1"/>
  <c r="C266" i="24"/>
  <c r="D265" i="24"/>
  <c r="E265" i="24" s="1"/>
  <c r="L265" i="24" s="1"/>
  <c r="C265" i="24"/>
  <c r="F265" i="24" s="1"/>
  <c r="E264" i="24"/>
  <c r="L264" i="24" s="1"/>
  <c r="D264" i="24"/>
  <c r="C264" i="24"/>
  <c r="D263" i="24"/>
  <c r="E263" i="24" s="1"/>
  <c r="L263" i="24" s="1"/>
  <c r="C263" i="24"/>
  <c r="F263" i="24" s="1"/>
  <c r="G263" i="24" s="1"/>
  <c r="D262" i="24"/>
  <c r="E262" i="24" s="1"/>
  <c r="L262" i="24" s="1"/>
  <c r="C262" i="24"/>
  <c r="E261" i="24"/>
  <c r="L261" i="24" s="1"/>
  <c r="D261" i="24"/>
  <c r="C261" i="24"/>
  <c r="E260" i="24"/>
  <c r="L260" i="24" s="1"/>
  <c r="D260" i="24"/>
  <c r="C260" i="24"/>
  <c r="F260" i="24" s="1"/>
  <c r="D259" i="24"/>
  <c r="E259" i="24" s="1"/>
  <c r="L259" i="24" s="1"/>
  <c r="C259" i="24"/>
  <c r="D258" i="24"/>
  <c r="E258" i="24" s="1"/>
  <c r="L258" i="24" s="1"/>
  <c r="C258" i="24"/>
  <c r="D257" i="24"/>
  <c r="E257" i="24" s="1"/>
  <c r="L257" i="24" s="1"/>
  <c r="C257" i="24"/>
  <c r="E256" i="24"/>
  <c r="L256" i="24" s="1"/>
  <c r="D256" i="24"/>
  <c r="C256" i="24"/>
  <c r="D255" i="24"/>
  <c r="E255" i="24" s="1"/>
  <c r="L255" i="24" s="1"/>
  <c r="C255" i="24"/>
  <c r="F255" i="24" s="1"/>
  <c r="D254" i="24"/>
  <c r="E254" i="24" s="1"/>
  <c r="L254" i="24" s="1"/>
  <c r="C254" i="24"/>
  <c r="F254" i="24" s="1"/>
  <c r="E253" i="24"/>
  <c r="L253" i="24" s="1"/>
  <c r="D253" i="24"/>
  <c r="C253" i="24"/>
  <c r="F253" i="24" s="1"/>
  <c r="H253" i="24" s="1"/>
  <c r="E252" i="24"/>
  <c r="L252" i="24" s="1"/>
  <c r="D252" i="24"/>
  <c r="C252" i="24"/>
  <c r="F252" i="24" s="1"/>
  <c r="H252" i="24" s="1"/>
  <c r="E251" i="24"/>
  <c r="L251" i="24" s="1"/>
  <c r="D251" i="24"/>
  <c r="C251" i="24"/>
  <c r="D250" i="24"/>
  <c r="E250" i="24" s="1"/>
  <c r="L250" i="24" s="1"/>
  <c r="C250" i="24"/>
  <c r="D249" i="24"/>
  <c r="E249" i="24" s="1"/>
  <c r="L249" i="24" s="1"/>
  <c r="C249" i="24"/>
  <c r="F249" i="24" s="1"/>
  <c r="E248" i="24"/>
  <c r="L248" i="24" s="1"/>
  <c r="D248" i="24"/>
  <c r="C248" i="24"/>
  <c r="D247" i="24"/>
  <c r="E247" i="24" s="1"/>
  <c r="L247" i="24" s="1"/>
  <c r="C247" i="24"/>
  <c r="F247" i="24" s="1"/>
  <c r="D246" i="24"/>
  <c r="E246" i="24" s="1"/>
  <c r="L246" i="24" s="1"/>
  <c r="C246" i="24"/>
  <c r="F246" i="24" s="1"/>
  <c r="E245" i="24"/>
  <c r="L245" i="24" s="1"/>
  <c r="D245" i="24"/>
  <c r="C245" i="24"/>
  <c r="D244" i="24"/>
  <c r="E244" i="24" s="1"/>
  <c r="L244" i="24" s="1"/>
  <c r="C244" i="24"/>
  <c r="F244" i="24" s="1"/>
  <c r="D243" i="24"/>
  <c r="E243" i="24" s="1"/>
  <c r="L243" i="24" s="1"/>
  <c r="C243" i="24"/>
  <c r="D242" i="24"/>
  <c r="E242" i="24" s="1"/>
  <c r="L242" i="24" s="1"/>
  <c r="C242" i="24"/>
  <c r="D241" i="24"/>
  <c r="E241" i="24" s="1"/>
  <c r="L241" i="24" s="1"/>
  <c r="C241" i="24"/>
  <c r="E240" i="24"/>
  <c r="L240" i="24" s="1"/>
  <c r="D240" i="24"/>
  <c r="C240" i="24"/>
  <c r="D239" i="24"/>
  <c r="E239" i="24" s="1"/>
  <c r="L239" i="24" s="1"/>
  <c r="C239" i="24"/>
  <c r="F239" i="24" s="1"/>
  <c r="H239" i="24" s="1"/>
  <c r="D238" i="24"/>
  <c r="E238" i="24" s="1"/>
  <c r="L238" i="24" s="1"/>
  <c r="C238" i="24"/>
  <c r="E237" i="24"/>
  <c r="L237" i="24" s="1"/>
  <c r="D237" i="24"/>
  <c r="C237" i="24"/>
  <c r="D236" i="24"/>
  <c r="E236" i="24" s="1"/>
  <c r="L236" i="24" s="1"/>
  <c r="C236" i="24"/>
  <c r="F236" i="24" s="1"/>
  <c r="H236" i="24" s="1"/>
  <c r="E235" i="24"/>
  <c r="L235" i="24" s="1"/>
  <c r="D235" i="24"/>
  <c r="C235" i="24"/>
  <c r="E234" i="24"/>
  <c r="L234" i="24" s="1"/>
  <c r="D234" i="24"/>
  <c r="C234" i="24"/>
  <c r="F234" i="24" s="1"/>
  <c r="D233" i="24"/>
  <c r="E233" i="24" s="1"/>
  <c r="L233" i="24" s="1"/>
  <c r="C233" i="24"/>
  <c r="F233" i="24" s="1"/>
  <c r="E232" i="24"/>
  <c r="L232" i="24" s="1"/>
  <c r="D232" i="24"/>
  <c r="C232" i="24"/>
  <c r="D231" i="24"/>
  <c r="E231" i="24" s="1"/>
  <c r="L231" i="24" s="1"/>
  <c r="C231" i="24"/>
  <c r="F231" i="24" s="1"/>
  <c r="D230" i="24"/>
  <c r="E230" i="24" s="1"/>
  <c r="L230" i="24" s="1"/>
  <c r="C230" i="24"/>
  <c r="F230" i="24" s="1"/>
  <c r="G230" i="24" s="1"/>
  <c r="E229" i="24"/>
  <c r="L229" i="24" s="1"/>
  <c r="D229" i="24"/>
  <c r="C229" i="24"/>
  <c r="D228" i="24"/>
  <c r="E228" i="24" s="1"/>
  <c r="L228" i="24" s="1"/>
  <c r="C228" i="24"/>
  <c r="F228" i="24" s="1"/>
  <c r="H228" i="24" s="1"/>
  <c r="D227" i="24"/>
  <c r="E227" i="24" s="1"/>
  <c r="L227" i="24" s="1"/>
  <c r="C227" i="24"/>
  <c r="E226" i="24"/>
  <c r="L226" i="24" s="1"/>
  <c r="D226" i="24"/>
  <c r="C226" i="24"/>
  <c r="F226" i="24" s="1"/>
  <c r="D225" i="24"/>
  <c r="E225" i="24" s="1"/>
  <c r="L225" i="24" s="1"/>
  <c r="C225" i="24"/>
  <c r="E224" i="24"/>
  <c r="L224" i="24" s="1"/>
  <c r="D224" i="24"/>
  <c r="C224" i="24"/>
  <c r="D223" i="24"/>
  <c r="E223" i="24" s="1"/>
  <c r="L223" i="24" s="1"/>
  <c r="C223" i="24"/>
  <c r="F223" i="24" s="1"/>
  <c r="D222" i="24"/>
  <c r="E222" i="24" s="1"/>
  <c r="L222" i="24" s="1"/>
  <c r="C222" i="24"/>
  <c r="E221" i="24"/>
  <c r="L221" i="24" s="1"/>
  <c r="D221" i="24"/>
  <c r="C221" i="24"/>
  <c r="E220" i="24"/>
  <c r="L220" i="24" s="1"/>
  <c r="D220" i="24"/>
  <c r="C220" i="24"/>
  <c r="D219" i="24"/>
  <c r="E219" i="24" s="1"/>
  <c r="L219" i="24" s="1"/>
  <c r="C219" i="24"/>
  <c r="E218" i="24"/>
  <c r="L218" i="24" s="1"/>
  <c r="D218" i="24"/>
  <c r="C218" i="24"/>
  <c r="F218" i="24" s="1"/>
  <c r="G218" i="24" s="1"/>
  <c r="E217" i="24"/>
  <c r="L217" i="24" s="1"/>
  <c r="D217" i="24"/>
  <c r="C217" i="24"/>
  <c r="F217" i="24" s="1"/>
  <c r="G217" i="24" s="1"/>
  <c r="E216" i="24"/>
  <c r="L216" i="24" s="1"/>
  <c r="D216" i="24"/>
  <c r="C216" i="24"/>
  <c r="D215" i="24"/>
  <c r="E215" i="24" s="1"/>
  <c r="L215" i="24" s="1"/>
  <c r="C215" i="24"/>
  <c r="D214" i="24"/>
  <c r="E214" i="24" s="1"/>
  <c r="L214" i="24" s="1"/>
  <c r="C214" i="24"/>
  <c r="E213" i="24"/>
  <c r="L213" i="24" s="1"/>
  <c r="D213" i="24"/>
  <c r="C213" i="24"/>
  <c r="F213" i="24" s="1"/>
  <c r="H213" i="24" s="1"/>
  <c r="E212" i="24"/>
  <c r="L212" i="24" s="1"/>
  <c r="D212" i="24"/>
  <c r="C212" i="24"/>
  <c r="F212" i="24" s="1"/>
  <c r="H212" i="24" s="1"/>
  <c r="D211" i="24"/>
  <c r="E211" i="24" s="1"/>
  <c r="L211" i="24" s="1"/>
  <c r="C211" i="24"/>
  <c r="F211" i="24" s="1"/>
  <c r="H211" i="24" s="1"/>
  <c r="E210" i="24"/>
  <c r="L210" i="24" s="1"/>
  <c r="D210" i="24"/>
  <c r="C210" i="24"/>
  <c r="D209" i="24"/>
  <c r="E209" i="24" s="1"/>
  <c r="L209" i="24" s="1"/>
  <c r="C209" i="24"/>
  <c r="D208" i="24"/>
  <c r="E208" i="24" s="1"/>
  <c r="L208" i="24" s="1"/>
  <c r="C208" i="24"/>
  <c r="F208" i="24" s="1"/>
  <c r="H208" i="24" s="1"/>
  <c r="D207" i="24"/>
  <c r="E207" i="24" s="1"/>
  <c r="L207" i="24" s="1"/>
  <c r="C207" i="24"/>
  <c r="F207" i="24" s="1"/>
  <c r="D206" i="24"/>
  <c r="E206" i="24" s="1"/>
  <c r="L206" i="24" s="1"/>
  <c r="C206" i="24"/>
  <c r="E205" i="24"/>
  <c r="L205" i="24" s="1"/>
  <c r="D205" i="24"/>
  <c r="C205" i="24"/>
  <c r="D204" i="24"/>
  <c r="E204" i="24" s="1"/>
  <c r="L204" i="24" s="1"/>
  <c r="C204" i="24"/>
  <c r="F204" i="24" s="1"/>
  <c r="G204" i="24" s="1"/>
  <c r="E203" i="24"/>
  <c r="L203" i="24" s="1"/>
  <c r="D203" i="24"/>
  <c r="C203" i="24"/>
  <c r="F203" i="24" s="1"/>
  <c r="E202" i="24"/>
  <c r="L202" i="24" s="1"/>
  <c r="D202" i="24"/>
  <c r="C202" i="24"/>
  <c r="D201" i="24"/>
  <c r="E201" i="24" s="1"/>
  <c r="L201" i="24" s="1"/>
  <c r="C201" i="24"/>
  <c r="F201" i="24" s="1"/>
  <c r="D200" i="24"/>
  <c r="E200" i="24" s="1"/>
  <c r="L200" i="24" s="1"/>
  <c r="C200" i="24"/>
  <c r="E199" i="24"/>
  <c r="L199" i="24" s="1"/>
  <c r="D199" i="24"/>
  <c r="C199" i="24"/>
  <c r="F199" i="24" s="1"/>
  <c r="D198" i="24"/>
  <c r="E198" i="24" s="1"/>
  <c r="L198" i="24" s="1"/>
  <c r="C198" i="24"/>
  <c r="F198" i="24" s="1"/>
  <c r="G198" i="24" s="1"/>
  <c r="E197" i="24"/>
  <c r="L197" i="24" s="1"/>
  <c r="D197" i="24"/>
  <c r="C197" i="24"/>
  <c r="F197" i="24" s="1"/>
  <c r="H197" i="24" s="1"/>
  <c r="D196" i="24"/>
  <c r="E196" i="24" s="1"/>
  <c r="L196" i="24" s="1"/>
  <c r="C196" i="24"/>
  <c r="F196" i="24" s="1"/>
  <c r="E195" i="24"/>
  <c r="L195" i="24" s="1"/>
  <c r="D195" i="24"/>
  <c r="C195" i="24"/>
  <c r="D194" i="24"/>
  <c r="E194" i="24" s="1"/>
  <c r="L194" i="24" s="1"/>
  <c r="C194" i="24"/>
  <c r="D193" i="24"/>
  <c r="E193" i="24" s="1"/>
  <c r="L193" i="24" s="1"/>
  <c r="C193" i="24"/>
  <c r="D192" i="24"/>
  <c r="E192" i="24" s="1"/>
  <c r="L192" i="24" s="1"/>
  <c r="C192" i="24"/>
  <c r="F192" i="24" s="1"/>
  <c r="H192" i="24" s="1"/>
  <c r="E191" i="24"/>
  <c r="L191" i="24" s="1"/>
  <c r="D191" i="24"/>
  <c r="C191" i="24"/>
  <c r="D190" i="24"/>
  <c r="E190" i="24" s="1"/>
  <c r="L190" i="24" s="1"/>
  <c r="C190" i="24"/>
  <c r="E189" i="24"/>
  <c r="L189" i="24" s="1"/>
  <c r="D189" i="24"/>
  <c r="C189" i="24"/>
  <c r="F189" i="24" s="1"/>
  <c r="D188" i="24"/>
  <c r="E188" i="24" s="1"/>
  <c r="L188" i="24" s="1"/>
  <c r="C188" i="24"/>
  <c r="F188" i="24" s="1"/>
  <c r="H188" i="24" s="1"/>
  <c r="E187" i="24"/>
  <c r="L187" i="24" s="1"/>
  <c r="D187" i="24"/>
  <c r="C187" i="24"/>
  <c r="F187" i="24" s="1"/>
  <c r="H187" i="24" s="1"/>
  <c r="D186" i="24"/>
  <c r="E186" i="24" s="1"/>
  <c r="L186" i="24" s="1"/>
  <c r="C186" i="24"/>
  <c r="F186" i="24" s="1"/>
  <c r="D185" i="24"/>
  <c r="E185" i="24" s="1"/>
  <c r="L185" i="24" s="1"/>
  <c r="C185" i="24"/>
  <c r="D184" i="24"/>
  <c r="E184" i="24" s="1"/>
  <c r="L184" i="24" s="1"/>
  <c r="C184" i="24"/>
  <c r="E183" i="24"/>
  <c r="L183" i="24" s="1"/>
  <c r="D183" i="24"/>
  <c r="C183" i="24"/>
  <c r="F183" i="24" s="1"/>
  <c r="D182" i="24"/>
  <c r="E182" i="24" s="1"/>
  <c r="L182" i="24" s="1"/>
  <c r="C182" i="24"/>
  <c r="F182" i="24" s="1"/>
  <c r="H182" i="24" s="1"/>
  <c r="E181" i="24"/>
  <c r="L181" i="24" s="1"/>
  <c r="D181" i="24"/>
  <c r="C181" i="24"/>
  <c r="F181" i="24" s="1"/>
  <c r="H181" i="24" s="1"/>
  <c r="E180" i="24"/>
  <c r="L180" i="24" s="1"/>
  <c r="D180" i="24"/>
  <c r="C180" i="24"/>
  <c r="F180" i="24" s="1"/>
  <c r="H180" i="24" s="1"/>
  <c r="E179" i="24"/>
  <c r="L179" i="24" s="1"/>
  <c r="D179" i="24"/>
  <c r="C179" i="24"/>
  <c r="D178" i="24"/>
  <c r="E178" i="24" s="1"/>
  <c r="L178" i="24" s="1"/>
  <c r="C178" i="24"/>
  <c r="D177" i="24"/>
  <c r="E177" i="24" s="1"/>
  <c r="L177" i="24" s="1"/>
  <c r="C177" i="24"/>
  <c r="D176" i="24"/>
  <c r="E176" i="24" s="1"/>
  <c r="L176" i="24" s="1"/>
  <c r="C176" i="24"/>
  <c r="E175" i="24"/>
  <c r="L175" i="24" s="1"/>
  <c r="D175" i="24"/>
  <c r="C175" i="24"/>
  <c r="F175" i="24" s="1"/>
  <c r="G175" i="24" s="1"/>
  <c r="D174" i="24"/>
  <c r="E174" i="24" s="1"/>
  <c r="L174" i="24" s="1"/>
  <c r="C174" i="24"/>
  <c r="F174" i="24" s="1"/>
  <c r="E173" i="24"/>
  <c r="L173" i="24" s="1"/>
  <c r="D173" i="24"/>
  <c r="C173" i="24"/>
  <c r="F173" i="24" s="1"/>
  <c r="H173" i="24" s="1"/>
  <c r="D172" i="24"/>
  <c r="E172" i="24" s="1"/>
  <c r="L172" i="24" s="1"/>
  <c r="C172" i="24"/>
  <c r="F172" i="24" s="1"/>
  <c r="H172" i="24" s="1"/>
  <c r="E171" i="24"/>
  <c r="L171" i="24" s="1"/>
  <c r="D171" i="24"/>
  <c r="C171" i="24"/>
  <c r="F171" i="24" s="1"/>
  <c r="E170" i="24"/>
  <c r="L170" i="24" s="1"/>
  <c r="D170" i="24"/>
  <c r="C170" i="24"/>
  <c r="D169" i="24"/>
  <c r="E169" i="24" s="1"/>
  <c r="L169" i="24" s="1"/>
  <c r="C169" i="24"/>
  <c r="D168" i="24"/>
  <c r="E168" i="24" s="1"/>
  <c r="L168" i="24" s="1"/>
  <c r="C168" i="24"/>
  <c r="E167" i="24"/>
  <c r="L167" i="24" s="1"/>
  <c r="D167" i="24"/>
  <c r="C167" i="24"/>
  <c r="F167" i="24" s="1"/>
  <c r="D166" i="24"/>
  <c r="E166" i="24" s="1"/>
  <c r="L166" i="24" s="1"/>
  <c r="C166" i="24"/>
  <c r="F166" i="24" s="1"/>
  <c r="H166" i="24" s="1"/>
  <c r="E165" i="24"/>
  <c r="L165" i="24" s="1"/>
  <c r="D165" i="24"/>
  <c r="C165" i="24"/>
  <c r="F165" i="24" s="1"/>
  <c r="E164" i="24"/>
  <c r="L164" i="24" s="1"/>
  <c r="D164" i="24"/>
  <c r="C164" i="24"/>
  <c r="D163" i="24"/>
  <c r="E163" i="24" s="1"/>
  <c r="L163" i="24" s="1"/>
  <c r="C163" i="24"/>
  <c r="E162" i="24"/>
  <c r="L162" i="24" s="1"/>
  <c r="D162" i="24"/>
  <c r="C162" i="24"/>
  <c r="D161" i="24"/>
  <c r="E161" i="24" s="1"/>
  <c r="L161" i="24" s="1"/>
  <c r="C161" i="24"/>
  <c r="D160" i="24"/>
  <c r="E160" i="24" s="1"/>
  <c r="L160" i="24" s="1"/>
  <c r="C160" i="24"/>
  <c r="E159" i="24"/>
  <c r="L159" i="24" s="1"/>
  <c r="D159" i="24"/>
  <c r="C159" i="24"/>
  <c r="F159" i="24" s="1"/>
  <c r="D158" i="24"/>
  <c r="E158" i="24" s="1"/>
  <c r="L158" i="24" s="1"/>
  <c r="C158" i="24"/>
  <c r="E157" i="24"/>
  <c r="L157" i="24" s="1"/>
  <c r="D157" i="24"/>
  <c r="C157" i="24"/>
  <c r="F157" i="24" s="1"/>
  <c r="H157" i="24" s="1"/>
  <c r="D156" i="24"/>
  <c r="E156" i="24" s="1"/>
  <c r="L156" i="24" s="1"/>
  <c r="C156" i="24"/>
  <c r="F156" i="24" s="1"/>
  <c r="H156" i="24" s="1"/>
  <c r="D155" i="24"/>
  <c r="E155" i="24" s="1"/>
  <c r="L155" i="24" s="1"/>
  <c r="C155" i="24"/>
  <c r="F155" i="24" s="1"/>
  <c r="D154" i="24"/>
  <c r="E154" i="24" s="1"/>
  <c r="L154" i="24" s="1"/>
  <c r="C154" i="24"/>
  <c r="D153" i="24"/>
  <c r="E153" i="24" s="1"/>
  <c r="L153" i="24" s="1"/>
  <c r="C153" i="24"/>
  <c r="D152" i="24"/>
  <c r="E152" i="24" s="1"/>
  <c r="L152" i="24" s="1"/>
  <c r="C152" i="24"/>
  <c r="E151" i="24"/>
  <c r="L151" i="24" s="1"/>
  <c r="D151" i="24"/>
  <c r="C151" i="24"/>
  <c r="F151" i="24" s="1"/>
  <c r="G151" i="24" s="1"/>
  <c r="D150" i="24"/>
  <c r="E150" i="24" s="1"/>
  <c r="L150" i="24" s="1"/>
  <c r="C150" i="24"/>
  <c r="F150" i="24" s="1"/>
  <c r="H150" i="24" s="1"/>
  <c r="E149" i="24"/>
  <c r="L149" i="24" s="1"/>
  <c r="D149" i="24"/>
  <c r="C149" i="24"/>
  <c r="F149" i="24" s="1"/>
  <c r="H149" i="24" s="1"/>
  <c r="E148" i="24"/>
  <c r="L148" i="24" s="1"/>
  <c r="D148" i="24"/>
  <c r="C148" i="24"/>
  <c r="F148" i="24" s="1"/>
  <c r="D147" i="24"/>
  <c r="E147" i="24" s="1"/>
  <c r="L147" i="24" s="1"/>
  <c r="C147" i="24"/>
  <c r="D146" i="24"/>
  <c r="E146" i="24" s="1"/>
  <c r="L146" i="24" s="1"/>
  <c r="C146" i="24"/>
  <c r="D145" i="24"/>
  <c r="E145" i="24" s="1"/>
  <c r="L145" i="24" s="1"/>
  <c r="C145" i="24"/>
  <c r="D144" i="24"/>
  <c r="E144" i="24" s="1"/>
  <c r="L144" i="24" s="1"/>
  <c r="C144" i="24"/>
  <c r="E143" i="24"/>
  <c r="L143" i="24" s="1"/>
  <c r="D143" i="24"/>
  <c r="C143" i="24"/>
  <c r="F143" i="24" s="1"/>
  <c r="D142" i="24"/>
  <c r="E142" i="24" s="1"/>
  <c r="L142" i="24" s="1"/>
  <c r="C142" i="24"/>
  <c r="F142" i="24" s="1"/>
  <c r="H142" i="24" s="1"/>
  <c r="E141" i="24"/>
  <c r="L141" i="24" s="1"/>
  <c r="D141" i="24"/>
  <c r="C141" i="24"/>
  <c r="F141" i="24" s="1"/>
  <c r="G141" i="24" s="1"/>
  <c r="E140" i="24"/>
  <c r="L140" i="24" s="1"/>
  <c r="D140" i="24"/>
  <c r="C140" i="24"/>
  <c r="F140" i="24" s="1"/>
  <c r="D139" i="24"/>
  <c r="E139" i="24" s="1"/>
  <c r="L139" i="24" s="1"/>
  <c r="C139" i="24"/>
  <c r="E138" i="24"/>
  <c r="L138" i="24" s="1"/>
  <c r="D138" i="24"/>
  <c r="C138" i="24"/>
  <c r="D137" i="24"/>
  <c r="E137" i="24" s="1"/>
  <c r="L137" i="24" s="1"/>
  <c r="C137" i="24"/>
  <c r="D136" i="24"/>
  <c r="E136" i="24" s="1"/>
  <c r="L136" i="24" s="1"/>
  <c r="C136" i="24"/>
  <c r="E135" i="24"/>
  <c r="L135" i="24" s="1"/>
  <c r="D135" i="24"/>
  <c r="C135" i="24"/>
  <c r="F135" i="24" s="1"/>
  <c r="D134" i="24"/>
  <c r="E134" i="24" s="1"/>
  <c r="L134" i="24" s="1"/>
  <c r="C134" i="24"/>
  <c r="F134" i="24" s="1"/>
  <c r="H134" i="24" s="1"/>
  <c r="E133" i="24"/>
  <c r="L133" i="24" s="1"/>
  <c r="D133" i="24"/>
  <c r="C133" i="24"/>
  <c r="E132" i="24"/>
  <c r="L132" i="24" s="1"/>
  <c r="D132" i="24"/>
  <c r="C132" i="24"/>
  <c r="E131" i="24"/>
  <c r="L131" i="24" s="1"/>
  <c r="D131" i="24"/>
  <c r="C131" i="24"/>
  <c r="F131" i="24" s="1"/>
  <c r="G131" i="24" s="1"/>
  <c r="D130" i="24"/>
  <c r="E130" i="24" s="1"/>
  <c r="L130" i="24" s="1"/>
  <c r="C130" i="24"/>
  <c r="E129" i="24"/>
  <c r="L129" i="24" s="1"/>
  <c r="D129" i="24"/>
  <c r="C129" i="24"/>
  <c r="D128" i="24"/>
  <c r="E128" i="24" s="1"/>
  <c r="L128" i="24" s="1"/>
  <c r="C128" i="24"/>
  <c r="F128" i="24" s="1"/>
  <c r="H128" i="24" s="1"/>
  <c r="E127" i="24"/>
  <c r="L127" i="24" s="1"/>
  <c r="D127" i="24"/>
  <c r="C127" i="24"/>
  <c r="D126" i="24"/>
  <c r="E126" i="24" s="1"/>
  <c r="L126" i="24" s="1"/>
  <c r="C126" i="24"/>
  <c r="F126" i="24" s="1"/>
  <c r="H126" i="24" s="1"/>
  <c r="D125" i="24"/>
  <c r="E125" i="24" s="1"/>
  <c r="L125" i="24" s="1"/>
  <c r="C125" i="24"/>
  <c r="E124" i="24"/>
  <c r="L124" i="24" s="1"/>
  <c r="D124" i="24"/>
  <c r="C124" i="24"/>
  <c r="F124" i="24" s="1"/>
  <c r="G124" i="24" s="1"/>
  <c r="E123" i="24"/>
  <c r="L123" i="24" s="1"/>
  <c r="D123" i="24"/>
  <c r="C123" i="24"/>
  <c r="D122" i="24"/>
  <c r="E122" i="24" s="1"/>
  <c r="C122" i="24"/>
  <c r="D121" i="24"/>
  <c r="E121" i="24" s="1"/>
  <c r="C121" i="24"/>
  <c r="D120" i="24"/>
  <c r="E120" i="24" s="1"/>
  <c r="C120" i="24"/>
  <c r="E119" i="24"/>
  <c r="D119" i="24"/>
  <c r="C119" i="24"/>
  <c r="F119" i="24" s="1"/>
  <c r="D118" i="24"/>
  <c r="E118" i="24" s="1"/>
  <c r="C118" i="24"/>
  <c r="D117" i="24"/>
  <c r="E117" i="24" s="1"/>
  <c r="C117" i="24"/>
  <c r="D116" i="24"/>
  <c r="E116" i="24" s="1"/>
  <c r="C116" i="24"/>
  <c r="F116" i="24" s="1"/>
  <c r="H116" i="24" s="1"/>
  <c r="D115" i="24"/>
  <c r="E115" i="24" s="1"/>
  <c r="C115" i="24"/>
  <c r="F115" i="24" s="1"/>
  <c r="D114" i="24"/>
  <c r="E114" i="24" s="1"/>
  <c r="C114" i="24"/>
  <c r="D113" i="24"/>
  <c r="E113" i="24" s="1"/>
  <c r="C113" i="24"/>
  <c r="D112" i="24"/>
  <c r="E112" i="24" s="1"/>
  <c r="C112" i="24"/>
  <c r="E111" i="24"/>
  <c r="D111" i="24"/>
  <c r="C111" i="24"/>
  <c r="F111" i="24" s="1"/>
  <c r="D110" i="24"/>
  <c r="E110" i="24" s="1"/>
  <c r="C110" i="24"/>
  <c r="D109" i="24"/>
  <c r="E109" i="24" s="1"/>
  <c r="C109" i="24"/>
  <c r="D108" i="24"/>
  <c r="E108" i="24" s="1"/>
  <c r="C108" i="24"/>
  <c r="F108" i="24" s="1"/>
  <c r="G108" i="24" s="1"/>
  <c r="E107" i="24"/>
  <c r="D107" i="24"/>
  <c r="C107" i="24"/>
  <c r="F107" i="24" s="1"/>
  <c r="D106" i="24"/>
  <c r="E106" i="24" s="1"/>
  <c r="C106" i="24"/>
  <c r="D105" i="24"/>
  <c r="E105" i="24" s="1"/>
  <c r="C105" i="24"/>
  <c r="D104" i="24"/>
  <c r="E104" i="24" s="1"/>
  <c r="C104" i="24"/>
  <c r="E103" i="24"/>
  <c r="D103" i="24"/>
  <c r="C103" i="24"/>
  <c r="F103" i="24" s="1"/>
  <c r="D102" i="24"/>
  <c r="E102" i="24" s="1"/>
  <c r="C102" i="24"/>
  <c r="D101" i="24"/>
  <c r="E101" i="24" s="1"/>
  <c r="C101" i="24"/>
  <c r="D100" i="24"/>
  <c r="E100" i="24" s="1"/>
  <c r="C100" i="24"/>
  <c r="F100" i="24" s="1"/>
  <c r="H100" i="24" s="1"/>
  <c r="D99" i="24"/>
  <c r="E99" i="24" s="1"/>
  <c r="C99" i="24"/>
  <c r="F99" i="24" s="1"/>
  <c r="D98" i="24"/>
  <c r="E98" i="24" s="1"/>
  <c r="C98" i="24"/>
  <c r="D97" i="24"/>
  <c r="E97" i="24" s="1"/>
  <c r="C97" i="24"/>
  <c r="D96" i="24"/>
  <c r="E96" i="24" s="1"/>
  <c r="C96" i="24"/>
  <c r="F96" i="24" s="1"/>
  <c r="E95" i="24"/>
  <c r="D95" i="24"/>
  <c r="C95" i="24"/>
  <c r="F95" i="24" s="1"/>
  <c r="D94" i="24"/>
  <c r="E94" i="24" s="1"/>
  <c r="C94" i="24"/>
  <c r="D93" i="24"/>
  <c r="E93" i="24" s="1"/>
  <c r="C93" i="24"/>
  <c r="D92" i="24"/>
  <c r="E92" i="24" s="1"/>
  <c r="C92" i="24"/>
  <c r="E91" i="24"/>
  <c r="D91" i="24"/>
  <c r="C91" i="24"/>
  <c r="F91" i="24" s="1"/>
  <c r="D90" i="24"/>
  <c r="E90" i="24" s="1"/>
  <c r="C90" i="24"/>
  <c r="D89" i="24"/>
  <c r="E89" i="24" s="1"/>
  <c r="C89" i="24"/>
  <c r="D88" i="24"/>
  <c r="E88" i="24" s="1"/>
  <c r="C88" i="24"/>
  <c r="E87" i="24"/>
  <c r="D87" i="24"/>
  <c r="C87" i="24"/>
  <c r="F87" i="24" s="1"/>
  <c r="D86" i="24"/>
  <c r="E86" i="24" s="1"/>
  <c r="C86" i="24"/>
  <c r="D85" i="24"/>
  <c r="E85" i="24" s="1"/>
  <c r="C85" i="24"/>
  <c r="D84" i="24"/>
  <c r="E84" i="24" s="1"/>
  <c r="C84" i="24"/>
  <c r="F84" i="24" s="1"/>
  <c r="H84" i="24" s="1"/>
  <c r="D83" i="24"/>
  <c r="E83" i="24" s="1"/>
  <c r="C83" i="24"/>
  <c r="F83" i="24" s="1"/>
  <c r="D82" i="24"/>
  <c r="E82" i="24" s="1"/>
  <c r="C82" i="24"/>
  <c r="D81" i="24"/>
  <c r="E81" i="24" s="1"/>
  <c r="C81" i="24"/>
  <c r="D80" i="24"/>
  <c r="E80" i="24" s="1"/>
  <c r="C80" i="24"/>
  <c r="E79" i="24"/>
  <c r="D79" i="24"/>
  <c r="C79" i="24"/>
  <c r="F79" i="24" s="1"/>
  <c r="D78" i="24"/>
  <c r="E78" i="24" s="1"/>
  <c r="D77" i="24"/>
  <c r="D76" i="24"/>
  <c r="E75" i="24"/>
  <c r="D75" i="24"/>
  <c r="D74" i="24"/>
  <c r="D73" i="24"/>
  <c r="D72" i="24"/>
  <c r="D71" i="24"/>
  <c r="E71" i="24" s="1"/>
  <c r="D70" i="24"/>
  <c r="D69" i="24"/>
  <c r="D68" i="24"/>
  <c r="D67" i="24"/>
  <c r="E67" i="24" s="1"/>
  <c r="D66" i="24"/>
  <c r="E66" i="24" s="1"/>
  <c r="D65" i="24"/>
  <c r="D64" i="24"/>
  <c r="E64" i="24" s="1"/>
  <c r="E63" i="24"/>
  <c r="D63" i="24"/>
  <c r="Q62" i="24"/>
  <c r="R62" i="24" s="1"/>
  <c r="P62" i="24"/>
  <c r="E62" i="24"/>
  <c r="D62" i="24"/>
  <c r="Q61" i="24"/>
  <c r="R61" i="24" s="1"/>
  <c r="P61" i="24"/>
  <c r="D61" i="24"/>
  <c r="Q60" i="24"/>
  <c r="R60" i="24" s="1"/>
  <c r="P60" i="24"/>
  <c r="D60" i="24"/>
  <c r="Q59" i="24"/>
  <c r="R59" i="24" s="1"/>
  <c r="P59" i="24"/>
  <c r="D59" i="24"/>
  <c r="R58" i="24"/>
  <c r="Q58" i="24"/>
  <c r="P58" i="24"/>
  <c r="D58" i="24"/>
  <c r="Q57" i="24"/>
  <c r="R57" i="24" s="1"/>
  <c r="P57" i="24"/>
  <c r="D57" i="24"/>
  <c r="R56" i="24"/>
  <c r="Q56" i="24"/>
  <c r="P56" i="24"/>
  <c r="D56" i="24"/>
  <c r="Q55" i="24"/>
  <c r="R55" i="24" s="1"/>
  <c r="P55" i="24"/>
  <c r="D55" i="24"/>
  <c r="Q54" i="24"/>
  <c r="R54" i="24" s="1"/>
  <c r="P54" i="24"/>
  <c r="D54" i="24"/>
  <c r="Q53" i="24"/>
  <c r="R53" i="24" s="1"/>
  <c r="P53" i="24"/>
  <c r="D53" i="24"/>
  <c r="Q52" i="24"/>
  <c r="R52" i="24" s="1"/>
  <c r="P52" i="24"/>
  <c r="D52" i="24"/>
  <c r="Q51" i="24"/>
  <c r="R51" i="24" s="1"/>
  <c r="P51" i="24"/>
  <c r="D51" i="24"/>
  <c r="R50" i="24"/>
  <c r="Q50" i="24"/>
  <c r="P50" i="24"/>
  <c r="D50" i="24"/>
  <c r="R49" i="24"/>
  <c r="Q49" i="24"/>
  <c r="P49" i="24"/>
  <c r="D49" i="24"/>
  <c r="E49" i="24" s="1"/>
  <c r="R48" i="24"/>
  <c r="Q48" i="24"/>
  <c r="P48" i="24"/>
  <c r="D48" i="24"/>
  <c r="Q47" i="24"/>
  <c r="R47" i="24" s="1"/>
  <c r="P47" i="24"/>
  <c r="D47" i="24"/>
  <c r="Q46" i="24"/>
  <c r="R46" i="24" s="1"/>
  <c r="P46" i="24"/>
  <c r="D46" i="24"/>
  <c r="Q45" i="24"/>
  <c r="R45" i="24" s="1"/>
  <c r="P45" i="24"/>
  <c r="D45" i="24"/>
  <c r="Q44" i="24"/>
  <c r="R44" i="24" s="1"/>
  <c r="P44" i="24"/>
  <c r="D44" i="24"/>
  <c r="Q43" i="24"/>
  <c r="R43" i="24" s="1"/>
  <c r="P43" i="24"/>
  <c r="D43" i="24"/>
  <c r="Q42" i="24"/>
  <c r="R42" i="24" s="1"/>
  <c r="P42" i="24"/>
  <c r="D42" i="24"/>
  <c r="Q41" i="24"/>
  <c r="R41" i="24" s="1"/>
  <c r="P41" i="24"/>
  <c r="D41" i="24"/>
  <c r="R40" i="24"/>
  <c r="Q40" i="24"/>
  <c r="P40" i="24"/>
  <c r="D40" i="24"/>
  <c r="Q39" i="24"/>
  <c r="R39" i="24" s="1"/>
  <c r="P39" i="24"/>
  <c r="D39" i="24"/>
  <c r="Q38" i="24"/>
  <c r="R38" i="24" s="1"/>
  <c r="P38" i="24"/>
  <c r="D38" i="24"/>
  <c r="Q37" i="24"/>
  <c r="R37" i="24" s="1"/>
  <c r="P37" i="24"/>
  <c r="D37" i="24"/>
  <c r="Q36" i="24"/>
  <c r="R36" i="24" s="1"/>
  <c r="P36" i="24"/>
  <c r="D36" i="24"/>
  <c r="AJ35" i="24"/>
  <c r="Q35" i="24"/>
  <c r="R35" i="24" s="1"/>
  <c r="P35" i="24"/>
  <c r="D35" i="24"/>
  <c r="AJ34" i="24"/>
  <c r="Q34" i="24"/>
  <c r="R34" i="24" s="1"/>
  <c r="P34" i="24"/>
  <c r="D34" i="24"/>
  <c r="AJ33" i="24"/>
  <c r="Q33" i="24"/>
  <c r="R33" i="24" s="1"/>
  <c r="P33" i="24"/>
  <c r="D33" i="24"/>
  <c r="AJ32" i="24"/>
  <c r="Q32" i="24"/>
  <c r="R32" i="24" s="1"/>
  <c r="P32" i="24"/>
  <c r="D32" i="24"/>
  <c r="AJ31" i="24"/>
  <c r="Q31" i="24"/>
  <c r="R31" i="24" s="1"/>
  <c r="P31" i="24"/>
  <c r="D31" i="24"/>
  <c r="AJ30" i="24"/>
  <c r="R30" i="24"/>
  <c r="Q30" i="24"/>
  <c r="P30" i="24"/>
  <c r="D30" i="24"/>
  <c r="AJ29" i="24"/>
  <c r="Q29" i="24"/>
  <c r="R29" i="24" s="1"/>
  <c r="P29" i="24"/>
  <c r="D29" i="24"/>
  <c r="AJ28" i="24"/>
  <c r="R28" i="24"/>
  <c r="Q28" i="24"/>
  <c r="P28" i="24"/>
  <c r="D28" i="24"/>
  <c r="AJ27" i="24"/>
  <c r="Q27" i="24"/>
  <c r="R27" i="24" s="1"/>
  <c r="P27" i="24"/>
  <c r="D27" i="24"/>
  <c r="AJ26" i="24"/>
  <c r="R26" i="24"/>
  <c r="Q26" i="24"/>
  <c r="P26" i="24"/>
  <c r="D26" i="24"/>
  <c r="AJ25" i="24"/>
  <c r="Q25" i="24"/>
  <c r="R25" i="24" s="1"/>
  <c r="P25" i="24"/>
  <c r="D25" i="24"/>
  <c r="AJ24" i="24"/>
  <c r="R24" i="24"/>
  <c r="Q24" i="24"/>
  <c r="P24" i="24"/>
  <c r="D24" i="24"/>
  <c r="AJ23" i="24"/>
  <c r="Q23" i="24"/>
  <c r="P23" i="24"/>
  <c r="D23" i="24"/>
  <c r="AJ22" i="24"/>
  <c r="Q22" i="24"/>
  <c r="P22" i="24"/>
  <c r="D22" i="24"/>
  <c r="C22" i="24"/>
  <c r="F22" i="24" s="1"/>
  <c r="AJ21" i="24"/>
  <c r="AJ20" i="24"/>
  <c r="AK19" i="24"/>
  <c r="AJ19" i="24"/>
  <c r="AK18" i="24"/>
  <c r="AJ18" i="24"/>
  <c r="AK17" i="24"/>
  <c r="AJ17" i="24"/>
  <c r="AK16" i="24"/>
  <c r="AJ16" i="24"/>
  <c r="AK15" i="24"/>
  <c r="AJ15" i="24"/>
  <c r="AJ14" i="24"/>
  <c r="AK13" i="24"/>
  <c r="AK14" i="24" s="1"/>
  <c r="AJ13" i="24"/>
  <c r="C8" i="24"/>
  <c r="C7" i="24"/>
  <c r="C6" i="24"/>
  <c r="C5" i="24"/>
  <c r="F6" i="23"/>
  <c r="F5" i="23"/>
  <c r="I1" i="8"/>
  <c r="I2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11" i="8"/>
  <c r="O5" i="3"/>
  <c r="P5" i="3" s="1"/>
  <c r="Q5" i="3" s="1"/>
  <c r="O6" i="3"/>
  <c r="P6" i="3" s="1"/>
  <c r="T4" i="2" s="1"/>
  <c r="U4" i="2" s="1"/>
  <c r="O7" i="3"/>
  <c r="P7" i="3" s="1"/>
  <c r="T5" i="2" s="1"/>
  <c r="U5" i="2" s="1"/>
  <c r="O8" i="3"/>
  <c r="P8" i="3" s="1"/>
  <c r="O9" i="3"/>
  <c r="P9" i="3" s="1"/>
  <c r="T6" i="2" s="1"/>
  <c r="U6" i="2" s="1"/>
  <c r="O10" i="3"/>
  <c r="P10" i="3" s="1"/>
  <c r="O11" i="3"/>
  <c r="P11" i="3" s="1"/>
  <c r="Q11" i="3" s="1"/>
  <c r="O12" i="3"/>
  <c r="P12" i="3" s="1"/>
  <c r="T7" i="2" s="1"/>
  <c r="U7" i="2" s="1"/>
  <c r="O13" i="3"/>
  <c r="S8" i="2" s="1"/>
  <c r="P13" i="3"/>
  <c r="Q13" i="3" s="1"/>
  <c r="O14" i="3"/>
  <c r="P14" i="3" s="1"/>
  <c r="O15" i="3"/>
  <c r="P15" i="3" s="1"/>
  <c r="Q15" i="3" s="1"/>
  <c r="O16" i="3"/>
  <c r="P16" i="3" s="1"/>
  <c r="O17" i="3"/>
  <c r="P17" i="3" s="1"/>
  <c r="T10" i="2" s="1"/>
  <c r="U10" i="2" s="1"/>
  <c r="O18" i="3"/>
  <c r="P18" i="3" s="1"/>
  <c r="O19" i="3"/>
  <c r="P19" i="3" s="1"/>
  <c r="O20" i="3"/>
  <c r="P20" i="3" s="1"/>
  <c r="T11" i="2" s="1"/>
  <c r="U11" i="2" s="1"/>
  <c r="O21" i="3"/>
  <c r="P21" i="3" s="1"/>
  <c r="Q21" i="3" s="1"/>
  <c r="O22" i="3"/>
  <c r="P22" i="3" s="1"/>
  <c r="O23" i="3"/>
  <c r="P23" i="3" s="1"/>
  <c r="Q23" i="3" s="1"/>
  <c r="O24" i="3"/>
  <c r="P24" i="3" s="1"/>
  <c r="T13" i="2" s="1"/>
  <c r="U13" i="2" s="1"/>
  <c r="O25" i="3"/>
  <c r="P25" i="3" s="1"/>
  <c r="T14" i="2" s="1"/>
  <c r="U14" i="2" s="1"/>
  <c r="O26" i="3"/>
  <c r="P26" i="3" s="1"/>
  <c r="O27" i="3"/>
  <c r="P27" i="3" s="1"/>
  <c r="O28" i="3"/>
  <c r="P28" i="3" s="1"/>
  <c r="T15" i="2" s="1"/>
  <c r="U15" i="2" s="1"/>
  <c r="AJ18" i="23"/>
  <c r="AK18" i="23"/>
  <c r="AJ19" i="23"/>
  <c r="AK19" i="23"/>
  <c r="D321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E65" i="23" s="1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E90" i="23" s="1"/>
  <c r="D91" i="23"/>
  <c r="D92" i="23"/>
  <c r="D93" i="23"/>
  <c r="D94" i="23"/>
  <c r="D95" i="23"/>
  <c r="D96" i="23"/>
  <c r="D97" i="23"/>
  <c r="D98" i="23"/>
  <c r="D99" i="23"/>
  <c r="D100" i="23"/>
  <c r="D101" i="23"/>
  <c r="E101" i="23" s="1"/>
  <c r="D102" i="23"/>
  <c r="D103" i="23"/>
  <c r="E103" i="23" s="1"/>
  <c r="D104" i="23"/>
  <c r="D105" i="23"/>
  <c r="D106" i="23"/>
  <c r="D107" i="23"/>
  <c r="D108" i="23"/>
  <c r="D109" i="23"/>
  <c r="E109" i="23" s="1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E151" i="23" s="1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E165" i="23" s="1"/>
  <c r="D166" i="23"/>
  <c r="D167" i="23"/>
  <c r="D168" i="23"/>
  <c r="D169" i="23"/>
  <c r="D170" i="23"/>
  <c r="E170" i="23" s="1"/>
  <c r="D171" i="23"/>
  <c r="D172" i="23"/>
  <c r="D173" i="23"/>
  <c r="E173" i="23" s="1"/>
  <c r="D174" i="23"/>
  <c r="D175" i="23"/>
  <c r="D176" i="23"/>
  <c r="D177" i="23"/>
  <c r="D178" i="23"/>
  <c r="D179" i="23"/>
  <c r="D180" i="23"/>
  <c r="D181" i="23"/>
  <c r="E181" i="23" s="1"/>
  <c r="D182" i="23"/>
  <c r="D183" i="23"/>
  <c r="E183" i="23" s="1"/>
  <c r="D184" i="23"/>
  <c r="D185" i="23"/>
  <c r="D186" i="23"/>
  <c r="E186" i="23" s="1"/>
  <c r="D187" i="23"/>
  <c r="E187" i="23" s="1"/>
  <c r="D188" i="23"/>
  <c r="D189" i="23"/>
  <c r="D190" i="23"/>
  <c r="D191" i="23"/>
  <c r="E191" i="23" s="1"/>
  <c r="D192" i="23"/>
  <c r="D193" i="23"/>
  <c r="D194" i="23"/>
  <c r="D195" i="23"/>
  <c r="D196" i="23"/>
  <c r="D197" i="23"/>
  <c r="D198" i="23"/>
  <c r="E198" i="23" s="1"/>
  <c r="D199" i="23"/>
  <c r="E199" i="23" s="1"/>
  <c r="D200" i="23"/>
  <c r="D201" i="23"/>
  <c r="D202" i="23"/>
  <c r="E202" i="23" s="1"/>
  <c r="D203" i="23"/>
  <c r="D204" i="23"/>
  <c r="D205" i="23"/>
  <c r="D206" i="23"/>
  <c r="D207" i="23"/>
  <c r="D208" i="23"/>
  <c r="D209" i="23"/>
  <c r="D210" i="23"/>
  <c r="E210" i="23" s="1"/>
  <c r="D211" i="23"/>
  <c r="D212" i="23"/>
  <c r="D213" i="23"/>
  <c r="E213" i="23" s="1"/>
  <c r="D214" i="23"/>
  <c r="D215" i="23"/>
  <c r="E215" i="23" s="1"/>
  <c r="D216" i="23"/>
  <c r="D217" i="23"/>
  <c r="D218" i="23"/>
  <c r="D219" i="23"/>
  <c r="E219" i="23" s="1"/>
  <c r="D220" i="23"/>
  <c r="D221" i="23"/>
  <c r="D222" i="23"/>
  <c r="D223" i="23"/>
  <c r="E223" i="23" s="1"/>
  <c r="D224" i="23"/>
  <c r="D225" i="23"/>
  <c r="D226" i="23"/>
  <c r="D227" i="23"/>
  <c r="D228" i="23"/>
  <c r="D229" i="23"/>
  <c r="E229" i="23" s="1"/>
  <c r="D230" i="23"/>
  <c r="D231" i="23"/>
  <c r="E231" i="23" s="1"/>
  <c r="D232" i="23"/>
  <c r="D233" i="23"/>
  <c r="D234" i="23"/>
  <c r="D235" i="23"/>
  <c r="D236" i="23"/>
  <c r="D237" i="23"/>
  <c r="D238" i="23"/>
  <c r="E238" i="23" s="1"/>
  <c r="D239" i="23"/>
  <c r="D240" i="23"/>
  <c r="D241" i="23"/>
  <c r="D242" i="23"/>
  <c r="E242" i="23" s="1"/>
  <c r="D243" i="23"/>
  <c r="D244" i="23"/>
  <c r="D245" i="23"/>
  <c r="D246" i="23"/>
  <c r="E246" i="23" s="1"/>
  <c r="D247" i="23"/>
  <c r="D248" i="23"/>
  <c r="D249" i="23"/>
  <c r="D250" i="23"/>
  <c r="D251" i="23"/>
  <c r="D252" i="23"/>
  <c r="D253" i="23"/>
  <c r="D254" i="23"/>
  <c r="E254" i="23" s="1"/>
  <c r="D255" i="23"/>
  <c r="E255" i="23" s="1"/>
  <c r="D256" i="23"/>
  <c r="D257" i="23"/>
  <c r="D258" i="23"/>
  <c r="D259" i="23"/>
  <c r="E259" i="23" s="1"/>
  <c r="D260" i="23"/>
  <c r="D261" i="23"/>
  <c r="E261" i="23"/>
  <c r="D262" i="23"/>
  <c r="D263" i="23"/>
  <c r="D264" i="23"/>
  <c r="D265" i="23"/>
  <c r="D266" i="23"/>
  <c r="E266" i="23" s="1"/>
  <c r="D267" i="23"/>
  <c r="D268" i="23"/>
  <c r="D269" i="23"/>
  <c r="E269" i="23" s="1"/>
  <c r="D270" i="23"/>
  <c r="D271" i="23"/>
  <c r="D272" i="23"/>
  <c r="D273" i="23"/>
  <c r="D274" i="23"/>
  <c r="D275" i="23"/>
  <c r="E275" i="23" s="1"/>
  <c r="D276" i="23"/>
  <c r="D277" i="23"/>
  <c r="D278" i="23"/>
  <c r="D279" i="23"/>
  <c r="E279" i="23" s="1"/>
  <c r="D280" i="23"/>
  <c r="D281" i="23"/>
  <c r="D282" i="23"/>
  <c r="D283" i="23"/>
  <c r="D284" i="23"/>
  <c r="D285" i="23"/>
  <c r="D286" i="23"/>
  <c r="D287" i="23"/>
  <c r="D288" i="23"/>
  <c r="D289" i="23"/>
  <c r="D290" i="23"/>
  <c r="D291" i="23"/>
  <c r="D292" i="23"/>
  <c r="D293" i="23"/>
  <c r="D294" i="23"/>
  <c r="D295" i="23"/>
  <c r="E295" i="23" s="1"/>
  <c r="D296" i="23"/>
  <c r="D297" i="23"/>
  <c r="D298" i="23"/>
  <c r="E298" i="23" s="1"/>
  <c r="D299" i="23"/>
  <c r="D300" i="23"/>
  <c r="D301" i="23"/>
  <c r="D302" i="23"/>
  <c r="E302" i="23" s="1"/>
  <c r="D303" i="23"/>
  <c r="D304" i="23"/>
  <c r="D305" i="23"/>
  <c r="D306" i="23"/>
  <c r="D307" i="23"/>
  <c r="D308" i="23"/>
  <c r="D309" i="23"/>
  <c r="D310" i="23"/>
  <c r="D311" i="23"/>
  <c r="D312" i="23"/>
  <c r="D313" i="23"/>
  <c r="D314" i="23"/>
  <c r="D315" i="23"/>
  <c r="D316" i="23"/>
  <c r="D317" i="23"/>
  <c r="E317" i="23" s="1"/>
  <c r="D318" i="23"/>
  <c r="D319" i="23"/>
  <c r="D320" i="23"/>
  <c r="C321" i="23"/>
  <c r="F321" i="23" s="1"/>
  <c r="E321" i="23"/>
  <c r="E327" i="23"/>
  <c r="D327" i="23"/>
  <c r="E326" i="23"/>
  <c r="D326" i="23"/>
  <c r="E325" i="23"/>
  <c r="D325" i="23"/>
  <c r="E324" i="23"/>
  <c r="D324" i="23"/>
  <c r="E323" i="23"/>
  <c r="D323" i="23"/>
  <c r="E322" i="23"/>
  <c r="D322" i="23"/>
  <c r="Q62" i="23"/>
  <c r="R62" i="23" s="1"/>
  <c r="P62" i="23"/>
  <c r="Q61" i="23"/>
  <c r="R61" i="23" s="1"/>
  <c r="P61" i="23"/>
  <c r="Q60" i="23"/>
  <c r="R60" i="23" s="1"/>
  <c r="P60" i="23"/>
  <c r="Q59" i="23"/>
  <c r="R59" i="23" s="1"/>
  <c r="P59" i="23"/>
  <c r="Q58" i="23"/>
  <c r="R58" i="23" s="1"/>
  <c r="P58" i="23"/>
  <c r="Q57" i="23"/>
  <c r="R57" i="23" s="1"/>
  <c r="P57" i="23"/>
  <c r="Q56" i="23"/>
  <c r="R56" i="23" s="1"/>
  <c r="P56" i="23"/>
  <c r="Q55" i="23"/>
  <c r="R55" i="23" s="1"/>
  <c r="P55" i="23"/>
  <c r="Q54" i="23"/>
  <c r="R54" i="23" s="1"/>
  <c r="P54" i="23"/>
  <c r="Q53" i="23"/>
  <c r="R53" i="23" s="1"/>
  <c r="P53" i="23"/>
  <c r="R52" i="23"/>
  <c r="Q52" i="23"/>
  <c r="P52" i="23"/>
  <c r="Q51" i="23"/>
  <c r="R51" i="23" s="1"/>
  <c r="P51" i="23"/>
  <c r="Q50" i="23"/>
  <c r="R50" i="23" s="1"/>
  <c r="P50" i="23"/>
  <c r="Q49" i="23"/>
  <c r="R49" i="23" s="1"/>
  <c r="P49" i="23"/>
  <c r="Q48" i="23"/>
  <c r="R48" i="23" s="1"/>
  <c r="P48" i="23"/>
  <c r="Q47" i="23"/>
  <c r="R47" i="23" s="1"/>
  <c r="P47" i="23"/>
  <c r="Q46" i="23"/>
  <c r="R46" i="23" s="1"/>
  <c r="P46" i="23"/>
  <c r="Q45" i="23"/>
  <c r="R45" i="23" s="1"/>
  <c r="P45" i="23"/>
  <c r="Q44" i="23"/>
  <c r="R44" i="23" s="1"/>
  <c r="P44" i="23"/>
  <c r="Q43" i="23"/>
  <c r="R43" i="23" s="1"/>
  <c r="P43" i="23"/>
  <c r="Q42" i="23"/>
  <c r="R42" i="23" s="1"/>
  <c r="P42" i="23"/>
  <c r="Q41" i="23"/>
  <c r="R41" i="23" s="1"/>
  <c r="P41" i="23"/>
  <c r="Q40" i="23"/>
  <c r="R40" i="23" s="1"/>
  <c r="P40" i="23"/>
  <c r="Q39" i="23"/>
  <c r="R39" i="23" s="1"/>
  <c r="P39" i="23"/>
  <c r="Q38" i="23"/>
  <c r="R38" i="23" s="1"/>
  <c r="P38" i="23"/>
  <c r="Q37" i="23"/>
  <c r="R37" i="23" s="1"/>
  <c r="P37" i="23"/>
  <c r="Q36" i="23"/>
  <c r="R36" i="23" s="1"/>
  <c r="P36" i="23"/>
  <c r="AJ35" i="23"/>
  <c r="Q35" i="23"/>
  <c r="R35" i="23" s="1"/>
  <c r="P35" i="23"/>
  <c r="AJ34" i="23"/>
  <c r="Q34" i="23"/>
  <c r="R34" i="23" s="1"/>
  <c r="P34" i="23"/>
  <c r="AJ33" i="23"/>
  <c r="Q33" i="23"/>
  <c r="R33" i="23" s="1"/>
  <c r="P33" i="23"/>
  <c r="AJ32" i="23"/>
  <c r="Q32" i="23"/>
  <c r="R32" i="23" s="1"/>
  <c r="P32" i="23"/>
  <c r="AJ31" i="23"/>
  <c r="Q31" i="23"/>
  <c r="R31" i="23" s="1"/>
  <c r="P31" i="23"/>
  <c r="AJ30" i="23"/>
  <c r="Q30" i="23"/>
  <c r="R30" i="23" s="1"/>
  <c r="P30" i="23"/>
  <c r="AJ29" i="23"/>
  <c r="Q29" i="23"/>
  <c r="R29" i="23" s="1"/>
  <c r="P29" i="23"/>
  <c r="AJ28" i="23"/>
  <c r="Q28" i="23"/>
  <c r="R28" i="23" s="1"/>
  <c r="P28" i="23"/>
  <c r="AJ27" i="23"/>
  <c r="Q27" i="23"/>
  <c r="R27" i="23" s="1"/>
  <c r="AJ26" i="23"/>
  <c r="Q26" i="23"/>
  <c r="AJ25" i="23"/>
  <c r="Q25" i="23"/>
  <c r="AJ24" i="23"/>
  <c r="Q24" i="23"/>
  <c r="D24" i="23"/>
  <c r="AJ23" i="23"/>
  <c r="Q23" i="23"/>
  <c r="D23" i="23"/>
  <c r="AJ22" i="23"/>
  <c r="Q22" i="23"/>
  <c r="P22" i="23"/>
  <c r="P23" i="23" s="1"/>
  <c r="P24" i="23" s="1"/>
  <c r="P25" i="23" s="1"/>
  <c r="P26" i="23" s="1"/>
  <c r="P27" i="23" s="1"/>
  <c r="D22" i="23"/>
  <c r="C22" i="23"/>
  <c r="I22" i="23" s="1"/>
  <c r="J22" i="23" s="1"/>
  <c r="AJ21" i="23"/>
  <c r="AJ20" i="23"/>
  <c r="AJ17" i="23"/>
  <c r="AJ16" i="23"/>
  <c r="AJ15" i="23"/>
  <c r="AK14" i="23"/>
  <c r="AK15" i="23" s="1"/>
  <c r="AK16" i="23" s="1"/>
  <c r="AK17" i="23" s="1"/>
  <c r="AJ14" i="23"/>
  <c r="AK13" i="23"/>
  <c r="AJ13" i="23"/>
  <c r="C8" i="23"/>
  <c r="C7" i="23"/>
  <c r="C6" i="23"/>
  <c r="C5" i="23"/>
  <c r="BN37" i="8"/>
  <c r="BO37" i="8"/>
  <c r="BP37" i="8"/>
  <c r="BQ37" i="8"/>
  <c r="BN38" i="8"/>
  <c r="BO38" i="8"/>
  <c r="BP38" i="8"/>
  <c r="BQ38" i="8"/>
  <c r="BQ39" i="8" s="1"/>
  <c r="BN39" i="8"/>
  <c r="BO39" i="8"/>
  <c r="I40" i="20"/>
  <c r="I41" i="20"/>
  <c r="I42" i="20"/>
  <c r="I43" i="20"/>
  <c r="I44" i="20"/>
  <c r="AO27" i="20"/>
  <c r="AO29" i="20" s="1"/>
  <c r="AP27" i="20"/>
  <c r="AP29" i="20" s="1"/>
  <c r="AQ27" i="20"/>
  <c r="AQ29" i="20" s="1"/>
  <c r="AO28" i="20"/>
  <c r="AP28" i="20"/>
  <c r="AQ28" i="20"/>
  <c r="I32" i="20"/>
  <c r="I33" i="20"/>
  <c r="I34" i="20"/>
  <c r="I35" i="20"/>
  <c r="I36" i="20"/>
  <c r="I37" i="20"/>
  <c r="I38" i="20"/>
  <c r="I39" i="20"/>
  <c r="BK37" i="8"/>
  <c r="BL37" i="8"/>
  <c r="BM37" i="8"/>
  <c r="BK38" i="8"/>
  <c r="BL38" i="8"/>
  <c r="BM38" i="8"/>
  <c r="AT84" i="8"/>
  <c r="AT62" i="8"/>
  <c r="AT63" i="8"/>
  <c r="AT64" i="8"/>
  <c r="AT65" i="8"/>
  <c r="AT66" i="8"/>
  <c r="AT67" i="8"/>
  <c r="AT68" i="8"/>
  <c r="AT69" i="8"/>
  <c r="AT70" i="8"/>
  <c r="AT71" i="8"/>
  <c r="AT72" i="8"/>
  <c r="AT73" i="8"/>
  <c r="AT74" i="8"/>
  <c r="AT75" i="8"/>
  <c r="AT76" i="8"/>
  <c r="AT77" i="8"/>
  <c r="AT78" i="8"/>
  <c r="AT79" i="8"/>
  <c r="AT80" i="8"/>
  <c r="AT81" i="8"/>
  <c r="AT82" i="8"/>
  <c r="AT83" i="8"/>
  <c r="AT61" i="8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I27" i="20"/>
  <c r="AJ27" i="20"/>
  <c r="AK27" i="20"/>
  <c r="AL27" i="20"/>
  <c r="AM27" i="20"/>
  <c r="AN27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AI28" i="20"/>
  <c r="AJ28" i="20"/>
  <c r="AK28" i="20"/>
  <c r="AL28" i="20"/>
  <c r="AM28" i="20"/>
  <c r="AN28" i="20"/>
  <c r="M27" i="20"/>
  <c r="M28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H38" i="8"/>
  <c r="BI38" i="8"/>
  <c r="BJ38" i="8"/>
  <c r="BI37" i="8"/>
  <c r="BJ37" i="8"/>
  <c r="N270" i="17"/>
  <c r="N271" i="17"/>
  <c r="N272" i="17"/>
  <c r="N273" i="17"/>
  <c r="N274" i="17"/>
  <c r="N275" i="17"/>
  <c r="N276" i="17"/>
  <c r="N277" i="17"/>
  <c r="N278" i="17"/>
  <c r="N279" i="17"/>
  <c r="N280" i="17"/>
  <c r="N281" i="17"/>
  <c r="N282" i="17"/>
  <c r="N283" i="17"/>
  <c r="N284" i="17"/>
  <c r="N285" i="17"/>
  <c r="N286" i="17"/>
  <c r="N287" i="17"/>
  <c r="N288" i="17"/>
  <c r="N289" i="17"/>
  <c r="N290" i="17"/>
  <c r="N291" i="17"/>
  <c r="N292" i="17"/>
  <c r="N293" i="17"/>
  <c r="N294" i="17"/>
  <c r="N295" i="17"/>
  <c r="N296" i="17"/>
  <c r="N297" i="17"/>
  <c r="N298" i="17"/>
  <c r="N299" i="17"/>
  <c r="N300" i="17"/>
  <c r="N301" i="17"/>
  <c r="N302" i="17"/>
  <c r="N303" i="17"/>
  <c r="N304" i="17"/>
  <c r="N305" i="17"/>
  <c r="N306" i="17"/>
  <c r="N307" i="17"/>
  <c r="N308" i="17"/>
  <c r="N309" i="17"/>
  <c r="N310" i="17"/>
  <c r="N311" i="17"/>
  <c r="N312" i="17"/>
  <c r="N313" i="17"/>
  <c r="N314" i="17"/>
  <c r="N315" i="17"/>
  <c r="N316" i="17"/>
  <c r="N317" i="17"/>
  <c r="N318" i="17"/>
  <c r="N319" i="17"/>
  <c r="N320" i="17"/>
  <c r="N321" i="17"/>
  <c r="N322" i="17"/>
  <c r="N323" i="17"/>
  <c r="N324" i="17"/>
  <c r="N325" i="17"/>
  <c r="N326" i="17"/>
  <c r="C8" i="17"/>
  <c r="C7" i="17"/>
  <c r="C6" i="17"/>
  <c r="C5" i="17"/>
  <c r="L8" i="17"/>
  <c r="L7" i="17"/>
  <c r="L6" i="17"/>
  <c r="L5" i="17"/>
  <c r="D22" i="17"/>
  <c r="N243" i="17"/>
  <c r="N244" i="17"/>
  <c r="N245" i="17"/>
  <c r="N246" i="17"/>
  <c r="N247" i="17"/>
  <c r="N248" i="17"/>
  <c r="N249" i="17"/>
  <c r="N250" i="17"/>
  <c r="N251" i="17"/>
  <c r="N252" i="17"/>
  <c r="N253" i="17"/>
  <c r="N254" i="17"/>
  <c r="N255" i="17"/>
  <c r="N256" i="17"/>
  <c r="N257" i="17"/>
  <c r="N258" i="17"/>
  <c r="N259" i="17"/>
  <c r="N260" i="17"/>
  <c r="N261" i="17"/>
  <c r="N262" i="17"/>
  <c r="N263" i="17"/>
  <c r="N264" i="17"/>
  <c r="N265" i="17"/>
  <c r="N266" i="17"/>
  <c r="N267" i="17"/>
  <c r="N268" i="17"/>
  <c r="N269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E255" i="17"/>
  <c r="E256" i="17"/>
  <c r="E257" i="17"/>
  <c r="E258" i="17"/>
  <c r="E259" i="17"/>
  <c r="E260" i="17"/>
  <c r="F260" i="17" s="1"/>
  <c r="E261" i="17"/>
  <c r="E262" i="17"/>
  <c r="E263" i="17"/>
  <c r="E264" i="17"/>
  <c r="E265" i="17"/>
  <c r="E266" i="17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E281" i="17"/>
  <c r="E282" i="17"/>
  <c r="E283" i="17"/>
  <c r="F283" i="17" s="1"/>
  <c r="E284" i="17"/>
  <c r="F284" i="17" s="1"/>
  <c r="F285" i="17" s="1"/>
  <c r="E285" i="17"/>
  <c r="E286" i="17"/>
  <c r="F286" i="17" s="1"/>
  <c r="E287" i="17"/>
  <c r="F287" i="17"/>
  <c r="E288" i="17"/>
  <c r="F288" i="17" s="1"/>
  <c r="F289" i="17" s="1"/>
  <c r="E289" i="17"/>
  <c r="E290" i="17"/>
  <c r="E291" i="17"/>
  <c r="E292" i="17"/>
  <c r="F292" i="17" s="1"/>
  <c r="E293" i="17"/>
  <c r="E294" i="17"/>
  <c r="F294" i="17" s="1"/>
  <c r="E295" i="17"/>
  <c r="F295" i="17"/>
  <c r="E296" i="17"/>
  <c r="F296" i="17" s="1"/>
  <c r="E297" i="17"/>
  <c r="F297" i="17"/>
  <c r="E298" i="17"/>
  <c r="F298" i="17" s="1"/>
  <c r="E299" i="17"/>
  <c r="F299" i="17"/>
  <c r="BG37" i="8"/>
  <c r="N202" i="17"/>
  <c r="N203" i="17"/>
  <c r="N204" i="17"/>
  <c r="N205" i="17"/>
  <c r="N206" i="17"/>
  <c r="N207" i="17"/>
  <c r="N208" i="17"/>
  <c r="N209" i="17"/>
  <c r="N210" i="17"/>
  <c r="N211" i="17"/>
  <c r="N212" i="17"/>
  <c r="N213" i="17"/>
  <c r="N214" i="17"/>
  <c r="N215" i="17"/>
  <c r="N216" i="17"/>
  <c r="N217" i="17"/>
  <c r="N218" i="17"/>
  <c r="N219" i="17"/>
  <c r="N220" i="17"/>
  <c r="N221" i="17"/>
  <c r="N222" i="17"/>
  <c r="N223" i="17"/>
  <c r="N224" i="17"/>
  <c r="N225" i="17"/>
  <c r="N226" i="17"/>
  <c r="N227" i="17"/>
  <c r="N228" i="17"/>
  <c r="N229" i="17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BD37" i="8"/>
  <c r="BE37" i="8"/>
  <c r="BF37" i="8"/>
  <c r="BH37" i="8"/>
  <c r="BD38" i="8"/>
  <c r="BE38" i="8"/>
  <c r="BF38" i="8"/>
  <c r="BG38" i="8"/>
  <c r="BA37" i="8"/>
  <c r="BB37" i="8"/>
  <c r="BC37" i="8"/>
  <c r="BA38" i="8"/>
  <c r="BB38" i="8"/>
  <c r="BC38" i="8"/>
  <c r="N201" i="17"/>
  <c r="N200" i="17"/>
  <c r="N199" i="17"/>
  <c r="N198" i="17"/>
  <c r="N197" i="17"/>
  <c r="N196" i="17"/>
  <c r="N195" i="17"/>
  <c r="N194" i="17"/>
  <c r="N193" i="17"/>
  <c r="N192" i="17"/>
  <c r="N191" i="17"/>
  <c r="N190" i="17"/>
  <c r="N189" i="17"/>
  <c r="N188" i="17"/>
  <c r="N187" i="17"/>
  <c r="N186" i="17"/>
  <c r="N185" i="17"/>
  <c r="N184" i="17"/>
  <c r="N183" i="17"/>
  <c r="N182" i="17"/>
  <c r="N181" i="17"/>
  <c r="N180" i="17"/>
  <c r="N179" i="17"/>
  <c r="N178" i="17"/>
  <c r="N177" i="17"/>
  <c r="N176" i="17"/>
  <c r="N175" i="17"/>
  <c r="N174" i="17"/>
  <c r="N173" i="17"/>
  <c r="N172" i="17"/>
  <c r="N171" i="17"/>
  <c r="N170" i="17"/>
  <c r="N169" i="17"/>
  <c r="N168" i="17"/>
  <c r="N167" i="17"/>
  <c r="N166" i="17"/>
  <c r="N165" i="17"/>
  <c r="N164" i="17"/>
  <c r="N163" i="17"/>
  <c r="N162" i="17"/>
  <c r="N161" i="17"/>
  <c r="N160" i="17"/>
  <c r="N159" i="17"/>
  <c r="N158" i="17"/>
  <c r="N157" i="17"/>
  <c r="N156" i="17"/>
  <c r="N155" i="17"/>
  <c r="N154" i="17"/>
  <c r="N153" i="17"/>
  <c r="N152" i="17"/>
  <c r="N151" i="17"/>
  <c r="N150" i="17"/>
  <c r="N149" i="17"/>
  <c r="N148" i="17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O103" i="17" s="1"/>
  <c r="N102" i="17"/>
  <c r="N101" i="17"/>
  <c r="N100" i="17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6" i="17"/>
  <c r="N55" i="17"/>
  <c r="N54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M201" i="17" s="1"/>
  <c r="M202" i="17" s="1"/>
  <c r="M203" i="17" s="1"/>
  <c r="M204" i="17" s="1"/>
  <c r="M205" i="17" s="1"/>
  <c r="M206" i="17" s="1"/>
  <c r="M207" i="17" s="1"/>
  <c r="M208" i="17" s="1"/>
  <c r="M209" i="17" s="1"/>
  <c r="M210" i="17" s="1"/>
  <c r="M211" i="17" s="1"/>
  <c r="M212" i="17" s="1"/>
  <c r="M213" i="17" s="1"/>
  <c r="M214" i="17" s="1"/>
  <c r="M215" i="17" s="1"/>
  <c r="M216" i="17" s="1"/>
  <c r="M217" i="17" s="1"/>
  <c r="M218" i="17" s="1"/>
  <c r="M219" i="17" s="1"/>
  <c r="M220" i="17" s="1"/>
  <c r="M221" i="17" s="1"/>
  <c r="M222" i="17" s="1"/>
  <c r="M223" i="17" s="1"/>
  <c r="M224" i="17" s="1"/>
  <c r="M225" i="17" s="1"/>
  <c r="M226" i="17" s="1"/>
  <c r="M227" i="17" s="1"/>
  <c r="M228" i="17" s="1"/>
  <c r="M229" i="17" s="1"/>
  <c r="M230" i="17" s="1"/>
  <c r="M231" i="17" s="1"/>
  <c r="M232" i="17" s="1"/>
  <c r="M233" i="17" s="1"/>
  <c r="M234" i="17" s="1"/>
  <c r="M235" i="17" s="1"/>
  <c r="M236" i="17" s="1"/>
  <c r="M237" i="17" s="1"/>
  <c r="M238" i="17" s="1"/>
  <c r="M239" i="17" s="1"/>
  <c r="M240" i="17" s="1"/>
  <c r="M241" i="17" s="1"/>
  <c r="M242" i="17" s="1"/>
  <c r="M243" i="17" s="1"/>
  <c r="M244" i="17" s="1"/>
  <c r="M245" i="17" s="1"/>
  <c r="M246" i="17" s="1"/>
  <c r="M247" i="17" s="1"/>
  <c r="M248" i="17" s="1"/>
  <c r="M249" i="17" s="1"/>
  <c r="M250" i="17" s="1"/>
  <c r="M251" i="17" s="1"/>
  <c r="M252" i="17" s="1"/>
  <c r="M253" i="17" s="1"/>
  <c r="M254" i="17" s="1"/>
  <c r="M255" i="17" s="1"/>
  <c r="M256" i="17" s="1"/>
  <c r="M257" i="17" s="1"/>
  <c r="M258" i="17" s="1"/>
  <c r="M259" i="17" s="1"/>
  <c r="M260" i="17" s="1"/>
  <c r="M261" i="17" s="1"/>
  <c r="M262" i="17" s="1"/>
  <c r="M263" i="17" s="1"/>
  <c r="M264" i="17" s="1"/>
  <c r="M265" i="17" s="1"/>
  <c r="M266" i="17" s="1"/>
  <c r="M267" i="17" s="1"/>
  <c r="M268" i="17" s="1"/>
  <c r="M269" i="17" s="1"/>
  <c r="M270" i="17" s="1"/>
  <c r="M271" i="17" s="1"/>
  <c r="M272" i="17" s="1"/>
  <c r="M273" i="17" s="1"/>
  <c r="M274" i="17" s="1"/>
  <c r="M275" i="17" s="1"/>
  <c r="M276" i="17" s="1"/>
  <c r="M277" i="17" s="1"/>
  <c r="M278" i="17" s="1"/>
  <c r="M279" i="17" s="1"/>
  <c r="M280" i="17" s="1"/>
  <c r="M281" i="17" s="1"/>
  <c r="M282" i="17" s="1"/>
  <c r="M283" i="17" s="1"/>
  <c r="M284" i="17" s="1"/>
  <c r="M285" i="17" s="1"/>
  <c r="M286" i="17" s="1"/>
  <c r="M287" i="17" s="1"/>
  <c r="M288" i="17" s="1"/>
  <c r="M289" i="17" s="1"/>
  <c r="M290" i="17" s="1"/>
  <c r="M291" i="17" s="1"/>
  <c r="M292" i="17" s="1"/>
  <c r="M293" i="17" s="1"/>
  <c r="M294" i="17" s="1"/>
  <c r="M295" i="17" s="1"/>
  <c r="M296" i="17" s="1"/>
  <c r="M297" i="17" s="1"/>
  <c r="M298" i="17" s="1"/>
  <c r="M299" i="17" s="1"/>
  <c r="M300" i="17" s="1"/>
  <c r="M301" i="17" s="1"/>
  <c r="M302" i="17" s="1"/>
  <c r="M303" i="17" s="1"/>
  <c r="M304" i="17" s="1"/>
  <c r="M305" i="17" s="1"/>
  <c r="M306" i="17" s="1"/>
  <c r="M307" i="17" s="1"/>
  <c r="M308" i="17" s="1"/>
  <c r="M309" i="17" s="1"/>
  <c r="M310" i="17" s="1"/>
  <c r="M311" i="17" s="1"/>
  <c r="M312" i="17" s="1"/>
  <c r="M313" i="17" s="1"/>
  <c r="M314" i="17" s="1"/>
  <c r="M315" i="17" s="1"/>
  <c r="M316" i="17" s="1"/>
  <c r="M317" i="17" s="1"/>
  <c r="M318" i="17" s="1"/>
  <c r="M319" i="17" s="1"/>
  <c r="M320" i="17" s="1"/>
  <c r="M321" i="17" s="1"/>
  <c r="M322" i="17" s="1"/>
  <c r="M323" i="17" s="1"/>
  <c r="M324" i="17" s="1"/>
  <c r="M325" i="17" s="1"/>
  <c r="M326" i="17" s="1"/>
  <c r="E198" i="17"/>
  <c r="E197" i="17"/>
  <c r="E196" i="17"/>
  <c r="E195" i="17"/>
  <c r="E194" i="17"/>
  <c r="E193" i="17"/>
  <c r="E192" i="17"/>
  <c r="E191" i="17"/>
  <c r="E190" i="17"/>
  <c r="E189" i="17"/>
  <c r="E188" i="17"/>
  <c r="E187" i="17"/>
  <c r="E186" i="17"/>
  <c r="E185" i="17"/>
  <c r="E184" i="17"/>
  <c r="E183" i="17"/>
  <c r="E182" i="17"/>
  <c r="E181" i="17"/>
  <c r="E180" i="17"/>
  <c r="E179" i="17"/>
  <c r="E178" i="17"/>
  <c r="E177" i="17"/>
  <c r="E176" i="17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F103" i="17" s="1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AZ37" i="8"/>
  <c r="AZ38" i="8"/>
  <c r="AY37" i="8"/>
  <c r="AY38" i="8"/>
  <c r="AV37" i="8"/>
  <c r="AW37" i="8"/>
  <c r="AX37" i="8"/>
  <c r="AV38" i="8"/>
  <c r="AW38" i="8"/>
  <c r="AX38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I38" i="8"/>
  <c r="AI37" i="8"/>
  <c r="O4" i="3"/>
  <c r="O3" i="3"/>
  <c r="S3" i="2" s="1"/>
  <c r="O2" i="3"/>
  <c r="S2" i="2" s="1"/>
  <c r="E52" i="23" l="1"/>
  <c r="E53" i="23" s="1"/>
  <c r="E68" i="24"/>
  <c r="E72" i="24"/>
  <c r="E73" i="24" s="1"/>
  <c r="E74" i="24" s="1"/>
  <c r="E65" i="24"/>
  <c r="E69" i="24"/>
  <c r="E70" i="24" s="1"/>
  <c r="E76" i="24"/>
  <c r="E77" i="24" s="1"/>
  <c r="E58" i="24"/>
  <c r="R23" i="24"/>
  <c r="E61" i="24"/>
  <c r="E59" i="24"/>
  <c r="Q195" i="3"/>
  <c r="R195" i="3"/>
  <c r="S195" i="3"/>
  <c r="S179" i="3"/>
  <c r="Q179" i="3"/>
  <c r="R179" i="3"/>
  <c r="Q199" i="3"/>
  <c r="R199" i="3"/>
  <c r="S199" i="3"/>
  <c r="Q191" i="3"/>
  <c r="R191" i="3"/>
  <c r="S191" i="3"/>
  <c r="Q183" i="3"/>
  <c r="R183" i="3"/>
  <c r="S183" i="3"/>
  <c r="Q175" i="3"/>
  <c r="R175" i="3"/>
  <c r="V89" i="2" s="1"/>
  <c r="T89" i="2"/>
  <c r="U89" i="2" s="1"/>
  <c r="S175" i="3"/>
  <c r="W89" i="2" s="1"/>
  <c r="R165" i="3"/>
  <c r="Q165" i="3"/>
  <c r="S165" i="3"/>
  <c r="Q159" i="3"/>
  <c r="R159" i="3"/>
  <c r="S159" i="3"/>
  <c r="S171" i="3"/>
  <c r="Q171" i="3"/>
  <c r="R171" i="3"/>
  <c r="Q155" i="3"/>
  <c r="R155" i="3"/>
  <c r="S155" i="3"/>
  <c r="S139" i="3"/>
  <c r="Q139" i="3"/>
  <c r="R139" i="3"/>
  <c r="Q135" i="3"/>
  <c r="T69" i="2"/>
  <c r="U69" i="2" s="1"/>
  <c r="R135" i="3"/>
  <c r="V69" i="2" s="1"/>
  <c r="S135" i="3"/>
  <c r="W69" i="2" s="1"/>
  <c r="Q143" i="3"/>
  <c r="R143" i="3"/>
  <c r="S143" i="3"/>
  <c r="R197" i="3"/>
  <c r="S197" i="3"/>
  <c r="Q197" i="3"/>
  <c r="R189" i="3"/>
  <c r="S189" i="3"/>
  <c r="Q189" i="3"/>
  <c r="R181" i="3"/>
  <c r="S181" i="3"/>
  <c r="Q181" i="3"/>
  <c r="R173" i="3"/>
  <c r="V88" i="2" s="1"/>
  <c r="S173" i="3"/>
  <c r="W88" i="2" s="1"/>
  <c r="Q173" i="3"/>
  <c r="T88" i="2"/>
  <c r="U88" i="2" s="1"/>
  <c r="Q167" i="3"/>
  <c r="T85" i="2"/>
  <c r="U85" i="2" s="1"/>
  <c r="R167" i="3"/>
  <c r="V85" i="2" s="1"/>
  <c r="S167" i="3"/>
  <c r="W85" i="2" s="1"/>
  <c r="R157" i="3"/>
  <c r="Q157" i="3"/>
  <c r="S157" i="3"/>
  <c r="Q151" i="3"/>
  <c r="R151" i="3"/>
  <c r="S151" i="3"/>
  <c r="R141" i="3"/>
  <c r="V72" i="2" s="1"/>
  <c r="S141" i="3"/>
  <c r="W72" i="2" s="1"/>
  <c r="Q141" i="3"/>
  <c r="T72" i="2"/>
  <c r="U72" i="2" s="1"/>
  <c r="Q134" i="3"/>
  <c r="R134" i="3"/>
  <c r="S134" i="3"/>
  <c r="Q196" i="3"/>
  <c r="R196" i="3"/>
  <c r="V99" i="2" s="1"/>
  <c r="S196" i="3"/>
  <c r="W99" i="2" s="1"/>
  <c r="T99" i="2"/>
  <c r="U99" i="2" s="1"/>
  <c r="Q188" i="3"/>
  <c r="R188" i="3"/>
  <c r="V95" i="2" s="1"/>
  <c r="S188" i="3"/>
  <c r="W95" i="2" s="1"/>
  <c r="T95" i="2"/>
  <c r="U95" i="2" s="1"/>
  <c r="Q180" i="3"/>
  <c r="T91" i="2"/>
  <c r="U91" i="2" s="1"/>
  <c r="R180" i="3"/>
  <c r="V91" i="2" s="1"/>
  <c r="S180" i="3"/>
  <c r="W91" i="2" s="1"/>
  <c r="R133" i="3"/>
  <c r="V68" i="2" s="1"/>
  <c r="S133" i="3"/>
  <c r="W68" i="2" s="1"/>
  <c r="T68" i="2"/>
  <c r="U68" i="2" s="1"/>
  <c r="Q133" i="3"/>
  <c r="S187" i="3"/>
  <c r="Q187" i="3"/>
  <c r="R187" i="3"/>
  <c r="S163" i="3"/>
  <c r="W83" i="2" s="1"/>
  <c r="T83" i="2"/>
  <c r="U83" i="2" s="1"/>
  <c r="Q163" i="3"/>
  <c r="R163" i="3"/>
  <c r="V83" i="2" s="1"/>
  <c r="Q147" i="3"/>
  <c r="R147" i="3"/>
  <c r="S147" i="3"/>
  <c r="T67" i="2"/>
  <c r="U67" i="2" s="1"/>
  <c r="Q132" i="3"/>
  <c r="R132" i="3"/>
  <c r="V67" i="2" s="1"/>
  <c r="S132" i="3"/>
  <c r="W67" i="2" s="1"/>
  <c r="S198" i="3"/>
  <c r="W100" i="2" s="1"/>
  <c r="Q192" i="3"/>
  <c r="S190" i="3"/>
  <c r="W96" i="2" s="1"/>
  <c r="Q184" i="3"/>
  <c r="S182" i="3"/>
  <c r="W92" i="2" s="1"/>
  <c r="Q176" i="3"/>
  <c r="S174" i="3"/>
  <c r="Q168" i="3"/>
  <c r="S166" i="3"/>
  <c r="W84" i="2" s="1"/>
  <c r="Q160" i="3"/>
  <c r="S158" i="3"/>
  <c r="W80" i="2" s="1"/>
  <c r="Q152" i="3"/>
  <c r="S150" i="3"/>
  <c r="P149" i="3"/>
  <c r="Q144" i="3"/>
  <c r="S142" i="3"/>
  <c r="Q136" i="3"/>
  <c r="T86" i="2"/>
  <c r="U86" i="2" s="1"/>
  <c r="R137" i="3"/>
  <c r="V70" i="2" s="1"/>
  <c r="S194" i="3"/>
  <c r="W98" i="2" s="1"/>
  <c r="S186" i="3"/>
  <c r="W94" i="2" s="1"/>
  <c r="S178" i="3"/>
  <c r="S170" i="3"/>
  <c r="W86" i="2" s="1"/>
  <c r="S162" i="3"/>
  <c r="S154" i="3"/>
  <c r="S146" i="3"/>
  <c r="W74" i="2" s="1"/>
  <c r="S138" i="3"/>
  <c r="T98" i="2"/>
  <c r="U98" i="2" s="1"/>
  <c r="S89" i="2"/>
  <c r="T74" i="2"/>
  <c r="U74" i="2" s="1"/>
  <c r="R194" i="3"/>
  <c r="V98" i="2" s="1"/>
  <c r="R186" i="3"/>
  <c r="V94" i="2" s="1"/>
  <c r="R178" i="3"/>
  <c r="R170" i="3"/>
  <c r="V86" i="2" s="1"/>
  <c r="R162" i="3"/>
  <c r="R154" i="3"/>
  <c r="R146" i="3"/>
  <c r="V74" i="2" s="1"/>
  <c r="R138" i="3"/>
  <c r="T94" i="2"/>
  <c r="U94" i="2" s="1"/>
  <c r="S85" i="2"/>
  <c r="S69" i="2"/>
  <c r="R117" i="3"/>
  <c r="Q117" i="3"/>
  <c r="Q131" i="3"/>
  <c r="S131" i="3"/>
  <c r="R124" i="3"/>
  <c r="V63" i="2" s="1"/>
  <c r="Q124" i="3"/>
  <c r="S124" i="3"/>
  <c r="W63" i="2" s="1"/>
  <c r="T63" i="2"/>
  <c r="U63" i="2" s="1"/>
  <c r="Q123" i="3"/>
  <c r="S123" i="3"/>
  <c r="Q129" i="3"/>
  <c r="R129" i="3"/>
  <c r="V66" i="2" s="1"/>
  <c r="T66" i="2"/>
  <c r="U66" i="2" s="1"/>
  <c r="Q121" i="3"/>
  <c r="R121" i="3"/>
  <c r="Q113" i="3"/>
  <c r="R113" i="3"/>
  <c r="V58" i="2" s="1"/>
  <c r="T58" i="2"/>
  <c r="U58" i="2" s="1"/>
  <c r="S40" i="2"/>
  <c r="S24" i="2"/>
  <c r="Q125" i="3"/>
  <c r="Q109" i="3"/>
  <c r="S63" i="2"/>
  <c r="S58" i="2"/>
  <c r="S66" i="2"/>
  <c r="S61" i="2"/>
  <c r="S16" i="2"/>
  <c r="P74" i="3"/>
  <c r="R74" i="3" s="1"/>
  <c r="V38" i="2" s="1"/>
  <c r="S65" i="2"/>
  <c r="S56" i="2"/>
  <c r="P58" i="3"/>
  <c r="R58" i="3" s="1"/>
  <c r="V30" i="2" s="1"/>
  <c r="P102" i="3"/>
  <c r="Q102" i="3" s="1"/>
  <c r="E57" i="24"/>
  <c r="E60" i="24"/>
  <c r="S128" i="3"/>
  <c r="Q128" i="3"/>
  <c r="R128" i="3"/>
  <c r="T60" i="2"/>
  <c r="U60" i="2" s="1"/>
  <c r="S116" i="3"/>
  <c r="W60" i="2" s="1"/>
  <c r="Q116" i="3"/>
  <c r="R116" i="3"/>
  <c r="V60" i="2" s="1"/>
  <c r="S112" i="3"/>
  <c r="R112" i="3"/>
  <c r="Q112" i="3"/>
  <c r="T65" i="2"/>
  <c r="U65" i="2" s="1"/>
  <c r="Q127" i="3"/>
  <c r="R127" i="3"/>
  <c r="V65" i="2" s="1"/>
  <c r="S127" i="3"/>
  <c r="W65" i="2" s="1"/>
  <c r="T57" i="2"/>
  <c r="U57" i="2" s="1"/>
  <c r="Q111" i="3"/>
  <c r="R111" i="3"/>
  <c r="V57" i="2" s="1"/>
  <c r="S111" i="3"/>
  <c r="W57" i="2" s="1"/>
  <c r="S120" i="3"/>
  <c r="W61" i="2" s="1"/>
  <c r="T61" i="2"/>
  <c r="U61" i="2" s="1"/>
  <c r="Q120" i="3"/>
  <c r="R120" i="3"/>
  <c r="V61" i="2" s="1"/>
  <c r="Q119" i="3"/>
  <c r="R119" i="3"/>
  <c r="S119" i="3"/>
  <c r="Q110" i="3"/>
  <c r="T56" i="2"/>
  <c r="U56" i="2" s="1"/>
  <c r="R110" i="3"/>
  <c r="V56" i="2" s="1"/>
  <c r="S110" i="3"/>
  <c r="W56" i="2" s="1"/>
  <c r="Q118" i="3"/>
  <c r="R118" i="3"/>
  <c r="S118" i="3"/>
  <c r="Q126" i="3"/>
  <c r="R126" i="3"/>
  <c r="S126" i="3"/>
  <c r="Q108" i="3"/>
  <c r="R108" i="3"/>
  <c r="V55" i="2" s="1"/>
  <c r="S108" i="3"/>
  <c r="W55" i="2" s="1"/>
  <c r="T55" i="2"/>
  <c r="U55" i="2" s="1"/>
  <c r="R131" i="3"/>
  <c r="R123" i="3"/>
  <c r="R115" i="3"/>
  <c r="S115" i="3"/>
  <c r="S129" i="3"/>
  <c r="W66" i="2" s="1"/>
  <c r="S121" i="3"/>
  <c r="S113" i="3"/>
  <c r="W58" i="2" s="1"/>
  <c r="T62" i="2"/>
  <c r="U62" i="2" s="1"/>
  <c r="T59" i="2"/>
  <c r="U59" i="2" s="1"/>
  <c r="S130" i="3"/>
  <c r="S122" i="3"/>
  <c r="W62" i="2" s="1"/>
  <c r="S114" i="3"/>
  <c r="W59" i="2" s="1"/>
  <c r="R130" i="3"/>
  <c r="S125" i="3"/>
  <c r="W64" i="2" s="1"/>
  <c r="R122" i="3"/>
  <c r="V62" i="2" s="1"/>
  <c r="S117" i="3"/>
  <c r="R114" i="3"/>
  <c r="V59" i="2" s="1"/>
  <c r="S109" i="3"/>
  <c r="S85" i="3"/>
  <c r="R85" i="3"/>
  <c r="Q93" i="3"/>
  <c r="R93" i="3"/>
  <c r="Q96" i="3"/>
  <c r="T49" i="2"/>
  <c r="U49" i="2" s="1"/>
  <c r="R96" i="3"/>
  <c r="V49" i="2" s="1"/>
  <c r="S96" i="3"/>
  <c r="W49" i="2" s="1"/>
  <c r="Q80" i="3"/>
  <c r="R80" i="3"/>
  <c r="S80" i="3"/>
  <c r="R72" i="3"/>
  <c r="Q72" i="3"/>
  <c r="R78" i="3"/>
  <c r="V40" i="2" s="1"/>
  <c r="T40" i="2"/>
  <c r="U40" i="2" s="1"/>
  <c r="Q74" i="3"/>
  <c r="P62" i="3"/>
  <c r="T48" i="2"/>
  <c r="U48" i="2" s="1"/>
  <c r="S45" i="2"/>
  <c r="S29" i="2"/>
  <c r="T24" i="2"/>
  <c r="U24" i="2" s="1"/>
  <c r="S21" i="2"/>
  <c r="S13" i="2"/>
  <c r="T8" i="2"/>
  <c r="U8" i="2" s="1"/>
  <c r="S5" i="2"/>
  <c r="S43" i="2"/>
  <c r="T38" i="2"/>
  <c r="U38" i="2" s="1"/>
  <c r="S35" i="2"/>
  <c r="T30" i="2"/>
  <c r="U30" i="2" s="1"/>
  <c r="S11" i="2"/>
  <c r="R104" i="3"/>
  <c r="V53" i="2" s="1"/>
  <c r="Q104" i="3"/>
  <c r="R101" i="3"/>
  <c r="S46" i="2"/>
  <c r="S22" i="2"/>
  <c r="S14" i="2"/>
  <c r="T9" i="2"/>
  <c r="U9" i="2" s="1"/>
  <c r="S6" i="2"/>
  <c r="S49" i="2"/>
  <c r="S41" i="2"/>
  <c r="S33" i="2"/>
  <c r="S25" i="2"/>
  <c r="S17" i="2"/>
  <c r="T12" i="2"/>
  <c r="U12" i="2" s="1"/>
  <c r="S9" i="2"/>
  <c r="Q58" i="3"/>
  <c r="S44" i="2"/>
  <c r="S36" i="2"/>
  <c r="S28" i="2"/>
  <c r="S20" i="2"/>
  <c r="S12" i="2"/>
  <c r="S4" i="2"/>
  <c r="S47" i="2"/>
  <c r="S39" i="2"/>
  <c r="S23" i="2"/>
  <c r="S15" i="2"/>
  <c r="S7" i="2"/>
  <c r="S50" i="2"/>
  <c r="S18" i="2"/>
  <c r="S10" i="2"/>
  <c r="E47" i="24"/>
  <c r="E48" i="24" s="1"/>
  <c r="E54" i="24"/>
  <c r="I3" i="8"/>
  <c r="E46" i="24"/>
  <c r="E55" i="24"/>
  <c r="E56" i="24" s="1"/>
  <c r="E28" i="24"/>
  <c r="E29" i="24" s="1"/>
  <c r="E50" i="24"/>
  <c r="E45" i="24"/>
  <c r="E51" i="24"/>
  <c r="E52" i="24" s="1"/>
  <c r="E53" i="24" s="1"/>
  <c r="Q105" i="3"/>
  <c r="R105" i="3"/>
  <c r="S105" i="3"/>
  <c r="S98" i="3"/>
  <c r="W50" i="2" s="1"/>
  <c r="Q98" i="3"/>
  <c r="R98" i="3"/>
  <c r="V50" i="2" s="1"/>
  <c r="Q91" i="3"/>
  <c r="R91" i="3"/>
  <c r="S91" i="3"/>
  <c r="Q97" i="3"/>
  <c r="R97" i="3"/>
  <c r="S97" i="3"/>
  <c r="S90" i="3"/>
  <c r="W46" i="2" s="1"/>
  <c r="Q90" i="3"/>
  <c r="R90" i="3"/>
  <c r="V46" i="2" s="1"/>
  <c r="Q92" i="3"/>
  <c r="R92" i="3"/>
  <c r="V47" i="2" s="1"/>
  <c r="S92" i="3"/>
  <c r="W47" i="2" s="1"/>
  <c r="Q89" i="3"/>
  <c r="R89" i="3"/>
  <c r="S89" i="3"/>
  <c r="Q88" i="3"/>
  <c r="S88" i="3"/>
  <c r="W45" i="2" s="1"/>
  <c r="R88" i="3"/>
  <c r="V45" i="2" s="1"/>
  <c r="Q99" i="3"/>
  <c r="R99" i="3"/>
  <c r="S99" i="3"/>
  <c r="Q107" i="3"/>
  <c r="R107" i="3"/>
  <c r="S107" i="3"/>
  <c r="Q86" i="3"/>
  <c r="R86" i="3"/>
  <c r="V44" i="2" s="1"/>
  <c r="S86" i="3"/>
  <c r="W44" i="2" s="1"/>
  <c r="Q103" i="3"/>
  <c r="S101" i="3"/>
  <c r="P100" i="3"/>
  <c r="T51" i="2" s="1"/>
  <c r="U51" i="2" s="1"/>
  <c r="Q95" i="3"/>
  <c r="S93" i="3"/>
  <c r="Q87" i="3"/>
  <c r="P106" i="3"/>
  <c r="T54" i="2" s="1"/>
  <c r="U54" i="2" s="1"/>
  <c r="R94" i="3"/>
  <c r="V48" i="2" s="1"/>
  <c r="S103" i="3"/>
  <c r="S95" i="3"/>
  <c r="S87" i="3"/>
  <c r="Q63" i="3"/>
  <c r="S63" i="3"/>
  <c r="W33" i="2" s="1"/>
  <c r="S57" i="3"/>
  <c r="Q57" i="3"/>
  <c r="R47" i="3"/>
  <c r="V25" i="2" s="1"/>
  <c r="Q47" i="3"/>
  <c r="S69" i="3"/>
  <c r="W36" i="2" s="1"/>
  <c r="Q69" i="3"/>
  <c r="R69" i="3"/>
  <c r="V36" i="2" s="1"/>
  <c r="Q79" i="3"/>
  <c r="S79" i="3"/>
  <c r="W41" i="2" s="1"/>
  <c r="S61" i="3"/>
  <c r="Q61" i="3"/>
  <c r="R61" i="3"/>
  <c r="S73" i="3"/>
  <c r="Q73" i="3"/>
  <c r="Q42" i="3"/>
  <c r="R42" i="3"/>
  <c r="R66" i="3"/>
  <c r="Q66" i="3"/>
  <c r="R81" i="3"/>
  <c r="Q81" i="3"/>
  <c r="S81" i="3"/>
  <c r="S77" i="3"/>
  <c r="Q77" i="3"/>
  <c r="R77" i="3"/>
  <c r="P82" i="3"/>
  <c r="T42" i="2" s="1"/>
  <c r="U42" i="2" s="1"/>
  <c r="P65" i="3"/>
  <c r="T34" i="2" s="1"/>
  <c r="U34" i="2" s="1"/>
  <c r="P52" i="3"/>
  <c r="S31" i="3"/>
  <c r="Q85" i="3"/>
  <c r="P71" i="3"/>
  <c r="T37" i="2" s="1"/>
  <c r="U37" i="2" s="1"/>
  <c r="P36" i="3"/>
  <c r="T19" i="2" s="1"/>
  <c r="U19" i="2" s="1"/>
  <c r="S72" i="3"/>
  <c r="S55" i="3"/>
  <c r="E32" i="24"/>
  <c r="E39" i="24"/>
  <c r="F7" i="24"/>
  <c r="F22" i="23"/>
  <c r="E36" i="24"/>
  <c r="E37" i="24" s="1"/>
  <c r="E38" i="24" s="1"/>
  <c r="E40" i="24"/>
  <c r="E41" i="24" s="1"/>
  <c r="E42" i="24" s="1"/>
  <c r="E43" i="24" s="1"/>
  <c r="E44" i="24" s="1"/>
  <c r="Q67" i="3"/>
  <c r="R67" i="3"/>
  <c r="S67" i="3"/>
  <c r="R76" i="3"/>
  <c r="Q76" i="3"/>
  <c r="S76" i="3"/>
  <c r="R84" i="3"/>
  <c r="V43" i="2" s="1"/>
  <c r="Q84" i="3"/>
  <c r="S84" i="3"/>
  <c r="W43" i="2" s="1"/>
  <c r="Q75" i="3"/>
  <c r="R75" i="3"/>
  <c r="V39" i="2" s="1"/>
  <c r="S75" i="3"/>
  <c r="W39" i="2" s="1"/>
  <c r="Q56" i="3"/>
  <c r="R56" i="3"/>
  <c r="V29" i="2" s="1"/>
  <c r="S56" i="3"/>
  <c r="W29" i="2" s="1"/>
  <c r="Q83" i="3"/>
  <c r="R83" i="3"/>
  <c r="S83" i="3"/>
  <c r="R60" i="3"/>
  <c r="Q60" i="3"/>
  <c r="S60" i="3"/>
  <c r="R68" i="3"/>
  <c r="V35" i="2" s="1"/>
  <c r="Q68" i="3"/>
  <c r="S68" i="3"/>
  <c r="W35" i="2" s="1"/>
  <c r="Q64" i="3"/>
  <c r="R64" i="3"/>
  <c r="S64" i="3"/>
  <c r="Q53" i="3"/>
  <c r="R53" i="3"/>
  <c r="V28" i="2" s="1"/>
  <c r="S53" i="3"/>
  <c r="W28" i="2" s="1"/>
  <c r="Q78" i="3"/>
  <c r="R73" i="3"/>
  <c r="Q70" i="3"/>
  <c r="Q62" i="3"/>
  <c r="P59" i="3"/>
  <c r="T31" i="2" s="1"/>
  <c r="U31" i="2" s="1"/>
  <c r="R57" i="3"/>
  <c r="Q54" i="3"/>
  <c r="R79" i="3"/>
  <c r="V41" i="2" s="1"/>
  <c r="S74" i="3"/>
  <c r="W38" i="2" s="1"/>
  <c r="R71" i="3"/>
  <c r="V37" i="2" s="1"/>
  <c r="S66" i="3"/>
  <c r="R63" i="3"/>
  <c r="V33" i="2" s="1"/>
  <c r="S58" i="3"/>
  <c r="W30" i="2" s="1"/>
  <c r="R55" i="3"/>
  <c r="S78" i="3"/>
  <c r="W40" i="2" s="1"/>
  <c r="S70" i="3"/>
  <c r="S62" i="3"/>
  <c r="W32" i="2" s="1"/>
  <c r="S54" i="3"/>
  <c r="Q34" i="3"/>
  <c r="R34" i="3"/>
  <c r="S34" i="3"/>
  <c r="Q44" i="3"/>
  <c r="R44" i="3"/>
  <c r="V23" i="2" s="1"/>
  <c r="S50" i="3"/>
  <c r="R50" i="3"/>
  <c r="S39" i="3"/>
  <c r="S42" i="3"/>
  <c r="Q39" i="3"/>
  <c r="R52" i="3"/>
  <c r="V27" i="2" s="1"/>
  <c r="Q31" i="3"/>
  <c r="S47" i="3"/>
  <c r="W25" i="2" s="1"/>
  <c r="E30" i="24"/>
  <c r="E31" i="24" s="1"/>
  <c r="E33" i="24"/>
  <c r="E34" i="24" s="1"/>
  <c r="E35" i="24" s="1"/>
  <c r="Q32" i="3"/>
  <c r="R32" i="3"/>
  <c r="V17" i="2" s="1"/>
  <c r="S32" i="3"/>
  <c r="W17" i="2" s="1"/>
  <c r="Q35" i="3"/>
  <c r="R35" i="3"/>
  <c r="S35" i="3"/>
  <c r="Q45" i="3"/>
  <c r="R45" i="3"/>
  <c r="S45" i="3"/>
  <c r="Q48" i="3"/>
  <c r="R48" i="3"/>
  <c r="S48" i="3"/>
  <c r="Q51" i="3"/>
  <c r="R51" i="3"/>
  <c r="S51" i="3"/>
  <c r="S41" i="3"/>
  <c r="W22" i="2" s="1"/>
  <c r="Q41" i="3"/>
  <c r="R41" i="3"/>
  <c r="V22" i="2" s="1"/>
  <c r="Q37" i="3"/>
  <c r="R37" i="3"/>
  <c r="V20" i="2" s="1"/>
  <c r="S37" i="3"/>
  <c r="W20" i="2" s="1"/>
  <c r="Q40" i="3"/>
  <c r="R40" i="3"/>
  <c r="V21" i="2" s="1"/>
  <c r="S40" i="3"/>
  <c r="W21" i="2" s="1"/>
  <c r="Q43" i="3"/>
  <c r="R43" i="3"/>
  <c r="S43" i="3"/>
  <c r="S33" i="3"/>
  <c r="W18" i="2" s="1"/>
  <c r="Q33" i="3"/>
  <c r="R33" i="3"/>
  <c r="V18" i="2" s="1"/>
  <c r="Q29" i="3"/>
  <c r="R29" i="3"/>
  <c r="V16" i="2" s="1"/>
  <c r="S29" i="3"/>
  <c r="W16" i="2" s="1"/>
  <c r="S52" i="3"/>
  <c r="W27" i="2" s="1"/>
  <c r="Q46" i="3"/>
  <c r="S44" i="3"/>
  <c r="W23" i="2" s="1"/>
  <c r="Q38" i="3"/>
  <c r="Q30" i="3"/>
  <c r="P49" i="3"/>
  <c r="T26" i="2" s="1"/>
  <c r="U26" i="2" s="1"/>
  <c r="S46" i="3"/>
  <c r="W24" i="2" s="1"/>
  <c r="S38" i="3"/>
  <c r="S30" i="3"/>
  <c r="Q27" i="3"/>
  <c r="R27" i="3"/>
  <c r="R14" i="3"/>
  <c r="Q14" i="3"/>
  <c r="S14" i="3"/>
  <c r="Q19" i="3"/>
  <c r="R19" i="3"/>
  <c r="Q22" i="3"/>
  <c r="R22" i="3"/>
  <c r="S22" i="3"/>
  <c r="R11" i="3"/>
  <c r="H174" i="24"/>
  <c r="G174" i="24"/>
  <c r="H96" i="24"/>
  <c r="G96" i="24"/>
  <c r="F88" i="24"/>
  <c r="G88" i="24" s="1"/>
  <c r="H108" i="24"/>
  <c r="H246" i="24"/>
  <c r="H273" i="24"/>
  <c r="H135" i="24"/>
  <c r="G223" i="24"/>
  <c r="H223" i="24"/>
  <c r="G253" i="24"/>
  <c r="G300" i="24"/>
  <c r="C9" i="24"/>
  <c r="F80" i="24"/>
  <c r="H80" i="24" s="1"/>
  <c r="H218" i="24"/>
  <c r="H230" i="24"/>
  <c r="G233" i="24"/>
  <c r="G292" i="24"/>
  <c r="H167" i="24"/>
  <c r="H276" i="24"/>
  <c r="G276" i="24"/>
  <c r="H148" i="24"/>
  <c r="G148" i="24"/>
  <c r="G165" i="24"/>
  <c r="H165" i="24"/>
  <c r="F132" i="24"/>
  <c r="H132" i="24" s="1"/>
  <c r="H141" i="24"/>
  <c r="H151" i="24"/>
  <c r="F164" i="24"/>
  <c r="H164" i="24" s="1"/>
  <c r="F193" i="24"/>
  <c r="G193" i="24" s="1"/>
  <c r="H199" i="24"/>
  <c r="G226" i="24"/>
  <c r="H234" i="24"/>
  <c r="H263" i="24"/>
  <c r="H289" i="24"/>
  <c r="H303" i="24"/>
  <c r="H311" i="24"/>
  <c r="F92" i="24"/>
  <c r="G92" i="24" s="1"/>
  <c r="F120" i="24"/>
  <c r="G120" i="24" s="1"/>
  <c r="F222" i="24"/>
  <c r="H222" i="24" s="1"/>
  <c r="H226" i="24"/>
  <c r="G239" i="24"/>
  <c r="F259" i="24"/>
  <c r="H259" i="24" s="1"/>
  <c r="F261" i="24"/>
  <c r="H261" i="24" s="1"/>
  <c r="F268" i="24"/>
  <c r="H268" i="24" s="1"/>
  <c r="F284" i="24"/>
  <c r="H284" i="24" s="1"/>
  <c r="F305" i="24"/>
  <c r="H305" i="24" s="1"/>
  <c r="F308" i="24"/>
  <c r="H308" i="24" s="1"/>
  <c r="F123" i="24"/>
  <c r="G123" i="24" s="1"/>
  <c r="G189" i="24"/>
  <c r="F202" i="24"/>
  <c r="G202" i="24" s="1"/>
  <c r="F220" i="24"/>
  <c r="G220" i="24" s="1"/>
  <c r="F229" i="24"/>
  <c r="H229" i="24" s="1"/>
  <c r="F237" i="24"/>
  <c r="H237" i="24" s="1"/>
  <c r="F245" i="24"/>
  <c r="G245" i="24" s="1"/>
  <c r="F319" i="24"/>
  <c r="H319" i="24" s="1"/>
  <c r="F104" i="24"/>
  <c r="G104" i="24" s="1"/>
  <c r="F112" i="24"/>
  <c r="H112" i="24" s="1"/>
  <c r="G182" i="24"/>
  <c r="H189" i="24"/>
  <c r="H198" i="24"/>
  <c r="H204" i="24"/>
  <c r="G254" i="24"/>
  <c r="F277" i="24"/>
  <c r="G277" i="24" s="1"/>
  <c r="G291" i="24"/>
  <c r="G197" i="24"/>
  <c r="G275" i="24"/>
  <c r="G316" i="24"/>
  <c r="F158" i="24"/>
  <c r="G158" i="24" s="1"/>
  <c r="H175" i="24"/>
  <c r="G207" i="24"/>
  <c r="F214" i="24"/>
  <c r="H214" i="24" s="1"/>
  <c r="H254" i="24"/>
  <c r="G294" i="24"/>
  <c r="H297" i="24"/>
  <c r="F299" i="24"/>
  <c r="H299" i="24" s="1"/>
  <c r="H307" i="24"/>
  <c r="H315" i="24"/>
  <c r="G135" i="24"/>
  <c r="G167" i="24"/>
  <c r="H207" i="24"/>
  <c r="G246" i="24"/>
  <c r="H281" i="24"/>
  <c r="F283" i="24"/>
  <c r="H283" i="24" s="1"/>
  <c r="F304" i="24"/>
  <c r="H304" i="24" s="1"/>
  <c r="F309" i="24"/>
  <c r="H309" i="24" s="1"/>
  <c r="F312" i="24"/>
  <c r="H312" i="24" s="1"/>
  <c r="F317" i="24"/>
  <c r="H317" i="24" s="1"/>
  <c r="F320" i="24"/>
  <c r="H320" i="24" s="1"/>
  <c r="E23" i="24"/>
  <c r="E24" i="24" s="1"/>
  <c r="E25" i="24" s="1"/>
  <c r="E26" i="24" s="1"/>
  <c r="H79" i="24"/>
  <c r="G79" i="24"/>
  <c r="H95" i="24"/>
  <c r="G95" i="24"/>
  <c r="H111" i="24"/>
  <c r="G111" i="24"/>
  <c r="H124" i="24"/>
  <c r="F163" i="24"/>
  <c r="H163" i="24" s="1"/>
  <c r="F169" i="24"/>
  <c r="H169" i="24" s="1"/>
  <c r="F178" i="24"/>
  <c r="H178" i="24" s="1"/>
  <c r="G188" i="24"/>
  <c r="G22" i="24"/>
  <c r="F154" i="24"/>
  <c r="H154" i="24" s="1"/>
  <c r="E27" i="24"/>
  <c r="G84" i="24"/>
  <c r="H91" i="24"/>
  <c r="G91" i="24"/>
  <c r="G100" i="24"/>
  <c r="H107" i="24"/>
  <c r="G107" i="24"/>
  <c r="G116" i="24"/>
  <c r="F130" i="24"/>
  <c r="G130" i="24" s="1"/>
  <c r="H140" i="24"/>
  <c r="G140" i="24"/>
  <c r="F145" i="24"/>
  <c r="H145" i="24" s="1"/>
  <c r="F250" i="24"/>
  <c r="H250" i="24" s="1"/>
  <c r="F264" i="24"/>
  <c r="H264" i="24" s="1"/>
  <c r="F94" i="24"/>
  <c r="H94" i="24" s="1"/>
  <c r="F110" i="24"/>
  <c r="H110" i="24" s="1"/>
  <c r="H143" i="24"/>
  <c r="G143" i="24"/>
  <c r="H159" i="24"/>
  <c r="G159" i="24"/>
  <c r="F176" i="24"/>
  <c r="H176" i="24" s="1"/>
  <c r="F232" i="24"/>
  <c r="G232" i="24" s="1"/>
  <c r="H87" i="24"/>
  <c r="G87" i="24"/>
  <c r="H103" i="24"/>
  <c r="G103" i="24"/>
  <c r="H119" i="24"/>
  <c r="G119" i="24"/>
  <c r="H183" i="24"/>
  <c r="G183" i="24"/>
  <c r="F215" i="24"/>
  <c r="H215" i="24" s="1"/>
  <c r="F224" i="24"/>
  <c r="G224" i="24" s="1"/>
  <c r="F98" i="24"/>
  <c r="H98" i="24" s="1"/>
  <c r="F114" i="24"/>
  <c r="H114" i="24" s="1"/>
  <c r="F90" i="24"/>
  <c r="H90" i="24" s="1"/>
  <c r="F106" i="24"/>
  <c r="H106" i="24" s="1"/>
  <c r="F122" i="24"/>
  <c r="H122" i="24" s="1"/>
  <c r="F139" i="24"/>
  <c r="H139" i="24" s="1"/>
  <c r="G150" i="24"/>
  <c r="G157" i="24"/>
  <c r="G181" i="24"/>
  <c r="F206" i="24"/>
  <c r="H206" i="24" s="1"/>
  <c r="G213" i="24"/>
  <c r="F82" i="24"/>
  <c r="H82" i="24" s="1"/>
  <c r="F125" i="24"/>
  <c r="H125" i="24" s="1"/>
  <c r="H83" i="24"/>
  <c r="G83" i="24"/>
  <c r="H99" i="24"/>
  <c r="G99" i="24"/>
  <c r="H115" i="24"/>
  <c r="G115" i="24"/>
  <c r="F147" i="24"/>
  <c r="H147" i="24" s="1"/>
  <c r="H260" i="24"/>
  <c r="G260" i="24"/>
  <c r="I22" i="24"/>
  <c r="C23" i="24"/>
  <c r="F86" i="24"/>
  <c r="G86" i="24" s="1"/>
  <c r="F102" i="24"/>
  <c r="H102" i="24" s="1"/>
  <c r="F118" i="24"/>
  <c r="H118" i="24" s="1"/>
  <c r="F127" i="24"/>
  <c r="H127" i="24" s="1"/>
  <c r="F133" i="24"/>
  <c r="G133" i="24" s="1"/>
  <c r="F137" i="24"/>
  <c r="H137" i="24" s="1"/>
  <c r="F160" i="24"/>
  <c r="H160" i="24" s="1"/>
  <c r="H203" i="24"/>
  <c r="G203" i="24"/>
  <c r="F210" i="24"/>
  <c r="H210" i="24" s="1"/>
  <c r="F152" i="24"/>
  <c r="H152" i="24" s="1"/>
  <c r="F185" i="24"/>
  <c r="G185" i="24" s="1"/>
  <c r="F190" i="24"/>
  <c r="H190" i="24" s="1"/>
  <c r="F194" i="24"/>
  <c r="G194" i="24" s="1"/>
  <c r="F219" i="24"/>
  <c r="G219" i="24" s="1"/>
  <c r="H244" i="24"/>
  <c r="G244" i="24"/>
  <c r="F262" i="24"/>
  <c r="G262" i="24" s="1"/>
  <c r="F322" i="24"/>
  <c r="H321" i="24"/>
  <c r="F129" i="24"/>
  <c r="G129" i="24" s="1"/>
  <c r="G134" i="24"/>
  <c r="F161" i="24"/>
  <c r="H161" i="24" s="1"/>
  <c r="G166" i="24"/>
  <c r="F170" i="24"/>
  <c r="G170" i="24" s="1"/>
  <c r="G173" i="24"/>
  <c r="G180" i="24"/>
  <c r="H196" i="24"/>
  <c r="G196" i="24"/>
  <c r="F205" i="24"/>
  <c r="H205" i="24" s="1"/>
  <c r="G212" i="24"/>
  <c r="F238" i="24"/>
  <c r="H238" i="24" s="1"/>
  <c r="G279" i="24"/>
  <c r="H279" i="24"/>
  <c r="H306" i="24"/>
  <c r="G126" i="24"/>
  <c r="G142" i="24"/>
  <c r="F146" i="24"/>
  <c r="H146" i="24" s="1"/>
  <c r="G149" i="24"/>
  <c r="H155" i="24"/>
  <c r="G155" i="24"/>
  <c r="G156" i="24"/>
  <c r="F168" i="24"/>
  <c r="G168" i="24" s="1"/>
  <c r="H186" i="24"/>
  <c r="G186" i="24"/>
  <c r="G187" i="24"/>
  <c r="F200" i="24"/>
  <c r="G200" i="24" s="1"/>
  <c r="F209" i="24"/>
  <c r="H209" i="24" s="1"/>
  <c r="F227" i="24"/>
  <c r="G227" i="24" s="1"/>
  <c r="G236" i="24"/>
  <c r="G271" i="24"/>
  <c r="H271" i="24"/>
  <c r="F81" i="24"/>
  <c r="H81" i="24" s="1"/>
  <c r="F85" i="24"/>
  <c r="H85" i="24" s="1"/>
  <c r="F89" i="24"/>
  <c r="H89" i="24" s="1"/>
  <c r="F93" i="24"/>
  <c r="H93" i="24" s="1"/>
  <c r="F97" i="24"/>
  <c r="H97" i="24" s="1"/>
  <c r="F101" i="24"/>
  <c r="H101" i="24" s="1"/>
  <c r="F105" i="24"/>
  <c r="H105" i="24" s="1"/>
  <c r="F109" i="24"/>
  <c r="H109" i="24" s="1"/>
  <c r="F113" i="24"/>
  <c r="H113" i="24" s="1"/>
  <c r="F117" i="24"/>
  <c r="H117" i="24" s="1"/>
  <c r="F121" i="24"/>
  <c r="H121" i="24" s="1"/>
  <c r="H131" i="24"/>
  <c r="F138" i="24"/>
  <c r="H138" i="24" s="1"/>
  <c r="F144" i="24"/>
  <c r="H144" i="24" s="1"/>
  <c r="F177" i="24"/>
  <c r="G177" i="24" s="1"/>
  <c r="F191" i="24"/>
  <c r="H191" i="24" s="1"/>
  <c r="F195" i="24"/>
  <c r="G195" i="24" s="1"/>
  <c r="F221" i="24"/>
  <c r="H221" i="24" s="1"/>
  <c r="F235" i="24"/>
  <c r="G235" i="24" s="1"/>
  <c r="F243" i="24"/>
  <c r="G243" i="24" s="1"/>
  <c r="F257" i="24"/>
  <c r="G257" i="24" s="1"/>
  <c r="F286" i="24"/>
  <c r="G286" i="24" s="1"/>
  <c r="G295" i="24"/>
  <c r="H295" i="24"/>
  <c r="G302" i="24"/>
  <c r="H302" i="24"/>
  <c r="G128" i="24"/>
  <c r="F136" i="24"/>
  <c r="H136" i="24" s="1"/>
  <c r="F153" i="24"/>
  <c r="H153" i="24" s="1"/>
  <c r="F162" i="24"/>
  <c r="G162" i="24" s="1"/>
  <c r="H171" i="24"/>
  <c r="G171" i="24"/>
  <c r="G172" i="24"/>
  <c r="F179" i="24"/>
  <c r="H179" i="24" s="1"/>
  <c r="F184" i="24"/>
  <c r="H184" i="24" s="1"/>
  <c r="H201" i="24"/>
  <c r="G201" i="24"/>
  <c r="G211" i="24"/>
  <c r="F216" i="24"/>
  <c r="G216" i="24" s="1"/>
  <c r="F225" i="24"/>
  <c r="H225" i="24" s="1"/>
  <c r="H231" i="24"/>
  <c r="G231" i="24"/>
  <c r="F241" i="24"/>
  <c r="G241" i="24" s="1"/>
  <c r="H247" i="24"/>
  <c r="G247" i="24"/>
  <c r="G255" i="24"/>
  <c r="H255" i="24"/>
  <c r="F266" i="24"/>
  <c r="G266" i="24" s="1"/>
  <c r="H249" i="24"/>
  <c r="G249" i="24"/>
  <c r="F274" i="24"/>
  <c r="G274" i="24" s="1"/>
  <c r="F298" i="24"/>
  <c r="G298" i="24" s="1"/>
  <c r="G208" i="24"/>
  <c r="G228" i="24"/>
  <c r="G252" i="24"/>
  <c r="F258" i="24"/>
  <c r="G258" i="24" s="1"/>
  <c r="H269" i="24"/>
  <c r="F272" i="24"/>
  <c r="H272" i="24" s="1"/>
  <c r="F282" i="24"/>
  <c r="G282" i="24" s="1"/>
  <c r="H293" i="24"/>
  <c r="H217" i="24"/>
  <c r="F240" i="24"/>
  <c r="H240" i="24" s="1"/>
  <c r="F256" i="24"/>
  <c r="H256" i="24" s="1"/>
  <c r="G267" i="24"/>
  <c r="F270" i="24"/>
  <c r="G270" i="24" s="1"/>
  <c r="F280" i="24"/>
  <c r="H280" i="24" s="1"/>
  <c r="H287" i="24"/>
  <c r="F290" i="24"/>
  <c r="G290" i="24" s="1"/>
  <c r="G313" i="24"/>
  <c r="G192" i="24"/>
  <c r="G199" i="24"/>
  <c r="H233" i="24"/>
  <c r="G234" i="24"/>
  <c r="F242" i="24"/>
  <c r="G242" i="24" s="1"/>
  <c r="F248" i="24"/>
  <c r="H248" i="24" s="1"/>
  <c r="F251" i="24"/>
  <c r="H251" i="24" s="1"/>
  <c r="H265" i="24"/>
  <c r="G265" i="24"/>
  <c r="F278" i="24"/>
  <c r="G278" i="24" s="1"/>
  <c r="H285" i="24"/>
  <c r="F288" i="24"/>
  <c r="H288" i="24" s="1"/>
  <c r="G301" i="24"/>
  <c r="H310" i="24"/>
  <c r="G321" i="24"/>
  <c r="H294" i="24"/>
  <c r="G273" i="24"/>
  <c r="G281" i="24"/>
  <c r="G289" i="24"/>
  <c r="F296" i="24"/>
  <c r="H296" i="24" s="1"/>
  <c r="G297" i="24"/>
  <c r="G303" i="24"/>
  <c r="G307" i="24"/>
  <c r="G311" i="24"/>
  <c r="G315" i="24"/>
  <c r="F314" i="24"/>
  <c r="H314" i="24" s="1"/>
  <c r="F318" i="24"/>
  <c r="H318" i="24" s="1"/>
  <c r="E237" i="23"/>
  <c r="E297" i="23"/>
  <c r="E285" i="23"/>
  <c r="BP39" i="8"/>
  <c r="Q10" i="3"/>
  <c r="R10" i="3"/>
  <c r="S10" i="3"/>
  <c r="Q26" i="3"/>
  <c r="R26" i="3"/>
  <c r="S26" i="3"/>
  <c r="Q18" i="3"/>
  <c r="R18" i="3"/>
  <c r="S18" i="3"/>
  <c r="S9" i="3"/>
  <c r="W6" i="2" s="1"/>
  <c r="R9" i="3"/>
  <c r="V6" i="2" s="1"/>
  <c r="Q9" i="3"/>
  <c r="S25" i="3"/>
  <c r="W14" i="2" s="1"/>
  <c r="R25" i="3"/>
  <c r="V14" i="2" s="1"/>
  <c r="Q25" i="3"/>
  <c r="S17" i="3"/>
  <c r="W10" i="2" s="1"/>
  <c r="R17" i="3"/>
  <c r="V10" i="2" s="1"/>
  <c r="Q17" i="3"/>
  <c r="Q8" i="3"/>
  <c r="R8" i="3"/>
  <c r="S8" i="3"/>
  <c r="R24" i="3"/>
  <c r="V13" i="2" s="1"/>
  <c r="S24" i="3"/>
  <c r="W13" i="2" s="1"/>
  <c r="Q24" i="3"/>
  <c r="R16" i="3"/>
  <c r="S16" i="3"/>
  <c r="Q16" i="3"/>
  <c r="Q7" i="3"/>
  <c r="R7" i="3"/>
  <c r="V5" i="2" s="1"/>
  <c r="S7" i="3"/>
  <c r="W5" i="2" s="1"/>
  <c r="R6" i="3"/>
  <c r="V4" i="2" s="1"/>
  <c r="S6" i="3"/>
  <c r="W4" i="2" s="1"/>
  <c r="Q6" i="3"/>
  <c r="S28" i="3"/>
  <c r="W15" i="2" s="1"/>
  <c r="Q28" i="3"/>
  <c r="R28" i="3"/>
  <c r="V15" i="2" s="1"/>
  <c r="Q20" i="3"/>
  <c r="S20" i="3"/>
  <c r="W11" i="2" s="1"/>
  <c r="R20" i="3"/>
  <c r="V11" i="2" s="1"/>
  <c r="S12" i="3"/>
  <c r="W7" i="2" s="1"/>
  <c r="Q12" i="3"/>
  <c r="R12" i="3"/>
  <c r="V7" i="2" s="1"/>
  <c r="S23" i="3"/>
  <c r="S15" i="3"/>
  <c r="W9" i="2" s="1"/>
  <c r="R23" i="3"/>
  <c r="R15" i="3"/>
  <c r="V9" i="2" s="1"/>
  <c r="S21" i="3"/>
  <c r="W12" i="2" s="1"/>
  <c r="S13" i="3"/>
  <c r="W8" i="2" s="1"/>
  <c r="S5" i="3"/>
  <c r="R21" i="3"/>
  <c r="V12" i="2" s="1"/>
  <c r="R13" i="3"/>
  <c r="V8" i="2" s="1"/>
  <c r="R5" i="3"/>
  <c r="S27" i="3"/>
  <c r="S19" i="3"/>
  <c r="S11" i="3"/>
  <c r="E319" i="23"/>
  <c r="E311" i="23"/>
  <c r="E303" i="23"/>
  <c r="E249" i="23"/>
  <c r="E250" i="23" s="1"/>
  <c r="E225" i="23"/>
  <c r="E226" i="23" s="1"/>
  <c r="E139" i="23"/>
  <c r="E93" i="23"/>
  <c r="E130" i="23"/>
  <c r="E74" i="23"/>
  <c r="E75" i="23" s="1"/>
  <c r="E185" i="23"/>
  <c r="E129" i="23"/>
  <c r="E122" i="23"/>
  <c r="E66" i="23"/>
  <c r="E273" i="23"/>
  <c r="E274" i="23" s="1"/>
  <c r="E277" i="23"/>
  <c r="E152" i="23"/>
  <c r="E153" i="23" s="1"/>
  <c r="E154" i="23" s="1"/>
  <c r="E155" i="23" s="1"/>
  <c r="E156" i="23" s="1"/>
  <c r="E157" i="23" s="1"/>
  <c r="E158" i="23" s="1"/>
  <c r="E159" i="23" s="1"/>
  <c r="E160" i="23" s="1"/>
  <c r="E144" i="23"/>
  <c r="E64" i="23"/>
  <c r="E306" i="23"/>
  <c r="E95" i="23"/>
  <c r="E96" i="23" s="1"/>
  <c r="E97" i="23" s="1"/>
  <c r="E98" i="23" s="1"/>
  <c r="E99" i="23" s="1"/>
  <c r="E100" i="23" s="1"/>
  <c r="E87" i="23"/>
  <c r="E88" i="23" s="1"/>
  <c r="E89" i="23" s="1"/>
  <c r="E32" i="23"/>
  <c r="E33" i="23" s="1"/>
  <c r="G321" i="23"/>
  <c r="F322" i="23"/>
  <c r="G322" i="23" s="1"/>
  <c r="E262" i="23"/>
  <c r="E263" i="23" s="1"/>
  <c r="E214" i="23"/>
  <c r="E209" i="23"/>
  <c r="E174" i="23"/>
  <c r="E175" i="23" s="1"/>
  <c r="E169" i="23"/>
  <c r="E73" i="23"/>
  <c r="E131" i="23"/>
  <c r="E132" i="23" s="1"/>
  <c r="E133" i="23" s="1"/>
  <c r="E134" i="23" s="1"/>
  <c r="E135" i="23" s="1"/>
  <c r="E136" i="23" s="1"/>
  <c r="E137" i="23" s="1"/>
  <c r="E138" i="23" s="1"/>
  <c r="E104" i="23"/>
  <c r="E281" i="23"/>
  <c r="E282" i="23" s="1"/>
  <c r="E267" i="23"/>
  <c r="E247" i="23"/>
  <c r="E166" i="23"/>
  <c r="E167" i="23" s="1"/>
  <c r="E110" i="23"/>
  <c r="E111" i="23" s="1"/>
  <c r="E112" i="23" s="1"/>
  <c r="E91" i="23"/>
  <c r="E320" i="23"/>
  <c r="E307" i="23"/>
  <c r="E286" i="23"/>
  <c r="E287" i="23" s="1"/>
  <c r="E239" i="23"/>
  <c r="E179" i="23"/>
  <c r="E123" i="23"/>
  <c r="L123" i="23" s="1"/>
  <c r="E70" i="23"/>
  <c r="E71" i="23" s="1"/>
  <c r="E72" i="23" s="1"/>
  <c r="E299" i="23"/>
  <c r="E211" i="23"/>
  <c r="E171" i="23"/>
  <c r="E102" i="23"/>
  <c r="E62" i="23"/>
  <c r="E63" i="23" s="1"/>
  <c r="E278" i="23"/>
  <c r="E251" i="23"/>
  <c r="E243" i="23"/>
  <c r="E230" i="23"/>
  <c r="E203" i="23"/>
  <c r="H321" i="23"/>
  <c r="E318" i="23"/>
  <c r="E270" i="23"/>
  <c r="E271" i="23" s="1"/>
  <c r="E142" i="23"/>
  <c r="E143" i="23" s="1"/>
  <c r="E121" i="23"/>
  <c r="E113" i="23"/>
  <c r="E114" i="23" s="1"/>
  <c r="E115" i="23" s="1"/>
  <c r="E94" i="23"/>
  <c r="E283" i="23"/>
  <c r="E222" i="23"/>
  <c r="E182" i="23"/>
  <c r="E126" i="23"/>
  <c r="E127" i="23" s="1"/>
  <c r="E128" i="23" s="1"/>
  <c r="E80" i="23"/>
  <c r="E81" i="23" s="1"/>
  <c r="E82" i="23" s="1"/>
  <c r="E83" i="23" s="1"/>
  <c r="E67" i="23"/>
  <c r="E68" i="23" s="1"/>
  <c r="E69" i="23" s="1"/>
  <c r="E54" i="23"/>
  <c r="E55" i="23" s="1"/>
  <c r="E56" i="23" s="1"/>
  <c r="E57" i="23" s="1"/>
  <c r="E58" i="23" s="1"/>
  <c r="E59" i="23" s="1"/>
  <c r="E60" i="23" s="1"/>
  <c r="E61" i="23" s="1"/>
  <c r="E34" i="23"/>
  <c r="E35" i="23" s="1"/>
  <c r="E36" i="23" s="1"/>
  <c r="E37" i="23" s="1"/>
  <c r="E38" i="23" s="1"/>
  <c r="E39" i="23" s="1"/>
  <c r="E40" i="23" s="1"/>
  <c r="E41" i="23" s="1"/>
  <c r="E42" i="23" s="1"/>
  <c r="E43" i="23" s="1"/>
  <c r="E44" i="23" s="1"/>
  <c r="E45" i="23" s="1"/>
  <c r="E46" i="23" s="1"/>
  <c r="E47" i="23" s="1"/>
  <c r="E48" i="23" s="1"/>
  <c r="E49" i="23" s="1"/>
  <c r="E50" i="23" s="1"/>
  <c r="E51" i="23" s="1"/>
  <c r="E27" i="23"/>
  <c r="E28" i="23" s="1"/>
  <c r="E29" i="23" s="1"/>
  <c r="E30" i="23" s="1"/>
  <c r="E161" i="23"/>
  <c r="E162" i="23" s="1"/>
  <c r="E163" i="23" s="1"/>
  <c r="E164" i="23" s="1"/>
  <c r="E105" i="23"/>
  <c r="E106" i="23" s="1"/>
  <c r="E107" i="23" s="1"/>
  <c r="E108" i="23" s="1"/>
  <c r="E227" i="23"/>
  <c r="E145" i="23"/>
  <c r="E146" i="23" s="1"/>
  <c r="E147" i="23" s="1"/>
  <c r="E312" i="23"/>
  <c r="E313" i="23" s="1"/>
  <c r="E314" i="23" s="1"/>
  <c r="E315" i="23" s="1"/>
  <c r="E316" i="23" s="1"/>
  <c r="E304" i="23"/>
  <c r="E305" i="23" s="1"/>
  <c r="E296" i="23"/>
  <c r="E288" i="23"/>
  <c r="E289" i="23" s="1"/>
  <c r="E290" i="23" s="1"/>
  <c r="E291" i="23" s="1"/>
  <c r="E280" i="23"/>
  <c r="E272" i="23"/>
  <c r="E264" i="23"/>
  <c r="E265" i="23" s="1"/>
  <c r="E256" i="23"/>
  <c r="E257" i="23" s="1"/>
  <c r="E258" i="23" s="1"/>
  <c r="E248" i="23"/>
  <c r="E240" i="23"/>
  <c r="E241" i="23" s="1"/>
  <c r="E232" i="23"/>
  <c r="E233" i="23" s="1"/>
  <c r="E234" i="23" s="1"/>
  <c r="E235" i="23" s="1"/>
  <c r="E224" i="23"/>
  <c r="E216" i="23"/>
  <c r="E217" i="23" s="1"/>
  <c r="E218" i="23" s="1"/>
  <c r="E208" i="23"/>
  <c r="E200" i="23"/>
  <c r="E201" i="23" s="1"/>
  <c r="E192" i="23"/>
  <c r="E193" i="23" s="1"/>
  <c r="E194" i="23" s="1"/>
  <c r="E195" i="23" s="1"/>
  <c r="E196" i="23" s="1"/>
  <c r="E197" i="23" s="1"/>
  <c r="E184" i="23"/>
  <c r="E176" i="23"/>
  <c r="E177" i="23" s="1"/>
  <c r="E178" i="23" s="1"/>
  <c r="E168" i="23"/>
  <c r="E31" i="23"/>
  <c r="E308" i="23"/>
  <c r="E309" i="23" s="1"/>
  <c r="E310" i="23" s="1"/>
  <c r="E300" i="23"/>
  <c r="E301" i="23" s="1"/>
  <c r="E292" i="23"/>
  <c r="E293" i="23" s="1"/>
  <c r="E294" i="23" s="1"/>
  <c r="E284" i="23"/>
  <c r="E276" i="23"/>
  <c r="E268" i="23"/>
  <c r="E260" i="23"/>
  <c r="E252" i="23"/>
  <c r="E253" i="23" s="1"/>
  <c r="E244" i="23"/>
  <c r="E245" i="23" s="1"/>
  <c r="E236" i="23"/>
  <c r="E228" i="23"/>
  <c r="E220" i="23"/>
  <c r="E221" i="23" s="1"/>
  <c r="E212" i="23"/>
  <c r="E204" i="23"/>
  <c r="E205" i="23" s="1"/>
  <c r="E206" i="23" s="1"/>
  <c r="E207" i="23" s="1"/>
  <c r="E188" i="23"/>
  <c r="E189" i="23" s="1"/>
  <c r="E190" i="23" s="1"/>
  <c r="E180" i="23"/>
  <c r="E172" i="23"/>
  <c r="E148" i="23"/>
  <c r="E149" i="23" s="1"/>
  <c r="E150" i="23" s="1"/>
  <c r="E140" i="23"/>
  <c r="E141" i="23" s="1"/>
  <c r="E124" i="23"/>
  <c r="E125" i="23" s="1"/>
  <c r="E116" i="23"/>
  <c r="E117" i="23" s="1"/>
  <c r="E118" i="23" s="1"/>
  <c r="E119" i="23" s="1"/>
  <c r="E120" i="23" s="1"/>
  <c r="E92" i="23"/>
  <c r="E84" i="23"/>
  <c r="E85" i="23" s="1"/>
  <c r="E86" i="23" s="1"/>
  <c r="E76" i="23"/>
  <c r="E77" i="23" s="1"/>
  <c r="E78" i="23" s="1"/>
  <c r="E79" i="23" s="1"/>
  <c r="R26" i="23"/>
  <c r="E23" i="23"/>
  <c r="E24" i="23" s="1"/>
  <c r="E25" i="23" s="1"/>
  <c r="E26" i="23" s="1"/>
  <c r="G22" i="23"/>
  <c r="C23" i="23"/>
  <c r="I23" i="23" s="1"/>
  <c r="J23" i="23" s="1"/>
  <c r="R23" i="23"/>
  <c r="R24" i="23" s="1"/>
  <c r="R25" i="23" s="1"/>
  <c r="F105" i="17"/>
  <c r="BM39" i="8"/>
  <c r="BL39" i="8"/>
  <c r="F107" i="17"/>
  <c r="F101" i="17"/>
  <c r="F106" i="17"/>
  <c r="F102" i="17"/>
  <c r="F104" i="17"/>
  <c r="O104" i="17"/>
  <c r="O105" i="17" s="1"/>
  <c r="O106" i="17"/>
  <c r="O107" i="17"/>
  <c r="F229" i="17"/>
  <c r="F266" i="17"/>
  <c r="F267" i="17"/>
  <c r="F264" i="17"/>
  <c r="F256" i="17"/>
  <c r="F257" i="17" s="1"/>
  <c r="F258" i="17" s="1"/>
  <c r="F254" i="17"/>
  <c r="BK39" i="8"/>
  <c r="F255" i="17"/>
  <c r="F251" i="17"/>
  <c r="F249" i="17"/>
  <c r="F250" i="17" s="1"/>
  <c r="F252" i="17"/>
  <c r="F253" i="17" s="1"/>
  <c r="F243" i="17"/>
  <c r="F246" i="17"/>
  <c r="F247" i="17" s="1"/>
  <c r="F248" i="17" s="1"/>
  <c r="F238" i="17"/>
  <c r="F239" i="17" s="1"/>
  <c r="F240" i="17" s="1"/>
  <c r="F241" i="17" s="1"/>
  <c r="F244" i="17"/>
  <c r="F245" i="17" s="1"/>
  <c r="F232" i="17"/>
  <c r="F233" i="17" s="1"/>
  <c r="F234" i="17" s="1"/>
  <c r="F235" i="17" s="1"/>
  <c r="F208" i="17"/>
  <c r="BI39" i="8"/>
  <c r="F222" i="17"/>
  <c r="F230" i="17"/>
  <c r="F236" i="17"/>
  <c r="F202" i="17"/>
  <c r="F203" i="17" s="1"/>
  <c r="F204" i="17" s="1"/>
  <c r="F205" i="17" s="1"/>
  <c r="F206" i="17" s="1"/>
  <c r="F207" i="17" s="1"/>
  <c r="F192" i="17"/>
  <c r="F193" i="17" s="1"/>
  <c r="F194" i="17" s="1"/>
  <c r="F195" i="17" s="1"/>
  <c r="F196" i="17" s="1"/>
  <c r="F197" i="17" s="1"/>
  <c r="F198" i="17" s="1"/>
  <c r="F199" i="17" s="1"/>
  <c r="F200" i="17" s="1"/>
  <c r="F201" i="17" s="1"/>
  <c r="O248" i="17"/>
  <c r="BJ39" i="8"/>
  <c r="BH39" i="8"/>
  <c r="O251" i="17"/>
  <c r="O266" i="17"/>
  <c r="O267" i="17" s="1"/>
  <c r="O268" i="17" s="1"/>
  <c r="O269" i="17" s="1"/>
  <c r="O252" i="17"/>
  <c r="O253" i="17" s="1"/>
  <c r="O243" i="17"/>
  <c r="O244" i="17" s="1"/>
  <c r="O245" i="17" s="1"/>
  <c r="O246" i="17" s="1"/>
  <c r="O247" i="17" s="1"/>
  <c r="O249" i="17"/>
  <c r="O250" i="17" s="1"/>
  <c r="L9" i="17"/>
  <c r="F261" i="17"/>
  <c r="F262" i="17" s="1"/>
  <c r="F263" i="17" s="1"/>
  <c r="F259" i="17"/>
  <c r="F281" i="17"/>
  <c r="F282" i="17" s="1"/>
  <c r="F265" i="17"/>
  <c r="F293" i="17"/>
  <c r="F237" i="17"/>
  <c r="F231" i="17"/>
  <c r="O254" i="17"/>
  <c r="O255" i="17" s="1"/>
  <c r="O256" i="17" s="1"/>
  <c r="O257" i="17" s="1"/>
  <c r="O258" i="17" s="1"/>
  <c r="O259" i="17" s="1"/>
  <c r="O260" i="17" s="1"/>
  <c r="O261" i="17" s="1"/>
  <c r="O262" i="17" s="1"/>
  <c r="O263" i="17" s="1"/>
  <c r="O264" i="17" s="1"/>
  <c r="O265" i="17" s="1"/>
  <c r="F290" i="17"/>
  <c r="F291" i="17" s="1"/>
  <c r="F268" i="17"/>
  <c r="F269" i="17" s="1"/>
  <c r="F242" i="17"/>
  <c r="F270" i="17"/>
  <c r="F271" i="17" s="1"/>
  <c r="F272" i="17" s="1"/>
  <c r="F273" i="17" s="1"/>
  <c r="F274" i="17" s="1"/>
  <c r="F275" i="17" s="1"/>
  <c r="F276" i="17" s="1"/>
  <c r="F277" i="17" s="1"/>
  <c r="F278" i="17" s="1"/>
  <c r="F279" i="17" s="1"/>
  <c r="F280" i="17" s="1"/>
  <c r="O235" i="17"/>
  <c r="O236" i="17" s="1"/>
  <c r="O237" i="17" s="1"/>
  <c r="O238" i="17" s="1"/>
  <c r="O239" i="17" s="1"/>
  <c r="O240" i="17" s="1"/>
  <c r="O241" i="17" s="1"/>
  <c r="O242" i="17" s="1"/>
  <c r="F223" i="17"/>
  <c r="F224" i="17" s="1"/>
  <c r="F225" i="17" s="1"/>
  <c r="F226" i="17" s="1"/>
  <c r="F227" i="17" s="1"/>
  <c r="F228" i="17" s="1"/>
  <c r="F183" i="17"/>
  <c r="F191" i="17"/>
  <c r="F215" i="17"/>
  <c r="F216" i="17" s="1"/>
  <c r="F217" i="17" s="1"/>
  <c r="F218" i="17" s="1"/>
  <c r="F209" i="17"/>
  <c r="F212" i="17"/>
  <c r="F213" i="17"/>
  <c r="F214" i="17" s="1"/>
  <c r="BF39" i="8"/>
  <c r="BD39" i="8"/>
  <c r="BG39" i="8"/>
  <c r="BE39" i="8"/>
  <c r="BB39" i="8"/>
  <c r="O223" i="17"/>
  <c r="O224" i="17" s="1"/>
  <c r="O225" i="17" s="1"/>
  <c r="O226" i="17" s="1"/>
  <c r="O227" i="17" s="1"/>
  <c r="O228" i="17" s="1"/>
  <c r="O229" i="17" s="1"/>
  <c r="O230" i="17" s="1"/>
  <c r="O231" i="17" s="1"/>
  <c r="O232" i="17" s="1"/>
  <c r="O233" i="17" s="1"/>
  <c r="O234" i="17" s="1"/>
  <c r="F219" i="17"/>
  <c r="F220" i="17" s="1"/>
  <c r="F221" i="17" s="1"/>
  <c r="O214" i="17"/>
  <c r="O215" i="17" s="1"/>
  <c r="O216" i="17" s="1"/>
  <c r="O217" i="17" s="1"/>
  <c r="O218" i="17" s="1"/>
  <c r="O219" i="17" s="1"/>
  <c r="O220" i="17" s="1"/>
  <c r="O221" i="17" s="1"/>
  <c r="O222" i="17" s="1"/>
  <c r="F210" i="17"/>
  <c r="F211" i="17" s="1"/>
  <c r="BC39" i="8"/>
  <c r="BA39" i="8"/>
  <c r="AZ39" i="8"/>
  <c r="S22" i="17"/>
  <c r="Q22" i="17"/>
  <c r="R138" i="17"/>
  <c r="R134" i="17"/>
  <c r="R130" i="17"/>
  <c r="R126" i="17"/>
  <c r="R122" i="17"/>
  <c r="R118" i="17"/>
  <c r="R114" i="17"/>
  <c r="R110" i="17"/>
  <c r="R106" i="17"/>
  <c r="R102" i="17"/>
  <c r="R98" i="17"/>
  <c r="R94" i="17"/>
  <c r="R90" i="17"/>
  <c r="R86" i="17"/>
  <c r="R82" i="17"/>
  <c r="R78" i="17"/>
  <c r="R74" i="17"/>
  <c r="R70" i="17"/>
  <c r="R66" i="17"/>
  <c r="R62" i="17"/>
  <c r="R58" i="17"/>
  <c r="R54" i="17"/>
  <c r="R50" i="17"/>
  <c r="R46" i="17"/>
  <c r="R42" i="17"/>
  <c r="R38" i="17"/>
  <c r="R34" i="17"/>
  <c r="R30" i="17"/>
  <c r="R26" i="17"/>
  <c r="R137" i="17"/>
  <c r="R133" i="17"/>
  <c r="R129" i="17"/>
  <c r="R125" i="17"/>
  <c r="R121" i="17"/>
  <c r="R117" i="17"/>
  <c r="R113" i="17"/>
  <c r="R109" i="17"/>
  <c r="R105" i="17"/>
  <c r="R101" i="17"/>
  <c r="R97" i="17"/>
  <c r="R93" i="17"/>
  <c r="R89" i="17"/>
  <c r="R85" i="17"/>
  <c r="R81" i="17"/>
  <c r="R77" i="17"/>
  <c r="R73" i="17"/>
  <c r="R69" i="17"/>
  <c r="R65" i="17"/>
  <c r="R61" i="17"/>
  <c r="R57" i="17"/>
  <c r="R53" i="17"/>
  <c r="R49" i="17"/>
  <c r="R45" i="17"/>
  <c r="R41" i="17"/>
  <c r="R37" i="17"/>
  <c r="R33" i="17"/>
  <c r="R29" i="17"/>
  <c r="R25" i="17"/>
  <c r="R22" i="17"/>
  <c r="R140" i="17"/>
  <c r="R136" i="17"/>
  <c r="R132" i="17"/>
  <c r="R128" i="17"/>
  <c r="R124" i="17"/>
  <c r="R120" i="17"/>
  <c r="R116" i="17"/>
  <c r="R112" i="17"/>
  <c r="R108" i="17"/>
  <c r="R104" i="17"/>
  <c r="R100" i="17"/>
  <c r="R96" i="17"/>
  <c r="R92" i="17"/>
  <c r="R88" i="17"/>
  <c r="R84" i="17"/>
  <c r="R80" i="17"/>
  <c r="R76" i="17"/>
  <c r="R72" i="17"/>
  <c r="R68" i="17"/>
  <c r="R64" i="17"/>
  <c r="R60" i="17"/>
  <c r="R56" i="17"/>
  <c r="R52" i="17"/>
  <c r="R48" i="17"/>
  <c r="R44" i="17"/>
  <c r="R40" i="17"/>
  <c r="R36" i="17"/>
  <c r="R32" i="17"/>
  <c r="R28" i="17"/>
  <c r="R24" i="17"/>
  <c r="R139" i="17"/>
  <c r="R135" i="17"/>
  <c r="R131" i="17"/>
  <c r="R127" i="17"/>
  <c r="R123" i="17"/>
  <c r="R119" i="17"/>
  <c r="R115" i="17"/>
  <c r="R111" i="17"/>
  <c r="R107" i="17"/>
  <c r="R103" i="17"/>
  <c r="R99" i="17"/>
  <c r="R95" i="17"/>
  <c r="R91" i="17"/>
  <c r="R87" i="17"/>
  <c r="R83" i="17"/>
  <c r="R79" i="17"/>
  <c r="R75" i="17"/>
  <c r="R71" i="17"/>
  <c r="R67" i="17"/>
  <c r="R63" i="17"/>
  <c r="R59" i="17"/>
  <c r="R55" i="17"/>
  <c r="R51" i="17"/>
  <c r="R47" i="17"/>
  <c r="R43" i="17"/>
  <c r="R39" i="17"/>
  <c r="R35" i="17"/>
  <c r="R31" i="17"/>
  <c r="R27" i="17"/>
  <c r="R23" i="17"/>
  <c r="H22" i="17"/>
  <c r="F23" i="17"/>
  <c r="F24" i="17" s="1"/>
  <c r="F25" i="17" s="1"/>
  <c r="F26" i="17" s="1"/>
  <c r="F27" i="17" s="1"/>
  <c r="F28" i="17" s="1"/>
  <c r="F29" i="17" s="1"/>
  <c r="F30" i="17" s="1"/>
  <c r="F31" i="17" s="1"/>
  <c r="F32" i="17" s="1"/>
  <c r="F33" i="17" s="1"/>
  <c r="F34" i="17" s="1"/>
  <c r="F35" i="17" s="1"/>
  <c r="F36" i="17" s="1"/>
  <c r="F37" i="17" s="1"/>
  <c r="F38" i="17" s="1"/>
  <c r="F39" i="17" s="1"/>
  <c r="F40" i="17" s="1"/>
  <c r="F41" i="17" s="1"/>
  <c r="F42" i="17" s="1"/>
  <c r="F43" i="17" s="1"/>
  <c r="F44" i="17" s="1"/>
  <c r="F45" i="17" s="1"/>
  <c r="F46" i="17" s="1"/>
  <c r="F47" i="17" s="1"/>
  <c r="F48" i="17" s="1"/>
  <c r="F49" i="17" s="1"/>
  <c r="F50" i="17" s="1"/>
  <c r="F51" i="17" s="1"/>
  <c r="F52" i="17" s="1"/>
  <c r="F53" i="17" s="1"/>
  <c r="F54" i="17" s="1"/>
  <c r="F55" i="17" s="1"/>
  <c r="F56" i="17" s="1"/>
  <c r="F57" i="17" s="1"/>
  <c r="F58" i="17" s="1"/>
  <c r="F59" i="17" s="1"/>
  <c r="F60" i="17" s="1"/>
  <c r="F61" i="17" s="1"/>
  <c r="F62" i="17" s="1"/>
  <c r="F63" i="17" s="1"/>
  <c r="F64" i="17" s="1"/>
  <c r="F65" i="17" s="1"/>
  <c r="F66" i="17" s="1"/>
  <c r="F67" i="17" s="1"/>
  <c r="F68" i="17" s="1"/>
  <c r="F69" i="17" s="1"/>
  <c r="F70" i="17" s="1"/>
  <c r="F71" i="17" s="1"/>
  <c r="F72" i="17" s="1"/>
  <c r="F73" i="17" s="1"/>
  <c r="F74" i="17" s="1"/>
  <c r="F75" i="17" s="1"/>
  <c r="F76" i="17" s="1"/>
  <c r="F77" i="17" s="1"/>
  <c r="F78" i="17" s="1"/>
  <c r="F79" i="17" s="1"/>
  <c r="F80" i="17" s="1"/>
  <c r="F81" i="17" s="1"/>
  <c r="F82" i="17" s="1"/>
  <c r="F83" i="17" s="1"/>
  <c r="F84" i="17" s="1"/>
  <c r="F85" i="17" s="1"/>
  <c r="F86" i="17" s="1"/>
  <c r="F87" i="17" s="1"/>
  <c r="F88" i="17" s="1"/>
  <c r="F89" i="17" s="1"/>
  <c r="F90" i="17" s="1"/>
  <c r="F91" i="17" s="1"/>
  <c r="F92" i="17" s="1"/>
  <c r="F93" i="17" s="1"/>
  <c r="F94" i="17" s="1"/>
  <c r="F95" i="17" s="1"/>
  <c r="F96" i="17" s="1"/>
  <c r="F97" i="17" s="1"/>
  <c r="F98" i="17" s="1"/>
  <c r="F99" i="17" s="1"/>
  <c r="F108" i="17" s="1"/>
  <c r="F109" i="17" s="1"/>
  <c r="F110" i="17" s="1"/>
  <c r="F111" i="17" s="1"/>
  <c r="F112" i="17" s="1"/>
  <c r="F113" i="17" s="1"/>
  <c r="F114" i="17" s="1"/>
  <c r="F115" i="17" s="1"/>
  <c r="F116" i="17" s="1"/>
  <c r="F117" i="17" s="1"/>
  <c r="F118" i="17" s="1"/>
  <c r="F119" i="17" s="1"/>
  <c r="F120" i="17" s="1"/>
  <c r="F121" i="17" s="1"/>
  <c r="F122" i="17" s="1"/>
  <c r="F123" i="17" s="1"/>
  <c r="F124" i="17" s="1"/>
  <c r="F125" i="17" s="1"/>
  <c r="F126" i="17" s="1"/>
  <c r="F127" i="17" s="1"/>
  <c r="F128" i="17" s="1"/>
  <c r="F129" i="17" s="1"/>
  <c r="F130" i="17" s="1"/>
  <c r="F131" i="17" s="1"/>
  <c r="F132" i="17" s="1"/>
  <c r="F133" i="17" s="1"/>
  <c r="F134" i="17" s="1"/>
  <c r="F135" i="17" s="1"/>
  <c r="F136" i="17" s="1"/>
  <c r="F137" i="17" s="1"/>
  <c r="F138" i="17" s="1"/>
  <c r="F139" i="17" s="1"/>
  <c r="F140" i="17" s="1"/>
  <c r="F141" i="17" s="1"/>
  <c r="F142" i="17" s="1"/>
  <c r="F143" i="17" s="1"/>
  <c r="F144" i="17" s="1"/>
  <c r="F145" i="17" s="1"/>
  <c r="F146" i="17" s="1"/>
  <c r="F147" i="17" s="1"/>
  <c r="F148" i="17" s="1"/>
  <c r="F149" i="17" s="1"/>
  <c r="F150" i="17" s="1"/>
  <c r="F151" i="17" s="1"/>
  <c r="F152" i="17" s="1"/>
  <c r="F153" i="17" s="1"/>
  <c r="F154" i="17" s="1"/>
  <c r="F155" i="17" s="1"/>
  <c r="F156" i="17" s="1"/>
  <c r="F157" i="17" s="1"/>
  <c r="F158" i="17" s="1"/>
  <c r="F159" i="17" s="1"/>
  <c r="F160" i="17" s="1"/>
  <c r="F161" i="17" s="1"/>
  <c r="F162" i="17" s="1"/>
  <c r="F163" i="17" s="1"/>
  <c r="F164" i="17" s="1"/>
  <c r="F165" i="17" s="1"/>
  <c r="F166" i="17" s="1"/>
  <c r="F167" i="17" s="1"/>
  <c r="F168" i="17" s="1"/>
  <c r="F169" i="17" s="1"/>
  <c r="F170" i="17"/>
  <c r="F171" i="17" s="1"/>
  <c r="F172" i="17" s="1"/>
  <c r="F173" i="17" s="1"/>
  <c r="F174" i="17" s="1"/>
  <c r="F175" i="17" s="1"/>
  <c r="F176" i="17" s="1"/>
  <c r="F177" i="17" s="1"/>
  <c r="F178" i="17" s="1"/>
  <c r="F179" i="17" s="1"/>
  <c r="F184" i="17"/>
  <c r="F185" i="17" s="1"/>
  <c r="F186" i="17" s="1"/>
  <c r="F187" i="17" s="1"/>
  <c r="F188" i="17" s="1"/>
  <c r="F189" i="17" s="1"/>
  <c r="F190" i="17" s="1"/>
  <c r="D23" i="17"/>
  <c r="O23" i="17"/>
  <c r="O24" i="17" s="1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41" i="17" s="1"/>
  <c r="O42" i="17" s="1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7" i="17" s="1"/>
  <c r="O58" i="17" s="1"/>
  <c r="O59" i="17" s="1"/>
  <c r="O60" i="17" s="1"/>
  <c r="O61" i="17" s="1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O88" i="17" s="1"/>
  <c r="O89" i="17" s="1"/>
  <c r="O90" i="17" s="1"/>
  <c r="O91" i="17" s="1"/>
  <c r="O92" i="17" s="1"/>
  <c r="O93" i="17" s="1"/>
  <c r="O94" i="17" s="1"/>
  <c r="O95" i="17" s="1"/>
  <c r="O96" i="17" s="1"/>
  <c r="O108" i="17" s="1"/>
  <c r="O109" i="17" s="1"/>
  <c r="O110" i="17" s="1"/>
  <c r="O111" i="17" s="1"/>
  <c r="O112" i="17" s="1"/>
  <c r="O113" i="17" s="1"/>
  <c r="O114" i="17" s="1"/>
  <c r="O115" i="17" s="1"/>
  <c r="O116" i="17" s="1"/>
  <c r="O117" i="17" s="1"/>
  <c r="O118" i="17" s="1"/>
  <c r="O119" i="17" s="1"/>
  <c r="O120" i="17" s="1"/>
  <c r="O121" i="17" s="1"/>
  <c r="O122" i="17" s="1"/>
  <c r="O123" i="17" s="1"/>
  <c r="O124" i="17" s="1"/>
  <c r="O125" i="17" s="1"/>
  <c r="O126" i="17" s="1"/>
  <c r="O127" i="17" s="1"/>
  <c r="O128" i="17" s="1"/>
  <c r="O129" i="17" s="1"/>
  <c r="O130" i="17" s="1"/>
  <c r="O131" i="17" s="1"/>
  <c r="O132" i="17" s="1"/>
  <c r="O133" i="17" s="1"/>
  <c r="O134" i="17" s="1"/>
  <c r="O135" i="17" s="1"/>
  <c r="O136" i="17" s="1"/>
  <c r="O137" i="17" s="1"/>
  <c r="O138" i="17" s="1"/>
  <c r="O139" i="17" s="1"/>
  <c r="O140" i="17" s="1"/>
  <c r="O141" i="17" s="1"/>
  <c r="O142" i="17" s="1"/>
  <c r="O143" i="17" s="1"/>
  <c r="O144" i="17" s="1"/>
  <c r="O145" i="17" s="1"/>
  <c r="O146" i="17" s="1"/>
  <c r="O147" i="17" s="1"/>
  <c r="O148" i="17" s="1"/>
  <c r="O149" i="17" s="1"/>
  <c r="O150" i="17" s="1"/>
  <c r="O151" i="17" s="1"/>
  <c r="O152" i="17" s="1"/>
  <c r="O153" i="17" s="1"/>
  <c r="O154" i="17" s="1"/>
  <c r="O155" i="17" s="1"/>
  <c r="O156" i="17" s="1"/>
  <c r="O157" i="17" s="1"/>
  <c r="O158" i="17" s="1"/>
  <c r="O159" i="17" s="1"/>
  <c r="O160" i="17" s="1"/>
  <c r="O161" i="17" s="1"/>
  <c r="O162" i="17" s="1"/>
  <c r="O163" i="17" s="1"/>
  <c r="O164" i="17" s="1"/>
  <c r="O165" i="17" s="1"/>
  <c r="O166" i="17" s="1"/>
  <c r="O167" i="17" s="1"/>
  <c r="O168" i="17" s="1"/>
  <c r="O169" i="17" s="1"/>
  <c r="O170" i="17" s="1"/>
  <c r="O171" i="17" s="1"/>
  <c r="O172" i="17" s="1"/>
  <c r="O173" i="17" s="1"/>
  <c r="O174" i="17" s="1"/>
  <c r="O175" i="17" s="1"/>
  <c r="O176" i="17" s="1"/>
  <c r="O177" i="17" s="1"/>
  <c r="O178" i="17" s="1"/>
  <c r="O179" i="17" s="1"/>
  <c r="O180" i="17" s="1"/>
  <c r="O181" i="17" s="1"/>
  <c r="O182" i="17" s="1"/>
  <c r="O183" i="17" s="1"/>
  <c r="O184" i="17" s="1"/>
  <c r="O185" i="17" s="1"/>
  <c r="O186" i="17" s="1"/>
  <c r="O187" i="17" s="1"/>
  <c r="O188" i="17" s="1"/>
  <c r="O189" i="17" s="1"/>
  <c r="O190" i="17" s="1"/>
  <c r="O191" i="17" s="1"/>
  <c r="O192" i="17" s="1"/>
  <c r="O193" i="17" s="1"/>
  <c r="O194" i="17" s="1"/>
  <c r="O195" i="17" s="1"/>
  <c r="O196" i="17" s="1"/>
  <c r="O197" i="17" s="1"/>
  <c r="O198" i="17" s="1"/>
  <c r="O199" i="17" s="1"/>
  <c r="O200" i="17" s="1"/>
  <c r="O201" i="17" s="1"/>
  <c r="O202" i="17" s="1"/>
  <c r="O203" i="17" s="1"/>
  <c r="O204" i="17" s="1"/>
  <c r="O205" i="17" s="1"/>
  <c r="O206" i="17" s="1"/>
  <c r="O207" i="17" s="1"/>
  <c r="O208" i="17" s="1"/>
  <c r="O209" i="17" s="1"/>
  <c r="O210" i="17" s="1"/>
  <c r="O211" i="17" s="1"/>
  <c r="O212" i="17" s="1"/>
  <c r="O213" i="17" s="1"/>
  <c r="F180" i="17"/>
  <c r="F181" i="17" s="1"/>
  <c r="F182" i="17" s="1"/>
  <c r="C9" i="17"/>
  <c r="P3" i="3"/>
  <c r="P4" i="3"/>
  <c r="AY39" i="8"/>
  <c r="AX39" i="8"/>
  <c r="AW39" i="8"/>
  <c r="AV39" i="8"/>
  <c r="AI39" i="8"/>
  <c r="AU39" i="8"/>
  <c r="AM39" i="8"/>
  <c r="AP39" i="8"/>
  <c r="AO39" i="8"/>
  <c r="AN39" i="8"/>
  <c r="AT39" i="8"/>
  <c r="AL39" i="8"/>
  <c r="AS39" i="8"/>
  <c r="AK39" i="8"/>
  <c r="AR39" i="8"/>
  <c r="AJ39" i="8"/>
  <c r="AQ39" i="8"/>
  <c r="P2" i="3"/>
  <c r="R149" i="3" l="1"/>
  <c r="V76" i="2" s="1"/>
  <c r="S149" i="3"/>
  <c r="W76" i="2" s="1"/>
  <c r="T76" i="2"/>
  <c r="U76" i="2" s="1"/>
  <c r="Q149" i="3"/>
  <c r="S102" i="3"/>
  <c r="W52" i="2" s="1"/>
  <c r="R102" i="3"/>
  <c r="V52" i="2" s="1"/>
  <c r="T52" i="2"/>
  <c r="U52" i="2" s="1"/>
  <c r="R65" i="3"/>
  <c r="V34" i="2" s="1"/>
  <c r="S36" i="3"/>
  <c r="W19" i="2" s="1"/>
  <c r="S82" i="3"/>
  <c r="W42" i="2" s="1"/>
  <c r="S3" i="3"/>
  <c r="W3" i="2" s="1"/>
  <c r="T3" i="2"/>
  <c r="U3" i="2" s="1"/>
  <c r="R2" i="3"/>
  <c r="V2" i="2" s="1"/>
  <c r="T2" i="2"/>
  <c r="U2" i="2" s="1"/>
  <c r="Q52" i="3"/>
  <c r="T27" i="2"/>
  <c r="U27" i="2" s="1"/>
  <c r="R62" i="3"/>
  <c r="V32" i="2" s="1"/>
  <c r="T32" i="2"/>
  <c r="U32" i="2" s="1"/>
  <c r="S106" i="3"/>
  <c r="W54" i="2" s="1"/>
  <c r="Q106" i="3"/>
  <c r="R106" i="3"/>
  <c r="V54" i="2" s="1"/>
  <c r="Q100" i="3"/>
  <c r="R100" i="3"/>
  <c r="V51" i="2" s="1"/>
  <c r="S100" i="3"/>
  <c r="W51" i="2" s="1"/>
  <c r="Q36" i="3"/>
  <c r="R36" i="3"/>
  <c r="V19" i="2" s="1"/>
  <c r="S65" i="3"/>
  <c r="W34" i="2" s="1"/>
  <c r="Q65" i="3"/>
  <c r="Q71" i="3"/>
  <c r="S71" i="3"/>
  <c r="W37" i="2" s="1"/>
  <c r="R82" i="3"/>
  <c r="V42" i="2" s="1"/>
  <c r="Q82" i="3"/>
  <c r="H168" i="24"/>
  <c r="Q59" i="3"/>
  <c r="R59" i="3"/>
  <c r="V31" i="2" s="1"/>
  <c r="S59" i="3"/>
  <c r="W31" i="2" s="1"/>
  <c r="H129" i="24"/>
  <c r="G238" i="24"/>
  <c r="S49" i="3"/>
  <c r="W26" i="2" s="1"/>
  <c r="Q49" i="3"/>
  <c r="R49" i="3"/>
  <c r="V26" i="2" s="1"/>
  <c r="G125" i="24"/>
  <c r="G261" i="24"/>
  <c r="H88" i="24"/>
  <c r="G319" i="24"/>
  <c r="G222" i="24"/>
  <c r="G248" i="24"/>
  <c r="H177" i="24"/>
  <c r="H194" i="24"/>
  <c r="G164" i="24"/>
  <c r="G296" i="24"/>
  <c r="G272" i="24"/>
  <c r="H241" i="24"/>
  <c r="H123" i="24"/>
  <c r="H86" i="24"/>
  <c r="H262" i="24"/>
  <c r="G152" i="24"/>
  <c r="G132" i="24"/>
  <c r="H278" i="24"/>
  <c r="H162" i="24"/>
  <c r="G209" i="24"/>
  <c r="G154" i="24"/>
  <c r="G305" i="24"/>
  <c r="G284" i="24"/>
  <c r="H200" i="24"/>
  <c r="G102" i="24"/>
  <c r="G90" i="24"/>
  <c r="H224" i="24"/>
  <c r="G320" i="24"/>
  <c r="G318" i="24"/>
  <c r="G80" i="24"/>
  <c r="G309" i="24"/>
  <c r="H193" i="24"/>
  <c r="G221" i="24"/>
  <c r="G137" i="24"/>
  <c r="G317" i="24"/>
  <c r="G214" i="24"/>
  <c r="H245" i="24"/>
  <c r="G229" i="24"/>
  <c r="H298" i="24"/>
  <c r="H235" i="24"/>
  <c r="G136" i="24"/>
  <c r="H219" i="24"/>
  <c r="G122" i="24"/>
  <c r="G215" i="24"/>
  <c r="G145" i="24"/>
  <c r="G312" i="24"/>
  <c r="G299" i="24"/>
  <c r="H202" i="24"/>
  <c r="H158" i="24"/>
  <c r="G105" i="24"/>
  <c r="H216" i="24"/>
  <c r="H170" i="24"/>
  <c r="H133" i="24"/>
  <c r="G304" i="24"/>
  <c r="G283" i="24"/>
  <c r="H120" i="24"/>
  <c r="G112" i="24"/>
  <c r="H220" i="24"/>
  <c r="G127" i="24"/>
  <c r="G147" i="24"/>
  <c r="G176" i="24"/>
  <c r="G264" i="24"/>
  <c r="H92" i="24"/>
  <c r="H104" i="24"/>
  <c r="G280" i="24"/>
  <c r="H227" i="24"/>
  <c r="G98" i="24"/>
  <c r="G308" i="24"/>
  <c r="G268" i="24"/>
  <c r="H257" i="24"/>
  <c r="H185" i="24"/>
  <c r="G160" i="24"/>
  <c r="G250" i="24"/>
  <c r="G259" i="24"/>
  <c r="H277" i="24"/>
  <c r="G237" i="24"/>
  <c r="H266" i="24"/>
  <c r="G184" i="24"/>
  <c r="G190" i="24"/>
  <c r="C24" i="24"/>
  <c r="F23" i="24"/>
  <c r="H23" i="24" s="1"/>
  <c r="I23" i="24"/>
  <c r="J23" i="24" s="1"/>
  <c r="G81" i="24"/>
  <c r="G117" i="24"/>
  <c r="G94" i="24"/>
  <c r="G163" i="24"/>
  <c r="G93" i="24"/>
  <c r="H242" i="24"/>
  <c r="H290" i="24"/>
  <c r="H274" i="24"/>
  <c r="H243" i="24"/>
  <c r="H195" i="24"/>
  <c r="G144" i="24"/>
  <c r="G225" i="24"/>
  <c r="H322" i="24"/>
  <c r="G322" i="24"/>
  <c r="F323" i="24"/>
  <c r="G210" i="24"/>
  <c r="G118" i="24"/>
  <c r="H22" i="24"/>
  <c r="G114" i="24"/>
  <c r="H232" i="24"/>
  <c r="H130" i="24"/>
  <c r="G256" i="24"/>
  <c r="H282" i="24"/>
  <c r="G251" i="24"/>
  <c r="G153" i="24"/>
  <c r="G191" i="24"/>
  <c r="G179" i="24"/>
  <c r="G161" i="24"/>
  <c r="G314" i="24"/>
  <c r="J22" i="24"/>
  <c r="G113" i="24"/>
  <c r="G82" i="24"/>
  <c r="G178" i="24"/>
  <c r="H286" i="24"/>
  <c r="G138" i="24"/>
  <c r="G106" i="24"/>
  <c r="G101" i="24"/>
  <c r="G206" i="24"/>
  <c r="G121" i="24"/>
  <c r="G89" i="24"/>
  <c r="H258" i="24"/>
  <c r="G288" i="24"/>
  <c r="G240" i="24"/>
  <c r="G146" i="24"/>
  <c r="G205" i="24"/>
  <c r="G97" i="24"/>
  <c r="G139" i="24"/>
  <c r="G110" i="24"/>
  <c r="G169" i="24"/>
  <c r="G109" i="24"/>
  <c r="H270" i="24"/>
  <c r="G85" i="24"/>
  <c r="F323" i="23"/>
  <c r="H323" i="23" s="1"/>
  <c r="H22" i="23"/>
  <c r="H322" i="23"/>
  <c r="L124" i="23"/>
  <c r="F23" i="23"/>
  <c r="C24" i="23"/>
  <c r="F100" i="17"/>
  <c r="O97" i="17"/>
  <c r="O98" i="17" s="1"/>
  <c r="O99" i="17" s="1"/>
  <c r="O100" i="17" s="1"/>
  <c r="O101" i="17" s="1"/>
  <c r="O102" i="17" s="1"/>
  <c r="Q4" i="3"/>
  <c r="R3" i="3"/>
  <c r="V3" i="2" s="1"/>
  <c r="S4" i="3"/>
  <c r="Q3" i="3"/>
  <c r="R4" i="3"/>
  <c r="Q23" i="17"/>
  <c r="S23" i="17"/>
  <c r="D24" i="17"/>
  <c r="H23" i="17"/>
  <c r="S2" i="3"/>
  <c r="W2" i="2" s="1"/>
  <c r="Q2" i="3"/>
  <c r="G323" i="23" l="1"/>
  <c r="F324" i="23"/>
  <c r="I24" i="24"/>
  <c r="J24" i="24" s="1"/>
  <c r="F24" i="24"/>
  <c r="H24" i="24" s="1"/>
  <c r="C25" i="24"/>
  <c r="G23" i="24"/>
  <c r="F324" i="24"/>
  <c r="H323" i="24"/>
  <c r="G323" i="24"/>
  <c r="C25" i="23"/>
  <c r="I24" i="23"/>
  <c r="C159" i="23"/>
  <c r="G324" i="23"/>
  <c r="H324" i="23"/>
  <c r="F325" i="23"/>
  <c r="L125" i="23"/>
  <c r="G23" i="23"/>
  <c r="H23" i="23"/>
  <c r="F24" i="23"/>
  <c r="H24" i="23" s="1"/>
  <c r="Q24" i="17"/>
  <c r="S24" i="17"/>
  <c r="D25" i="17"/>
  <c r="H24" i="17"/>
  <c r="G24" i="24" l="1"/>
  <c r="C26" i="24"/>
  <c r="F25" i="24"/>
  <c r="G25" i="24" s="1"/>
  <c r="I25" i="24"/>
  <c r="F325" i="24"/>
  <c r="H324" i="24"/>
  <c r="G324" i="24"/>
  <c r="J24" i="23"/>
  <c r="C26" i="23"/>
  <c r="I25" i="23"/>
  <c r="J25" i="23" s="1"/>
  <c r="C160" i="23"/>
  <c r="F326" i="23"/>
  <c r="G325" i="23"/>
  <c r="H325" i="23"/>
  <c r="L126" i="23"/>
  <c r="G24" i="23"/>
  <c r="F25" i="23"/>
  <c r="H25" i="23" s="1"/>
  <c r="S25" i="17"/>
  <c r="Q25" i="17"/>
  <c r="D26" i="17"/>
  <c r="H25" i="17"/>
  <c r="H25" i="24" l="1"/>
  <c r="H325" i="24"/>
  <c r="G325" i="24"/>
  <c r="F326" i="24"/>
  <c r="I26" i="24"/>
  <c r="J26" i="24" s="1"/>
  <c r="F26" i="24"/>
  <c r="H26" i="24" s="1"/>
  <c r="C27" i="24"/>
  <c r="J25" i="24"/>
  <c r="C27" i="23"/>
  <c r="I26" i="23"/>
  <c r="J26" i="23" s="1"/>
  <c r="C161" i="23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90" i="23" s="1"/>
  <c r="C191" i="23" s="1"/>
  <c r="C192" i="23" s="1"/>
  <c r="C193" i="23" s="1"/>
  <c r="C194" i="23" s="1"/>
  <c r="C195" i="23" s="1"/>
  <c r="C196" i="23" s="1"/>
  <c r="C197" i="23" s="1"/>
  <c r="C198" i="23" s="1"/>
  <c r="C199" i="23" s="1"/>
  <c r="C200" i="23" s="1"/>
  <c r="C201" i="23" s="1"/>
  <c r="C202" i="23" s="1"/>
  <c r="C203" i="23" s="1"/>
  <c r="C204" i="23" s="1"/>
  <c r="C205" i="23" s="1"/>
  <c r="C206" i="23" s="1"/>
  <c r="C207" i="23" s="1"/>
  <c r="C208" i="23" s="1"/>
  <c r="C209" i="23" s="1"/>
  <c r="C210" i="23" s="1"/>
  <c r="C211" i="23" s="1"/>
  <c r="C212" i="23" s="1"/>
  <c r="C213" i="23" s="1"/>
  <c r="C214" i="23" s="1"/>
  <c r="C215" i="23" s="1"/>
  <c r="C216" i="23" s="1"/>
  <c r="C217" i="23" s="1"/>
  <c r="C218" i="23" s="1"/>
  <c r="C219" i="23" s="1"/>
  <c r="C220" i="23" s="1"/>
  <c r="C221" i="23" s="1"/>
  <c r="C222" i="23" s="1"/>
  <c r="C223" i="23" s="1"/>
  <c r="C224" i="23" s="1"/>
  <c r="C225" i="23" s="1"/>
  <c r="C226" i="23" s="1"/>
  <c r="C227" i="23" s="1"/>
  <c r="C228" i="23" s="1"/>
  <c r="C229" i="23" s="1"/>
  <c r="C230" i="23" s="1"/>
  <c r="C231" i="23" s="1"/>
  <c r="C232" i="23" s="1"/>
  <c r="C233" i="23" s="1"/>
  <c r="C234" i="23" s="1"/>
  <c r="C235" i="23" s="1"/>
  <c r="C236" i="23" s="1"/>
  <c r="C237" i="23" s="1"/>
  <c r="C238" i="23" s="1"/>
  <c r="C239" i="23" s="1"/>
  <c r="C240" i="23" s="1"/>
  <c r="C241" i="23" s="1"/>
  <c r="C242" i="23" s="1"/>
  <c r="C243" i="23" s="1"/>
  <c r="C244" i="23" s="1"/>
  <c r="C245" i="23" s="1"/>
  <c r="C246" i="23" s="1"/>
  <c r="C247" i="23" s="1"/>
  <c r="C248" i="23" s="1"/>
  <c r="C249" i="23" s="1"/>
  <c r="C250" i="23" s="1"/>
  <c r="C251" i="23" s="1"/>
  <c r="C252" i="23" s="1"/>
  <c r="C253" i="23" s="1"/>
  <c r="C254" i="23" s="1"/>
  <c r="C255" i="23" s="1"/>
  <c r="C256" i="23" s="1"/>
  <c r="C257" i="23" s="1"/>
  <c r="C258" i="23" s="1"/>
  <c r="C259" i="23" s="1"/>
  <c r="C260" i="23" s="1"/>
  <c r="C261" i="23" s="1"/>
  <c r="C262" i="23" s="1"/>
  <c r="C263" i="23" s="1"/>
  <c r="C264" i="23" s="1"/>
  <c r="C265" i="23" s="1"/>
  <c r="C266" i="23" s="1"/>
  <c r="C267" i="23" s="1"/>
  <c r="C268" i="23" s="1"/>
  <c r="C269" i="23" s="1"/>
  <c r="C270" i="23" s="1"/>
  <c r="C271" i="23" s="1"/>
  <c r="C272" i="23" s="1"/>
  <c r="C273" i="23" s="1"/>
  <c r="C274" i="23" s="1"/>
  <c r="C275" i="23" s="1"/>
  <c r="C276" i="23" s="1"/>
  <c r="C277" i="23" s="1"/>
  <c r="C278" i="23" s="1"/>
  <c r="C279" i="23" s="1"/>
  <c r="C280" i="23" s="1"/>
  <c r="C281" i="23" s="1"/>
  <c r="C282" i="23" s="1"/>
  <c r="C283" i="23" s="1"/>
  <c r="C284" i="23" s="1"/>
  <c r="C285" i="23" s="1"/>
  <c r="C286" i="23" s="1"/>
  <c r="C287" i="23" s="1"/>
  <c r="C288" i="23" s="1"/>
  <c r="C289" i="23" s="1"/>
  <c r="C290" i="23" s="1"/>
  <c r="C291" i="23" s="1"/>
  <c r="C292" i="23" s="1"/>
  <c r="C293" i="23" s="1"/>
  <c r="C294" i="23" s="1"/>
  <c r="C295" i="23" s="1"/>
  <c r="C296" i="23" s="1"/>
  <c r="C297" i="23" s="1"/>
  <c r="C298" i="23" s="1"/>
  <c r="C299" i="23" s="1"/>
  <c r="C300" i="23" s="1"/>
  <c r="C301" i="23" s="1"/>
  <c r="C302" i="23" s="1"/>
  <c r="C303" i="23" s="1"/>
  <c r="C304" i="23" s="1"/>
  <c r="C305" i="23" s="1"/>
  <c r="C306" i="23" s="1"/>
  <c r="C307" i="23" s="1"/>
  <c r="C308" i="23" s="1"/>
  <c r="C309" i="23" s="1"/>
  <c r="C310" i="23" s="1"/>
  <c r="C311" i="23" s="1"/>
  <c r="C312" i="23" s="1"/>
  <c r="C313" i="23" s="1"/>
  <c r="C314" i="23" s="1"/>
  <c r="C315" i="23" s="1"/>
  <c r="C316" i="23" s="1"/>
  <c r="C317" i="23" s="1"/>
  <c r="C318" i="23" s="1"/>
  <c r="C319" i="23" s="1"/>
  <c r="C320" i="23" s="1"/>
  <c r="G326" i="23"/>
  <c r="H326" i="23"/>
  <c r="L127" i="23"/>
  <c r="G25" i="23"/>
  <c r="F26" i="23"/>
  <c r="G26" i="23" s="1"/>
  <c r="S26" i="17"/>
  <c r="Q26" i="17"/>
  <c r="D27" i="17"/>
  <c r="H26" i="17"/>
  <c r="C28" i="24" l="1"/>
  <c r="I27" i="24"/>
  <c r="J27" i="24" s="1"/>
  <c r="G26" i="24"/>
  <c r="F327" i="24"/>
  <c r="H326" i="24"/>
  <c r="G326" i="24"/>
  <c r="F27" i="24"/>
  <c r="H27" i="24" s="1"/>
  <c r="C28" i="23"/>
  <c r="I27" i="23"/>
  <c r="J27" i="23" s="1"/>
  <c r="L128" i="23"/>
  <c r="H26" i="23"/>
  <c r="F27" i="23"/>
  <c r="G27" i="23" s="1"/>
  <c r="Q27" i="17"/>
  <c r="S27" i="17"/>
  <c r="D28" i="17"/>
  <c r="H27" i="17"/>
  <c r="C29" i="24" l="1"/>
  <c r="I28" i="24"/>
  <c r="J28" i="24" s="1"/>
  <c r="F28" i="24"/>
  <c r="F29" i="24" s="1"/>
  <c r="G27" i="24"/>
  <c r="H327" i="24"/>
  <c r="G327" i="24"/>
  <c r="C29" i="23"/>
  <c r="I28" i="23"/>
  <c r="J28" i="23" s="1"/>
  <c r="H27" i="23"/>
  <c r="L129" i="23"/>
  <c r="F28" i="23"/>
  <c r="H28" i="23" s="1"/>
  <c r="Q28" i="17"/>
  <c r="S28" i="17"/>
  <c r="D29" i="17"/>
  <c r="H28" i="17"/>
  <c r="H28" i="24" l="1"/>
  <c r="H29" i="24"/>
  <c r="I29" i="24"/>
  <c r="J29" i="24" s="1"/>
  <c r="C30" i="24"/>
  <c r="G29" i="24"/>
  <c r="G28" i="24"/>
  <c r="C30" i="23"/>
  <c r="I29" i="23"/>
  <c r="J29" i="23" s="1"/>
  <c r="L130" i="23"/>
  <c r="G28" i="23"/>
  <c r="F29" i="23"/>
  <c r="G29" i="23" s="1"/>
  <c r="S29" i="17"/>
  <c r="Q29" i="17"/>
  <c r="D30" i="17"/>
  <c r="H29" i="17"/>
  <c r="I30" i="24" l="1"/>
  <c r="J30" i="24" s="1"/>
  <c r="C31" i="24"/>
  <c r="F30" i="24"/>
  <c r="F31" i="24" s="1"/>
  <c r="G31" i="24" s="1"/>
  <c r="C31" i="23"/>
  <c r="I30" i="23"/>
  <c r="J30" i="23" s="1"/>
  <c r="L131" i="23"/>
  <c r="H29" i="23"/>
  <c r="F30" i="23"/>
  <c r="G30" i="23" s="1"/>
  <c r="S30" i="17"/>
  <c r="Q30" i="17"/>
  <c r="D31" i="17"/>
  <c r="H30" i="17"/>
  <c r="H31" i="24" l="1"/>
  <c r="I31" i="24"/>
  <c r="J31" i="24" s="1"/>
  <c r="C32" i="24"/>
  <c r="G30" i="24"/>
  <c r="H30" i="24"/>
  <c r="C32" i="23"/>
  <c r="I31" i="23"/>
  <c r="J31" i="23" s="1"/>
  <c r="L132" i="23"/>
  <c r="F31" i="23"/>
  <c r="H31" i="23" s="1"/>
  <c r="H30" i="23"/>
  <c r="Q31" i="17"/>
  <c r="S31" i="17"/>
  <c r="D32" i="17"/>
  <c r="H31" i="17"/>
  <c r="I32" i="24" l="1"/>
  <c r="J32" i="24" s="1"/>
  <c r="C33" i="24"/>
  <c r="F32" i="24"/>
  <c r="H32" i="24" s="1"/>
  <c r="C33" i="23"/>
  <c r="I32" i="23"/>
  <c r="J32" i="23" s="1"/>
  <c r="G31" i="23"/>
  <c r="L133" i="23"/>
  <c r="F32" i="23"/>
  <c r="H32" i="23" s="1"/>
  <c r="Q32" i="17"/>
  <c r="S32" i="17"/>
  <c r="D33" i="17"/>
  <c r="H32" i="17"/>
  <c r="G32" i="24" l="1"/>
  <c r="I33" i="24"/>
  <c r="J33" i="24" s="1"/>
  <c r="F33" i="24"/>
  <c r="G33" i="24" s="1"/>
  <c r="C34" i="24"/>
  <c r="C34" i="23"/>
  <c r="I33" i="23"/>
  <c r="J33" i="23" s="1"/>
  <c r="L134" i="23"/>
  <c r="F33" i="23"/>
  <c r="H33" i="23" s="1"/>
  <c r="G32" i="23"/>
  <c r="S33" i="17"/>
  <c r="Q33" i="17"/>
  <c r="D34" i="17"/>
  <c r="H33" i="17"/>
  <c r="H33" i="24" l="1"/>
  <c r="I34" i="24"/>
  <c r="J34" i="24" s="1"/>
  <c r="F34" i="24"/>
  <c r="H34" i="24" s="1"/>
  <c r="C35" i="24"/>
  <c r="C35" i="23"/>
  <c r="I34" i="23"/>
  <c r="J34" i="23" s="1"/>
  <c r="L135" i="23"/>
  <c r="F34" i="23"/>
  <c r="H34" i="23" s="1"/>
  <c r="G33" i="23"/>
  <c r="S34" i="17"/>
  <c r="Q34" i="17"/>
  <c r="D35" i="17"/>
  <c r="H34" i="17"/>
  <c r="G34" i="24" l="1"/>
  <c r="C36" i="24"/>
  <c r="I35" i="24"/>
  <c r="J35" i="24" s="1"/>
  <c r="F35" i="24"/>
  <c r="F36" i="24" s="1"/>
  <c r="C36" i="23"/>
  <c r="I35" i="23"/>
  <c r="J35" i="23" s="1"/>
  <c r="L136" i="23"/>
  <c r="F35" i="23"/>
  <c r="H35" i="23" s="1"/>
  <c r="G34" i="23"/>
  <c r="Q35" i="17"/>
  <c r="S35" i="17"/>
  <c r="D36" i="17"/>
  <c r="H35" i="17"/>
  <c r="G35" i="24" l="1"/>
  <c r="H35" i="24"/>
  <c r="H36" i="24"/>
  <c r="I36" i="24"/>
  <c r="J36" i="24" s="1"/>
  <c r="C37" i="24"/>
  <c r="G36" i="24"/>
  <c r="C37" i="23"/>
  <c r="I36" i="23"/>
  <c r="J36" i="23" s="1"/>
  <c r="G35" i="23"/>
  <c r="L137" i="23"/>
  <c r="F36" i="23"/>
  <c r="H36" i="23" s="1"/>
  <c r="Q36" i="17"/>
  <c r="S36" i="17"/>
  <c r="D37" i="17"/>
  <c r="H36" i="17"/>
  <c r="I37" i="24" l="1"/>
  <c r="J37" i="24" s="1"/>
  <c r="C38" i="24"/>
  <c r="F37" i="24"/>
  <c r="H37" i="24" s="1"/>
  <c r="C38" i="23"/>
  <c r="I38" i="23" s="1"/>
  <c r="J38" i="23" s="1"/>
  <c r="I37" i="23"/>
  <c r="J37" i="23" s="1"/>
  <c r="L138" i="23"/>
  <c r="G36" i="23"/>
  <c r="F37" i="23"/>
  <c r="G37" i="23" s="1"/>
  <c r="S37" i="17"/>
  <c r="Q37" i="17"/>
  <c r="D38" i="17"/>
  <c r="H37" i="17"/>
  <c r="G37" i="24" l="1"/>
  <c r="I38" i="24"/>
  <c r="J38" i="24" s="1"/>
  <c r="F38" i="24"/>
  <c r="H38" i="24" s="1"/>
  <c r="C39" i="24"/>
  <c r="G38" i="24"/>
  <c r="C39" i="23"/>
  <c r="L139" i="23"/>
  <c r="H37" i="23"/>
  <c r="F38" i="23"/>
  <c r="G38" i="23" s="1"/>
  <c r="S38" i="17"/>
  <c r="Q38" i="17"/>
  <c r="D39" i="17"/>
  <c r="H38" i="17"/>
  <c r="I39" i="24" l="1"/>
  <c r="J39" i="24" s="1"/>
  <c r="F39" i="24"/>
  <c r="H39" i="24" s="1"/>
  <c r="C40" i="24"/>
  <c r="C40" i="23"/>
  <c r="I39" i="23"/>
  <c r="J39" i="23" s="1"/>
  <c r="L140" i="23"/>
  <c r="F39" i="23"/>
  <c r="H39" i="23" s="1"/>
  <c r="H38" i="23"/>
  <c r="Q39" i="17"/>
  <c r="S39" i="17"/>
  <c r="D40" i="17"/>
  <c r="H39" i="17"/>
  <c r="C41" i="23" l="1"/>
  <c r="C42" i="23" s="1"/>
  <c r="C43" i="23" s="1"/>
  <c r="C44" i="23" s="1"/>
  <c r="C45" i="23" s="1"/>
  <c r="C46" i="23" s="1"/>
  <c r="C47" i="23" s="1"/>
  <c r="C48" i="23" s="1"/>
  <c r="C49" i="23" s="1"/>
  <c r="C50" i="23" s="1"/>
  <c r="C51" i="23" s="1"/>
  <c r="C52" i="23" s="1"/>
  <c r="C53" i="23" s="1"/>
  <c r="C54" i="23" s="1"/>
  <c r="C55" i="23" s="1"/>
  <c r="C56" i="23" s="1"/>
  <c r="C57" i="23" s="1"/>
  <c r="C58" i="23" s="1"/>
  <c r="C59" i="23" s="1"/>
  <c r="C60" i="23" s="1"/>
  <c r="C61" i="23" s="1"/>
  <c r="C62" i="23" s="1"/>
  <c r="C63" i="23" s="1"/>
  <c r="C64" i="23" s="1"/>
  <c r="C65" i="23" s="1"/>
  <c r="C66" i="23" s="1"/>
  <c r="C67" i="23" s="1"/>
  <c r="C68" i="23" s="1"/>
  <c r="C69" i="23" s="1"/>
  <c r="C70" i="23" s="1"/>
  <c r="C71" i="23" s="1"/>
  <c r="C72" i="23" s="1"/>
  <c r="C73" i="23" s="1"/>
  <c r="C74" i="23" s="1"/>
  <c r="C75" i="23" s="1"/>
  <c r="C76" i="23" s="1"/>
  <c r="C77" i="23" s="1"/>
  <c r="C78" i="23" s="1"/>
  <c r="C79" i="23" s="1"/>
  <c r="C80" i="23" s="1"/>
  <c r="C81" i="23" s="1"/>
  <c r="C82" i="23" s="1"/>
  <c r="C83" i="23" s="1"/>
  <c r="C84" i="23" s="1"/>
  <c r="C85" i="23" s="1"/>
  <c r="C86" i="23" s="1"/>
  <c r="C87" i="23" s="1"/>
  <c r="C88" i="23" s="1"/>
  <c r="C89" i="23" s="1"/>
  <c r="C90" i="23" s="1"/>
  <c r="C91" i="23" s="1"/>
  <c r="C92" i="23" s="1"/>
  <c r="C93" i="23" s="1"/>
  <c r="C94" i="23" s="1"/>
  <c r="C95" i="23" s="1"/>
  <c r="C96" i="23" s="1"/>
  <c r="C97" i="23" s="1"/>
  <c r="C98" i="23" s="1"/>
  <c r="C99" i="23" s="1"/>
  <c r="C100" i="23" s="1"/>
  <c r="C101" i="23" s="1"/>
  <c r="C102" i="23" s="1"/>
  <c r="C103" i="23" s="1"/>
  <c r="C104" i="23" s="1"/>
  <c r="C105" i="23" s="1"/>
  <c r="C106" i="23" s="1"/>
  <c r="C107" i="23" s="1"/>
  <c r="C108" i="23" s="1"/>
  <c r="C109" i="23" s="1"/>
  <c r="C110" i="23" s="1"/>
  <c r="C111" i="23" s="1"/>
  <c r="C112" i="23" s="1"/>
  <c r="C113" i="23" s="1"/>
  <c r="C114" i="23" s="1"/>
  <c r="C115" i="23" s="1"/>
  <c r="C116" i="23" s="1"/>
  <c r="C117" i="23" s="1"/>
  <c r="C118" i="23" s="1"/>
  <c r="C119" i="23" s="1"/>
  <c r="C120" i="23" s="1"/>
  <c r="C121" i="23" s="1"/>
  <c r="C122" i="23" s="1"/>
  <c r="C123" i="23" s="1"/>
  <c r="C124" i="23" s="1"/>
  <c r="C125" i="23" s="1"/>
  <c r="C126" i="23" s="1"/>
  <c r="C127" i="23" s="1"/>
  <c r="C128" i="23" s="1"/>
  <c r="C129" i="23" s="1"/>
  <c r="C130" i="23" s="1"/>
  <c r="C131" i="23" s="1"/>
  <c r="C132" i="23" s="1"/>
  <c r="C133" i="23" s="1"/>
  <c r="C134" i="23" s="1"/>
  <c r="C135" i="23" s="1"/>
  <c r="C136" i="23" s="1"/>
  <c r="C137" i="23" s="1"/>
  <c r="C138" i="23" s="1"/>
  <c r="C139" i="23" s="1"/>
  <c r="C140" i="23" s="1"/>
  <c r="C141" i="23" s="1"/>
  <c r="C142" i="23" s="1"/>
  <c r="C143" i="23" s="1"/>
  <c r="C144" i="23" s="1"/>
  <c r="C145" i="23" s="1"/>
  <c r="C146" i="23" s="1"/>
  <c r="C147" i="23" s="1"/>
  <c r="C148" i="23" s="1"/>
  <c r="C149" i="23" s="1"/>
  <c r="C150" i="23" s="1"/>
  <c r="C151" i="23" s="1"/>
  <c r="C152" i="23" s="1"/>
  <c r="C153" i="23" s="1"/>
  <c r="C154" i="23" s="1"/>
  <c r="C155" i="23" s="1"/>
  <c r="C156" i="23" s="1"/>
  <c r="C157" i="23" s="1"/>
  <c r="C158" i="23" s="1"/>
  <c r="I40" i="23"/>
  <c r="J40" i="23" s="1"/>
  <c r="G39" i="24"/>
  <c r="I40" i="24"/>
  <c r="J40" i="24" s="1"/>
  <c r="F40" i="24"/>
  <c r="H40" i="24" s="1"/>
  <c r="C41" i="24"/>
  <c r="L141" i="23"/>
  <c r="F40" i="23"/>
  <c r="H40" i="23" s="1"/>
  <c r="G39" i="23"/>
  <c r="Q40" i="17"/>
  <c r="S40" i="17"/>
  <c r="D41" i="17"/>
  <c r="H40" i="17"/>
  <c r="G40" i="24" l="1"/>
  <c r="I41" i="24"/>
  <c r="J41" i="24" s="1"/>
  <c r="F41" i="24"/>
  <c r="G41" i="24" s="1"/>
  <c r="C42" i="24"/>
  <c r="F9" i="23"/>
  <c r="F8" i="23"/>
  <c r="L142" i="23"/>
  <c r="F41" i="23"/>
  <c r="G41" i="23" s="1"/>
  <c r="G40" i="23"/>
  <c r="S41" i="17"/>
  <c r="Q41" i="17"/>
  <c r="D42" i="17"/>
  <c r="H41" i="17"/>
  <c r="F10" i="23" l="1"/>
  <c r="I42" i="24"/>
  <c r="J42" i="24" s="1"/>
  <c r="F42" i="24"/>
  <c r="H42" i="24" s="1"/>
  <c r="C43" i="24"/>
  <c r="I43" i="24" s="1"/>
  <c r="J43" i="24" s="1"/>
  <c r="H41" i="24"/>
  <c r="H41" i="23"/>
  <c r="L143" i="23"/>
  <c r="F42" i="23"/>
  <c r="H42" i="23" s="1"/>
  <c r="S42" i="17"/>
  <c r="Q42" i="17"/>
  <c r="D43" i="17"/>
  <c r="H42" i="17"/>
  <c r="G42" i="24" l="1"/>
  <c r="F43" i="24"/>
  <c r="G43" i="24" s="1"/>
  <c r="C44" i="24"/>
  <c r="I44" i="24" s="1"/>
  <c r="J44" i="24" s="1"/>
  <c r="L144" i="23"/>
  <c r="F43" i="23"/>
  <c r="G43" i="23" s="1"/>
  <c r="G42" i="23"/>
  <c r="Q43" i="17"/>
  <c r="S43" i="17"/>
  <c r="D44" i="17"/>
  <c r="H43" i="17"/>
  <c r="H43" i="24" l="1"/>
  <c r="C45" i="24"/>
  <c r="I45" i="24" s="1"/>
  <c r="J45" i="24" s="1"/>
  <c r="F44" i="24"/>
  <c r="G44" i="24" s="1"/>
  <c r="L145" i="23"/>
  <c r="H43" i="23"/>
  <c r="F44" i="23"/>
  <c r="H44" i="23" s="1"/>
  <c r="Q44" i="17"/>
  <c r="S44" i="17"/>
  <c r="D45" i="17"/>
  <c r="H44" i="17"/>
  <c r="H44" i="24" l="1"/>
  <c r="F45" i="24"/>
  <c r="H45" i="24" s="1"/>
  <c r="C46" i="24"/>
  <c r="I46" i="24" s="1"/>
  <c r="J46" i="24" s="1"/>
  <c r="L146" i="23"/>
  <c r="G44" i="23"/>
  <c r="F45" i="23"/>
  <c r="G45" i="23" s="1"/>
  <c r="S45" i="17"/>
  <c r="Q45" i="17"/>
  <c r="D46" i="17"/>
  <c r="H45" i="17"/>
  <c r="C47" i="24" l="1"/>
  <c r="I47" i="24" s="1"/>
  <c r="J47" i="24" s="1"/>
  <c r="F46" i="24"/>
  <c r="H46" i="24" s="1"/>
  <c r="G45" i="24"/>
  <c r="L147" i="23"/>
  <c r="H45" i="23"/>
  <c r="F46" i="23"/>
  <c r="H46" i="23" s="1"/>
  <c r="S46" i="17"/>
  <c r="Q46" i="17"/>
  <c r="D47" i="17"/>
  <c r="H46" i="17"/>
  <c r="G46" i="24" l="1"/>
  <c r="F47" i="24"/>
  <c r="H47" i="24" s="1"/>
  <c r="C48" i="24"/>
  <c r="I48" i="24" s="1"/>
  <c r="J48" i="24" s="1"/>
  <c r="G47" i="24"/>
  <c r="L148" i="23"/>
  <c r="F47" i="23"/>
  <c r="H47" i="23" s="1"/>
  <c r="G46" i="23"/>
  <c r="Q47" i="17"/>
  <c r="S47" i="17"/>
  <c r="D48" i="17"/>
  <c r="H47" i="17"/>
  <c r="C49" i="24" l="1"/>
  <c r="I49" i="24" s="1"/>
  <c r="J49" i="24" s="1"/>
  <c r="F48" i="24"/>
  <c r="H48" i="24" s="1"/>
  <c r="L149" i="23"/>
  <c r="F48" i="23"/>
  <c r="H48" i="23" s="1"/>
  <c r="G47" i="23"/>
  <c r="Q48" i="17"/>
  <c r="S48" i="17"/>
  <c r="D49" i="17"/>
  <c r="H48" i="17"/>
  <c r="G48" i="24" l="1"/>
  <c r="C50" i="24"/>
  <c r="I50" i="24" s="1"/>
  <c r="J50" i="24" s="1"/>
  <c r="F49" i="24"/>
  <c r="H49" i="24" s="1"/>
  <c r="L150" i="23"/>
  <c r="F49" i="23"/>
  <c r="G49" i="23" s="1"/>
  <c r="G48" i="23"/>
  <c r="S49" i="17"/>
  <c r="Q49" i="17"/>
  <c r="D50" i="17"/>
  <c r="H49" i="17"/>
  <c r="G49" i="24" l="1"/>
  <c r="C51" i="24"/>
  <c r="I51" i="24" s="1"/>
  <c r="J51" i="24" s="1"/>
  <c r="F50" i="24"/>
  <c r="H50" i="24" s="1"/>
  <c r="H49" i="23"/>
  <c r="L151" i="23"/>
  <c r="F50" i="23"/>
  <c r="G50" i="23" s="1"/>
  <c r="S50" i="17"/>
  <c r="Q50" i="17"/>
  <c r="D51" i="17"/>
  <c r="H50" i="17"/>
  <c r="C52" i="24" l="1"/>
  <c r="I52" i="24" s="1"/>
  <c r="J52" i="24" s="1"/>
  <c r="F51" i="24"/>
  <c r="H51" i="24" s="1"/>
  <c r="G50" i="24"/>
  <c r="H50" i="23"/>
  <c r="L152" i="23"/>
  <c r="F51" i="23"/>
  <c r="H51" i="23" s="1"/>
  <c r="Q51" i="17"/>
  <c r="S51" i="17"/>
  <c r="D52" i="17"/>
  <c r="H51" i="17"/>
  <c r="G51" i="24" l="1"/>
  <c r="F52" i="24"/>
  <c r="H52" i="24" s="1"/>
  <c r="C53" i="24"/>
  <c r="I53" i="24" s="1"/>
  <c r="J53" i="24" s="1"/>
  <c r="L153" i="23"/>
  <c r="G51" i="23"/>
  <c r="F52" i="23"/>
  <c r="H52" i="23" s="1"/>
  <c r="Q52" i="17"/>
  <c r="S52" i="17"/>
  <c r="D53" i="17"/>
  <c r="H52" i="17"/>
  <c r="G52" i="24" l="1"/>
  <c r="F53" i="24"/>
  <c r="G53" i="24" s="1"/>
  <c r="C54" i="24"/>
  <c r="I54" i="24" s="1"/>
  <c r="J54" i="24" s="1"/>
  <c r="H53" i="24"/>
  <c r="L154" i="23"/>
  <c r="G52" i="23"/>
  <c r="F53" i="23"/>
  <c r="H53" i="23" s="1"/>
  <c r="S53" i="17"/>
  <c r="Q53" i="17"/>
  <c r="D54" i="17"/>
  <c r="H53" i="17"/>
  <c r="C55" i="24" l="1"/>
  <c r="F54" i="24"/>
  <c r="H54" i="24" s="1"/>
  <c r="L155" i="23"/>
  <c r="F54" i="23"/>
  <c r="H54" i="23" s="1"/>
  <c r="G53" i="23"/>
  <c r="S54" i="17"/>
  <c r="Q54" i="17"/>
  <c r="D55" i="17"/>
  <c r="H54" i="17"/>
  <c r="I55" i="24" l="1"/>
  <c r="J55" i="24" s="1"/>
  <c r="C56" i="24"/>
  <c r="F9" i="24"/>
  <c r="F8" i="24"/>
  <c r="G54" i="24"/>
  <c r="F55" i="24"/>
  <c r="G55" i="24" s="1"/>
  <c r="L156" i="23"/>
  <c r="F55" i="23"/>
  <c r="G55" i="23" s="1"/>
  <c r="G54" i="23"/>
  <c r="Q55" i="17"/>
  <c r="S55" i="17"/>
  <c r="D56" i="17"/>
  <c r="H55" i="17"/>
  <c r="C57" i="24" l="1"/>
  <c r="F56" i="24"/>
  <c r="H56" i="24" s="1"/>
  <c r="F10" i="24"/>
  <c r="H55" i="24"/>
  <c r="L157" i="23"/>
  <c r="F56" i="23"/>
  <c r="H56" i="23" s="1"/>
  <c r="H55" i="23"/>
  <c r="Q56" i="17"/>
  <c r="S56" i="17"/>
  <c r="D57" i="17"/>
  <c r="H56" i="17"/>
  <c r="G56" i="24" l="1"/>
  <c r="C58" i="24"/>
  <c r="F57" i="24"/>
  <c r="H57" i="24" s="1"/>
  <c r="G57" i="24"/>
  <c r="L158" i="23"/>
  <c r="F57" i="23"/>
  <c r="G57" i="23" s="1"/>
  <c r="G56" i="23"/>
  <c r="S57" i="17"/>
  <c r="Q57" i="17"/>
  <c r="D58" i="17"/>
  <c r="H57" i="17"/>
  <c r="C59" i="24" l="1"/>
  <c r="F58" i="24"/>
  <c r="H58" i="24" s="1"/>
  <c r="H57" i="23"/>
  <c r="L159" i="23"/>
  <c r="F58" i="23"/>
  <c r="G58" i="23" s="1"/>
  <c r="S58" i="17"/>
  <c r="Q58" i="17"/>
  <c r="D59" i="17"/>
  <c r="H58" i="17"/>
  <c r="G58" i="24" l="1"/>
  <c r="C60" i="24"/>
  <c r="C61" i="24" s="1"/>
  <c r="F59" i="24"/>
  <c r="G59" i="24" s="1"/>
  <c r="H58" i="23"/>
  <c r="L160" i="23"/>
  <c r="F59" i="23"/>
  <c r="G59" i="23" s="1"/>
  <c r="Q59" i="17"/>
  <c r="S59" i="17"/>
  <c r="D60" i="17"/>
  <c r="H59" i="17"/>
  <c r="C62" i="24" l="1"/>
  <c r="H59" i="24"/>
  <c r="F60" i="24"/>
  <c r="H60" i="24" s="1"/>
  <c r="G60" i="24"/>
  <c r="L161" i="23"/>
  <c r="H59" i="23"/>
  <c r="F60" i="23"/>
  <c r="H60" i="23" s="1"/>
  <c r="Q60" i="17"/>
  <c r="S60" i="17"/>
  <c r="D61" i="17"/>
  <c r="H60" i="17"/>
  <c r="C63" i="24" l="1"/>
  <c r="F61" i="24"/>
  <c r="L162" i="23"/>
  <c r="G60" i="23"/>
  <c r="F61" i="23"/>
  <c r="H61" i="23" s="1"/>
  <c r="S61" i="17"/>
  <c r="Q61" i="17"/>
  <c r="D62" i="17"/>
  <c r="H61" i="17"/>
  <c r="H61" i="24" l="1"/>
  <c r="G61" i="24"/>
  <c r="C64" i="24"/>
  <c r="F62" i="24"/>
  <c r="L163" i="23"/>
  <c r="F62" i="23"/>
  <c r="H62" i="23" s="1"/>
  <c r="G61" i="23"/>
  <c r="S62" i="17"/>
  <c r="Q62" i="17"/>
  <c r="D63" i="17"/>
  <c r="H62" i="17"/>
  <c r="H62" i="24" l="1"/>
  <c r="G62" i="24"/>
  <c r="F63" i="24"/>
  <c r="F64" i="24" s="1"/>
  <c r="C65" i="24"/>
  <c r="L164" i="23"/>
  <c r="F63" i="23"/>
  <c r="G63" i="23" s="1"/>
  <c r="G62" i="23"/>
  <c r="Q63" i="17"/>
  <c r="S63" i="17"/>
  <c r="D64" i="17"/>
  <c r="H63" i="17"/>
  <c r="H64" i="24" l="1"/>
  <c r="G64" i="24"/>
  <c r="H63" i="24"/>
  <c r="G63" i="24"/>
  <c r="C66" i="24"/>
  <c r="F65" i="24"/>
  <c r="H65" i="24" s="1"/>
  <c r="L165" i="23"/>
  <c r="H63" i="23"/>
  <c r="F64" i="23"/>
  <c r="H64" i="23" s="1"/>
  <c r="Q64" i="17"/>
  <c r="S64" i="17"/>
  <c r="D65" i="17"/>
  <c r="H64" i="17"/>
  <c r="C67" i="24" l="1"/>
  <c r="F66" i="24"/>
  <c r="H66" i="24" s="1"/>
  <c r="G65" i="24"/>
  <c r="G64" i="23"/>
  <c r="L166" i="23"/>
  <c r="F65" i="23"/>
  <c r="H65" i="23" s="1"/>
  <c r="S65" i="17"/>
  <c r="Q65" i="17"/>
  <c r="D66" i="17"/>
  <c r="H65" i="17"/>
  <c r="G66" i="24" l="1"/>
  <c r="F67" i="24"/>
  <c r="H67" i="24" s="1"/>
  <c r="C68" i="24"/>
  <c r="G67" i="24"/>
  <c r="G65" i="23"/>
  <c r="L167" i="23"/>
  <c r="F66" i="23"/>
  <c r="H66" i="23" s="1"/>
  <c r="S66" i="17"/>
  <c r="Q66" i="17"/>
  <c r="D67" i="17"/>
  <c r="H66" i="17"/>
  <c r="F68" i="24" l="1"/>
  <c r="H68" i="24" s="1"/>
  <c r="C69" i="24"/>
  <c r="G68" i="24"/>
  <c r="L168" i="23"/>
  <c r="G66" i="23"/>
  <c r="F67" i="23"/>
  <c r="H67" i="23" s="1"/>
  <c r="Q67" i="17"/>
  <c r="S67" i="17"/>
  <c r="D68" i="17"/>
  <c r="H67" i="17"/>
  <c r="C70" i="24" l="1"/>
  <c r="F69" i="24"/>
  <c r="H69" i="24" s="1"/>
  <c r="G69" i="24"/>
  <c r="L169" i="23"/>
  <c r="G67" i="23"/>
  <c r="F68" i="23"/>
  <c r="H68" i="23" s="1"/>
  <c r="Q68" i="17"/>
  <c r="S68" i="17"/>
  <c r="D69" i="17"/>
  <c r="H68" i="17"/>
  <c r="C71" i="24" l="1"/>
  <c r="F70" i="24"/>
  <c r="H70" i="24" s="1"/>
  <c r="G70" i="24"/>
  <c r="G68" i="23"/>
  <c r="L170" i="23"/>
  <c r="F69" i="23"/>
  <c r="H69" i="23" s="1"/>
  <c r="S69" i="17"/>
  <c r="Q69" i="17"/>
  <c r="D70" i="17"/>
  <c r="H69" i="17"/>
  <c r="F71" i="24" l="1"/>
  <c r="C72" i="24"/>
  <c r="H71" i="24"/>
  <c r="G71" i="24"/>
  <c r="L171" i="23"/>
  <c r="G69" i="23"/>
  <c r="F70" i="23"/>
  <c r="H70" i="23" s="1"/>
  <c r="S70" i="17"/>
  <c r="Q70" i="17"/>
  <c r="D71" i="17"/>
  <c r="H70" i="17"/>
  <c r="C73" i="24" l="1"/>
  <c r="F72" i="24"/>
  <c r="G72" i="24" s="1"/>
  <c r="H72" i="24"/>
  <c r="L172" i="23"/>
  <c r="F71" i="23"/>
  <c r="H71" i="23" s="1"/>
  <c r="G70" i="23"/>
  <c r="Q71" i="17"/>
  <c r="S71" i="17"/>
  <c r="D72" i="17"/>
  <c r="H71" i="17"/>
  <c r="C74" i="24" l="1"/>
  <c r="F73" i="24"/>
  <c r="H73" i="24" s="1"/>
  <c r="G73" i="24"/>
  <c r="L173" i="23"/>
  <c r="G71" i="23"/>
  <c r="F72" i="23"/>
  <c r="H72" i="23" s="1"/>
  <c r="Q72" i="17"/>
  <c r="S72" i="17"/>
  <c r="D73" i="17"/>
  <c r="H72" i="17"/>
  <c r="C75" i="24" l="1"/>
  <c r="F74" i="24"/>
  <c r="H74" i="24" s="1"/>
  <c r="G74" i="24"/>
  <c r="L174" i="23"/>
  <c r="G72" i="23"/>
  <c r="F73" i="23"/>
  <c r="H73" i="23" s="1"/>
  <c r="S73" i="17"/>
  <c r="Q73" i="17"/>
  <c r="D74" i="17"/>
  <c r="H73" i="17"/>
  <c r="F75" i="24" l="1"/>
  <c r="C76" i="24"/>
  <c r="H75" i="24"/>
  <c r="G75" i="24"/>
  <c r="L175" i="23"/>
  <c r="G73" i="23"/>
  <c r="F74" i="23"/>
  <c r="H74" i="23" s="1"/>
  <c r="S74" i="17"/>
  <c r="Q74" i="17"/>
  <c r="D75" i="17"/>
  <c r="H74" i="17"/>
  <c r="C77" i="24" l="1"/>
  <c r="F76" i="24"/>
  <c r="G76" i="24" s="1"/>
  <c r="H76" i="24"/>
  <c r="L176" i="23"/>
  <c r="G74" i="23"/>
  <c r="F75" i="23"/>
  <c r="G75" i="23" s="1"/>
  <c r="Q75" i="17"/>
  <c r="S75" i="17"/>
  <c r="D76" i="17"/>
  <c r="H75" i="17"/>
  <c r="C78" i="24" l="1"/>
  <c r="F77" i="24"/>
  <c r="H77" i="24" s="1"/>
  <c r="L177" i="23"/>
  <c r="H75" i="23"/>
  <c r="F76" i="23"/>
  <c r="H76" i="23" s="1"/>
  <c r="D283" i="17"/>
  <c r="Q76" i="17"/>
  <c r="S76" i="17"/>
  <c r="D77" i="17"/>
  <c r="H76" i="17"/>
  <c r="G77" i="24" l="1"/>
  <c r="F78" i="24"/>
  <c r="G78" i="24"/>
  <c r="C10" i="24" s="1"/>
  <c r="G76" i="23"/>
  <c r="L178" i="23"/>
  <c r="F77" i="23"/>
  <c r="H77" i="23" s="1"/>
  <c r="D284" i="17"/>
  <c r="H283" i="17"/>
  <c r="S77" i="17"/>
  <c r="Q77" i="17"/>
  <c r="D78" i="17"/>
  <c r="H77" i="17"/>
  <c r="H78" i="24" l="1"/>
  <c r="C11" i="24" s="1"/>
  <c r="C12" i="24"/>
  <c r="L179" i="23"/>
  <c r="G77" i="23"/>
  <c r="F78" i="23"/>
  <c r="G78" i="23" s="1"/>
  <c r="H284" i="17"/>
  <c r="D285" i="17"/>
  <c r="S78" i="17"/>
  <c r="Q78" i="17"/>
  <c r="D79" i="17"/>
  <c r="H78" i="17"/>
  <c r="L180" i="23" l="1"/>
  <c r="H78" i="23"/>
  <c r="F79" i="23"/>
  <c r="G79" i="23" s="1"/>
  <c r="D286" i="17"/>
  <c r="H285" i="17"/>
  <c r="Q79" i="17"/>
  <c r="S79" i="17"/>
  <c r="D80" i="17"/>
  <c r="H79" i="17"/>
  <c r="L181" i="23" l="1"/>
  <c r="H79" i="23"/>
  <c r="F80" i="23"/>
  <c r="H80" i="23" s="1"/>
  <c r="H286" i="17"/>
  <c r="D287" i="17"/>
  <c r="Q80" i="17"/>
  <c r="S80" i="17"/>
  <c r="D81" i="17"/>
  <c r="H80" i="17"/>
  <c r="G80" i="23" l="1"/>
  <c r="L182" i="23"/>
  <c r="F81" i="23"/>
  <c r="H81" i="23" s="1"/>
  <c r="D288" i="17"/>
  <c r="H287" i="17"/>
  <c r="S81" i="17"/>
  <c r="Q81" i="17"/>
  <c r="D82" i="17"/>
  <c r="H81" i="17"/>
  <c r="L183" i="23" l="1"/>
  <c r="G81" i="23"/>
  <c r="F82" i="23"/>
  <c r="G82" i="23" s="1"/>
  <c r="H288" i="17"/>
  <c r="D289" i="17"/>
  <c r="S82" i="17"/>
  <c r="Q82" i="17"/>
  <c r="D83" i="17"/>
  <c r="H82" i="17"/>
  <c r="H82" i="23" l="1"/>
  <c r="L184" i="23"/>
  <c r="F83" i="23"/>
  <c r="H83" i="23" s="1"/>
  <c r="D290" i="17"/>
  <c r="H289" i="17"/>
  <c r="Q83" i="17"/>
  <c r="S83" i="17"/>
  <c r="D84" i="17"/>
  <c r="H83" i="17"/>
  <c r="L185" i="23" l="1"/>
  <c r="G83" i="23"/>
  <c r="F84" i="23"/>
  <c r="H84" i="23" s="1"/>
  <c r="H290" i="17"/>
  <c r="D291" i="17"/>
  <c r="Q84" i="17"/>
  <c r="S84" i="17"/>
  <c r="D85" i="17"/>
  <c r="H84" i="17"/>
  <c r="L186" i="23" l="1"/>
  <c r="F85" i="23"/>
  <c r="G85" i="23" s="1"/>
  <c r="G84" i="23"/>
  <c r="D292" i="17"/>
  <c r="H291" i="17"/>
  <c r="S85" i="17"/>
  <c r="Q85" i="17"/>
  <c r="D86" i="17"/>
  <c r="H85" i="17"/>
  <c r="L187" i="23" l="1"/>
  <c r="H85" i="23"/>
  <c r="F86" i="23"/>
  <c r="G86" i="23" s="1"/>
  <c r="H292" i="17"/>
  <c r="D293" i="17"/>
  <c r="S86" i="17"/>
  <c r="Q86" i="17"/>
  <c r="D87" i="17"/>
  <c r="H86" i="17"/>
  <c r="L188" i="23" l="1"/>
  <c r="H86" i="23"/>
  <c r="F87" i="23"/>
  <c r="H87" i="23" s="1"/>
  <c r="D294" i="17"/>
  <c r="H293" i="17"/>
  <c r="Q87" i="17"/>
  <c r="S87" i="17"/>
  <c r="D88" i="17"/>
  <c r="H87" i="17"/>
  <c r="L189" i="23" l="1"/>
  <c r="F88" i="23"/>
  <c r="G88" i="23" s="1"/>
  <c r="G87" i="23"/>
  <c r="H294" i="17"/>
  <c r="D295" i="17"/>
  <c r="Q88" i="17"/>
  <c r="S88" i="17"/>
  <c r="D89" i="17"/>
  <c r="H88" i="17"/>
  <c r="L190" i="23" l="1"/>
  <c r="H88" i="23"/>
  <c r="F89" i="23"/>
  <c r="G89" i="23" s="1"/>
  <c r="D296" i="17"/>
  <c r="H295" i="17"/>
  <c r="S89" i="17"/>
  <c r="Q89" i="17"/>
  <c r="D90" i="17"/>
  <c r="H89" i="17"/>
  <c r="L191" i="23" l="1"/>
  <c r="H89" i="23"/>
  <c r="F90" i="23"/>
  <c r="G90" i="23" s="1"/>
  <c r="H296" i="17"/>
  <c r="D297" i="17"/>
  <c r="S90" i="17"/>
  <c r="Q90" i="17"/>
  <c r="D91" i="17"/>
  <c r="H90" i="17"/>
  <c r="L192" i="23" l="1"/>
  <c r="H90" i="23"/>
  <c r="F91" i="23"/>
  <c r="G91" i="23" s="1"/>
  <c r="D298" i="17"/>
  <c r="H297" i="17"/>
  <c r="Q91" i="17"/>
  <c r="S91" i="17"/>
  <c r="D92" i="17"/>
  <c r="H91" i="17"/>
  <c r="L193" i="23" l="1"/>
  <c r="H91" i="23"/>
  <c r="F92" i="23"/>
  <c r="G92" i="23" s="1"/>
  <c r="H298" i="17"/>
  <c r="D299" i="17"/>
  <c r="H299" i="17" s="1"/>
  <c r="Q92" i="17"/>
  <c r="S92" i="17"/>
  <c r="D93" i="17"/>
  <c r="H92" i="17"/>
  <c r="H92" i="23" l="1"/>
  <c r="L194" i="23"/>
  <c r="F93" i="23"/>
  <c r="H93" i="23" s="1"/>
  <c r="S93" i="17"/>
  <c r="Q93" i="17"/>
  <c r="D94" i="17"/>
  <c r="H93" i="17"/>
  <c r="L195" i="23" l="1"/>
  <c r="G93" i="23"/>
  <c r="F94" i="23"/>
  <c r="G94" i="23" s="1"/>
  <c r="S94" i="17"/>
  <c r="Q94" i="17"/>
  <c r="D95" i="17"/>
  <c r="H94" i="17"/>
  <c r="L196" i="23" l="1"/>
  <c r="F95" i="23"/>
  <c r="H95" i="23" s="1"/>
  <c r="H94" i="23"/>
  <c r="Q95" i="17"/>
  <c r="S95" i="17"/>
  <c r="D96" i="17"/>
  <c r="H95" i="17"/>
  <c r="L197" i="23" l="1"/>
  <c r="G95" i="23"/>
  <c r="F96" i="23"/>
  <c r="H96" i="23" s="1"/>
  <c r="Q96" i="17"/>
  <c r="S96" i="17"/>
  <c r="D97" i="17"/>
  <c r="H96" i="17"/>
  <c r="L198" i="23" l="1"/>
  <c r="F97" i="23"/>
  <c r="H97" i="23" s="1"/>
  <c r="G96" i="23"/>
  <c r="S97" i="17"/>
  <c r="Q97" i="17"/>
  <c r="D98" i="17"/>
  <c r="H97" i="17"/>
  <c r="L199" i="23" l="1"/>
  <c r="F98" i="23"/>
  <c r="F99" i="23" s="1"/>
  <c r="G97" i="23"/>
  <c r="S98" i="17"/>
  <c r="Q98" i="17"/>
  <c r="D99" i="17"/>
  <c r="H98" i="17"/>
  <c r="H99" i="23" l="1"/>
  <c r="G99" i="23"/>
  <c r="L200" i="23"/>
  <c r="F100" i="23"/>
  <c r="G100" i="23" s="1"/>
  <c r="H98" i="23"/>
  <c r="G98" i="23"/>
  <c r="Q99" i="17"/>
  <c r="S99" i="17"/>
  <c r="D100" i="17"/>
  <c r="H99" i="17"/>
  <c r="H100" i="23" l="1"/>
  <c r="L201" i="23"/>
  <c r="F101" i="23"/>
  <c r="G101" i="23" s="1"/>
  <c r="Q100" i="17"/>
  <c r="S100" i="17"/>
  <c r="D101" i="17"/>
  <c r="H100" i="17"/>
  <c r="L202" i="23" l="1"/>
  <c r="H101" i="23"/>
  <c r="F102" i="23"/>
  <c r="G102" i="23" s="1"/>
  <c r="S101" i="17"/>
  <c r="Q101" i="17"/>
  <c r="D102" i="17"/>
  <c r="H101" i="17"/>
  <c r="L203" i="23" l="1"/>
  <c r="H102" i="23"/>
  <c r="F103" i="23"/>
  <c r="H103" i="23" s="1"/>
  <c r="S102" i="17"/>
  <c r="Q102" i="17"/>
  <c r="D103" i="17"/>
  <c r="H102" i="17"/>
  <c r="L204" i="23" l="1"/>
  <c r="F104" i="23"/>
  <c r="G104" i="23" s="1"/>
  <c r="G103" i="23"/>
  <c r="Q103" i="17"/>
  <c r="S103" i="17"/>
  <c r="D104" i="17"/>
  <c r="H103" i="17"/>
  <c r="L205" i="23" l="1"/>
  <c r="H104" i="23"/>
  <c r="F105" i="23"/>
  <c r="H105" i="23" s="1"/>
  <c r="Q104" i="17"/>
  <c r="S104" i="17"/>
  <c r="D105" i="17"/>
  <c r="H104" i="17"/>
  <c r="L206" i="23" l="1"/>
  <c r="G105" i="23"/>
  <c r="F106" i="23"/>
  <c r="H106" i="23" s="1"/>
  <c r="S105" i="17"/>
  <c r="Q105" i="17"/>
  <c r="D106" i="17"/>
  <c r="H105" i="17"/>
  <c r="G106" i="23" l="1"/>
  <c r="L207" i="23"/>
  <c r="F107" i="23"/>
  <c r="G107" i="23" s="1"/>
  <c r="S106" i="17"/>
  <c r="Q106" i="17"/>
  <c r="D107" i="17"/>
  <c r="H106" i="17"/>
  <c r="L208" i="23" l="1"/>
  <c r="H107" i="23"/>
  <c r="F108" i="23"/>
  <c r="G108" i="23" s="1"/>
  <c r="Q107" i="17"/>
  <c r="S107" i="17"/>
  <c r="D108" i="17"/>
  <c r="H107" i="17"/>
  <c r="L209" i="23" l="1"/>
  <c r="H108" i="23"/>
  <c r="F109" i="23"/>
  <c r="G109" i="23" s="1"/>
  <c r="Q108" i="17"/>
  <c r="S108" i="17"/>
  <c r="D109" i="17"/>
  <c r="H108" i="17"/>
  <c r="L210" i="23" l="1"/>
  <c r="H109" i="23"/>
  <c r="F110" i="23"/>
  <c r="H110" i="23" s="1"/>
  <c r="S109" i="17"/>
  <c r="Q109" i="17"/>
  <c r="D110" i="17"/>
  <c r="H109" i="17"/>
  <c r="L211" i="23" l="1"/>
  <c r="F111" i="23"/>
  <c r="H111" i="23" s="1"/>
  <c r="G110" i="23"/>
  <c r="S110" i="17"/>
  <c r="Q110" i="17"/>
  <c r="D111" i="17"/>
  <c r="H110" i="17"/>
  <c r="L212" i="23" l="1"/>
  <c r="G111" i="23"/>
  <c r="F112" i="23"/>
  <c r="G112" i="23" s="1"/>
  <c r="Q111" i="17"/>
  <c r="S111" i="17"/>
  <c r="D112" i="17"/>
  <c r="H111" i="17"/>
  <c r="H112" i="23" l="1"/>
  <c r="L213" i="23"/>
  <c r="F113" i="23"/>
  <c r="G113" i="23" s="1"/>
  <c r="Q112" i="17"/>
  <c r="S112" i="17"/>
  <c r="D113" i="17"/>
  <c r="H112" i="17"/>
  <c r="L214" i="23" l="1"/>
  <c r="H113" i="23"/>
  <c r="F114" i="23"/>
  <c r="H114" i="23" s="1"/>
  <c r="S113" i="17"/>
  <c r="Q113" i="17"/>
  <c r="D114" i="17"/>
  <c r="H113" i="17"/>
  <c r="L215" i="23" l="1"/>
  <c r="G114" i="23"/>
  <c r="F115" i="23"/>
  <c r="G115" i="23" s="1"/>
  <c r="S114" i="17"/>
  <c r="Q114" i="17"/>
  <c r="D115" i="17"/>
  <c r="H114" i="17"/>
  <c r="H115" i="23" l="1"/>
  <c r="L216" i="23"/>
  <c r="F116" i="23"/>
  <c r="G116" i="23" s="1"/>
  <c r="Q115" i="17"/>
  <c r="S115" i="17"/>
  <c r="D116" i="17"/>
  <c r="H115" i="17"/>
  <c r="H116" i="23" l="1"/>
  <c r="L217" i="23"/>
  <c r="F117" i="23"/>
  <c r="G117" i="23" s="1"/>
  <c r="Q116" i="17"/>
  <c r="S116" i="17"/>
  <c r="D117" i="17"/>
  <c r="H116" i="17"/>
  <c r="L218" i="23" l="1"/>
  <c r="H117" i="23"/>
  <c r="F118" i="23"/>
  <c r="H118" i="23" s="1"/>
  <c r="S117" i="17"/>
  <c r="Q117" i="17"/>
  <c r="D118" i="17"/>
  <c r="H117" i="17"/>
  <c r="G118" i="23" l="1"/>
  <c r="L219" i="23"/>
  <c r="F119" i="23"/>
  <c r="H119" i="23" s="1"/>
  <c r="S118" i="17"/>
  <c r="Q118" i="17"/>
  <c r="D119" i="17"/>
  <c r="H118" i="17"/>
  <c r="L220" i="23" l="1"/>
  <c r="G119" i="23"/>
  <c r="F120" i="23"/>
  <c r="H120" i="23" s="1"/>
  <c r="Q119" i="17"/>
  <c r="S119" i="17"/>
  <c r="D120" i="17"/>
  <c r="H119" i="17"/>
  <c r="G120" i="23" l="1"/>
  <c r="L221" i="23"/>
  <c r="F121" i="23"/>
  <c r="G121" i="23" s="1"/>
  <c r="Q120" i="17"/>
  <c r="S120" i="17"/>
  <c r="D121" i="17"/>
  <c r="H120" i="17"/>
  <c r="L222" i="23" l="1"/>
  <c r="H121" i="23"/>
  <c r="F122" i="23"/>
  <c r="F123" i="23" s="1"/>
  <c r="S121" i="17"/>
  <c r="Q121" i="17"/>
  <c r="D122" i="17"/>
  <c r="H121" i="17"/>
  <c r="L223" i="23" l="1"/>
  <c r="F124" i="23"/>
  <c r="H123" i="23"/>
  <c r="G123" i="23"/>
  <c r="H122" i="23"/>
  <c r="G122" i="23"/>
  <c r="S122" i="17"/>
  <c r="Q122" i="17"/>
  <c r="D123" i="17"/>
  <c r="H122" i="17"/>
  <c r="L224" i="23" l="1"/>
  <c r="F125" i="23"/>
  <c r="H124" i="23"/>
  <c r="G124" i="23"/>
  <c r="Q123" i="17"/>
  <c r="S123" i="17"/>
  <c r="D124" i="17"/>
  <c r="H123" i="17"/>
  <c r="L225" i="23" l="1"/>
  <c r="F126" i="23"/>
  <c r="H125" i="23"/>
  <c r="G125" i="23"/>
  <c r="Q124" i="17"/>
  <c r="S124" i="17"/>
  <c r="D125" i="17"/>
  <c r="H124" i="17"/>
  <c r="L226" i="23" l="1"/>
  <c r="F127" i="23"/>
  <c r="H126" i="23"/>
  <c r="G126" i="23"/>
  <c r="S125" i="17"/>
  <c r="Q125" i="17"/>
  <c r="D126" i="17"/>
  <c r="H125" i="17"/>
  <c r="L227" i="23" l="1"/>
  <c r="H127" i="23"/>
  <c r="G127" i="23"/>
  <c r="F128" i="23"/>
  <c r="S126" i="17"/>
  <c r="Q126" i="17"/>
  <c r="D127" i="17"/>
  <c r="H126" i="17"/>
  <c r="L228" i="23" l="1"/>
  <c r="H128" i="23"/>
  <c r="G128" i="23"/>
  <c r="F129" i="23"/>
  <c r="Q127" i="17"/>
  <c r="S127" i="17"/>
  <c r="D128" i="17"/>
  <c r="H127" i="17"/>
  <c r="L229" i="23" l="1"/>
  <c r="H129" i="23"/>
  <c r="F130" i="23"/>
  <c r="G129" i="23"/>
  <c r="Q128" i="17"/>
  <c r="S128" i="17"/>
  <c r="D129" i="17"/>
  <c r="H129" i="17" s="1"/>
  <c r="H128" i="17"/>
  <c r="L230" i="23" l="1"/>
  <c r="F131" i="23"/>
  <c r="G130" i="23"/>
  <c r="H130" i="23"/>
  <c r="S129" i="17"/>
  <c r="Q129" i="17"/>
  <c r="D130" i="17"/>
  <c r="H130" i="17" s="1"/>
  <c r="L231" i="23" l="1"/>
  <c r="H131" i="23"/>
  <c r="G131" i="23"/>
  <c r="F132" i="23"/>
  <c r="D131" i="17"/>
  <c r="H131" i="17" s="1"/>
  <c r="S130" i="17"/>
  <c r="Q130" i="17"/>
  <c r="L232" i="23" l="1"/>
  <c r="H132" i="23"/>
  <c r="G132" i="23"/>
  <c r="F133" i="23"/>
  <c r="D132" i="17"/>
  <c r="H132" i="17" s="1"/>
  <c r="Q131" i="17"/>
  <c r="S131" i="17"/>
  <c r="L233" i="23" l="1"/>
  <c r="G133" i="23"/>
  <c r="H133" i="23"/>
  <c r="F134" i="23"/>
  <c r="D133" i="17"/>
  <c r="H133" i="17" s="1"/>
  <c r="Q132" i="17"/>
  <c r="S132" i="17"/>
  <c r="L234" i="23" l="1"/>
  <c r="G134" i="23"/>
  <c r="F135" i="23"/>
  <c r="H134" i="23"/>
  <c r="D134" i="17"/>
  <c r="S133" i="17"/>
  <c r="Q133" i="17"/>
  <c r="L235" i="23" l="1"/>
  <c r="G135" i="23"/>
  <c r="H135" i="23"/>
  <c r="F136" i="23"/>
  <c r="H134" i="17"/>
  <c r="Q134" i="17"/>
  <c r="D135" i="17"/>
  <c r="S134" i="17"/>
  <c r="L236" i="23" l="1"/>
  <c r="H136" i="23"/>
  <c r="G136" i="23"/>
  <c r="F137" i="23"/>
  <c r="H135" i="17"/>
  <c r="Q135" i="17"/>
  <c r="D136" i="17"/>
  <c r="S135" i="17"/>
  <c r="L237" i="23" l="1"/>
  <c r="G137" i="23"/>
  <c r="F138" i="23"/>
  <c r="H137" i="23"/>
  <c r="Q136" i="17"/>
  <c r="H136" i="17"/>
  <c r="D137" i="17"/>
  <c r="S136" i="17"/>
  <c r="L238" i="23" l="1"/>
  <c r="F139" i="23"/>
  <c r="H138" i="23"/>
  <c r="G138" i="23"/>
  <c r="Q137" i="17"/>
  <c r="H137" i="17"/>
  <c r="D138" i="17"/>
  <c r="S137" i="17"/>
  <c r="L239" i="23" l="1"/>
  <c r="F140" i="23"/>
  <c r="H139" i="23"/>
  <c r="G139" i="23"/>
  <c r="Q138" i="17"/>
  <c r="H138" i="17"/>
  <c r="D139" i="17"/>
  <c r="S138" i="17"/>
  <c r="L240" i="23" l="1"/>
  <c r="H140" i="23"/>
  <c r="G140" i="23"/>
  <c r="F141" i="23"/>
  <c r="Q139" i="17"/>
  <c r="H139" i="17"/>
  <c r="D140" i="17"/>
  <c r="S139" i="17"/>
  <c r="L241" i="23" l="1"/>
  <c r="G141" i="23"/>
  <c r="H141" i="23"/>
  <c r="F142" i="23"/>
  <c r="Q140" i="17"/>
  <c r="H140" i="17"/>
  <c r="D141" i="17"/>
  <c r="H141" i="17" s="1"/>
  <c r="L242" i="23" l="1"/>
  <c r="F143" i="23"/>
  <c r="H142" i="23"/>
  <c r="G142" i="23"/>
  <c r="D142" i="17"/>
  <c r="H142" i="17" s="1"/>
  <c r="Q141" i="17"/>
  <c r="L243" i="23" l="1"/>
  <c r="F144" i="23"/>
  <c r="G143" i="23"/>
  <c r="H143" i="23"/>
  <c r="D143" i="17"/>
  <c r="H143" i="17" s="1"/>
  <c r="Q142" i="17"/>
  <c r="L244" i="23" l="1"/>
  <c r="H144" i="23"/>
  <c r="F145" i="23"/>
  <c r="G144" i="23"/>
  <c r="D144" i="17"/>
  <c r="H144" i="17" s="1"/>
  <c r="Q143" i="17"/>
  <c r="L245" i="23" l="1"/>
  <c r="G145" i="23"/>
  <c r="H145" i="23"/>
  <c r="F146" i="23"/>
  <c r="D145" i="17"/>
  <c r="H145" i="17" s="1"/>
  <c r="Q144" i="17"/>
  <c r="L246" i="23" l="1"/>
  <c r="F147" i="23"/>
  <c r="H146" i="23"/>
  <c r="G146" i="23"/>
  <c r="D146" i="17"/>
  <c r="Q145" i="17"/>
  <c r="L247" i="23" l="1"/>
  <c r="H147" i="23"/>
  <c r="G147" i="23"/>
  <c r="F148" i="23"/>
  <c r="D147" i="17"/>
  <c r="H146" i="17"/>
  <c r="L248" i="23" l="1"/>
  <c r="H148" i="23"/>
  <c r="F149" i="23"/>
  <c r="G148" i="23"/>
  <c r="D148" i="17"/>
  <c r="H147" i="17"/>
  <c r="L249" i="23" l="1"/>
  <c r="H149" i="23"/>
  <c r="F150" i="23"/>
  <c r="G149" i="23"/>
  <c r="D149" i="17"/>
  <c r="H148" i="17"/>
  <c r="L250" i="23" l="1"/>
  <c r="F151" i="23"/>
  <c r="H150" i="23"/>
  <c r="G150" i="23"/>
  <c r="D150" i="17"/>
  <c r="H149" i="17"/>
  <c r="L251" i="23" l="1"/>
  <c r="H151" i="23"/>
  <c r="F152" i="23"/>
  <c r="G151" i="23"/>
  <c r="D151" i="17"/>
  <c r="H150" i="17"/>
  <c r="L252" i="23" l="1"/>
  <c r="G152" i="23"/>
  <c r="F153" i="23"/>
  <c r="H152" i="23"/>
  <c r="D152" i="17"/>
  <c r="H151" i="17"/>
  <c r="L253" i="23" l="1"/>
  <c r="G153" i="23"/>
  <c r="H153" i="23"/>
  <c r="F154" i="23"/>
  <c r="D153" i="17"/>
  <c r="H152" i="17"/>
  <c r="L254" i="23" l="1"/>
  <c r="H154" i="23"/>
  <c r="G154" i="23"/>
  <c r="F155" i="23"/>
  <c r="D154" i="17"/>
  <c r="H153" i="17"/>
  <c r="L255" i="23" l="1"/>
  <c r="F156" i="23"/>
  <c r="H155" i="23"/>
  <c r="G155" i="23"/>
  <c r="D155" i="17"/>
  <c r="H154" i="17"/>
  <c r="L256" i="23" l="1"/>
  <c r="F157" i="23"/>
  <c r="G156" i="23"/>
  <c r="H156" i="23"/>
  <c r="D156" i="17"/>
  <c r="H155" i="17"/>
  <c r="L257" i="23" l="1"/>
  <c r="G157" i="23"/>
  <c r="F158" i="23"/>
  <c r="G158" i="23" s="1"/>
  <c r="H157" i="23"/>
  <c r="D157" i="17"/>
  <c r="H156" i="17"/>
  <c r="L258" i="23" l="1"/>
  <c r="F159" i="23"/>
  <c r="G159" i="23" s="1"/>
  <c r="H158" i="23"/>
  <c r="D158" i="17"/>
  <c r="H157" i="17"/>
  <c r="L259" i="23" l="1"/>
  <c r="H159" i="23"/>
  <c r="F160" i="23"/>
  <c r="G160" i="23" s="1"/>
  <c r="D159" i="17"/>
  <c r="H158" i="17"/>
  <c r="L260" i="23" l="1"/>
  <c r="F161" i="23"/>
  <c r="H160" i="23"/>
  <c r="D160" i="17"/>
  <c r="H159" i="17"/>
  <c r="L261" i="23" l="1"/>
  <c r="F162" i="23"/>
  <c r="H161" i="23"/>
  <c r="G161" i="23"/>
  <c r="D161" i="17"/>
  <c r="H160" i="17"/>
  <c r="L262" i="23" l="1"/>
  <c r="G162" i="23"/>
  <c r="H162" i="23"/>
  <c r="F163" i="23"/>
  <c r="D162" i="17"/>
  <c r="H161" i="17"/>
  <c r="L263" i="23" l="1"/>
  <c r="F164" i="23"/>
  <c r="H163" i="23"/>
  <c r="G163" i="23"/>
  <c r="D163" i="17"/>
  <c r="H162" i="17"/>
  <c r="L264" i="23" l="1"/>
  <c r="G164" i="23"/>
  <c r="F165" i="23"/>
  <c r="H164" i="23"/>
  <c r="D164" i="17"/>
  <c r="H163" i="17"/>
  <c r="L265" i="23" l="1"/>
  <c r="H165" i="23"/>
  <c r="G165" i="23"/>
  <c r="F166" i="23"/>
  <c r="D165" i="17"/>
  <c r="H164" i="17"/>
  <c r="L266" i="23" l="1"/>
  <c r="G166" i="23"/>
  <c r="H166" i="23"/>
  <c r="F167" i="23"/>
  <c r="D166" i="17"/>
  <c r="H165" i="17"/>
  <c r="L267" i="23" l="1"/>
  <c r="F168" i="23"/>
  <c r="H167" i="23"/>
  <c r="G167" i="23"/>
  <c r="D167" i="17"/>
  <c r="H166" i="17"/>
  <c r="L268" i="23" l="1"/>
  <c r="H168" i="23"/>
  <c r="G168" i="23"/>
  <c r="F169" i="23"/>
  <c r="D168" i="17"/>
  <c r="H167" i="17"/>
  <c r="L269" i="23" l="1"/>
  <c r="H169" i="23"/>
  <c r="F170" i="23"/>
  <c r="G169" i="23"/>
  <c r="D169" i="17"/>
  <c r="H168" i="17"/>
  <c r="L270" i="23" l="1"/>
  <c r="H170" i="23"/>
  <c r="F171" i="23"/>
  <c r="G170" i="23"/>
  <c r="D170" i="17"/>
  <c r="H169" i="17"/>
  <c r="L271" i="23" l="1"/>
  <c r="F172" i="23"/>
  <c r="G171" i="23"/>
  <c r="H171" i="23"/>
  <c r="D171" i="17"/>
  <c r="H170" i="17"/>
  <c r="L272" i="23" l="1"/>
  <c r="F173" i="23"/>
  <c r="H172" i="23"/>
  <c r="G172" i="23"/>
  <c r="D172" i="17"/>
  <c r="H171" i="17"/>
  <c r="L273" i="23" l="1"/>
  <c r="H173" i="23"/>
  <c r="G173" i="23"/>
  <c r="F174" i="23"/>
  <c r="D173" i="17"/>
  <c r="H172" i="17"/>
  <c r="L274" i="23" l="1"/>
  <c r="G174" i="23"/>
  <c r="F175" i="23"/>
  <c r="H174" i="23"/>
  <c r="D174" i="17"/>
  <c r="H173" i="17"/>
  <c r="L275" i="23" l="1"/>
  <c r="H175" i="23"/>
  <c r="F176" i="23"/>
  <c r="G175" i="23"/>
  <c r="D175" i="17"/>
  <c r="H174" i="17"/>
  <c r="L276" i="23" l="1"/>
  <c r="G176" i="23"/>
  <c r="H176" i="23"/>
  <c r="F177" i="23"/>
  <c r="D176" i="17"/>
  <c r="H175" i="17"/>
  <c r="L277" i="23" l="1"/>
  <c r="F178" i="23"/>
  <c r="H177" i="23"/>
  <c r="G177" i="23"/>
  <c r="D177" i="17"/>
  <c r="H176" i="17"/>
  <c r="L278" i="23" l="1"/>
  <c r="G178" i="23"/>
  <c r="H178" i="23"/>
  <c r="F179" i="23"/>
  <c r="D178" i="17"/>
  <c r="H177" i="17"/>
  <c r="L279" i="23" l="1"/>
  <c r="F180" i="23"/>
  <c r="H179" i="23"/>
  <c r="G179" i="23"/>
  <c r="D179" i="17"/>
  <c r="H178" i="17"/>
  <c r="L280" i="23" l="1"/>
  <c r="G180" i="23"/>
  <c r="F181" i="23"/>
  <c r="H180" i="23"/>
  <c r="D180" i="17"/>
  <c r="H179" i="17"/>
  <c r="L281" i="23" l="1"/>
  <c r="H181" i="23"/>
  <c r="F182" i="23"/>
  <c r="G181" i="23"/>
  <c r="D181" i="17"/>
  <c r="H180" i="17"/>
  <c r="L282" i="23" l="1"/>
  <c r="F183" i="23"/>
  <c r="G182" i="23"/>
  <c r="H182" i="23"/>
  <c r="D182" i="17"/>
  <c r="H181" i="17"/>
  <c r="L283" i="23" l="1"/>
  <c r="F184" i="23"/>
  <c r="H183" i="23"/>
  <c r="G183" i="23"/>
  <c r="D183" i="17"/>
  <c r="H182" i="17"/>
  <c r="L284" i="23" l="1"/>
  <c r="H184" i="23"/>
  <c r="F185" i="23"/>
  <c r="G184" i="23"/>
  <c r="D184" i="17"/>
  <c r="H183" i="17"/>
  <c r="L285" i="23" l="1"/>
  <c r="H185" i="23"/>
  <c r="G185" i="23"/>
  <c r="F186" i="23"/>
  <c r="D185" i="17"/>
  <c r="H184" i="17"/>
  <c r="L286" i="23" l="1"/>
  <c r="H186" i="23"/>
  <c r="G186" i="23"/>
  <c r="F187" i="23"/>
  <c r="D186" i="17"/>
  <c r="H185" i="17"/>
  <c r="L287" i="23" l="1"/>
  <c r="F188" i="23"/>
  <c r="G187" i="23"/>
  <c r="H187" i="23"/>
  <c r="D187" i="17"/>
  <c r="H186" i="17"/>
  <c r="L288" i="23" l="1"/>
  <c r="G188" i="23"/>
  <c r="F189" i="23"/>
  <c r="H188" i="23"/>
  <c r="D188" i="17"/>
  <c r="H187" i="17"/>
  <c r="L289" i="23" l="1"/>
  <c r="F190" i="23"/>
  <c r="H189" i="23"/>
  <c r="G189" i="23"/>
  <c r="D189" i="17"/>
  <c r="H188" i="17"/>
  <c r="L290" i="23" l="1"/>
  <c r="F191" i="23"/>
  <c r="G190" i="23"/>
  <c r="H190" i="23"/>
  <c r="D190" i="17"/>
  <c r="H189" i="17"/>
  <c r="L291" i="23" l="1"/>
  <c r="H191" i="23"/>
  <c r="F192" i="23"/>
  <c r="G191" i="23"/>
  <c r="D191" i="17"/>
  <c r="H190" i="17"/>
  <c r="L292" i="23" l="1"/>
  <c r="F193" i="23"/>
  <c r="G192" i="23"/>
  <c r="H192" i="23"/>
  <c r="D192" i="17"/>
  <c r="H191" i="17"/>
  <c r="L293" i="23" l="1"/>
  <c r="G193" i="23"/>
  <c r="H193" i="23"/>
  <c r="F194" i="23"/>
  <c r="D193" i="17"/>
  <c r="H192" i="17"/>
  <c r="L294" i="23" l="1"/>
  <c r="G194" i="23"/>
  <c r="H194" i="23"/>
  <c r="F195" i="23"/>
  <c r="D194" i="17"/>
  <c r="H193" i="17"/>
  <c r="L295" i="23" l="1"/>
  <c r="F196" i="23"/>
  <c r="H195" i="23"/>
  <c r="G195" i="23"/>
  <c r="D195" i="17"/>
  <c r="H194" i="17"/>
  <c r="L296" i="23" l="1"/>
  <c r="G196" i="23"/>
  <c r="H196" i="23"/>
  <c r="F197" i="23"/>
  <c r="D196" i="17"/>
  <c r="H195" i="17"/>
  <c r="L297" i="23" l="1"/>
  <c r="H197" i="23"/>
  <c r="G197" i="23"/>
  <c r="F198" i="23"/>
  <c r="D197" i="17"/>
  <c r="H196" i="17"/>
  <c r="L298" i="23" l="1"/>
  <c r="H198" i="23"/>
  <c r="F199" i="23"/>
  <c r="G198" i="23"/>
  <c r="D198" i="17"/>
  <c r="H197" i="17"/>
  <c r="L299" i="23" l="1"/>
  <c r="G199" i="23"/>
  <c r="F200" i="23"/>
  <c r="H199" i="23"/>
  <c r="H198" i="17"/>
  <c r="D199" i="17"/>
  <c r="L300" i="23" l="1"/>
  <c r="G200" i="23"/>
  <c r="H200" i="23"/>
  <c r="F201" i="23"/>
  <c r="D200" i="17"/>
  <c r="H199" i="17"/>
  <c r="H201" i="23" l="1"/>
  <c r="G201" i="23"/>
  <c r="F202" i="23"/>
  <c r="D201" i="17"/>
  <c r="H200" i="17"/>
  <c r="H202" i="23" l="1"/>
  <c r="G202" i="23"/>
  <c r="F203" i="23"/>
  <c r="D202" i="17"/>
  <c r="H201" i="17"/>
  <c r="F204" i="23" l="1"/>
  <c r="H203" i="23"/>
  <c r="G203" i="23"/>
  <c r="D203" i="17"/>
  <c r="H202" i="17"/>
  <c r="G204" i="23" l="1"/>
  <c r="F205" i="23"/>
  <c r="H204" i="23"/>
  <c r="D204" i="17"/>
  <c r="H203" i="17"/>
  <c r="H205" i="23" l="1"/>
  <c r="G205" i="23"/>
  <c r="F206" i="23"/>
  <c r="D205" i="17"/>
  <c r="H204" i="17"/>
  <c r="G206" i="23" l="1"/>
  <c r="H206" i="23"/>
  <c r="F207" i="23"/>
  <c r="D206" i="17"/>
  <c r="H205" i="17"/>
  <c r="F208" i="23" l="1"/>
  <c r="H207" i="23"/>
  <c r="G207" i="23"/>
  <c r="D207" i="17"/>
  <c r="H206" i="17"/>
  <c r="G208" i="23" l="1"/>
  <c r="F209" i="23"/>
  <c r="H208" i="23"/>
  <c r="D208" i="17"/>
  <c r="H207" i="17"/>
  <c r="H209" i="23" l="1"/>
  <c r="F210" i="23"/>
  <c r="G209" i="23"/>
  <c r="D209" i="17"/>
  <c r="H208" i="17"/>
  <c r="G210" i="23" l="1"/>
  <c r="H210" i="23"/>
  <c r="F211" i="23"/>
  <c r="D210" i="17"/>
  <c r="H209" i="17"/>
  <c r="F212" i="23" l="1"/>
  <c r="G211" i="23"/>
  <c r="H211" i="23"/>
  <c r="D211" i="17"/>
  <c r="H210" i="17"/>
  <c r="H212" i="23" l="1"/>
  <c r="F213" i="23"/>
  <c r="G212" i="23"/>
  <c r="D212" i="17"/>
  <c r="H211" i="17"/>
  <c r="H213" i="23" l="1"/>
  <c r="F214" i="23"/>
  <c r="G213" i="23"/>
  <c r="D213" i="17"/>
  <c r="H212" i="17"/>
  <c r="G214" i="23" l="1"/>
  <c r="F215" i="23"/>
  <c r="H214" i="23"/>
  <c r="D214" i="17"/>
  <c r="H213" i="17"/>
  <c r="H215" i="23" l="1"/>
  <c r="G215" i="23"/>
  <c r="F216" i="23"/>
  <c r="D215" i="17"/>
  <c r="H214" i="17"/>
  <c r="G216" i="23" l="1"/>
  <c r="F217" i="23"/>
  <c r="H216" i="23"/>
  <c r="D216" i="17"/>
  <c r="H215" i="17"/>
  <c r="H217" i="23" l="1"/>
  <c r="F218" i="23"/>
  <c r="G217" i="23"/>
  <c r="D217" i="17"/>
  <c r="H216" i="17"/>
  <c r="G218" i="23" l="1"/>
  <c r="F219" i="23"/>
  <c r="H218" i="23"/>
  <c r="D218" i="17"/>
  <c r="H217" i="17"/>
  <c r="C9" i="23" l="1"/>
  <c r="F220" i="23"/>
  <c r="H219" i="23"/>
  <c r="G219" i="23"/>
  <c r="D219" i="17"/>
  <c r="H218" i="17"/>
  <c r="G220" i="23" l="1"/>
  <c r="H220" i="23"/>
  <c r="F221" i="23"/>
  <c r="D220" i="17"/>
  <c r="H219" i="17"/>
  <c r="G221" i="23" l="1"/>
  <c r="H221" i="23"/>
  <c r="F222" i="23"/>
  <c r="D221" i="17"/>
  <c r="H220" i="17"/>
  <c r="F223" i="23" l="1"/>
  <c r="G222" i="23"/>
  <c r="H222" i="23"/>
  <c r="D222" i="17"/>
  <c r="H221" i="17"/>
  <c r="F224" i="23" l="1"/>
  <c r="H223" i="23"/>
  <c r="G223" i="23"/>
  <c r="D223" i="17"/>
  <c r="H222" i="17"/>
  <c r="H224" i="23" l="1"/>
  <c r="F225" i="23"/>
  <c r="G224" i="23"/>
  <c r="D224" i="17"/>
  <c r="H223" i="17"/>
  <c r="H225" i="23" l="1"/>
  <c r="F226" i="23"/>
  <c r="G225" i="23"/>
  <c r="D225" i="17"/>
  <c r="D226" i="17" s="1"/>
  <c r="H224" i="17"/>
  <c r="G226" i="23" l="1"/>
  <c r="H226" i="23"/>
  <c r="F227" i="23"/>
  <c r="D227" i="17"/>
  <c r="H226" i="17"/>
  <c r="H225" i="17"/>
  <c r="F228" i="23" l="1"/>
  <c r="H227" i="23"/>
  <c r="G227" i="23"/>
  <c r="D228" i="17"/>
  <c r="H227" i="17"/>
  <c r="G228" i="23" l="1"/>
  <c r="H228" i="23"/>
  <c r="F229" i="23"/>
  <c r="H228" i="17"/>
  <c r="D229" i="17"/>
  <c r="G229" i="23" l="1"/>
  <c r="H229" i="23"/>
  <c r="F230" i="23"/>
  <c r="D230" i="17"/>
  <c r="H229" i="17"/>
  <c r="G230" i="23" l="1"/>
  <c r="H230" i="23"/>
  <c r="F231" i="23"/>
  <c r="D231" i="17"/>
  <c r="H230" i="17"/>
  <c r="G231" i="23" l="1"/>
  <c r="H231" i="23"/>
  <c r="F232" i="23"/>
  <c r="D232" i="17"/>
  <c r="H231" i="17"/>
  <c r="H232" i="23" l="1"/>
  <c r="G232" i="23"/>
  <c r="F233" i="23"/>
  <c r="H232" i="17"/>
  <c r="D233" i="17"/>
  <c r="G233" i="23" l="1"/>
  <c r="F234" i="23"/>
  <c r="H233" i="23"/>
  <c r="D234" i="17"/>
  <c r="H233" i="17"/>
  <c r="G234" i="23" l="1"/>
  <c r="H234" i="23"/>
  <c r="F235" i="23"/>
  <c r="H234" i="17"/>
  <c r="D235" i="17"/>
  <c r="F236" i="23" l="1"/>
  <c r="G235" i="23"/>
  <c r="H235" i="23"/>
  <c r="D236" i="17"/>
  <c r="H235" i="17"/>
  <c r="G236" i="23" l="1"/>
  <c r="H236" i="23"/>
  <c r="F237" i="23"/>
  <c r="H236" i="17"/>
  <c r="D237" i="17"/>
  <c r="M29" i="20"/>
  <c r="U29" i="20"/>
  <c r="Y29" i="20"/>
  <c r="AL29" i="20"/>
  <c r="O29" i="20"/>
  <c r="V29" i="20"/>
  <c r="AA29" i="20"/>
  <c r="AG29" i="20"/>
  <c r="AD29" i="20"/>
  <c r="Q29" i="20"/>
  <c r="AF29" i="20"/>
  <c r="R29" i="20"/>
  <c r="AB29" i="20"/>
  <c r="AE29" i="20"/>
  <c r="AH29" i="20"/>
  <c r="P29" i="20"/>
  <c r="AI29" i="20"/>
  <c r="AJ29" i="20"/>
  <c r="N29" i="20"/>
  <c r="AN29" i="20"/>
  <c r="S29" i="20"/>
  <c r="AK29" i="20"/>
  <c r="W29" i="20"/>
  <c r="AC29" i="20"/>
  <c r="X29" i="20"/>
  <c r="T29" i="20"/>
  <c r="AM29" i="20"/>
  <c r="Z29" i="20"/>
  <c r="G237" i="23" l="1"/>
  <c r="H237" i="23"/>
  <c r="F238" i="23"/>
  <c r="H237" i="17"/>
  <c r="D238" i="17"/>
  <c r="H238" i="23" l="1"/>
  <c r="G238" i="23"/>
  <c r="F239" i="23"/>
  <c r="H238" i="17"/>
  <c r="D239" i="17"/>
  <c r="H239" i="23" l="1"/>
  <c r="F240" i="23"/>
  <c r="G239" i="23"/>
  <c r="D240" i="17"/>
  <c r="H239" i="17"/>
  <c r="G240" i="23" l="1"/>
  <c r="H240" i="23"/>
  <c r="F241" i="23"/>
  <c r="H240" i="17"/>
  <c r="D241" i="17"/>
  <c r="H241" i="23" l="1"/>
  <c r="G241" i="23"/>
  <c r="F242" i="23"/>
  <c r="D242" i="17"/>
  <c r="H241" i="17"/>
  <c r="F243" i="23" l="1"/>
  <c r="H242" i="23"/>
  <c r="G242" i="23"/>
  <c r="H242" i="17"/>
  <c r="D243" i="17"/>
  <c r="H243" i="23" l="1"/>
  <c r="F244" i="23"/>
  <c r="G243" i="23"/>
  <c r="D244" i="17"/>
  <c r="H243" i="17"/>
  <c r="F245" i="23" l="1"/>
  <c r="G244" i="23"/>
  <c r="H244" i="23"/>
  <c r="H244" i="17"/>
  <c r="D245" i="17"/>
  <c r="G245" i="23" l="1"/>
  <c r="H245" i="23"/>
  <c r="F246" i="23"/>
  <c r="D246" i="17"/>
  <c r="H245" i="17"/>
  <c r="F247" i="23" l="1"/>
  <c r="G246" i="23"/>
  <c r="H246" i="23"/>
  <c r="H246" i="17"/>
  <c r="D247" i="17"/>
  <c r="H247" i="23" l="1"/>
  <c r="G247" i="23"/>
  <c r="F248" i="23"/>
  <c r="H247" i="17"/>
  <c r="D248" i="17"/>
  <c r="H248" i="23" l="1"/>
  <c r="F249" i="23"/>
  <c r="G248" i="23"/>
  <c r="H248" i="17"/>
  <c r="D249" i="17"/>
  <c r="H249" i="23" l="1"/>
  <c r="G249" i="23"/>
  <c r="F250" i="23"/>
  <c r="D250" i="17"/>
  <c r="H249" i="17"/>
  <c r="G250" i="23" l="1"/>
  <c r="F251" i="23"/>
  <c r="H250" i="23"/>
  <c r="H250" i="17"/>
  <c r="D251" i="17"/>
  <c r="F252" i="23" l="1"/>
  <c r="H251" i="23"/>
  <c r="G251" i="23"/>
  <c r="D252" i="17"/>
  <c r="H251" i="17"/>
  <c r="H252" i="23" l="1"/>
  <c r="G252" i="23"/>
  <c r="F253" i="23"/>
  <c r="H252" i="17"/>
  <c r="D253" i="17"/>
  <c r="H253" i="23" l="1"/>
  <c r="G253" i="23"/>
  <c r="F254" i="23"/>
  <c r="D254" i="17"/>
  <c r="H253" i="17"/>
  <c r="H254" i="23" l="1"/>
  <c r="G254" i="23"/>
  <c r="F255" i="23"/>
  <c r="H254" i="17"/>
  <c r="D255" i="17"/>
  <c r="H255" i="23" l="1"/>
  <c r="F256" i="23"/>
  <c r="G255" i="23"/>
  <c r="D256" i="17"/>
  <c r="H255" i="17"/>
  <c r="H256" i="23" l="1"/>
  <c r="G256" i="23"/>
  <c r="F257" i="23"/>
  <c r="H256" i="17"/>
  <c r="D257" i="17"/>
  <c r="G257" i="23" l="1"/>
  <c r="F258" i="23"/>
  <c r="H257" i="23"/>
  <c r="D258" i="17"/>
  <c r="H257" i="17"/>
  <c r="F259" i="23" l="1"/>
  <c r="G258" i="23"/>
  <c r="H258" i="23"/>
  <c r="H258" i="17"/>
  <c r="D259" i="17"/>
  <c r="F260" i="23" l="1"/>
  <c r="G259" i="23"/>
  <c r="H259" i="23"/>
  <c r="H259" i="17"/>
  <c r="D260" i="17"/>
  <c r="H260" i="23" l="1"/>
  <c r="F261" i="23"/>
  <c r="G260" i="23"/>
  <c r="H260" i="17"/>
  <c r="D261" i="17"/>
  <c r="H261" i="23" l="1"/>
  <c r="G261" i="23"/>
  <c r="F262" i="23"/>
  <c r="D262" i="17"/>
  <c r="H261" i="17"/>
  <c r="F263" i="23" l="1"/>
  <c r="G262" i="23"/>
  <c r="H262" i="23"/>
  <c r="H262" i="17"/>
  <c r="D263" i="17"/>
  <c r="G263" i="23" l="1"/>
  <c r="F264" i="23"/>
  <c r="H263" i="23"/>
  <c r="D264" i="17"/>
  <c r="H263" i="17"/>
  <c r="H264" i="23" l="1"/>
  <c r="F265" i="23"/>
  <c r="G264" i="23"/>
  <c r="H264" i="17"/>
  <c r="D265" i="17"/>
  <c r="G265" i="23" l="1"/>
  <c r="F266" i="23"/>
  <c r="H265" i="23"/>
  <c r="D266" i="17"/>
  <c r="H265" i="17"/>
  <c r="G266" i="23" l="1"/>
  <c r="F267" i="23"/>
  <c r="H266" i="23"/>
  <c r="H266" i="17"/>
  <c r="D267" i="17"/>
  <c r="H267" i="23" l="1"/>
  <c r="F268" i="23"/>
  <c r="G267" i="23"/>
  <c r="D268" i="17"/>
  <c r="H267" i="17"/>
  <c r="H268" i="23" l="1"/>
  <c r="F269" i="23"/>
  <c r="G268" i="23"/>
  <c r="H268" i="17"/>
  <c r="D269" i="17"/>
  <c r="H269" i="23" l="1"/>
  <c r="G269" i="23"/>
  <c r="F270" i="23"/>
  <c r="D270" i="17"/>
  <c r="H269" i="17"/>
  <c r="F271" i="23" l="1"/>
  <c r="H270" i="23"/>
  <c r="G270" i="23"/>
  <c r="H270" i="17"/>
  <c r="D271" i="17"/>
  <c r="F272" i="23" l="1"/>
  <c r="H271" i="23"/>
  <c r="G271" i="23"/>
  <c r="D272" i="17"/>
  <c r="H271" i="17"/>
  <c r="H272" i="23" l="1"/>
  <c r="G272" i="23"/>
  <c r="F273" i="23"/>
  <c r="H272" i="17"/>
  <c r="D273" i="17"/>
  <c r="G273" i="23" l="1"/>
  <c r="H273" i="23"/>
  <c r="F274" i="23"/>
  <c r="D274" i="17"/>
  <c r="H273" i="17"/>
  <c r="F275" i="23" l="1"/>
  <c r="H274" i="23"/>
  <c r="G274" i="23"/>
  <c r="H274" i="17"/>
  <c r="D275" i="17"/>
  <c r="F276" i="23" l="1"/>
  <c r="H275" i="23"/>
  <c r="G275" i="23"/>
  <c r="D276" i="17"/>
  <c r="H275" i="17"/>
  <c r="H276" i="23" l="1"/>
  <c r="G276" i="23"/>
  <c r="F277" i="23"/>
  <c r="H276" i="17"/>
  <c r="D277" i="17"/>
  <c r="G277" i="23" l="1"/>
  <c r="H277" i="23"/>
  <c r="F278" i="23"/>
  <c r="D278" i="17"/>
  <c r="H277" i="17"/>
  <c r="F279" i="23" l="1"/>
  <c r="H278" i="23"/>
  <c r="G278" i="23"/>
  <c r="H278" i="17"/>
  <c r="D279" i="17"/>
  <c r="G279" i="23" l="1"/>
  <c r="F280" i="23"/>
  <c r="H279" i="23"/>
  <c r="D280" i="17"/>
  <c r="H279" i="17"/>
  <c r="G280" i="23" l="1"/>
  <c r="F281" i="23"/>
  <c r="H280" i="23"/>
  <c r="H280" i="17"/>
  <c r="D281" i="17"/>
  <c r="H281" i="23" l="1"/>
  <c r="G281" i="23"/>
  <c r="F282" i="23"/>
  <c r="D282" i="17"/>
  <c r="H282" i="17" s="1"/>
  <c r="H281" i="17"/>
  <c r="F283" i="23" l="1"/>
  <c r="H282" i="23"/>
  <c r="G282" i="23"/>
  <c r="G283" i="23" l="1"/>
  <c r="H283" i="23"/>
  <c r="F284" i="23"/>
  <c r="H284" i="23" l="1"/>
  <c r="G284" i="23"/>
  <c r="F285" i="23"/>
  <c r="H285" i="23" l="1"/>
  <c r="G285" i="23"/>
  <c r="F286" i="23"/>
  <c r="F287" i="23" l="1"/>
  <c r="G286" i="23"/>
  <c r="H286" i="23"/>
  <c r="F288" i="23" l="1"/>
  <c r="G287" i="23"/>
  <c r="H287" i="23"/>
  <c r="H288" i="23" l="1"/>
  <c r="G288" i="23"/>
  <c r="F289" i="23"/>
  <c r="H289" i="23" l="1"/>
  <c r="F290" i="23"/>
  <c r="G289" i="23"/>
  <c r="F291" i="23" l="1"/>
  <c r="G290" i="23"/>
  <c r="H290" i="23"/>
  <c r="G291" i="23" l="1"/>
  <c r="F292" i="23"/>
  <c r="H291" i="23"/>
  <c r="H292" i="23" l="1"/>
  <c r="G292" i="23"/>
  <c r="F293" i="23"/>
  <c r="H293" i="23" l="1"/>
  <c r="G293" i="23"/>
  <c r="F294" i="23"/>
  <c r="G294" i="23" l="1"/>
  <c r="F295" i="23"/>
  <c r="H294" i="23"/>
  <c r="G295" i="23" l="1"/>
  <c r="F296" i="23"/>
  <c r="H295" i="23"/>
  <c r="H296" i="23" l="1"/>
  <c r="F297" i="23"/>
  <c r="G296" i="23"/>
  <c r="G297" i="23" l="1"/>
  <c r="F298" i="23"/>
  <c r="H297" i="23"/>
  <c r="F299" i="23" l="1"/>
  <c r="G298" i="23"/>
  <c r="H298" i="23"/>
  <c r="F300" i="23" l="1"/>
  <c r="H299" i="23"/>
  <c r="G299" i="23"/>
  <c r="G300" i="23" l="1"/>
  <c r="H300" i="23"/>
  <c r="F301" i="23"/>
  <c r="F302" i="23" l="1"/>
  <c r="G301" i="23"/>
  <c r="H301" i="23"/>
  <c r="H302" i="23" l="1"/>
  <c r="G302" i="23"/>
  <c r="F303" i="23"/>
  <c r="F304" i="23" l="1"/>
  <c r="H303" i="23"/>
  <c r="G303" i="23"/>
  <c r="F305" i="23" l="1"/>
  <c r="H304" i="23"/>
  <c r="G304" i="23"/>
  <c r="G305" i="23" l="1"/>
  <c r="H305" i="23"/>
  <c r="F306" i="23"/>
  <c r="G306" i="23" l="1"/>
  <c r="H306" i="23"/>
  <c r="F307" i="23"/>
  <c r="G307" i="23" l="1"/>
  <c r="H307" i="23"/>
  <c r="F308" i="23"/>
  <c r="G308" i="23" l="1"/>
  <c r="F309" i="23"/>
  <c r="H308" i="23"/>
  <c r="H309" i="23" l="1"/>
  <c r="F310" i="23"/>
  <c r="G309" i="23"/>
  <c r="F311" i="23" l="1"/>
  <c r="G310" i="23"/>
  <c r="H310" i="23"/>
  <c r="G311" i="23" l="1"/>
  <c r="H311" i="23"/>
  <c r="F312" i="23"/>
  <c r="F313" i="23" l="1"/>
  <c r="H312" i="23"/>
  <c r="G312" i="23"/>
  <c r="F314" i="23" l="1"/>
  <c r="H313" i="23"/>
  <c r="G313" i="23"/>
  <c r="H314" i="23" l="1"/>
  <c r="F315" i="23"/>
  <c r="G314" i="23"/>
  <c r="G315" i="23" l="1"/>
  <c r="H315" i="23"/>
  <c r="F316" i="23"/>
  <c r="G316" i="23" l="1"/>
  <c r="H316" i="23"/>
  <c r="F317" i="23"/>
  <c r="H317" i="23" l="1"/>
  <c r="G317" i="23"/>
  <c r="F318" i="23"/>
  <c r="F319" i="23" l="1"/>
  <c r="G318" i="23"/>
  <c r="H318" i="23"/>
  <c r="H319" i="23" l="1"/>
  <c r="G319" i="23"/>
  <c r="F320" i="23"/>
  <c r="H320" i="23" l="1"/>
  <c r="G320" i="23"/>
  <c r="F327" i="23" l="1"/>
  <c r="H327" i="23" l="1"/>
  <c r="C11" i="23" s="1"/>
  <c r="G327" i="23"/>
  <c r="C10" i="23" l="1"/>
  <c r="F7" i="23"/>
  <c r="C12" i="23" l="1"/>
</calcChain>
</file>

<file path=xl/sharedStrings.xml><?xml version="1.0" encoding="utf-8"?>
<sst xmlns="http://schemas.openxmlformats.org/spreadsheetml/2006/main" count="1882" uniqueCount="326">
  <si>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</si>
  <si>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</si>
  <si>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</si>
  <si>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</si>
  <si>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</si>
  <si>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</si>
  <si>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</si>
  <si>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</si>
  <si>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</si>
  <si>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</si>
  <si>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</si>
  <si>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</si>
  <si>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</si>
  <si>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</si>
  <si>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</si>
  <si>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</si>
  <si>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</si>
  <si>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</si>
  <si>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</si>
  <si>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</si>
  <si>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</si>
  <si>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</si>
  <si>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</si>
  <si>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</si>
  <si>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</si>
  <si>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</si>
  <si>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</si>
  <si>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</si>
  <si>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</si>
  <si>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</si>
  <si>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</si>
  <si>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</si>
  <si>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</si>
  <si>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</si>
  <si>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</si>
  <si>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</si>
  <si>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</si>
  <si>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</si>
  <si>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</si>
  <si>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</si>
  <si>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</si>
  <si>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</si>
  <si>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</si>
  <si>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</si>
  <si>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</si>
  <si>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</si>
  <si>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</si>
  <si>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</si>
  <si>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</si>
  <si>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</si>
  <si>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</si>
  <si>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</si>
  <si>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</si>
  <si>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</si>
  <si>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</si>
  <si>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</si>
  <si>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</si>
  <si>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Statistics</t>
  </si>
  <si>
    <t>Median</t>
  </si>
  <si>
    <t>Win Rate</t>
  </si>
  <si>
    <t>Average</t>
  </si>
  <si>
    <t>Min</t>
  </si>
  <si>
    <t>Max</t>
  </si>
  <si>
    <t>Normalized_Profit</t>
  </si>
  <si>
    <t>Hours</t>
  </si>
  <si>
    <t>strategy_12_demo</t>
  </si>
  <si>
    <t>W</t>
  </si>
  <si>
    <t>L</t>
  </si>
  <si>
    <t>WR</t>
  </si>
  <si>
    <t>Thu</t>
  </si>
  <si>
    <t>(All)</t>
  </si>
  <si>
    <t>Overall</t>
  </si>
  <si>
    <t>Hours (Manila)</t>
  </si>
  <si>
    <t>11</t>
  </si>
  <si>
    <t>Column Labels</t>
  </si>
  <si>
    <t>STRATEGY Comparison</t>
  </si>
  <si>
    <t>12</t>
  </si>
  <si>
    <t>13</t>
  </si>
  <si>
    <t>14</t>
  </si>
  <si>
    <t>Hours (opening_timestamp_manila)</t>
  </si>
  <si>
    <t>(Multiple Items)</t>
  </si>
  <si>
    <t>Count of Streak</t>
  </si>
  <si>
    <t>Max of Streak</t>
  </si>
  <si>
    <t>01:00-04:00 &amp; 10:00-17:00</t>
  </si>
  <si>
    <t>Total Count of WL</t>
  </si>
  <si>
    <t>Total Sum of Profit</t>
  </si>
  <si>
    <t>Count of WL</t>
  </si>
  <si>
    <t>[sl 3739.52]</t>
  </si>
  <si>
    <t>24/7</t>
  </si>
  <si>
    <t>Cumsum</t>
  </si>
  <si>
    <t>✨</t>
  </si>
  <si>
    <t>RUNNING 24/7</t>
  </si>
  <si>
    <t>20:00 - 12:00nn</t>
  </si>
  <si>
    <t>strategy_31.py</t>
  </si>
  <si>
    <t>[sl 3742.40]</t>
  </si>
  <si>
    <t>[sl 3737.94]</t>
  </si>
  <si>
    <t>2025-09-25</t>
  </si>
  <si>
    <t>Highest Peak Equty</t>
  </si>
  <si>
    <t>Drawdown</t>
  </si>
  <si>
    <t>Drawdown percent</t>
  </si>
  <si>
    <t>Peak Equity</t>
  </si>
  <si>
    <t>Max Drawdown</t>
  </si>
  <si>
    <t>Max Drawdown %</t>
  </si>
  <si>
    <t>GOLDm#</t>
  </si>
  <si>
    <t>0.1</t>
  </si>
  <si>
    <t>2025.09.25 06:55:02</t>
  </si>
  <si>
    <t>2025.09.25 06:54:21</t>
  </si>
  <si>
    <t>2025.09.25 07:34:25</t>
  </si>
  <si>
    <t>2025.09.25 07:11:13</t>
  </si>
  <si>
    <t>2025.09.25 07:33:20</t>
  </si>
  <si>
    <t>2025.09.25 08:06:31</t>
  </si>
  <si>
    <t>2025.09.25 08:08:17</t>
  </si>
  <si>
    <t>2025.09.25 08:36:14</t>
  </si>
  <si>
    <t>2025.09.25 08:35:41</t>
  </si>
  <si>
    <t>2025.09.25 09:10:24</t>
  </si>
  <si>
    <t>2025.09.25 09:13:33</t>
  </si>
  <si>
    <t>2025.09.25 09:40:40</t>
  </si>
  <si>
    <t>2025.09.25 09:36:07</t>
  </si>
  <si>
    <t>strategy_19_live</t>
  </si>
  <si>
    <t>[sl 3735.17]</t>
  </si>
  <si>
    <t>[sl 3734.40]</t>
  </si>
  <si>
    <t>[sl 3733.46]</t>
  </si>
  <si>
    <t>[sl 3736.33]</t>
  </si>
  <si>
    <t>[sl 3736.46]</t>
  </si>
  <si>
    <t>[sl 3735.62]</t>
  </si>
  <si>
    <t>[sl 3738.83]</t>
  </si>
  <si>
    <t>[tp 3742.54]</t>
  </si>
  <si>
    <t>[sl 3745.35]</t>
  </si>
  <si>
    <t>[sl 3743.81]</t>
  </si>
  <si>
    <t>Profit Factor</t>
  </si>
  <si>
    <t>Gross Loss</t>
  </si>
  <si>
    <t>Gross Profit</t>
  </si>
  <si>
    <t>Return (Daily Return if Daily)</t>
  </si>
  <si>
    <t xml:space="preserve">risk-free rate </t>
  </si>
  <si>
    <t>Average Daily Excess Return</t>
  </si>
  <si>
    <t>STDV.Daily Excess Returns</t>
  </si>
  <si>
    <t>Sharpe Ratio</t>
  </si>
  <si>
    <t>Highest Peak Equity</t>
  </si>
  <si>
    <t>2025.09.25 10:15:40</t>
  </si>
  <si>
    <t>2025.09.25 10:15:42</t>
  </si>
  <si>
    <t>2025.09.25 10:40:08</t>
  </si>
  <si>
    <t>2025.09.25 10:34:53</t>
  </si>
  <si>
    <t>2025.09.25 10:47:19</t>
  </si>
  <si>
    <t>2025.09.25 10:45:08</t>
  </si>
  <si>
    <t>2025.09.25 10:53:33</t>
  </si>
  <si>
    <t>2025.09.25 10:53:30</t>
  </si>
  <si>
    <t>2025.09.25 11:02:32</t>
  </si>
  <si>
    <t>2025.09.25 11:09:47</t>
  </si>
  <si>
    <t>2025.09.25 11:18:57</t>
  </si>
  <si>
    <t>2025.09.25 11:14:40</t>
  </si>
  <si>
    <t>[sl 3744.62]</t>
  </si>
  <si>
    <t>[sl 3744.88]</t>
  </si>
  <si>
    <t>[tp 3747.71]</t>
  </si>
  <si>
    <t>[sl 3750.71]</t>
  </si>
  <si>
    <t>[tp 3753.28]</t>
  </si>
  <si>
    <t>[sl 3752.80]</t>
  </si>
  <si>
    <t>[sl 3750.38]</t>
  </si>
  <si>
    <t>[sl 3750.13]</t>
  </si>
  <si>
    <t>[tp 3754.66]</t>
  </si>
  <si>
    <t>[tp 3756.54]</t>
  </si>
  <si>
    <t>[tp 3758.69]</t>
  </si>
  <si>
    <t>[sl 3760.36]</t>
  </si>
  <si>
    <t>15</t>
  </si>
  <si>
    <t>16</t>
  </si>
  <si>
    <t>2025.09.25 11:27:28</t>
  </si>
  <si>
    <t>2025.09.25 11:27:59</t>
  </si>
  <si>
    <t>2025.09.25 11:35:43</t>
  </si>
  <si>
    <t>2025.09.25 11:52:33</t>
  </si>
  <si>
    <t>2025.09.25 11:52:15</t>
  </si>
  <si>
    <t>2025.09.25 12:04:07</t>
  </si>
  <si>
    <t>2025.09.25 12:22:47</t>
  </si>
  <si>
    <t>2025.09.25 12:22:49</t>
  </si>
  <si>
    <t>2025.09.25 12:45:04</t>
  </si>
  <si>
    <t>2025.09.25 12:29:39</t>
  </si>
  <si>
    <t>2025.09.25 12:43:05</t>
  </si>
  <si>
    <t>2025.09.25 12:57:50</t>
  </si>
  <si>
    <t>2025.09.25 12:57:29</t>
  </si>
  <si>
    <t>2025.09.25 13:48:17</t>
  </si>
  <si>
    <t>2025.09.25 14:02:29</t>
  </si>
  <si>
    <t>2025.09.25 14:22:02</t>
  </si>
  <si>
    <t>2025.09.25 14:26:23</t>
  </si>
  <si>
    <t>[sl 3757.56]</t>
  </si>
  <si>
    <t>[sl 3756.82]</t>
  </si>
  <si>
    <t>[sl 3753.44]</t>
  </si>
  <si>
    <t>[sl 3755.99]</t>
  </si>
  <si>
    <t>[sl 3756.71]</t>
  </si>
  <si>
    <t>[sl 3754.21]</t>
  </si>
  <si>
    <t>[sl 3753.77]</t>
  </si>
  <si>
    <t>[sl 3753.68]</t>
  </si>
  <si>
    <t>[tp 3750.80]</t>
  </si>
  <si>
    <t>[sl 3755.29]</t>
  </si>
  <si>
    <t>[sl 3756.68]</t>
  </si>
  <si>
    <t>[sl 3756.39]</t>
  </si>
  <si>
    <t>[sl 3755.55]</t>
  </si>
  <si>
    <t>[sl 3759.13]</t>
  </si>
  <si>
    <t>[sl 3754.71]</t>
  </si>
  <si>
    <t>[sl 3747.60]</t>
  </si>
  <si>
    <t>[sl 3750.06]</t>
  </si>
  <si>
    <t>17</t>
  </si>
  <si>
    <t>18</t>
  </si>
  <si>
    <t>19</t>
  </si>
  <si>
    <t>2025.09.25 15:22:18</t>
  </si>
  <si>
    <t>2025.09.25 15:30:00</t>
  </si>
  <si>
    <t>2025.09.25 15:43:37</t>
  </si>
  <si>
    <t>2025.09.25 15:46:41</t>
  </si>
  <si>
    <t>2025.09.25 15:56:54</t>
  </si>
  <si>
    <t>2025.09.25 16:02:07</t>
  </si>
  <si>
    <t>2025.09.25 16:31:08</t>
  </si>
  <si>
    <t>2025.09.25 16:57:53</t>
  </si>
  <si>
    <t>2025.09.25 17:27:40</t>
  </si>
  <si>
    <t>2025.09.25 17:52:27</t>
  </si>
  <si>
    <t>2025.09.25 17:56:33</t>
  </si>
  <si>
    <t>[tp 3755.66]</t>
  </si>
  <si>
    <t>[sl 3751.40]</t>
  </si>
  <si>
    <t>[tp 3738.76]</t>
  </si>
  <si>
    <t>[tp 3738.98]</t>
  </si>
  <si>
    <t>[sl 3738.66]</t>
  </si>
  <si>
    <t>[tp 3734.61]</t>
  </si>
  <si>
    <t>[sl 3739.45]</t>
  </si>
  <si>
    <t>[sl 3730.50]</t>
  </si>
  <si>
    <t>[sl 3730.90]</t>
  </si>
  <si>
    <t>[tp 3724.19]</t>
  </si>
  <si>
    <t>[sl 3729.69]</t>
  </si>
  <si>
    <t>20</t>
  </si>
  <si>
    <t>21</t>
  </si>
  <si>
    <t>22</t>
  </si>
  <si>
    <t>2025.09.25 18:24:44</t>
  </si>
  <si>
    <t>2025.09.25 19:15:50</t>
  </si>
  <si>
    <t>2025.09.25 19:07:44</t>
  </si>
  <si>
    <t>2025.09.25 19:16:34</t>
  </si>
  <si>
    <t>2025.09.25 19:21:54</t>
  </si>
  <si>
    <t>2025.09.25 19:22:01</t>
  </si>
  <si>
    <t>2025.09.25 19:27:15</t>
  </si>
  <si>
    <t>2025.09.25 19:31:55</t>
  </si>
  <si>
    <t>2025.09.25 19:39:18</t>
  </si>
  <si>
    <t>2025.09.25 20:06:31</t>
  </si>
  <si>
    <t>2025.09.25 20:11:41</t>
  </si>
  <si>
    <t>2025.09.25 20:11:07</t>
  </si>
  <si>
    <t>[sl 3733.29]</t>
  </si>
  <si>
    <t>Python script or</t>
  </si>
  <si>
    <t>[tp 3738.48]</t>
  </si>
  <si>
    <t>[sl 3739.87]</t>
  </si>
  <si>
    <t>[sl 3737.14]</t>
  </si>
  <si>
    <t>Close by Python</t>
  </si>
  <si>
    <t>[sl 3736.87]</t>
  </si>
  <si>
    <t>[sl 3733.41]</t>
  </si>
  <si>
    <t>[sl 3736.18]</t>
  </si>
  <si>
    <t>[sl 3736.49]</t>
  </si>
  <si>
    <t>2025-09-26</t>
  </si>
  <si>
    <t>Fri</t>
  </si>
  <si>
    <t>00</t>
  </si>
  <si>
    <t>01</t>
  </si>
  <si>
    <t>23</t>
  </si>
  <si>
    <t>2025.09.25 20:22:29</t>
  </si>
  <si>
    <t>2025.09.25 20:57:51</t>
  </si>
  <si>
    <t>2025.09.25 20:34:43</t>
  </si>
  <si>
    <t>2025.09.25 20:57:28</t>
  </si>
  <si>
    <t>2025.09.25 21:10:27</t>
  </si>
  <si>
    <t>2025.09.25 21:10:24</t>
  </si>
  <si>
    <t>2025.09.25 21:18:28</t>
  </si>
  <si>
    <t>2025.09.25 21:30:26</t>
  </si>
  <si>
    <t>2025.09.25 21:42:02</t>
  </si>
  <si>
    <t>2025.09.25 21:36:09</t>
  </si>
  <si>
    <t>2025.09.25 22:00:33</t>
  </si>
  <si>
    <t>2025.09.25 22:01:22</t>
  </si>
  <si>
    <t>2025.09.25 22:05:29</t>
  </si>
  <si>
    <t>2025.09.25 22:22:18</t>
  </si>
  <si>
    <t>2025.09.25 22:33:39</t>
  </si>
  <si>
    <t>2025.09.25 22:36:55</t>
  </si>
  <si>
    <t>2025.09.25 22:39:34</t>
  </si>
  <si>
    <t>2025.09.25 22:47:05</t>
  </si>
  <si>
    <t>2025.09.25 22:47:08</t>
  </si>
  <si>
    <t>2025.09.25 22:52:25</t>
  </si>
  <si>
    <t>2025.09.25 23:37:27</t>
  </si>
  <si>
    <t>2025.09.25 23:15:37</t>
  </si>
  <si>
    <t>2025.09.26 01:04:38</t>
  </si>
  <si>
    <t>2025.09.26 01:03:09</t>
  </si>
  <si>
    <t>2025.09.26 02:27:17</t>
  </si>
  <si>
    <t>2025.09.26 02:52:15</t>
  </si>
  <si>
    <t>2025.09.26 03:01:56</t>
  </si>
  <si>
    <t>2025.09.26 03:08:01</t>
  </si>
  <si>
    <t>2025.09.26 03:26:33</t>
  </si>
  <si>
    <t>2025.09.26 03:38:46</t>
  </si>
  <si>
    <t>2025.09.26 04:05:39</t>
  </si>
  <si>
    <t>2025.09.26 04:10:25</t>
  </si>
  <si>
    <t>2025.09.26 04:45:01</t>
  </si>
  <si>
    <t>2025.09.26 06:00:25</t>
  </si>
  <si>
    <t>[sl 3738.63]</t>
  </si>
  <si>
    <t>[sl 3738.55]</t>
  </si>
  <si>
    <t>[sl 3742.34]</t>
  </si>
  <si>
    <t>[tp 3743.23]</t>
  </si>
  <si>
    <t>[sl 3739.74]</t>
  </si>
  <si>
    <t>[sl 3739.62]</t>
  </si>
  <si>
    <t>[sl 3740.97]</t>
  </si>
  <si>
    <t>[sl 3749.16]</t>
  </si>
  <si>
    <t>[tp 3752.91]</t>
  </si>
  <si>
    <t>[sl 3755.95]</t>
  </si>
  <si>
    <t>[sl 3753.06]</t>
  </si>
  <si>
    <t>[sl 3752.44]</t>
  </si>
  <si>
    <t>[sl 3756.16]</t>
  </si>
  <si>
    <t>[sl 3752.57]</t>
  </si>
  <si>
    <t>[sl 3750.44]</t>
  </si>
  <si>
    <t>[tp 3748.37]</t>
  </si>
  <si>
    <t>[sl 3746.79]</t>
  </si>
  <si>
    <t>[sl 3748.43]</t>
  </si>
  <si>
    <t>[sl 3749.53]</t>
  </si>
  <si>
    <t>[sl 3746.77]</t>
  </si>
  <si>
    <t>[sl 3750.42]</t>
  </si>
  <si>
    <t>[sl 3750.70]</t>
  </si>
  <si>
    <t>[sl 3747.68]</t>
  </si>
  <si>
    <t>[sl 3747.30]</t>
  </si>
  <si>
    <t>[sl 3745.59]</t>
  </si>
  <si>
    <t>[tp 3748.57]</t>
  </si>
  <si>
    <t>[sl 3742.94]</t>
  </si>
  <si>
    <t>[sl 3743.22]</t>
  </si>
  <si>
    <t>[sl 3745.81]</t>
  </si>
  <si>
    <t>[tp 3751.91]</t>
  </si>
  <si>
    <t>[sl 3747.90]</t>
  </si>
  <si>
    <t>[sl 3743.72]</t>
  </si>
  <si>
    <t>[tp 3737.06]</t>
  </si>
  <si>
    <t>02</t>
  </si>
  <si>
    <t>03</t>
  </si>
  <si>
    <t>04</t>
  </si>
  <si>
    <t>07</t>
  </si>
  <si>
    <t>08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</si>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</sst>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8"/>
      <color rgb="FF000000"/>
      <name val="Tahoma"/>
    </font>
  </fonts>
  <fills count="11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7" fillId="0" borderId="0" xfId="0" pivotButton="1" applyFont="1"/>
    <xf numFmtId="0" fontId="7" fillId="0" borderId="0" xfId="0" applyFont="1"/>
    <xf numFmtId="0" fontId="7" fillId="0" borderId="0" xfId="0" applyFont="1" applyAlignment="1">
      <alignment horizontal="left"/>
    </xf>
    <xf numFmtId="0" fontId="8" fillId="8" borderId="0" xfId="0" applyFont="1" applyFill="1" applyAlignment="1">
      <alignment horizontal="center" vertical="center"/>
    </xf>
    <xf numFmtId="10" fontId="7" fillId="0" borderId="0" xfId="1" applyNumberFormat="1" applyFont="1" applyAlignment="1">
      <alignment horizontal="center" vertical="center"/>
    </xf>
    <xf numFmtId="0" fontId="7" fillId="0" borderId="2" xfId="0" pivotButton="1" applyFont="1" applyBorder="1"/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7" fillId="0" borderId="0" xfId="0" applyFont="1" applyAlignment="1">
      <alignment vertical="center"/>
    </xf>
    <xf numFmtId="0" fontId="8" fillId="0" borderId="2" xfId="0" applyFont="1" applyBorder="1" applyAlignment="1">
      <alignment horizontal="left"/>
    </xf>
    <xf numFmtId="10" fontId="8" fillId="0" borderId="2" xfId="1" applyNumberFormat="1" applyFont="1" applyBorder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7" fillId="0" borderId="0" xfId="0" pivotButton="1" applyFont="1" applyAlignment="1">
      <alignment vertical="center"/>
    </xf>
    <xf numFmtId="0" fontId="7" fillId="0" borderId="0" xfId="0" applyFont="1" applyAlignment="1">
      <alignment horizontal="left" vertical="center"/>
    </xf>
    <xf numFmtId="9" fontId="0" fillId="0" borderId="0" xfId="1" applyFont="1"/>
    <xf numFmtId="0" fontId="0" fillId="9" borderId="0" xfId="0" applyFill="1"/>
    <xf numFmtId="0" fontId="0" fillId="0" borderId="0" xfId="0" applyAlignment="1">
      <alignment horizontal="right"/>
    </xf>
    <xf numFmtId="0" fontId="0" fillId="0" borderId="0" xfId="0" quotePrefix="1"/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/>
    <xf numFmtId="0" fontId="2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0" fontId="0" fillId="0" borderId="0" xfId="1" applyNumberFormat="1" applyFont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7" fillId="10" borderId="0" xfId="1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left"/>
    </xf>
    <xf numFmtId="0" fontId="7" fillId="0" borderId="0" xfId="0" pivotButton="1" applyFont="1" applyAlignment="1">
      <alignment horizontal="center" vertical="center"/>
    </xf>
    <xf numFmtId="0" fontId="8" fillId="9" borderId="2" xfId="0" applyFont="1" applyFill="1" applyBorder="1" applyAlignment="1">
      <alignment horizontal="center"/>
    </xf>
    <xf numFmtId="10" fontId="8" fillId="9" borderId="2" xfId="1" applyNumberFormat="1" applyFont="1" applyFill="1" applyBorder="1" applyAlignment="1">
      <alignment horizontal="center"/>
    </xf>
    <xf numFmtId="10" fontId="7" fillId="0" borderId="2" xfId="1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10" fontId="8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0" fontId="7" fillId="0" borderId="0" xfId="1" applyNumberFormat="1" applyFont="1" applyFill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2" fillId="0" borderId="2" xfId="0" applyFont="1" applyBorder="1" applyAlignment="1">
      <alignment vertical="center"/>
    </xf>
    <xf numFmtId="10" fontId="2" fillId="0" borderId="2" xfId="1" applyNumberFormat="1" applyFont="1" applyBorder="1" applyAlignment="1">
      <alignment horizontal="center" vertical="center"/>
    </xf>
    <xf numFmtId="22" fontId="12" fillId="4" borderId="0" xfId="0" applyNumberFormat="1" applyFont="1" applyFill="1" applyAlignment="1">
      <alignment vertical="center"/>
    </xf>
    <xf numFmtId="167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vertical="center"/>
    </xf>
    <xf numFmtId="168" fontId="12" fillId="4" borderId="0" xfId="0" applyNumberFormat="1" applyFont="1" applyFill="1" applyAlignment="1">
      <alignment vertical="center"/>
    </xf>
    <xf numFmtId="22" fontId="12" fillId="5" borderId="0" xfId="0" applyNumberFormat="1" applyFont="1" applyFill="1" applyAlignment="1">
      <alignment vertical="center"/>
    </xf>
    <xf numFmtId="167" fontId="12" fillId="5" borderId="0" xfId="0" applyNumberFormat="1" applyFont="1" applyFill="1" applyAlignment="1">
      <alignment vertical="center"/>
    </xf>
    <xf numFmtId="0" fontId="12" fillId="5" borderId="0" xfId="0" applyFont="1" applyFill="1" applyAlignment="1">
      <alignment vertical="center"/>
    </xf>
    <xf numFmtId="168" fontId="12" fillId="5" borderId="0" xfId="0" applyNumberFormat="1" applyFont="1" applyFill="1" applyAlignment="1">
      <alignment vertical="center"/>
    </xf>
    <xf numFmtId="0" fontId="7" fillId="0" borderId="2" xfId="0" applyFont="1" applyBorder="1" applyAlignment="1">
      <alignment horizontal="center" vertical="center"/>
    </xf>
    <xf numFmtId="2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2" fontId="0" fillId="0" borderId="2" xfId="0" applyNumberFormat="1" applyBorder="1" applyAlignment="1">
      <alignment horizontal="center"/>
    </xf>
    <xf numFmtId="0" fontId="0" fillId="0" borderId="2" xfId="0" applyBorder="1"/>
    <xf numFmtId="0" fontId="2" fillId="0" borderId="2" xfId="0" applyFont="1" applyBorder="1"/>
    <xf numFmtId="0" fontId="2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NumberFormat="1"/>
    <xf numFmtId="0" fontId="7" fillId="0" borderId="0" xfId="0" applyNumberFormat="1" applyFont="1" applyAlignment="1">
      <alignment horizontal="center"/>
    </xf>
    <xf numFmtId="0" fontId="7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left"/>
    </xf>
    <xf numFmtId="0" fontId="7" fillId="0" borderId="0" xfId="0" applyNumberFormat="1" applyFont="1" applyAlignment="1">
      <alignment horizontal="center" vertical="center"/>
    </xf>
    <xf numFmtId="0" fontId="7" fillId="10" borderId="0" xfId="0" applyNumberFormat="1" applyFont="1" applyFill="1" applyAlignment="1">
      <alignment horizontal="center"/>
    </xf>
    <xf numFmtId="0" fontId="7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710"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alignment horizontal="center"/>
    </dxf>
    <dxf>
      <font>
        <b/>
      </font>
    </dxf>
    <dxf>
      <font>
        <b/>
      </font>
    </dxf>
    <dxf>
      <alignment vertical="center"/>
    </dxf>
    <dxf>
      <font>
        <b/>
      </font>
    </dxf>
    <dxf>
      <fill>
        <patternFill>
          <fgColor indexed="64"/>
          <bgColor theme="9" tint="0.59999389629810485"/>
        </patternFill>
      </fill>
    </dxf>
    <dxf>
      <font>
        <b/>
      </font>
      <fill>
        <patternFill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font>
        <b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b val="0"/>
      </font>
    </dxf>
    <dxf>
      <font>
        <b/>
      </font>
    </dxf>
    <dxf>
      <font>
        <b/>
      </font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solid"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none">
          <fgColor indexed="64"/>
          <bgColor indexed="65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alignment horizontal="center"/>
    </dxf>
    <dxf>
      <alignment vertical="center"/>
    </dxf>
    <dxf>
      <fill>
        <patternFill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alignment horizontal="center"/>
    </dxf>
    <dxf>
      <font>
        <b/>
      </font>
    </dxf>
    <dxf>
      <font>
        <b/>
      </font>
    </dxf>
    <dxf>
      <alignment vertical="center"/>
    </dxf>
    <dxf>
      <font>
        <b/>
      </font>
    </dxf>
    <dxf>
      <fill>
        <patternFill>
          <fgColor indexed="64"/>
          <bgColor theme="9" tint="0.59999389629810485"/>
        </patternFill>
      </fill>
    </dxf>
    <dxf>
      <font>
        <b/>
      </font>
      <fill>
        <patternFill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ont>
        <b/>
      </font>
    </dxf>
    <dxf>
      <fill>
        <patternFill patternType="solid">
          <fgColor indexed="64"/>
          <bgColor theme="9" tint="0.59999389629810485"/>
        </patternFill>
      </fill>
    </dxf>
    <dxf>
      <font>
        <b/>
      </font>
    </dxf>
    <dxf>
      <font>
        <b/>
      </font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b val="0"/>
      </font>
    </dxf>
    <dxf>
      <font>
        <b val="0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9999"/>
        </patternFill>
      </fill>
    </dxf>
    <dxf>
      <font>
        <color rgb="FF0061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FF9999"/>
        </patternFill>
      </fill>
    </dxf>
    <dxf>
      <font>
        <color rgb="FF0061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ont>
        <b/>
      </font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ont>
        <b/>
      </font>
    </dxf>
    <dxf>
      <alignment vertical="center"/>
    </dxf>
    <dxf>
      <font>
        <b/>
      </font>
    </dxf>
    <dxf>
      <font>
        <b/>
      </font>
    </dxf>
    <dxf>
      <alignment horizontal="center"/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</font>
    </dxf>
    <dxf>
      <font>
        <b val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theme="9" tint="0.59999389629810485"/>
        </patternFill>
      </fill>
    </dxf>
    <dxf>
      <font>
        <b/>
      </font>
    </dxf>
    <dxf>
      <fill>
        <patternFill>
          <bgColor theme="9" tint="0.59999389629810485"/>
        </patternFill>
      </fill>
    </dxf>
    <dxf>
      <font>
        <b/>
      </font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ont>
        <b/>
      </font>
    </dxf>
    <dxf>
      <alignment vertical="center"/>
    </dxf>
    <dxf>
      <font>
        <b/>
      </font>
    </dxf>
    <dxf>
      <font>
        <b/>
      </font>
    </dxf>
    <dxf>
      <alignment horizontal="center"/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alignment vertical="center"/>
    </dxf>
    <dxf>
      <alignment horizontal="center"/>
    </dxf>
    <dxf>
      <fill>
        <patternFill>
          <fgColor theme="9" tint="0.59999389629810485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ont>
        <b/>
      </font>
    </dxf>
    <dxf>
      <font>
        <b/>
      </font>
    </dxf>
    <dxf>
      <font>
        <b val="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486048784245816E-2"/>
          <c:y val="8.2463343108504394E-2"/>
          <c:w val="0.95351395121575422"/>
          <c:h val="0.72252153231579186"/>
        </c:manualLayout>
      </c:layout>
      <c:lineChart>
        <c:grouping val="standard"/>
        <c:varyColors val="0"/>
        <c:ser>
          <c:idx val="0"/>
          <c:order val="0"/>
          <c:tx>
            <c:strRef>
              <c:f>strategy_19!$C$21</c:f>
              <c:strCache>
                <c:ptCount val="1"/>
                <c:pt idx="0">
                  <c:v>Cumulative Profit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strategy_19!$C$22:$C$160</c:f>
              <c:numCache>
                <c:formatCode>General</c:formatCode>
                <c:ptCount val="139"/>
                <c:pt idx="0">
                  <c:v>28.69</c:v>
                </c:pt>
                <c:pt idx="1">
                  <c:v>28.380000000000003</c:v>
                </c:pt>
                <c:pt idx="2">
                  <c:v>28.080000000000002</c:v>
                </c:pt>
                <c:pt idx="3">
                  <c:v>27.78</c:v>
                </c:pt>
                <c:pt idx="4">
                  <c:v>28.470000000000002</c:v>
                </c:pt>
                <c:pt idx="5">
                  <c:v>28.160000000000004</c:v>
                </c:pt>
                <c:pt idx="6">
                  <c:v>27.860000000000003</c:v>
                </c:pt>
                <c:pt idx="7">
                  <c:v>28.470000000000002</c:v>
                </c:pt>
                <c:pt idx="8">
                  <c:v>28.700000000000003</c:v>
                </c:pt>
                <c:pt idx="9">
                  <c:v>28.380000000000003</c:v>
                </c:pt>
                <c:pt idx="10">
                  <c:v>28.880000000000003</c:v>
                </c:pt>
                <c:pt idx="11">
                  <c:v>28.580000000000002</c:v>
                </c:pt>
                <c:pt idx="12">
                  <c:v>28.94</c:v>
                </c:pt>
                <c:pt idx="13">
                  <c:v>28.64</c:v>
                </c:pt>
                <c:pt idx="14">
                  <c:v>28.32</c:v>
                </c:pt>
                <c:pt idx="15">
                  <c:v>28.02</c:v>
                </c:pt>
                <c:pt idx="16">
                  <c:v>27.72</c:v>
                </c:pt>
                <c:pt idx="17">
                  <c:v>27.43</c:v>
                </c:pt>
                <c:pt idx="18">
                  <c:v>27.11</c:v>
                </c:pt>
                <c:pt idx="19">
                  <c:v>26.77</c:v>
                </c:pt>
                <c:pt idx="20">
                  <c:v>26.47</c:v>
                </c:pt>
                <c:pt idx="21">
                  <c:v>26.15</c:v>
                </c:pt>
                <c:pt idx="22">
                  <c:v>25.88</c:v>
                </c:pt>
                <c:pt idx="23">
                  <c:v>25.58</c:v>
                </c:pt>
                <c:pt idx="24">
                  <c:v>25.29</c:v>
                </c:pt>
                <c:pt idx="25">
                  <c:v>25.56</c:v>
                </c:pt>
                <c:pt idx="26">
                  <c:v>26.22</c:v>
                </c:pt>
                <c:pt idx="27">
                  <c:v>25.91</c:v>
                </c:pt>
                <c:pt idx="28">
                  <c:v>25.62</c:v>
                </c:pt>
                <c:pt idx="29">
                  <c:v>25.32</c:v>
                </c:pt>
                <c:pt idx="30">
                  <c:v>25.57</c:v>
                </c:pt>
                <c:pt idx="31">
                  <c:v>25.91</c:v>
                </c:pt>
                <c:pt idx="32">
                  <c:v>25.6</c:v>
                </c:pt>
                <c:pt idx="33">
                  <c:v>25.3</c:v>
                </c:pt>
                <c:pt idx="34">
                  <c:v>24.990000000000002</c:v>
                </c:pt>
                <c:pt idx="35">
                  <c:v>24.69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7-41A5-AD60-04241710A9E4}"/>
            </c:ext>
          </c:extLst>
        </c:ser>
        <c:ser>
          <c:idx val="1"/>
          <c:order val="1"/>
          <c:tx>
            <c:strRef>
              <c:f>strategy_19!$G$21</c:f>
              <c:strCache>
                <c:ptCount val="1"/>
                <c:pt idx="0">
                  <c:v>Drawdown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strategy_19!$G$22:$G$160</c:f>
              <c:numCache>
                <c:formatCode>General</c:formatCode>
                <c:ptCount val="139"/>
                <c:pt idx="0">
                  <c:v>28.999999999999996</c:v>
                </c:pt>
                <c:pt idx="1">
                  <c:v>0</c:v>
                </c:pt>
                <c:pt idx="2">
                  <c:v>-0.30000000000000426</c:v>
                </c:pt>
                <c:pt idx="3">
                  <c:v>-0.60000000000000142</c:v>
                </c:pt>
                <c:pt idx="4">
                  <c:v>0</c:v>
                </c:pt>
                <c:pt idx="5">
                  <c:v>-0.30999999999999517</c:v>
                </c:pt>
                <c:pt idx="6">
                  <c:v>-0.60999999999999943</c:v>
                </c:pt>
                <c:pt idx="7">
                  <c:v>0</c:v>
                </c:pt>
                <c:pt idx="8">
                  <c:v>0</c:v>
                </c:pt>
                <c:pt idx="9">
                  <c:v>-0.32000000000000028</c:v>
                </c:pt>
                <c:pt idx="10">
                  <c:v>0</c:v>
                </c:pt>
                <c:pt idx="11">
                  <c:v>-0.30000000000000426</c:v>
                </c:pt>
                <c:pt idx="12">
                  <c:v>0</c:v>
                </c:pt>
                <c:pt idx="13">
                  <c:v>-0.29999999999999716</c:v>
                </c:pt>
                <c:pt idx="14">
                  <c:v>-0.61999999999999744</c:v>
                </c:pt>
                <c:pt idx="15">
                  <c:v>-0.92000000000000171</c:v>
                </c:pt>
                <c:pt idx="16">
                  <c:v>-1.2199999999999989</c:v>
                </c:pt>
                <c:pt idx="17">
                  <c:v>-1.509999999999998</c:v>
                </c:pt>
                <c:pt idx="18">
                  <c:v>-1.8299999999999983</c:v>
                </c:pt>
                <c:pt idx="19">
                  <c:v>-2.1700000000000017</c:v>
                </c:pt>
                <c:pt idx="20">
                  <c:v>-2.4699999999999989</c:v>
                </c:pt>
                <c:pt idx="21">
                  <c:v>-2.7899999999999991</c:v>
                </c:pt>
                <c:pt idx="22">
                  <c:v>-3.0600000000000023</c:v>
                </c:pt>
                <c:pt idx="23">
                  <c:v>-3.3599999999999994</c:v>
                </c:pt>
                <c:pt idx="24">
                  <c:v>-3.6499999999999986</c:v>
                </c:pt>
                <c:pt idx="25">
                  <c:v>-3.3799999999999955</c:v>
                </c:pt>
                <c:pt idx="26">
                  <c:v>-2.7199999999999989</c:v>
                </c:pt>
                <c:pt idx="27">
                  <c:v>-3.0300000000000011</c:v>
                </c:pt>
                <c:pt idx="28">
                  <c:v>-3.3199999999999932</c:v>
                </c:pt>
                <c:pt idx="29">
                  <c:v>-3.6199999999999974</c:v>
                </c:pt>
                <c:pt idx="30">
                  <c:v>-3.3699999999999974</c:v>
                </c:pt>
                <c:pt idx="31">
                  <c:v>-3.0300000000000011</c:v>
                </c:pt>
                <c:pt idx="32">
                  <c:v>-3.3399999999999963</c:v>
                </c:pt>
                <c:pt idx="33">
                  <c:v>-3.6400000000000006</c:v>
                </c:pt>
                <c:pt idx="34">
                  <c:v>-3.9499999999999957</c:v>
                </c:pt>
                <c:pt idx="35">
                  <c:v>-4.25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27-41A5-AD60-04241710A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233279"/>
        <c:axId val="365227999"/>
      </c:lineChart>
      <c:catAx>
        <c:axId val="365233279"/>
        <c:scaling>
          <c:orientation val="minMax"/>
        </c:scaling>
        <c:delete val="1"/>
        <c:axPos val="b"/>
        <c:majorTickMark val="none"/>
        <c:minorTickMark val="none"/>
        <c:tickLblPos val="nextTo"/>
        <c:crossAx val="365227999"/>
        <c:crosses val="autoZero"/>
        <c:auto val="1"/>
        <c:lblAlgn val="ctr"/>
        <c:lblOffset val="100"/>
        <c:noMultiLvlLbl val="0"/>
      </c:catAx>
      <c:valAx>
        <c:axId val="36522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486048784245816E-2"/>
          <c:y val="8.2463343108504394E-2"/>
          <c:w val="0.95351395121575422"/>
          <c:h val="0.72252153231579186"/>
        </c:manualLayout>
      </c:layout>
      <c:lineChart>
        <c:grouping val="standard"/>
        <c:varyColors val="0"/>
        <c:ser>
          <c:idx val="0"/>
          <c:order val="0"/>
          <c:tx>
            <c:strRef>
              <c:f>strategy_31!$C$21</c:f>
              <c:strCache>
                <c:ptCount val="1"/>
                <c:pt idx="0">
                  <c:v>Cumulative Profit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strategy_31!$C$22:$C$160</c:f>
              <c:numCache>
                <c:formatCode>General</c:formatCode>
                <c:ptCount val="139"/>
                <c:pt idx="0">
                  <c:v>28.7</c:v>
                </c:pt>
                <c:pt idx="1">
                  <c:v>28.93</c:v>
                </c:pt>
                <c:pt idx="2">
                  <c:v>28.63</c:v>
                </c:pt>
                <c:pt idx="3">
                  <c:v>28.33</c:v>
                </c:pt>
                <c:pt idx="4">
                  <c:v>28.029999999999998</c:v>
                </c:pt>
                <c:pt idx="5">
                  <c:v>28.38</c:v>
                </c:pt>
                <c:pt idx="6">
                  <c:v>28.06</c:v>
                </c:pt>
                <c:pt idx="7">
                  <c:v>27.759999999999998</c:v>
                </c:pt>
                <c:pt idx="8">
                  <c:v>28.11</c:v>
                </c:pt>
                <c:pt idx="9">
                  <c:v>28.46</c:v>
                </c:pt>
                <c:pt idx="10">
                  <c:v>28.16</c:v>
                </c:pt>
                <c:pt idx="11">
                  <c:v>28.52</c:v>
                </c:pt>
                <c:pt idx="12">
                  <c:v>28.87</c:v>
                </c:pt>
                <c:pt idx="13">
                  <c:v>29.23</c:v>
                </c:pt>
                <c:pt idx="14">
                  <c:v>28.92</c:v>
                </c:pt>
                <c:pt idx="15">
                  <c:v>28.610000000000003</c:v>
                </c:pt>
                <c:pt idx="16">
                  <c:v>28.310000000000002</c:v>
                </c:pt>
                <c:pt idx="17">
                  <c:v>28.69</c:v>
                </c:pt>
                <c:pt idx="18">
                  <c:v>28.37</c:v>
                </c:pt>
                <c:pt idx="19">
                  <c:v>28.060000000000002</c:v>
                </c:pt>
                <c:pt idx="20">
                  <c:v>27.750000000000004</c:v>
                </c:pt>
                <c:pt idx="21">
                  <c:v>27.450000000000003</c:v>
                </c:pt>
                <c:pt idx="22">
                  <c:v>27.140000000000004</c:v>
                </c:pt>
                <c:pt idx="23">
                  <c:v>27.500000000000004</c:v>
                </c:pt>
                <c:pt idx="24">
                  <c:v>26.920000000000005</c:v>
                </c:pt>
                <c:pt idx="25">
                  <c:v>27.270000000000007</c:v>
                </c:pt>
                <c:pt idx="26">
                  <c:v>27.640000000000008</c:v>
                </c:pt>
                <c:pt idx="27">
                  <c:v>27.330000000000009</c:v>
                </c:pt>
                <c:pt idx="28">
                  <c:v>27.70000000000001</c:v>
                </c:pt>
                <c:pt idx="29">
                  <c:v>27.400000000000009</c:v>
                </c:pt>
                <c:pt idx="30">
                  <c:v>27.090000000000011</c:v>
                </c:pt>
                <c:pt idx="31">
                  <c:v>26.760000000000012</c:v>
                </c:pt>
                <c:pt idx="32">
                  <c:v>27.100000000000012</c:v>
                </c:pt>
                <c:pt idx="33">
                  <c:v>26.740000000000013</c:v>
                </c:pt>
                <c:pt idx="34">
                  <c:v>26.440000000000012</c:v>
                </c:pt>
                <c:pt idx="35">
                  <c:v>26.790000000000013</c:v>
                </c:pt>
                <c:pt idx="36">
                  <c:v>26.570000000000014</c:v>
                </c:pt>
                <c:pt idx="37">
                  <c:v>26.800000000000015</c:v>
                </c:pt>
                <c:pt idx="38">
                  <c:v>26.520000000000014</c:v>
                </c:pt>
                <c:pt idx="39">
                  <c:v>26.880000000000013</c:v>
                </c:pt>
                <c:pt idx="40">
                  <c:v>26.580000000000013</c:v>
                </c:pt>
                <c:pt idx="41">
                  <c:v>26.930000000000014</c:v>
                </c:pt>
                <c:pt idx="42">
                  <c:v>26.630000000000013</c:v>
                </c:pt>
                <c:pt idx="43">
                  <c:v>26.980000000000015</c:v>
                </c:pt>
                <c:pt idx="44">
                  <c:v>26.650000000000016</c:v>
                </c:pt>
                <c:pt idx="45">
                  <c:v>26.350000000000016</c:v>
                </c:pt>
                <c:pt idx="46">
                  <c:v>26.040000000000017</c:v>
                </c:pt>
                <c:pt idx="47">
                  <c:v>25.890000000000018</c:v>
                </c:pt>
                <c:pt idx="48">
                  <c:v>25.58000000000002</c:v>
                </c:pt>
                <c:pt idx="49">
                  <c:v>25.940000000000019</c:v>
                </c:pt>
                <c:pt idx="50">
                  <c:v>25.63000000000002</c:v>
                </c:pt>
                <c:pt idx="51">
                  <c:v>25.33000000000002</c:v>
                </c:pt>
                <c:pt idx="52">
                  <c:v>25.030000000000019</c:v>
                </c:pt>
                <c:pt idx="53">
                  <c:v>25.370000000000019</c:v>
                </c:pt>
                <c:pt idx="54">
                  <c:v>25.050000000000018</c:v>
                </c:pt>
                <c:pt idx="55">
                  <c:v>24.750000000000018</c:v>
                </c:pt>
                <c:pt idx="56">
                  <c:v>25.100000000000019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7A-48BD-9440-4F5C33C3A681}"/>
            </c:ext>
          </c:extLst>
        </c:ser>
        <c:ser>
          <c:idx val="1"/>
          <c:order val="1"/>
          <c:tx>
            <c:strRef>
              <c:f>strategy_31!$G$21</c:f>
              <c:strCache>
                <c:ptCount val="1"/>
                <c:pt idx="0">
                  <c:v>Drawdown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strategy_31!$G$22:$G$160</c:f>
              <c:numCache>
                <c:formatCode>General</c:formatCode>
                <c:ptCount val="139"/>
                <c:pt idx="0">
                  <c:v>29.000000000000004</c:v>
                </c:pt>
                <c:pt idx="1">
                  <c:v>0</c:v>
                </c:pt>
                <c:pt idx="2">
                  <c:v>-0.30000000000000426</c:v>
                </c:pt>
                <c:pt idx="3">
                  <c:v>-0.60000000000000142</c:v>
                </c:pt>
                <c:pt idx="4">
                  <c:v>-0.89999999999999858</c:v>
                </c:pt>
                <c:pt idx="5">
                  <c:v>-0.55000000000000426</c:v>
                </c:pt>
                <c:pt idx="6">
                  <c:v>-0.86999999999999744</c:v>
                </c:pt>
                <c:pt idx="7">
                  <c:v>-1.1700000000000017</c:v>
                </c:pt>
                <c:pt idx="8">
                  <c:v>-0.82000000000000028</c:v>
                </c:pt>
                <c:pt idx="9">
                  <c:v>-0.46999999999999886</c:v>
                </c:pt>
                <c:pt idx="10">
                  <c:v>-0.77000000000000313</c:v>
                </c:pt>
                <c:pt idx="11">
                  <c:v>-0.41000000000000369</c:v>
                </c:pt>
                <c:pt idx="12">
                  <c:v>-5.9999999999995168E-2</c:v>
                </c:pt>
                <c:pt idx="13">
                  <c:v>0</c:v>
                </c:pt>
                <c:pt idx="14">
                  <c:v>-0.31000000000000227</c:v>
                </c:pt>
                <c:pt idx="15">
                  <c:v>-0.62000000000000455</c:v>
                </c:pt>
                <c:pt idx="16">
                  <c:v>-0.92000000000000171</c:v>
                </c:pt>
                <c:pt idx="17">
                  <c:v>-0.54000000000000625</c:v>
                </c:pt>
                <c:pt idx="18">
                  <c:v>-0.85999999999999943</c:v>
                </c:pt>
                <c:pt idx="19">
                  <c:v>-1.1700000000000017</c:v>
                </c:pt>
                <c:pt idx="20">
                  <c:v>-1.480000000000004</c:v>
                </c:pt>
                <c:pt idx="21">
                  <c:v>-1.7800000000000011</c:v>
                </c:pt>
                <c:pt idx="22">
                  <c:v>-2.0900000000000034</c:v>
                </c:pt>
                <c:pt idx="23">
                  <c:v>-1.730000000000004</c:v>
                </c:pt>
                <c:pt idx="24">
                  <c:v>-2.3100000000000023</c:v>
                </c:pt>
                <c:pt idx="25">
                  <c:v>-1.9599999999999937</c:v>
                </c:pt>
                <c:pt idx="26">
                  <c:v>-1.5899999999999963</c:v>
                </c:pt>
                <c:pt idx="27">
                  <c:v>-1.8999999999999915</c:v>
                </c:pt>
                <c:pt idx="28">
                  <c:v>-1.529999999999994</c:v>
                </c:pt>
                <c:pt idx="29">
                  <c:v>-1.8299999999999983</c:v>
                </c:pt>
                <c:pt idx="30">
                  <c:v>-2.1399999999999935</c:v>
                </c:pt>
                <c:pt idx="31">
                  <c:v>-2.4699999999999918</c:v>
                </c:pt>
                <c:pt idx="32">
                  <c:v>-2.1299999999999955</c:v>
                </c:pt>
                <c:pt idx="33">
                  <c:v>-2.4899999999999949</c:v>
                </c:pt>
                <c:pt idx="34">
                  <c:v>-2.789999999999992</c:v>
                </c:pt>
                <c:pt idx="35">
                  <c:v>-2.4399999999999906</c:v>
                </c:pt>
                <c:pt idx="36">
                  <c:v>-2.6599999999999895</c:v>
                </c:pt>
                <c:pt idx="37">
                  <c:v>-2.4299999999999926</c:v>
                </c:pt>
                <c:pt idx="38">
                  <c:v>-2.7099999999999937</c:v>
                </c:pt>
                <c:pt idx="39">
                  <c:v>-2.3499999999999943</c:v>
                </c:pt>
                <c:pt idx="40">
                  <c:v>-2.6499999999999915</c:v>
                </c:pt>
                <c:pt idx="41">
                  <c:v>-2.2999999999999901</c:v>
                </c:pt>
                <c:pt idx="42">
                  <c:v>-2.5999999999999943</c:v>
                </c:pt>
                <c:pt idx="43">
                  <c:v>-2.2499999999999858</c:v>
                </c:pt>
                <c:pt idx="44">
                  <c:v>-2.5799999999999841</c:v>
                </c:pt>
                <c:pt idx="45">
                  <c:v>-2.8799999999999883</c:v>
                </c:pt>
                <c:pt idx="46">
                  <c:v>-3.1899999999999835</c:v>
                </c:pt>
                <c:pt idx="47">
                  <c:v>-3.3399999999999892</c:v>
                </c:pt>
                <c:pt idx="48">
                  <c:v>-3.6499999999999844</c:v>
                </c:pt>
                <c:pt idx="49">
                  <c:v>-3.2899999999999849</c:v>
                </c:pt>
                <c:pt idx="50">
                  <c:v>-3.5999999999999801</c:v>
                </c:pt>
                <c:pt idx="51">
                  <c:v>-3.8999999999999844</c:v>
                </c:pt>
                <c:pt idx="52">
                  <c:v>-4.1999999999999886</c:v>
                </c:pt>
                <c:pt idx="53">
                  <c:v>-3.8599999999999852</c:v>
                </c:pt>
                <c:pt idx="54">
                  <c:v>-4.1799999999999855</c:v>
                </c:pt>
                <c:pt idx="55">
                  <c:v>-4.4799999999999898</c:v>
                </c:pt>
                <c:pt idx="56">
                  <c:v>-4.1299999999999812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7A-48BD-9440-4F5C33C3A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233279"/>
        <c:axId val="365227999"/>
      </c:lineChart>
      <c:catAx>
        <c:axId val="365233279"/>
        <c:scaling>
          <c:orientation val="minMax"/>
        </c:scaling>
        <c:delete val="1"/>
        <c:axPos val="b"/>
        <c:majorTickMark val="none"/>
        <c:minorTickMark val="none"/>
        <c:tickLblPos val="nextTo"/>
        <c:crossAx val="365227999"/>
        <c:crosses val="autoZero"/>
        <c:auto val="1"/>
        <c:lblAlgn val="ctr"/>
        <c:lblOffset val="100"/>
        <c:noMultiLvlLbl val="0"/>
      </c:catAx>
      <c:valAx>
        <c:axId val="36522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0</xdr:row>
      <xdr:rowOff>76200</xdr:rowOff>
    </xdr:from>
    <xdr:to>
      <xdr:col>5</xdr:col>
      <xdr:colOff>800100</xdr:colOff>
      <xdr:row>3</xdr:row>
      <xdr:rowOff>76200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3981450" y="76200"/>
          <a:ext cx="145732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63E73B-F177-47BE-ACDA-83A54DE00F63}"/>
            </a:ext>
          </a:extLst>
        </xdr:cNvPr>
        <xdr:cNvSpPr/>
      </xdr:nvSpPr>
      <xdr:spPr>
        <a:xfrm>
          <a:off x="9505950" y="171450"/>
          <a:ext cx="145732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0</xdr:row>
      <xdr:rowOff>209550</xdr:rowOff>
    </xdr:from>
    <xdr:to>
      <xdr:col>14</xdr:col>
      <xdr:colOff>219076</xdr:colOff>
      <xdr:row>17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B9101A-453C-E718-EADB-F25BC40590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219075</xdr:rowOff>
    </xdr:from>
    <xdr:to>
      <xdr:col>13</xdr:col>
      <xdr:colOff>952501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E6D62E-0457-4F64-B596-677CF6EEAD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66898149" createdVersion="8" refreshedVersion="8" minRefreshableVersion="3" recordCount="108" xr:uid="{843EFE9C-2058-45A0-ACA3-91979640CF7E}">
  <cacheSource type="worksheet">
    <worksheetSource ref="E21:F12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4112268519" createdVersion="8" refreshedVersion="8" minRefreshableVersion="3" recordCount="118" xr:uid="{5E4F944A-7557-4B34-8164-60EE9E5A0406}">
  <cacheSource type="worksheet">
    <worksheetSource ref="N21:O13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711223611113" createdVersion="8" refreshedVersion="8" minRefreshableVersion="3" recordCount="180" xr:uid="{816D5870-5FC1-46E9-900C-0E70069C38A9}">
  <cacheSource type="worksheet">
    <worksheetSource ref="E21:F201" sheet="strategy_19"/>
  </cacheSource>
  <cacheFields count="2">
    <cacheField name="WL" numFmtId="0">
      <sharedItems count="3">
        <s v="L"/>
        <s v="W"/>
        <s v=""/>
      </sharedItems>
    </cacheField>
    <cacheField name="Streak" numFmtId="0">
      <sharedItems containsMixedTypes="1" containsNumber="1" containsInteger="1" minValue="1" maxValue="9" count="10">
        <n v="1"/>
        <n v="2"/>
        <n v="3"/>
        <n v="4"/>
        <n v="5"/>
        <n v="6"/>
        <n v="7"/>
        <n v="8"/>
        <n v="9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5.620769907408" createdVersion="8" refreshedVersion="8" minRefreshableVersion="3" recordCount="14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25T06:25:09" maxDate="2025-09-25T09:20:58"/>
    </cacheField>
    <cacheField name="Position" numFmtId="0">
      <sharedItems containsString="0" containsBlank="1" containsNumber="1" containsInteger="1" minValue="177237158" maxValue="177272834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733.33" maxValue="3746.84"/>
    </cacheField>
    <cacheField name="S / L" numFmtId="0">
      <sharedItems containsString="0" containsBlank="1" containsNumber="1" minValue="3733.46" maxValue="3745.35"/>
    </cacheField>
    <cacheField name="T / P" numFmtId="0">
      <sharedItems containsString="0" containsBlank="1" containsNumber="1" minValue="3729.83" maxValue="3750.31"/>
    </cacheField>
    <cacheField name="Time2" numFmtId="0">
      <sharedItems containsBlank="1"/>
    </cacheField>
    <cacheField name="Price2" numFmtId="0">
      <sharedItems containsString="0" containsBlank="1" containsNumber="1" minValue="3733.54" maxValue="3745.35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0.32" maxValue="0.69"/>
    </cacheField>
    <cacheField name="WL" numFmtId="0">
      <sharedItems containsBlank="1" count="4">
        <s v="L"/>
        <s v="W"/>
        <m/>
        <s v="BE" u="1"/>
      </sharedItems>
    </cacheField>
    <cacheField name="date" numFmtId="0">
      <sharedItems containsNonDate="0" containsDate="1" containsString="0" containsBlank="1" minDate="2025-09-25T00:00:00" maxDate="2025-09-26T00:00:00"/>
    </cacheField>
    <cacheField name="Hour" numFmtId="0">
      <sharedItems containsBlank="1"/>
    </cacheField>
    <cacheField name="comment" numFmtId="0">
      <sharedItems containsBlank="1" count="39">
        <s v="strategy_19_live"/>
        <s v="strategy_31.py"/>
        <m/>
        <s v="strategy_09_demo" u="1"/>
        <s v="strategy_11_demo" u="1"/>
        <s v="strategy_10_demo" u="1"/>
        <s v="DEMO_strategy_03" u="1"/>
        <s v="DEMO_strategy_01" u="1"/>
        <s v="DEMO_strategy_02" u="1"/>
        <s v="strategy_12_demo" u="1"/>
        <s v="strategy_08_demo" u="1"/>
        <s v="strategy_07_demo" u="1"/>
        <s v="strategy_13_demo" u="1"/>
        <s v="strategy_14_demo" u="1"/>
        <s v="strategy_15_demo" u="1"/>
        <s v="strategy_16_demo" u="1"/>
        <s v="strategy_17_demo" u="1"/>
        <s v="strategy_18_demo" u="1"/>
        <s v="strategy_19_demo" u="1"/>
        <s v="strategy_20_demo" u="1"/>
        <s v="strategy_21_demo" u="1"/>
        <s v="strategy_22_demo" u="1"/>
        <s v="strategy_23_demo" u="1"/>
        <s v="strategy_24_demo" u="1"/>
        <s v="DEMO_strategy_27" u="1"/>
        <s v="strategy_28.py" u="1"/>
        <s v="DEMO_strategy_25" u="1"/>
        <s v="DEMO_strategy_26" u="1"/>
        <s v="strategy_29.py" u="1"/>
        <s v="strategy_30.py" u="1"/>
        <s v="strategy_32.py" u="1"/>
        <s v="strategy_33.py" u="1"/>
        <s v="strategy_34.py" u="1"/>
        <s v="strategy_36.py" u="1"/>
        <s v="strategy_35.py" u="1"/>
        <s v="strategy_37.py" u="1"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25T06:25:09" maxDate="2025-09-25T09:20:58"/>
    </cacheField>
    <cacheField name="opening_timestamp_manila" numFmtId="0">
      <sharedItems containsNonDate="0" containsDate="1" containsString="0" containsBlank="1" minDate="2025-09-16T14:04:38" maxDate="2025-09-25T14:20:58" count="3171">
        <d v="2025-09-25T11:25:09"/>
        <d v="2025-09-25T11:46:09"/>
        <d v="2025-09-25T11:55:19"/>
        <d v="2025-09-25T11:56:09"/>
        <d v="2025-09-25T12:11:18"/>
        <d v="2025-09-25T12:37:08"/>
        <d v="2025-09-25T12:39:58"/>
        <d v="2025-09-25T13:07:48"/>
        <d v="2025-09-25T13:12:08"/>
        <d v="2025-09-25T13:38:08"/>
        <d v="2025-09-25T13:40:08"/>
        <d v="2025-09-25T14:13:38"/>
        <d v="2025-09-25T14:20:58"/>
        <m/>
        <d v="2025-09-17T20:59:17" u="1"/>
        <d v="2025-09-17T20:59:18" u="1"/>
        <d v="2025-09-17T21:05:19" u="1"/>
        <d v="2025-09-17T21:09:57" u="1"/>
        <d v="2025-09-17T21:09:58" u="1"/>
        <d v="2025-09-17T21:15:57" u="1"/>
        <d v="2025-09-17T21:15:58" u="1"/>
        <d v="2025-09-17T21:17:57" u="1"/>
        <d v="2025-09-17T21:25:17" u="1"/>
        <d v="2025-09-17T21:25:18" u="1"/>
        <d v="2025-09-17T21:31:57" u="1"/>
        <d v="2025-09-17T21:40:07" u="1"/>
        <d v="2025-09-17T21:40:08" u="1"/>
        <d v="2025-09-17T21:45:58" u="1"/>
        <d v="2025-09-17T22:19:07" u="1"/>
        <d v="2025-09-17T22:19:08" u="1"/>
        <d v="2025-09-17T22:25:58" u="1"/>
        <d v="2025-09-17T22:35:58" u="1"/>
        <d v="2025-09-17T22:42:27" u="1"/>
        <d v="2025-09-17T22:42:28" u="1"/>
        <d v="2025-09-17T22:53:57" u="1"/>
        <d v="2025-09-17T22:53:58" u="1"/>
        <d v="2025-09-17T22:58:07" u="1"/>
        <d v="2025-09-17T22:58:08" u="1"/>
        <d v="2025-09-17T23:12:07" u="1"/>
        <d v="2025-09-17T23:14:27" u="1"/>
        <d v="2025-09-17T23:15:57" u="1"/>
        <d v="2025-09-17T23:23:57" u="1"/>
        <d v="2025-09-17T23:23:58" u="1"/>
        <d v="2025-09-17T23:29:57" u="1"/>
        <d v="2025-09-17T23:50:17" u="1"/>
        <d v="2025-09-17T23:56:37" u="1"/>
        <d v="2025-09-17T23:58:47" u="1"/>
        <d v="2025-09-18T00:01:57" u="1"/>
        <d v="2025-09-18T00:01:58" u="1"/>
        <d v="2025-09-18T00:06:47" u="1"/>
        <d v="2025-09-18T00:06:48" u="1"/>
        <d v="2025-09-18T00:26:27" u="1"/>
        <d v="2025-09-18T00:30:47" u="1"/>
        <d v="2025-09-18T00:45:57" u="1"/>
        <d v="2025-09-18T00:58:27" u="1"/>
        <d v="2025-09-18T00:58:28" u="1"/>
        <d v="2025-09-18T01:06:07" u="1"/>
        <d v="2025-09-18T01:06:37" u="1"/>
        <d v="2025-09-18T01:23:37" u="1"/>
        <d v="2025-09-18T01:27:57" u="1"/>
        <d v="2025-09-18T01:31:57" u="1"/>
        <d v="2025-09-18T01:31:58" u="1"/>
        <d v="2025-09-18T01:38:57" u="1"/>
        <d v="2025-09-18T01:41:58" u="1"/>
        <d v="2025-09-18T01:51:47" u="1"/>
        <d v="2025-09-18T01:57:27" u="1"/>
        <d v="2025-09-18T01:58:07" u="1"/>
        <d v="2025-09-18T02:12:07" u="1"/>
        <d v="2025-09-18T02:24:57" u="1"/>
        <d v="2025-09-18T02:25:27" u="1"/>
        <d v="2025-09-18T02:29:27" u="1"/>
        <d v="2025-09-18T02:30:17" u="1"/>
        <d v="2025-09-18T02:40:37" u="1"/>
        <d v="2025-09-18T02:41:17" u="1"/>
        <d v="2025-09-18T02:47:56" u="1"/>
        <d v="2025-09-18T02:47:57" u="1"/>
        <d v="2025-09-18T02:48:26" u="1"/>
        <d v="2025-09-18T02:48:27" u="1"/>
        <d v="2025-09-18T02:56:06" u="1"/>
        <d v="2025-09-18T02:56:07" u="1"/>
        <d v="2025-09-18T02:58:36" u="1"/>
        <d v="2025-09-18T02:58:37" u="1"/>
        <d v="2025-09-18T02:59:06" u="1"/>
        <d v="2025-09-18T02:59:07" u="1"/>
        <d v="2025-09-18T03:02:06" u="1"/>
        <d v="2025-09-18T03:02:07" u="1"/>
        <d v="2025-09-18T03:02:26" u="1"/>
        <d v="2025-09-18T03:10:56" u="1"/>
        <d v="2025-09-18T03:19:20" u="1"/>
        <d v="2025-09-18T03:32:50" u="1"/>
        <d v="2025-09-18T03:33:00" u="1"/>
        <d v="2025-09-18T03:37:50" u="1"/>
        <d v="2025-09-18T03:53:20" u="1"/>
        <d v="2025-09-18T03:54:10" u="1"/>
        <d v="2025-09-18T04:18:19" u="1"/>
        <d v="2025-09-18T04:18:20" u="1"/>
        <d v="2025-09-18T04:24:19" u="1"/>
        <d v="2025-09-18T04:24:29" u="1"/>
        <d v="2025-09-18T04:24:30" u="1"/>
        <d v="2025-09-18T06:07:59" u="1"/>
        <d v="2025-09-18T06:09:59" u="1"/>
        <d v="2025-09-18T06:18:39" u="1"/>
        <d v="2025-09-18T06:18:40" u="1"/>
        <d v="2025-09-18T06:28:09" u="1"/>
        <d v="2025-09-18T06:28:49" u="1"/>
        <d v="2025-09-18T06:28:50" u="1"/>
        <d v="2025-09-18T06:38:00" u="1"/>
        <d v="2025-09-18T06:39:59" u="1"/>
        <d v="2025-09-18T07:07:09" u="1"/>
        <d v="2025-09-18T07:18:39" u="1"/>
        <d v="2025-09-18T07:18:40" u="1"/>
        <d v="2025-09-18T07:28:29" u="1"/>
        <d v="2025-09-18T07:28:30" u="1"/>
        <d v="2025-09-18T07:31:09" u="1"/>
        <d v="2025-09-18T08:05:49" u="1"/>
        <d v="2025-09-18T08:05:50" u="1"/>
        <d v="2025-09-18T08:12:39" u="1"/>
        <d v="2025-09-18T08:12:40" u="1"/>
        <d v="2025-09-18T08:23:39" u="1"/>
        <d v="2025-09-18T08:23:49" u="1"/>
        <d v="2025-09-18T08:28:09" u="1"/>
        <d v="2025-09-18T08:30:39" u="1"/>
        <d v="2025-09-18T08:44:09" u="1"/>
        <d v="2025-09-18T08:45:19" u="1"/>
        <d v="2025-09-18T09:02:09" u="1"/>
        <d v="2025-09-18T09:03:59" u="1"/>
        <d v="2025-09-18T09:04:01" u="1"/>
        <d v="2025-09-18T09:12:19" u="1"/>
        <d v="2025-09-18T09:25:09" u="1"/>
        <d v="2025-09-18T09:25:59" u="1"/>
        <d v="2025-09-18T09:28:59" u="1"/>
        <d v="2025-09-18T09:33:29" u="1"/>
        <d v="2025-09-18T09:33:59" u="1"/>
        <d v="2025-09-18T09:38:29" u="1"/>
        <d v="2025-09-18T09:42:29" u="1"/>
        <d v="2025-09-18T10:00:39" u="1"/>
        <d v="2025-09-18T10:04:09" u="1"/>
        <d v="2025-09-18T10:16:38" u="1"/>
        <d v="2025-09-18T10:16:39" u="1"/>
        <d v="2025-09-18T10:28:18" u="1"/>
        <d v="2025-09-18T10:29:08" u="1"/>
        <d v="2025-09-18T10:29:09" u="1"/>
        <d v="2025-09-18T10:33:08" u="1"/>
        <d v="2025-09-18T10:33:09" u="1"/>
        <d v="2025-09-18T10:52:08" u="1"/>
        <d v="2025-09-18T10:52:09" u="1"/>
        <d v="2025-09-18T10:59:28" u="1"/>
        <d v="2025-09-18T11:01:18" u="1"/>
        <d v="2025-09-18T11:01:19" u="1"/>
        <d v="2025-09-18T11:01:28" u="1"/>
        <d v="2025-09-18T11:01:29" u="1"/>
        <d v="2025-09-18T11:09:48" u="1"/>
        <d v="2025-09-18T11:09:49" u="1"/>
        <d v="2025-09-18T11:10:38" u="1"/>
        <d v="2025-09-18T11:10:39" u="1"/>
        <d v="2025-09-18T11:25:28" u="1"/>
        <d v="2025-09-18T11:25:29" u="1"/>
        <d v="2025-09-18T11:45:58" u="1"/>
        <d v="2025-09-18T11:45:59" u="1"/>
        <d v="2025-09-18T11:54:28" u="1"/>
        <d v="2025-09-18T12:06:28" u="1"/>
        <d v="2025-09-18T12:06:29" u="1"/>
        <d v="2025-09-18T12:07:08" u="1"/>
        <d v="2025-09-18T12:09:58" u="1"/>
        <d v="2025-09-18T12:09:59" u="1"/>
        <d v="2025-09-18T12:10:01" u="1"/>
        <d v="2025-09-18T12:38:48" u="1"/>
        <d v="2025-09-18T12:40:48" u="1"/>
        <d v="2025-09-18T12:40:49" u="1"/>
        <d v="2025-09-18T12:41:59" u="1"/>
        <d v="2025-09-18T12:50:58" u="1"/>
        <d v="2025-09-18T13:03:08" u="1"/>
        <d v="2025-09-18T13:03:18" u="1"/>
        <d v="2025-09-18T13:04:58" u="1"/>
        <d v="2025-09-18T13:13:28" u="1"/>
        <d v="2025-09-18T13:13:29" u="1"/>
        <d v="2025-09-18T13:29:08" u="1"/>
        <d v="2025-09-18T13:29:09" u="1"/>
        <d v="2025-09-18T13:44:08" u="1"/>
        <d v="2025-09-18T13:44:09" u="1"/>
        <d v="2025-09-18T13:51:48" u="1"/>
        <d v="2025-09-18T13:51:49" u="1"/>
        <d v="2025-09-18T13:56:08" u="1"/>
        <d v="2025-09-18T13:56:09" u="1"/>
        <d v="2025-09-18T14:16:08" u="1"/>
        <d v="2025-09-18T14:16:09" u="1"/>
        <d v="2025-09-18T14:18:38" u="1"/>
        <d v="2025-09-18T14:18:39" u="1"/>
        <d v="2025-09-18T14:19:48" u="1"/>
        <d v="2025-09-18T14:20:18" u="1"/>
        <d v="2025-09-18T14:23:38" u="1"/>
        <d v="2025-09-18T14:23:39" u="1"/>
        <d v="2025-09-18T14:25:28" u="1"/>
        <d v="2025-09-18T14:25:29" u="1"/>
        <d v="2025-09-18T14:27:48" u="1"/>
        <d v="2025-09-18T14:36:08" u="1"/>
        <d v="2025-09-18T14:43:08" u="1"/>
        <d v="2025-09-18T15:23:08" u="1"/>
        <d v="2025-09-18T15:35:28" u="1"/>
        <d v="2025-09-18T15:48:18" u="1"/>
        <d v="2025-09-18T15:50:38" u="1"/>
        <d v="2025-09-18T15:51:38" u="1"/>
        <d v="2025-09-18T15:55:48" u="1"/>
        <d v="2025-09-18T15:57:38" u="1"/>
        <d v="2025-09-18T16:13:08" u="1"/>
        <d v="2025-09-18T16:13:09" u="1"/>
        <d v="2025-09-18T16:15:07" u="1"/>
        <d v="2025-09-18T16:30:07" u="1"/>
        <d v="2025-09-18T16:47:17" u="1"/>
        <d v="2025-09-18T16:47:18" u="1"/>
        <d v="2025-09-18T16:47:19" u="1"/>
        <d v="2025-09-18T16:54:57" u="1"/>
        <d v="2025-09-18T16:54:58" u="1"/>
        <d v="2025-09-18T16:55:17" u="1"/>
        <d v="2025-09-18T16:55:18" u="1"/>
        <d v="2025-09-18T17:00:27" u="1"/>
        <d v="2025-09-18T17:00:28" u="1"/>
        <d v="2025-09-18T17:05:17" u="1"/>
        <d v="2025-09-18T17:05:18" u="1"/>
        <d v="2025-09-18T17:07:07" u="1"/>
        <d v="2025-09-18T17:07:08" u="1"/>
        <d v="2025-09-18T17:07:27" u="1"/>
        <d v="2025-09-18T17:07:28" u="1"/>
        <d v="2025-09-18T17:13:57" u="1"/>
        <d v="2025-09-18T17:13:58" u="1"/>
        <d v="2025-09-18T17:14:47" u="1"/>
        <d v="2025-09-18T17:14:48" u="1"/>
        <d v="2025-09-18T17:14:57" u="1"/>
        <d v="2025-09-18T17:29:27" u="1"/>
        <d v="2025-09-18T17:29:28" u="1"/>
        <d v="2025-09-18T17:29:29" u="1"/>
        <d v="2025-09-18T17:33:17" u="1"/>
        <d v="2025-09-18T17:33:18" u="1"/>
        <d v="2025-09-18T17:34:07" u="1"/>
        <d v="2025-09-18T17:34:08" u="1"/>
        <d v="2025-09-18T18:04:17" u="1"/>
        <d v="2025-09-18T18:12:07" u="1"/>
        <d v="2025-09-18T18:12:08" u="1"/>
        <d v="2025-09-18T18:20:17" u="1"/>
        <d v="2025-09-18T18:20:18" u="1"/>
        <d v="2025-09-18T18:40:27" u="1"/>
        <d v="2025-09-18T18:40:28" u="1"/>
        <d v="2025-09-18T18:47:17" u="1"/>
        <d v="2025-09-18T19:22:17" u="1"/>
        <d v="2025-09-18T19:22:18" u="1"/>
        <d v="2025-09-18T19:35:07" u="1"/>
        <d v="2025-09-18T19:35:08" u="1"/>
        <d v="2025-09-18T19:48:37" u="1"/>
        <d v="2025-09-18T19:48:38" u="1"/>
        <d v="2025-09-18T20:00:06" u="1"/>
        <d v="2025-09-18T20:01:57" u="1"/>
        <d v="2025-09-18T20:26:27" u="1"/>
        <d v="2025-09-18T20:26:28" u="1"/>
        <d v="2025-09-18T20:33:57" u="1"/>
        <d v="2025-09-18T20:39:57" u="1"/>
        <d v="2025-09-18T21:04:07" u="1"/>
        <d v="2025-09-18T21:04:08" u="1"/>
        <d v="2025-09-18T21:04:47" u="1"/>
        <d v="2025-09-18T21:11:17" u="1"/>
        <d v="2025-09-18T21:11:18" u="1"/>
        <d v="2025-09-18T21:13:57" u="1"/>
        <d v="2025-09-18T21:13:58" u="1"/>
        <d v="2025-09-18T21:15:17" u="1"/>
        <d v="2025-09-18T21:19:37" u="1"/>
        <d v="2025-09-18T21:47:37" u="1"/>
        <d v="2025-09-18T21:47:38" u="1"/>
        <d v="2025-09-18T21:48:17" u="1"/>
        <d v="2025-09-18T21:48:18" u="1"/>
        <d v="2025-09-18T21:50:07" u="1"/>
        <d v="2025-09-18T21:50:57" u="1"/>
        <d v="2025-09-18T21:53:47" u="1"/>
        <d v="2025-09-18T21:56:37" u="1"/>
        <d v="2025-09-18T22:02:27" u="1"/>
        <d v="2025-09-18T22:05:17" u="1"/>
        <d v="2025-09-18T22:05:47" u="1"/>
        <d v="2025-09-18T22:06:57" u="1"/>
        <d v="2025-09-18T22:14:07" u="1"/>
        <d v="2025-09-18T22:18:57" u="1"/>
        <d v="2025-09-18T22:19:07" u="1"/>
        <d v="2025-09-18T22:20:57" u="1"/>
        <d v="2025-09-18T22:23:07" u="1"/>
        <d v="2025-09-18T22:24:17" u="1"/>
        <d v="2025-09-18T22:25:07" u="1"/>
        <d v="2025-09-18T22:25:26" u="1"/>
        <d v="2025-09-18T22:25:27" u="1"/>
        <d v="2025-09-18T22:25:28" u="1"/>
        <d v="2025-09-18T22:29:46" u="1"/>
        <d v="2025-09-18T22:30:16" u="1"/>
        <d v="2025-09-18T22:30:17" u="1"/>
        <d v="2025-09-18T22:40:36" u="1"/>
        <d v="2025-09-18T22:40:37" u="1"/>
        <d v="2025-09-18T22:42:46" u="1"/>
        <d v="2025-09-18T22:42:47" u="1"/>
        <d v="2025-09-18T22:42:48" u="1"/>
        <d v="2025-09-18T22:45:36" u="1"/>
        <d v="2025-09-18T22:49:56" u="1"/>
        <d v="2025-09-18T22:49:57" u="1"/>
        <d v="2025-09-18T22:55:06" u="1"/>
        <d v="2025-09-18T22:55:07" u="1"/>
        <d v="2025-09-18T22:58:26" u="1"/>
        <d v="2025-09-18T22:58:27" u="1"/>
        <d v="2025-09-18T23:00:36" u="1"/>
        <d v="2025-09-18T23:00:37" u="1"/>
        <d v="2025-09-18T23:01:16" u="1"/>
        <d v="2025-09-18T23:01:17" u="1"/>
        <d v="2025-09-18T23:01:18" u="1"/>
        <d v="2025-09-18T23:11:36" u="1"/>
        <d v="2025-09-18T23:11:37" u="1"/>
        <d v="2025-09-18T23:11:56" u="1"/>
        <d v="2025-09-18T23:11:57" u="1"/>
        <d v="2025-09-18T23:13:36" u="1"/>
        <d v="2025-09-18T23:20:46" u="1"/>
        <d v="2025-09-18T23:20:47" u="1"/>
        <d v="2025-09-18T23:30:06" u="1"/>
        <d v="2025-09-19T00:03:46" u="1"/>
        <d v="2025-09-19T00:03:47" u="1"/>
        <d v="2025-09-19T00:03:48" u="1"/>
        <d v="2025-09-19T00:04:46" u="1"/>
        <d v="2025-09-19T00:07:06" u="1"/>
        <d v="2025-09-19T00:07:07" u="1"/>
        <d v="2025-09-19T00:08:06" u="1"/>
        <d v="2025-09-19T00:08:07" u="1"/>
        <d v="2025-09-19T00:13:26" u="1"/>
        <d v="2025-09-19T00:14:46" u="1"/>
        <d v="2025-09-19T00:14:47" u="1"/>
        <d v="2025-09-19T00:19:16" u="1"/>
        <d v="2025-09-19T00:19:26" u="1"/>
        <d v="2025-09-19T00:19:27" u="1"/>
        <d v="2025-09-19T00:19:28" u="1"/>
        <d v="2025-09-19T00:26:06" u="1"/>
        <d v="2025-09-19T00:56:06" u="1"/>
        <d v="2025-09-19T00:56:56" u="1"/>
        <d v="2025-09-19T00:57:06" u="1"/>
        <d v="2025-09-19T00:57:07" u="1"/>
        <d v="2025-09-19T00:59:26" u="1"/>
        <d v="2025-09-19T00:59:27" u="1"/>
        <d v="2025-09-19T01:00:16" u="1"/>
        <d v="2025-09-19T01:09:56" u="1"/>
        <d v="2025-09-19T01:09:57" u="1"/>
        <d v="2025-09-19T01:11:16" u="1"/>
        <d v="2025-09-19T01:18:16" u="1"/>
        <d v="2025-09-19T01:19:46" u="1"/>
        <d v="2025-09-19T01:52:06" u="1"/>
        <d v="2025-09-19T01:57:06" u="1"/>
        <d v="2025-09-19T01:58:06" u="1"/>
        <d v="2025-09-19T02:03:06" u="1"/>
        <d v="2025-09-19T02:06:16" u="1"/>
        <d v="2025-09-19T02:06:17" u="1"/>
        <d v="2025-09-19T02:06:18" u="1"/>
        <d v="2025-09-19T02:08:26" u="1"/>
        <d v="2025-09-19T02:13:56" u="1"/>
        <d v="2025-09-19T02:14:56" u="1"/>
        <d v="2025-09-19T02:15:36" u="1"/>
        <d v="2025-09-19T02:15:56" u="1"/>
        <d v="2025-09-19T03:20:10" u="1"/>
        <d v="2025-09-19T03:25:10" u="1"/>
        <d v="2025-09-19T03:51:10" u="1"/>
        <d v="2025-09-19T03:52:00" u="1"/>
        <d v="2025-09-19T03:58:10" u="1"/>
        <d v="2025-09-19T04:00:19" u="1"/>
        <d v="2025-09-19T04:00:20" u="1"/>
        <d v="2025-09-19T04:00:39" u="1"/>
        <d v="2025-09-19T04:00:40" u="1"/>
        <d v="2025-09-19T04:01:09" u="1"/>
        <d v="2025-09-19T04:01:10" u="1"/>
        <d v="2025-09-19T04:06:57" u="1"/>
        <d v="2025-09-19T04:38:09" u="1"/>
        <d v="2025-09-19T04:54:09" u="1"/>
        <d v="2025-09-19T06:05:09" u="1"/>
        <d v="2025-09-19T06:10:09" u="1"/>
        <d v="2025-09-19T06:10:10" u="1"/>
        <d v="2025-09-19T06:10:11" u="1"/>
        <d v="2025-09-19T06:14:49" u="1"/>
        <d v="2025-09-19T06:25:59" u="1"/>
        <d v="2025-09-19T06:26:09" u="1"/>
        <d v="2025-09-19T06:37:09" u="1"/>
        <d v="2025-09-19T06:58:09" u="1"/>
        <d v="2025-09-19T06:59:59" u="1"/>
        <d v="2025-09-19T07:00:29" u="1"/>
        <d v="2025-09-19T07:00:39" u="1"/>
        <d v="2025-09-19T07:04:09" u="1"/>
        <d v="2025-09-19T07:17:09" u="1"/>
        <d v="2025-09-19T07:19:01" u="1"/>
        <d v="2025-09-19T07:26:39" u="1"/>
        <d v="2025-09-19T07:26:49" u="1"/>
        <d v="2025-09-19T07:33:09" u="1"/>
        <d v="2025-09-19T07:33:19" u="1"/>
        <d v="2025-09-19T07:33:29" u="1"/>
        <d v="2025-09-19T07:33:49" u="1"/>
        <d v="2025-09-19T07:33:59" u="1"/>
        <d v="2025-09-19T07:34:00" u="1"/>
        <d v="2025-09-19T08:02:09" u="1"/>
        <d v="2025-09-19T08:05:09" u="1"/>
        <d v="2025-09-19T08:05:10" u="1"/>
        <d v="2025-09-19T08:07:59" u="1"/>
        <d v="2025-09-19T08:08:00" u="1"/>
        <d v="2025-09-19T08:13:49" u="1"/>
        <d v="2025-09-19T08:15:09" u="1"/>
        <d v="2025-09-19T08:15:10" u="1"/>
        <d v="2025-09-19T08:20:09" u="1"/>
        <d v="2025-09-19T08:20:39" u="1"/>
        <d v="2025-09-19T08:20:40" u="1"/>
        <d v="2025-09-19T08:28:39" u="1"/>
        <d v="2025-09-19T08:28:59" u="1"/>
        <d v="2025-09-19T08:29:29" u="1"/>
        <d v="2025-09-19T08:38:19" u="1"/>
        <d v="2025-09-19T08:41:59" u="1"/>
        <d v="2025-09-19T08:42:09" u="1"/>
        <d v="2025-09-19T08:44:00" u="1"/>
        <d v="2025-09-19T08:49:59" u="1"/>
        <d v="2025-09-19T08:56:09" u="1"/>
        <d v="2025-09-19T08:58:19" u="1"/>
        <d v="2025-09-19T08:58:20" u="1"/>
        <d v="2025-09-19T09:02:29" u="1"/>
        <d v="2025-09-19T09:05:59" u="1"/>
        <d v="2025-09-19T09:11:09" u="1"/>
        <d v="2025-09-19T09:12:19" u="1"/>
        <d v="2025-09-19T09:12:20" u="1"/>
        <d v="2025-09-19T09:16:39" u="1"/>
        <d v="2025-09-19T09:23:19" u="1"/>
        <d v="2025-09-19T09:23:20" u="1"/>
        <d v="2025-09-19T09:23:49" u="1"/>
        <d v="2025-09-19T09:25:49" u="1"/>
        <d v="2025-09-19T09:36:09" u="1"/>
        <d v="2025-09-19T09:42:09" u="1"/>
        <d v="2025-09-19T09:47:29" u="1"/>
        <d v="2025-09-19T09:52:39" u="1"/>
        <d v="2025-09-19T09:53:29" u="1"/>
        <d v="2025-09-19T09:53:30" u="1"/>
        <d v="2025-09-19T09:55:09" u="1"/>
        <d v="2025-09-19T09:55:49" u="1"/>
        <d v="2025-09-19T09:58:59" u="1"/>
        <d v="2025-09-19T10:03:39" u="1"/>
        <d v="2025-09-19T10:11:49" u="1"/>
        <d v="2025-09-19T10:15:19" u="1"/>
        <d v="2025-09-19T10:15:29" u="1"/>
        <d v="2025-09-19T10:15:39" u="1"/>
        <d v="2025-09-19T10:16:49" u="1"/>
        <d v="2025-09-19T10:16:50" u="1"/>
        <d v="2025-09-19T10:26:58" u="1"/>
        <d v="2025-09-19T10:26:59" u="1"/>
        <d v="2025-09-19T10:27:38" u="1"/>
        <d v="2025-09-19T10:27:39" u="1"/>
        <d v="2025-09-19T10:42:28" u="1"/>
        <d v="2025-09-19T10:43:08" u="1"/>
        <d v="2025-09-19T10:44:28" u="1"/>
        <d v="2025-09-19T10:44:29" u="1"/>
        <d v="2025-09-19T10:44:58" u="1"/>
        <d v="2025-09-19T10:48:38" u="1"/>
        <d v="2025-09-19T10:48:39" u="1"/>
        <d v="2025-09-19T10:48:40" u="1"/>
        <d v="2025-09-19T10:49:08" u="1"/>
        <d v="2025-09-19T10:52:08" u="1"/>
        <d v="2025-09-19T10:52:09" u="1"/>
        <d v="2025-09-19T10:54:08" u="1"/>
        <d v="2025-09-19T11:20:28" u="1"/>
        <d v="2025-09-19T11:20:29" u="1"/>
        <d v="2025-09-19T11:24:48" u="1"/>
        <d v="2025-09-19T11:24:49" u="1"/>
        <d v="2025-09-19T11:26:08" u="1"/>
        <d v="2025-09-19T11:26:09" u="1"/>
        <d v="2025-09-19T11:26:10" u="1"/>
        <d v="2025-09-19T11:30:08" u="1"/>
        <d v="2025-09-19T11:32:58" u="1"/>
        <d v="2025-09-19T11:32:59" u="1"/>
        <d v="2025-09-19T11:37:28" u="1"/>
        <d v="2025-09-19T11:37:29" u="1"/>
        <d v="2025-09-19T11:38:08" u="1"/>
        <d v="2025-09-19T11:38:09" u="1"/>
        <d v="2025-09-19T11:47:08" u="1"/>
        <d v="2025-09-19T11:47:09" u="1"/>
        <d v="2025-09-19T12:08:48" u="1"/>
        <d v="2025-09-19T12:11:08" u="1"/>
        <d v="2025-09-19T12:11:09" u="1"/>
        <d v="2025-09-19T12:12:48" u="1"/>
        <d v="2025-09-19T12:12:49" u="1"/>
        <d v="2025-09-19T12:12:50" u="1"/>
        <d v="2025-09-19T12:18:38" u="1"/>
        <d v="2025-09-19T12:41:28" u="1"/>
        <d v="2025-09-19T13:00:08" u="1"/>
        <d v="2025-09-19T13:04:58" u="1"/>
        <d v="2025-09-19T13:05:08" u="1"/>
        <d v="2025-09-19T13:05:09" u="1"/>
        <d v="2025-09-19T13:14:08" u="1"/>
        <d v="2025-09-19T13:16:58" u="1"/>
        <d v="2025-09-19T13:27:28" u="1"/>
        <d v="2025-09-19T13:27:29" u="1"/>
        <d v="2025-09-19T13:27:38" u="1"/>
        <d v="2025-09-19T13:34:08" u="1"/>
        <d v="2025-09-19T13:37:08" u="1"/>
        <d v="2025-09-19T13:38:18" u="1"/>
        <d v="2025-09-19T13:38:19" u="1"/>
        <d v="2025-09-19T13:40:38" u="1"/>
        <d v="2025-09-19T13:40:48" u="1"/>
        <d v="2025-09-19T13:43:08" u="1"/>
        <d v="2025-09-19T13:43:28" u="1"/>
        <d v="2025-09-19T13:52:08" u="1"/>
        <d v="2025-09-19T13:55:28" u="1"/>
        <d v="2025-09-19T14:03:58" u="1"/>
        <d v="2025-09-19T14:03:59" u="1"/>
        <d v="2025-09-19T14:04:38" u="1"/>
        <d v="2025-09-19T14:17:18" u="1"/>
        <d v="2025-09-19T14:22:18" u="1"/>
        <d v="2025-09-19T14:22:48" u="1"/>
        <d v="2025-09-19T14:24:18" u="1"/>
        <d v="2025-09-19T14:24:19" u="1"/>
        <d v="2025-09-19T14:24:58" u="1"/>
        <d v="2025-09-19T14:27:18" u="1"/>
        <d v="2025-09-19T14:37:18" u="1"/>
        <d v="2025-09-19T14:38:08" u="1"/>
        <d v="2025-09-19T14:38:09" u="1"/>
        <d v="2025-09-19T14:38:38" u="1"/>
        <d v="2025-09-19T14:52:28" u="1"/>
        <d v="2025-09-19T14:52:29" u="1"/>
        <d v="2025-09-19T14:52:38" u="1"/>
        <d v="2025-09-19T14:56:08" u="1"/>
        <d v="2025-09-19T14:58:08" u="1"/>
        <d v="2025-09-19T15:02:08" u="1"/>
        <d v="2025-09-19T15:03:08" u="1"/>
        <d v="2025-09-19T15:07:08" u="1"/>
        <d v="2025-09-19T15:14:58" u="1"/>
        <d v="2025-09-19T15:16:08" u="1"/>
        <d v="2025-09-19T15:20:28" u="1"/>
        <d v="2025-09-19T15:20:48" u="1"/>
        <d v="2025-09-19T15:24:38" u="1"/>
        <d v="2025-09-19T15:26:08" u="1"/>
        <d v="2025-09-19T15:26:09" u="1"/>
        <d v="2025-09-19T15:52:48" u="1"/>
        <d v="2025-09-19T15:52:58" u="1"/>
        <d v="2025-09-19T15:53:28" u="1"/>
        <d v="2025-09-19T15:53:29" u="1"/>
        <d v="2025-09-19T15:56:08" u="1"/>
        <d v="2025-09-19T16:01:08" u="1"/>
        <d v="2025-09-19T16:02:08" u="1"/>
        <d v="2025-09-19T16:03:18" u="1"/>
        <d v="2025-09-19T16:12:28" u="1"/>
        <d v="2025-09-19T16:12:29" u="1"/>
        <d v="2025-09-19T16:16:08" u="1"/>
        <d v="2025-09-19T16:16:28" u="1"/>
        <d v="2025-09-19T16:19:08" u="1"/>
        <d v="2025-09-19T16:22:18" u="1"/>
        <d v="2025-09-19T16:32:18" u="1"/>
        <d v="2025-09-19T16:37:38" u="1"/>
        <d v="2025-09-19T16:37:39" u="1"/>
        <d v="2025-09-19T16:50:37" u="1"/>
        <d v="2025-09-19T16:52:57" u="1"/>
        <d v="2025-09-19T16:52:58" u="1"/>
        <d v="2025-09-19T16:53:27" u="1"/>
        <d v="2025-09-19T16:53:28" u="1"/>
        <d v="2025-09-19T16:54:27" u="1"/>
        <d v="2025-09-19T17:06:57" u="1"/>
        <d v="2025-09-19T17:06:58" u="1"/>
        <d v="2025-09-19T17:08:17" u="1"/>
        <d v="2025-09-19T17:08:18" u="1"/>
        <d v="2025-09-19T17:15:07" u="1"/>
        <d v="2025-09-19T17:15:08" u="1"/>
        <d v="2025-09-19T17:21:07" u="1"/>
        <d v="2025-09-19T17:21:08" u="1"/>
        <d v="2025-09-19T17:24:47" u="1"/>
        <d v="2025-09-19T17:24:48" u="1"/>
        <d v="2025-09-19T17:25:07" u="1"/>
        <d v="2025-09-19T17:25:08" u="1"/>
        <d v="2025-09-19T17:31:17" u="1"/>
        <d v="2025-09-19T17:31:18" u="1"/>
        <d v="2025-09-19T17:51:37" u="1"/>
        <d v="2025-09-19T18:00:37" u="1"/>
        <d v="2025-09-19T18:00:57" u="1"/>
        <d v="2025-09-19T18:18:07" u="1"/>
        <d v="2025-09-19T18:22:07" u="1"/>
        <d v="2025-09-19T18:37:07" u="1"/>
        <d v="2025-09-19T18:37:08" u="1"/>
        <d v="2025-09-19T18:38:07" u="1"/>
        <d v="2025-09-19T18:38:08" u="1"/>
        <d v="2025-09-19T18:38:09" u="1"/>
        <d v="2025-09-19T18:58:07" u="1"/>
        <d v="2025-09-19T19:03:07" u="1"/>
        <d v="2025-09-19T19:07:17" u="1"/>
        <d v="2025-09-19T19:07:18" u="1"/>
        <d v="2025-09-19T19:11:37" u="1"/>
        <d v="2025-09-19T19:12:17" u="1"/>
        <d v="2025-09-19T19:12:18" u="1"/>
        <d v="2025-09-19T19:15:07" u="1"/>
        <d v="2025-09-19T19:15:08" u="1"/>
        <d v="2025-09-19T19:17:07" u="1"/>
        <d v="2025-09-19T19:17:08" u="1"/>
        <d v="2025-09-19T19:17:57" u="1"/>
        <d v="2025-09-19T19:18:27" u="1"/>
        <d v="2025-09-19T19:20:37" u="1"/>
        <d v="2025-09-19T19:27:07" u="1"/>
        <d v="2025-09-19T19:28:07" u="1"/>
        <d v="2025-09-19T19:28:27" u="1"/>
        <d v="2025-09-19T19:34:17" u="1"/>
        <d v="2025-09-19T19:34:18" u="1"/>
        <d v="2025-09-19T19:34:27" u="1"/>
        <d v="2025-09-19T19:35:27" u="1"/>
        <d v="2025-09-19T19:40:17" u="1"/>
        <d v="2025-09-19T19:40:18" u="1"/>
        <d v="2025-09-19T19:45:27" u="1"/>
        <d v="2025-09-19T19:46:07" u="1"/>
        <d v="2025-09-19T19:46:08" u="1"/>
        <d v="2025-09-19T19:48:27" u="1"/>
        <d v="2025-09-19T19:48:37" u="1"/>
        <d v="2025-09-19T19:56:17" u="1"/>
        <d v="2025-09-19T19:57:07" u="1"/>
        <d v="2025-09-19T19:57:47" u="1"/>
        <d v="2025-09-19T19:58:07" u="1"/>
        <d v="2025-09-19T19:58:08" u="1"/>
        <d v="2025-09-19T19:59:17" u="1"/>
        <d v="2025-09-19T20:00:01" u="1"/>
        <d v="2025-09-19T20:00:14" u="1"/>
        <d v="2025-09-19T20:04:27" u="1"/>
        <d v="2025-09-19T20:05:57" u="1"/>
        <d v="2025-09-19T20:13:17" u="1"/>
        <d v="2025-09-19T20:17:07" u="1"/>
        <d v="2025-09-19T20:17:57" u="1"/>
        <d v="2025-09-19T20:17:58" u="1"/>
        <d v="2025-09-19T20:18:17" u="1"/>
        <d v="2025-09-19T20:21:57" u="1"/>
        <d v="2025-09-19T20:23:57" u="1"/>
        <d v="2025-09-19T20:24:17" u="1"/>
        <d v="2025-09-19T20:26:07" u="1"/>
        <d v="2025-09-19T20:28:37" u="1"/>
        <d v="2025-09-19T20:43:57" u="1"/>
        <d v="2025-09-19T20:44:07" u="1"/>
        <d v="2025-09-19T20:44:08" u="1"/>
        <d v="2025-09-19T20:51:37" u="1"/>
        <d v="2025-09-19T20:51:38" u="1"/>
        <d v="2025-09-19T20:51:47" u="1"/>
        <d v="2025-09-19T20:51:48" u="1"/>
        <d v="2025-09-19T20:52:17" u="1"/>
        <d v="2025-09-19T20:52:57" u="1"/>
        <d v="2025-09-19T20:56:07" u="1"/>
        <d v="2025-09-19T21:04:07" u="1"/>
        <d v="2025-09-19T21:04:08" u="1"/>
        <d v="2025-09-19T21:04:57" u="1"/>
        <d v="2025-09-19T21:05:57" u="1"/>
        <d v="2025-09-19T21:05:58" u="1"/>
        <d v="2025-09-19T21:08:07" u="1"/>
        <d v="2025-09-19T21:08:08" u="1"/>
        <d v="2025-09-19T21:09:07" u="1"/>
        <d v="2025-09-19T21:09:08" u="1"/>
        <d v="2025-09-19T21:10:07" u="1"/>
        <d v="2025-09-19T21:15:37" u="1"/>
        <d v="2025-09-19T21:15:38" u="1"/>
        <d v="2025-09-19T21:18:27" u="1"/>
        <d v="2025-09-19T21:20:07" u="1"/>
        <d v="2025-09-19T21:20:08" u="1"/>
        <d v="2025-09-19T21:25:17" u="1"/>
        <d v="2025-09-19T21:25:18" u="1"/>
        <d v="2025-09-19T21:30:17" u="1"/>
        <d v="2025-09-19T21:30:57" u="1"/>
        <d v="2025-09-19T21:30:58" u="1"/>
        <d v="2025-09-19T21:32:47" u="1"/>
        <d v="2025-09-19T21:33:37" u="1"/>
        <d v="2025-09-19T21:33:38" u="1"/>
        <d v="2025-09-19T21:37:57" u="1"/>
        <d v="2025-09-19T21:37:58" u="1"/>
        <d v="2025-09-19T21:38:57" u="1"/>
        <d v="2025-09-19T21:39:17" u="1"/>
        <d v="2025-09-19T21:53:27" u="1"/>
        <d v="2025-09-19T21:54:17" u="1"/>
        <d v="2025-09-19T21:58:37" u="1"/>
        <d v="2025-09-19T21:58:38" u="1"/>
        <d v="2025-09-19T22:02:27" u="1"/>
        <d v="2025-09-19T22:02:28" u="1"/>
        <d v="2025-09-19T22:03:17" u="1"/>
        <d v="2025-09-19T22:04:27" u="1"/>
        <d v="2025-09-19T22:10:07" u="1"/>
        <d v="2025-09-19T22:18:17" u="1"/>
        <d v="2025-09-19T22:19:17" u="1"/>
        <d v="2025-09-19T22:20:27" u="1"/>
        <d v="2025-09-19T22:20:28" u="1"/>
        <d v="2025-09-19T22:22:37" u="1"/>
        <d v="2025-09-19T22:23:07" u="1"/>
        <d v="2025-09-19T22:29:07" u="1"/>
        <d v="2025-09-19T22:32:57" u="1"/>
        <d v="2025-09-19T22:33:07" u="1"/>
        <d v="2025-09-19T22:33:08" u="1"/>
        <d v="2025-09-19T22:34:06" u="1"/>
        <d v="2025-09-19T22:34:07" u="1"/>
        <d v="2025-09-19T22:35:26" u="1"/>
        <d v="2025-09-19T22:37:16" u="1"/>
        <d v="2025-09-19T22:41:16" u="1"/>
        <d v="2025-09-19T22:41:17" u="1"/>
        <d v="2025-09-19T22:42:16" u="1"/>
        <d v="2025-09-19T22:42:17" u="1"/>
        <d v="2025-09-19T22:55:07" u="1"/>
        <d v="2025-09-19T22:55:17" u="1"/>
        <d v="2025-09-19T22:58:17" u="1"/>
        <d v="2025-09-19T22:58:57" u="1"/>
        <d v="2025-09-19T22:59:36" u="1"/>
        <d v="2025-09-19T22:59:37" u="1"/>
        <d v="2025-09-19T23:00:16" u="1"/>
        <d v="2025-09-19T23:00:17" u="1"/>
        <d v="2025-09-19T23:04:56" u="1"/>
        <d v="2025-09-19T23:07:06" u="1"/>
        <d v="2025-09-19T23:07:07" u="1"/>
        <d v="2025-09-19T23:07:08" u="1"/>
        <d v="2025-09-19T23:15:17" u="1"/>
        <d v="2025-09-19T23:23:16" u="1"/>
        <d v="2025-09-19T23:23:17" u="1"/>
        <d v="2025-09-19T23:24:06" u="1"/>
        <d v="2025-09-19T23:24:26" u="1"/>
        <d v="2025-09-19T23:25:46" u="1"/>
        <d v="2025-09-19T23:25:47" u="1"/>
        <d v="2025-09-19T23:25:48" u="1"/>
        <d v="2025-09-19T23:26:06" u="1"/>
        <d v="2025-09-19T23:26:07" u="1"/>
        <d v="2025-09-19T23:32:26" u="1"/>
        <d v="2025-09-19T23:32:27" u="1"/>
        <d v="2025-09-19T23:35:26" u="1"/>
        <d v="2025-09-19T23:35:27" u="1"/>
        <d v="2025-09-19T23:36:36" u="1"/>
        <d v="2025-09-19T23:36:37" u="1"/>
        <d v="2025-09-19T23:40:36" u="1"/>
        <d v="2025-09-19T23:40:37" u="1"/>
        <d v="2025-09-19T23:40:38" u="1"/>
        <d v="2025-09-19T23:53:26" u="1"/>
        <d v="2025-09-20T00:01:26" u="1"/>
        <d v="2025-09-20T00:01:27" u="1"/>
        <d v="2025-09-20T00:02:56" u="1"/>
        <d v="2025-09-20T00:07:36" u="1"/>
        <d v="2025-09-20T00:08:06" u="1"/>
        <d v="2025-09-20T00:08:07" u="1"/>
        <d v="2025-09-20T00:08:26" u="1"/>
        <d v="2025-09-20T00:16:06" u="1"/>
        <d v="2025-09-20T00:16:07" u="1"/>
        <d v="2025-09-20T00:17:06" u="1"/>
        <d v="2025-09-20T00:19:06" u="1"/>
        <d v="2025-09-20T00:19:07" u="1"/>
        <d v="2025-09-20T00:19:08" u="1"/>
        <d v="2025-09-20T00:20:56" u="1"/>
        <d v="2025-09-20T00:26:36" u="1"/>
        <d v="2025-09-20T00:26:37" u="1"/>
        <d v="2025-09-20T00:27:16" u="1"/>
        <d v="2025-09-20T00:27:17" u="1"/>
        <d v="2025-09-20T00:27:46" u="1"/>
        <d v="2025-09-20T00:45:06" u="1"/>
        <d v="2025-09-20T00:46:06" u="1"/>
        <d v="2025-09-20T00:46:36" u="1"/>
        <d v="2025-09-20T00:46:37" u="1"/>
        <d v="2025-09-20T00:58:06" u="1"/>
        <d v="2025-09-20T00:59:06" u="1"/>
        <d v="2025-09-20T00:59:07" u="1"/>
        <d v="2025-09-20T01:01:56" u="1"/>
        <d v="2025-09-20T01:01:57" u="1"/>
        <d v="2025-09-20T01:09:56" u="1"/>
        <d v="2025-09-20T01:12:26" u="1"/>
        <d v="2025-09-20T01:13:06" u="1"/>
        <d v="2025-09-20T01:21:06" u="1"/>
        <d v="2025-09-20T01:21:46" u="1"/>
        <d v="2025-09-20T01:21:47" u="1"/>
        <d v="2025-09-20T01:25:36" u="1"/>
        <d v="2025-09-20T01:26:26" u="1"/>
        <d v="2025-09-20T01:32:16" u="1"/>
        <d v="2025-09-20T01:32:26" u="1"/>
        <d v="2025-09-20T01:34:36" u="1"/>
        <d v="2025-09-20T01:37:06" u="1"/>
        <d v="2025-09-20T01:39:36" u="1"/>
        <d v="2025-09-20T01:40:16" u="1"/>
        <d v="2025-09-20T01:42:06" u="1"/>
        <d v="2025-09-20T01:48:16" u="1"/>
        <d v="2025-09-20T01:49:26" u="1"/>
        <d v="2025-09-20T01:49:27" u="1"/>
        <d v="2025-09-20T01:57:26" u="1"/>
        <d v="2025-09-20T01:57:27" u="1"/>
        <d v="2025-09-20T01:57:28" u="1"/>
        <d v="2025-09-20T01:58:06" u="1"/>
        <d v="2025-09-20T02:05:46" u="1"/>
        <d v="2025-09-20T02:14:06" u="1"/>
        <d v="2025-09-20T02:15:06" u="1"/>
        <d v="2025-09-20T02:25:36" u="1"/>
        <d v="2025-09-20T02:25:37" u="1"/>
        <d v="2025-09-20T02:25:38" u="1"/>
        <d v="2025-09-20T02:28:16" u="1"/>
        <d v="2025-09-20T02:31:58" u="1"/>
        <d v="2025-09-20T02:43:56" u="1"/>
        <d v="2025-09-20T02:56:06" u="1"/>
        <d v="2025-09-20T02:57:16" u="1"/>
        <d v="2025-09-20T02:59:36" u="1"/>
        <d v="2025-09-20T03:00:06" u="1"/>
        <d v="2025-09-20T03:00:56" u="1"/>
        <d v="2025-09-20T03:13:46" u="1"/>
        <d v="2025-09-20T03:37:56" u="1"/>
        <d v="2025-09-20T03:51:06" u="1"/>
        <d v="2025-09-20T03:56:46" u="1"/>
        <d v="2025-09-20T03:59:56" u="1"/>
        <d v="2025-09-20T04:00:57" u="1"/>
        <d v="2025-09-20T04:05:26" u="1"/>
        <d v="2025-09-20T04:06:16" u="1"/>
        <d v="2025-09-20T04:14:06" u="1"/>
        <d v="2025-09-20T04:15:46" u="1"/>
        <d v="2025-09-20T04:18:06" u="1"/>
        <d v="2025-09-20T04:19:46" u="1"/>
        <d v="2025-09-20T04:30:06" u="1"/>
        <d v="2025-09-20T04:34:36" u="1"/>
        <d v="2025-09-20T04:36:16" u="1"/>
        <d v="2025-09-20T04:36:17" u="1"/>
        <d v="2025-09-20T04:38:46" u="1"/>
        <d v="2025-09-20T04:46:35" u="1"/>
        <d v="2025-09-20T04:48:05" u="1"/>
        <d v="2025-09-22T06:05:29" u="1"/>
        <d v="2025-09-22T06:05:30" u="1"/>
        <d v="2025-09-22T06:05:39" u="1"/>
        <d v="2025-09-22T06:05:40" u="1"/>
        <d v="2025-09-22T06:05:41" u="1"/>
        <d v="2025-09-22T06:09:09" u="1"/>
        <d v="2025-09-22T06:10:19" u="1"/>
        <d v="2025-09-22T06:10:59" u="1"/>
        <d v="2025-09-22T06:13:29" u="1"/>
        <d v="2025-09-22T06:13:30" u="1"/>
        <d v="2025-09-22T06:16:29" u="1"/>
        <d v="2025-09-22T06:16:30" u="1"/>
        <d v="2025-09-22T06:16:31" u="1"/>
        <d v="2025-09-22T06:17:59" u="1"/>
        <d v="2025-09-22T06:18:00" u="1"/>
        <d v="2025-09-22T06:27:19" u="1"/>
        <d v="2025-09-22T06:30:19" u="1"/>
        <d v="2025-09-22T06:30:29" u="1"/>
        <d v="2025-09-22T06:30:30" u="1"/>
        <d v="2025-09-22T06:30:31" u="1"/>
        <d v="2025-09-22T06:30:59" u="1"/>
        <d v="2025-09-22T06:40:00" u="1"/>
        <d v="2025-09-22T06:41:59" u="1"/>
        <d v="2025-09-22T06:42:00" u="1"/>
        <d v="2025-09-22T06:53:09" u="1"/>
        <d v="2025-09-22T06:56:09" u="1"/>
        <d v="2025-09-22T06:57:09" u="1"/>
        <d v="2025-09-22T06:57:10" u="1"/>
        <d v="2025-09-22T06:58:09" u="1"/>
        <d v="2025-09-22T06:58:10" u="1"/>
        <d v="2025-09-22T07:01:09" u="1"/>
        <d v="2025-09-22T07:04:19" u="1"/>
        <d v="2025-09-22T07:12:29" u="1"/>
        <d v="2025-09-22T07:13:49" u="1"/>
        <d v="2025-09-22T07:13:50" u="1"/>
        <d v="2025-09-22T07:14:09" u="1"/>
        <d v="2025-09-22T07:19:59" u="1"/>
        <d v="2025-09-22T07:20:00" u="1"/>
        <d v="2025-09-22T07:21:59" u="1"/>
        <d v="2025-09-22T07:23:49" u="1"/>
        <d v="2025-09-22T07:27:09" u="1"/>
        <d v="2025-09-22T07:27:10" u="1"/>
        <d v="2025-09-22T07:27:11" u="1"/>
        <d v="2025-09-22T07:39:19" u="1"/>
        <d v="2025-09-22T07:44:09" u="1"/>
        <d v="2025-09-22T07:45:09" u="1"/>
        <d v="2025-09-22T07:45:10" u="1"/>
        <d v="2025-09-22T07:45:11" u="1"/>
        <d v="2025-09-22T08:01:59" u="1"/>
        <d v="2025-09-22T08:15:39" u="1"/>
        <d v="2025-09-22T08:17:19" u="1"/>
        <d v="2025-09-22T08:17:20" u="1"/>
        <d v="2025-09-22T08:17:21" u="1"/>
        <d v="2025-09-22T08:33:09" u="1"/>
        <d v="2025-09-22T08:34:09" u="1"/>
        <d v="2025-09-22T08:57:39" u="1"/>
        <d v="2025-09-22T09:01:19" u="1"/>
        <d v="2025-09-22T09:01:29" u="1"/>
        <d v="2025-09-22T09:03:09" u="1"/>
        <d v="2025-09-22T09:12:19" u="1"/>
        <d v="2025-09-22T09:16:39" u="1"/>
        <d v="2025-09-22T09:17:09" u="1"/>
        <d v="2025-09-22T09:17:10" u="1"/>
        <d v="2025-09-22T09:17:11" u="1"/>
        <d v="2025-09-22T09:18:39" u="1"/>
        <d v="2025-09-22T09:20:59" u="1"/>
        <d v="2025-09-22T09:24:29" u="1"/>
        <d v="2025-09-22T09:27:59" u="1"/>
        <d v="2025-09-22T09:28:09" u="1"/>
        <d v="2025-09-22T09:30:49" u="1"/>
        <d v="2025-09-22T09:32:19" u="1"/>
        <d v="2025-09-22T09:32:20" u="1"/>
        <d v="2025-09-22T09:32:21" u="1"/>
        <d v="2025-09-22T09:33:59" u="1"/>
        <d v="2025-09-22T09:34:00" u="1"/>
        <d v="2025-09-22T09:42:19" u="1"/>
        <d v="2025-09-22T09:43:09" u="1"/>
        <d v="2025-09-22T09:43:10" u="1"/>
        <d v="2025-09-22T09:45:59" u="1"/>
        <d v="2025-09-22T09:46:00" u="1"/>
        <d v="2025-09-22T09:49:09" u="1"/>
        <d v="2025-09-22T09:49:29" u="1"/>
        <d v="2025-09-22T09:51:29" u="1"/>
        <d v="2025-09-22T09:51:30" u="1"/>
        <d v="2025-09-22T09:51:31" u="1"/>
        <d v="2025-09-22T10:04:59" u="1"/>
        <d v="2025-09-22T10:05:59" u="1"/>
        <d v="2025-09-22T10:10:59" u="1"/>
        <d v="2025-09-22T10:17:59" u="1"/>
        <d v="2025-09-22T10:22:09" u="1"/>
        <d v="2025-09-22T10:32:39" u="1"/>
        <d v="2025-09-22T10:33:18" u="1"/>
        <d v="2025-09-22T10:33:19" u="1"/>
        <d v="2025-09-22T10:33:20" u="1"/>
        <d v="2025-09-22T10:33:21" u="1"/>
        <d v="2025-09-22T10:33:59" u="1"/>
        <d v="2025-09-22T10:37:09" u="1"/>
        <d v="2025-09-22T10:40:18" u="1"/>
        <d v="2025-09-22T10:40:19" u="1"/>
        <d v="2025-09-22T10:40:20" u="1"/>
        <d v="2025-09-22T10:40:21" u="1"/>
        <d v="2025-09-22T10:45:38" u="1"/>
        <d v="2025-09-22T10:45:39" u="1"/>
        <d v="2025-09-22T10:47:28" u="1"/>
        <d v="2025-09-22T10:47:29" u="1"/>
        <d v="2025-09-22T10:47:30" u="1"/>
        <d v="2025-09-22T10:47:38" u="1"/>
        <d v="2025-09-22T10:47:39" u="1"/>
        <d v="2025-09-22T10:50:08" u="1"/>
        <d v="2025-09-22T10:59:08" u="1"/>
        <d v="2025-09-22T11:06:28" u="1"/>
        <d v="2025-09-22T11:06:29" u="1"/>
        <d v="2025-09-22T11:07:59" u="1"/>
        <d v="2025-09-22T11:09:28" u="1"/>
        <d v="2025-09-22T11:09:29" u="1"/>
        <d v="2025-09-22T11:09:30" u="1"/>
        <d v="2025-09-22T11:09:31" u="1"/>
        <d v="2025-09-22T11:14:08" u="1"/>
        <d v="2025-09-22T11:17:38" u="1"/>
        <d v="2025-09-22T11:17:39" u="1"/>
        <d v="2025-09-22T11:17:48" u="1"/>
        <d v="2025-09-22T11:17:49" u="1"/>
        <d v="2025-09-22T11:18:18" u="1"/>
        <d v="2025-09-22T11:23:08" u="1"/>
        <d v="2025-09-22T11:23:09" u="1"/>
        <d v="2025-09-22T11:25:38" u="1"/>
        <d v="2025-09-22T11:25:39" u="1"/>
        <d v="2025-09-22T11:28:18" u="1"/>
        <d v="2025-09-22T11:28:19" u="1"/>
        <d v="2025-09-22T11:29:38" u="1"/>
        <d v="2025-09-22T11:29:39" u="1"/>
        <d v="2025-09-22T11:30:28" u="1"/>
        <d v="2025-09-22T11:42:08" u="1"/>
        <d v="2025-09-22T11:49:19" u="1"/>
        <d v="2025-09-22T11:54:18" u="1"/>
        <d v="2025-09-22T11:54:19" u="1"/>
        <d v="2025-09-22T11:54:20" u="1"/>
        <d v="2025-09-22T11:54:21" u="1"/>
        <d v="2025-09-22T11:55:48" u="1"/>
        <d v="2025-09-22T12:00:01" u="1"/>
        <d v="2025-09-22T12:00:08" u="1"/>
        <d v="2025-09-22T12:03:58" u="1"/>
        <d v="2025-09-22T12:03:59" u="1"/>
        <d v="2025-09-22T12:08:18" u="1"/>
        <d v="2025-09-22T12:08:19" u="1"/>
        <d v="2025-09-22T12:12:18" u="1"/>
        <d v="2025-09-22T12:18:28" u="1"/>
        <d v="2025-09-22T12:18:29" u="1"/>
        <d v="2025-09-22T12:18:30" u="1"/>
        <d v="2025-09-22T12:18:31" u="1"/>
        <d v="2025-09-22T12:18:48" u="1"/>
        <d v="2025-09-22T12:38:48" u="1"/>
        <d v="2025-09-22T12:38:49" u="1"/>
        <d v="2025-09-22T12:39:08" u="1"/>
        <d v="2025-09-22T12:39:09" u="1"/>
        <d v="2025-09-22T12:39:18" u="1"/>
        <d v="2025-09-22T12:40:28" u="1"/>
        <d v="2025-09-22T12:40:29" u="1"/>
        <d v="2025-09-22T12:45:59" u="1"/>
        <d v="2025-09-22T13:06:08" u="1"/>
        <d v="2025-09-22T13:06:09" u="1"/>
        <d v="2025-09-22T13:07:08" u="1"/>
        <d v="2025-09-22T13:07:09" u="1"/>
        <d v="2025-09-22T13:07:28" u="1"/>
        <d v="2025-09-22T13:07:29" u="1"/>
        <d v="2025-09-22T13:14:08" u="1"/>
        <d v="2025-09-22T13:20:08" u="1"/>
        <d v="2025-09-22T13:26:48" u="1"/>
        <d v="2025-09-22T13:26:49" u="1"/>
        <d v="2025-09-22T13:26:58" u="1"/>
        <d v="2025-09-22T13:26:59" u="1"/>
        <d v="2025-09-22T13:27:00" u="1"/>
        <d v="2025-09-22T13:29:18" u="1"/>
        <d v="2025-09-22T13:35:58" u="1"/>
        <d v="2025-09-22T13:36:08" u="1"/>
        <d v="2025-09-22T13:36:09" u="1"/>
        <d v="2025-09-22T13:36:10" u="1"/>
        <d v="2025-09-22T13:43:28" u="1"/>
        <d v="2025-09-22T13:43:29" u="1"/>
        <d v="2025-09-22T13:43:48" u="1"/>
        <d v="2025-09-22T13:51:58" u="1"/>
        <d v="2025-09-22T13:51:59" u="1"/>
        <d v="2025-09-22T13:52:28" u="1"/>
        <d v="2025-09-22T13:58:48" u="1"/>
        <d v="2025-09-22T14:09:48" u="1"/>
        <d v="2025-09-22T14:11:48" u="1"/>
        <d v="2025-09-22T14:11:49" u="1"/>
        <d v="2025-09-22T14:11:50" u="1"/>
        <d v="2025-09-22T14:11:58" u="1"/>
        <d v="2025-09-22T14:24:08" u="1"/>
        <d v="2025-09-22T14:30:48" u="1"/>
        <d v="2025-09-22T14:33:08" u="1"/>
        <d v="2025-09-22T14:33:09" u="1"/>
        <d v="2025-09-22T14:33:10" u="1"/>
        <d v="2025-09-22T14:41:28" u="1"/>
        <d v="2025-09-22T14:44:18" u="1"/>
        <d v="2025-09-22T14:45:18" u="1"/>
        <d v="2025-09-22T14:47:28" u="1"/>
        <d v="2025-09-22T14:51:08" u="1"/>
        <d v="2025-09-22T14:51:28" u="1"/>
        <d v="2025-09-22T14:51:29" u="1"/>
        <d v="2025-09-22T14:51:30" u="1"/>
        <d v="2025-09-22T14:55:38" u="1"/>
        <d v="2025-09-22T14:59:38" u="1"/>
        <d v="2025-09-22T15:02:39" u="1"/>
        <d v="2025-09-22T15:03:08" u="1"/>
        <d v="2025-09-22T15:09:19" u="1"/>
        <d v="2025-09-22T15:12:18" u="1"/>
        <d v="2025-09-22T15:14:58" u="1"/>
        <d v="2025-09-22T15:14:59" u="1"/>
        <d v="2025-09-22T15:15:00" u="1"/>
        <d v="2025-09-22T15:16:18" u="1"/>
        <d v="2025-09-22T15:19:48" u="1"/>
        <d v="2025-09-22T15:22:08" u="1"/>
        <d v="2025-09-22T15:22:18" u="1"/>
        <d v="2025-09-22T15:22:19" u="1"/>
        <d v="2025-09-22T15:25:08" u="1"/>
        <d v="2025-09-22T15:25:09" u="1"/>
        <d v="2025-09-22T15:25:38" u="1"/>
        <d v="2025-09-22T15:25:48" u="1"/>
        <d v="2025-09-22T15:29:58" u="1"/>
        <d v="2025-09-22T15:32:18" u="1"/>
        <d v="2025-09-22T15:32:58" u="1"/>
        <d v="2025-09-22T15:32:59" u="1"/>
        <d v="2025-09-22T15:33:18" u="1"/>
        <d v="2025-09-22T15:39:58" u="1"/>
        <d v="2025-09-22T15:39:59" u="1"/>
        <d v="2025-09-22T15:40:08" u="1"/>
        <d v="2025-09-22T15:41:18" u="1"/>
        <d v="2025-09-22T15:47:28" u="1"/>
        <d v="2025-09-22T15:56:58" u="1"/>
        <d v="2025-09-22T16:01:58" u="1"/>
        <d v="2025-09-22T16:07:18" u="1"/>
        <d v="2025-09-22T16:09:48" u="1"/>
        <d v="2025-09-22T16:10:28" u="1"/>
        <d v="2025-09-22T16:10:29" u="1"/>
        <d v="2025-09-22T16:10:30" u="1"/>
        <d v="2025-09-22T16:13:38" u="1"/>
        <d v="2025-09-22T16:14:18" u="1"/>
        <d v="2025-09-22T16:19:58" u="1"/>
        <d v="2025-09-22T16:19:59" u="1"/>
        <d v="2025-09-22T16:27:08" u="1"/>
        <d v="2025-09-22T16:27:28" u="1"/>
        <d v="2025-09-22T16:28:48" u="1"/>
        <d v="2025-09-22T16:38:07" u="1"/>
        <d v="2025-09-22T16:38:08" u="1"/>
        <d v="2025-09-22T16:38:47" u="1"/>
        <d v="2025-09-22T16:39:07" u="1"/>
        <d v="2025-09-22T16:39:08" u="1"/>
        <d v="2025-09-22T16:39:58" u="1"/>
        <d v="2025-09-22T16:47:38" u="1"/>
        <d v="2025-09-22T16:47:39" u="1"/>
        <d v="2025-09-22T16:47:40" u="1"/>
        <d v="2025-09-22T16:48:07" u="1"/>
        <d v="2025-09-22T16:48:08" u="1"/>
        <d v="2025-09-22T16:50:17" u="1"/>
        <d v="2025-09-22T17:00:17" u="1"/>
        <d v="2025-09-22T17:02:49" u="1"/>
        <d v="2025-09-22T17:04:17" u="1"/>
        <d v="2025-09-22T17:04:58" u="1"/>
        <d v="2025-09-22T17:22:08" u="1"/>
        <d v="2025-09-22T17:22:17" u="1"/>
        <d v="2025-09-22T17:24:37" u="1"/>
        <d v="2025-09-22T17:24:38" u="1"/>
        <d v="2025-09-22T17:26:08" u="1"/>
        <d v="2025-09-22T17:26:09" u="1"/>
        <d v="2025-09-22T17:26:10" u="1"/>
        <d v="2025-09-22T17:28:27" u="1"/>
        <d v="2025-09-22T17:28:28" u="1"/>
        <d v="2025-09-22T17:29:27" u="1"/>
        <d v="2025-09-22T17:29:28" u="1"/>
        <d v="2025-09-22T17:30:27" u="1"/>
        <d v="2025-09-22T17:30:28" u="1"/>
        <d v="2025-09-22T17:30:37" u="1"/>
        <d v="2025-09-22T17:30:38" u="1"/>
        <d v="2025-09-22T17:31:07" u="1"/>
        <d v="2025-09-22T17:33:07" u="1"/>
        <d v="2025-09-22T17:33:08" u="1"/>
        <d v="2025-09-22T17:33:58" u="1"/>
        <d v="2025-09-22T17:36:57" u="1"/>
        <d v="2025-09-22T17:40:07" u="1"/>
        <d v="2025-09-22T17:40:08" u="1"/>
        <d v="2025-09-22T17:40:09" u="1"/>
        <d v="2025-09-22T17:40:10" u="1"/>
        <d v="2025-09-22T17:42:17" u="1"/>
        <d v="2025-09-22T17:45:37" u="1"/>
        <d v="2025-09-22T17:45:38" u="1"/>
        <d v="2025-09-22T17:45:58" u="1"/>
        <d v="2025-09-22T17:47:57" u="1"/>
        <d v="2025-09-22T17:47:58" u="1"/>
        <d v="2025-09-22T17:51:07" u="1"/>
        <d v="2025-09-22T17:55:17" u="1"/>
        <d v="2025-09-22T17:55:18" u="1"/>
        <d v="2025-09-22T17:57:07" u="1"/>
        <d v="2025-09-22T17:57:57" u="1"/>
        <d v="2025-09-22T17:57:58" u="1"/>
        <d v="2025-09-22T17:57:59" u="1"/>
        <d v="2025-09-22T17:58:37" u="1"/>
        <d v="2025-09-22T17:58:38" u="1"/>
        <d v="2025-09-22T17:59:57" u="1"/>
        <d v="2025-09-22T18:01:27" u="1"/>
        <d v="2025-09-22T18:08:07" u="1"/>
        <d v="2025-09-22T18:11:17" u="1"/>
        <d v="2025-09-22T18:20:07" u="1"/>
        <d v="2025-09-22T18:25:17" u="1"/>
        <d v="2025-09-22T18:25:47" u="1"/>
        <d v="2025-09-22T18:25:48" u="1"/>
        <d v="2025-09-22T18:26:37" u="1"/>
        <d v="2025-09-22T18:26:38" u="1"/>
        <d v="2025-09-22T18:26:39" u="1"/>
        <d v="2025-09-22T18:26:40" u="1"/>
        <d v="2025-09-22T18:29:07" u="1"/>
        <d v="2025-09-22T18:33:58" u="1"/>
        <d v="2025-09-22T18:33:59" u="1"/>
        <d v="2025-09-22T18:34:00" u="1"/>
        <d v="2025-09-22T18:35:17" u="1"/>
        <d v="2025-09-22T18:37:58" u="1"/>
        <d v="2025-09-22T18:40:17" u="1"/>
        <d v="2025-09-22T18:43:17" u="1"/>
        <d v="2025-09-22T18:43:18" u="1"/>
        <d v="2025-09-22T18:48:57" u="1"/>
        <d v="2025-09-22T18:48:58" u="1"/>
        <d v="2025-09-22T18:48:59" u="1"/>
        <d v="2025-09-22T18:52:17" u="1"/>
        <d v="2025-09-22T18:55:47" u="1"/>
        <d v="2025-09-22T18:55:48" u="1"/>
        <d v="2025-09-22T18:55:49" u="1"/>
        <d v="2025-09-22T18:56:17" u="1"/>
        <d v="2025-09-22T18:56:27" u="1"/>
        <d v="2025-09-22T18:59:57" u="1"/>
        <d v="2025-09-22T18:59:58" u="1"/>
        <d v="2025-09-22T19:42:27" u="1"/>
        <d v="2025-09-22T19:42:28" u="1"/>
        <d v="2025-09-22T19:45:27" u="1"/>
        <d v="2025-09-22T19:45:37" u="1"/>
        <d v="2025-09-22T19:46:17" u="1"/>
        <d v="2025-09-22T19:46:18" u="1"/>
        <d v="2025-09-22T19:46:19" u="1"/>
        <d v="2025-09-22T19:50:57" u="1"/>
        <d v="2025-09-22T19:50:58" u="1"/>
        <d v="2025-09-22T19:50:59" u="1"/>
        <d v="2025-09-22T19:56:27" u="1"/>
        <d v="2025-09-22T19:58:47" u="1"/>
        <d v="2025-09-22T19:59:57" u="1"/>
        <d v="2025-09-22T19:59:58" u="1"/>
        <d v="2025-09-22T20:00:01" u="1"/>
        <d v="2025-09-22T20:01:07" u="1"/>
        <d v="2025-09-22T20:15:07" u="1"/>
        <d v="2025-09-22T20:19:27" u="1"/>
        <d v="2025-09-22T20:21:07" u="1"/>
        <d v="2025-09-22T20:26:17" u="1"/>
        <d v="2025-09-22T20:27:07" u="1"/>
        <d v="2025-09-22T20:27:08" u="1"/>
        <d v="2025-09-22T20:27:09" u="1"/>
        <d v="2025-09-22T20:30:07" u="1"/>
        <d v="2025-09-22T20:30:08" u="1"/>
        <d v="2025-09-22T20:30:09" u="1"/>
        <d v="2025-09-22T20:33:07" u="1"/>
        <d v="2025-09-22T20:33:08" u="1"/>
        <d v="2025-09-22T20:33:27" u="1"/>
        <d v="2025-09-22T20:37:07" u="1"/>
        <d v="2025-09-22T20:53:07" u="1"/>
        <d v="2025-09-22T20:54:27" u="1"/>
        <d v="2025-09-22T20:54:28" u="1"/>
        <d v="2025-09-22T20:54:29" u="1"/>
        <d v="2025-09-22T21:00:57" u="1"/>
        <d v="2025-09-22T21:02:27" u="1"/>
        <d v="2025-09-22T21:02:37" u="1"/>
        <d v="2025-09-22T21:02:38" u="1"/>
        <d v="2025-09-22T21:02:39" u="1"/>
        <d v="2025-09-22T21:04:17" u="1"/>
        <d v="2025-09-22T21:04:47" u="1"/>
        <d v="2025-09-22T21:04:48" u="1"/>
        <d v="2025-09-22T21:05:47" u="1"/>
        <d v="2025-09-22T21:08:17" u="1"/>
        <d v="2025-09-22T21:08:18" u="1"/>
        <d v="2025-09-22T21:08:27" u="1"/>
        <d v="2025-09-22T21:15:57" u="1"/>
        <d v="2025-09-22T21:15:58" u="1"/>
        <d v="2025-09-22T21:18:17" u="1"/>
        <d v="2025-09-22T21:21:07" u="1"/>
        <d v="2025-09-22T21:24:17" u="1"/>
        <d v="2025-09-22T21:24:18" u="1"/>
        <d v="2025-09-22T21:25:57" u="1"/>
        <d v="2025-09-22T21:25:58" u="1"/>
        <d v="2025-09-22T21:31:59" u="1"/>
        <d v="2025-09-22T21:35:37" u="1"/>
        <d v="2025-09-22T21:36:17" u="1"/>
        <d v="2025-09-22T21:36:18" u="1"/>
        <d v="2025-09-22T21:36:37" u="1"/>
        <d v="2025-09-22T21:44:07" u="1"/>
        <d v="2025-09-22T21:46:17" u="1"/>
        <d v="2025-09-22T21:48:17" u="1"/>
        <d v="2025-09-22T21:49:07" u="1"/>
        <d v="2025-09-22T21:49:08" u="1"/>
        <d v="2025-09-22T21:49:09" u="1"/>
        <d v="2025-09-22T21:51:27" u="1"/>
        <d v="2025-09-22T21:51:28" u="1"/>
        <d v="2025-09-22T21:51:29" u="1"/>
        <d v="2025-09-22T21:55:07" u="1"/>
        <d v="2025-09-22T21:58:07" u="1"/>
        <d v="2025-09-22T22:00:37" u="1"/>
        <d v="2025-09-22T22:00:38" u="1"/>
        <d v="2025-09-22T22:00:39" u="1"/>
        <d v="2025-09-22T22:01:07" u="1"/>
        <d v="2025-09-22T22:01:57" u="1"/>
        <d v="2025-09-22T22:02:07" u="1"/>
        <d v="2025-09-22T22:05:07" u="1"/>
        <d v="2025-09-22T22:10:07" u="1"/>
        <d v="2025-09-22T22:19:58" u="1"/>
        <d v="2025-09-22T22:21:07" u="1"/>
        <d v="2025-09-22T22:43:37" u="1"/>
        <d v="2025-09-22T22:44:17" u="1"/>
        <d v="2025-09-22T22:44:18" u="1"/>
        <d v="2025-09-22T22:52:27" u="1"/>
        <d v="2025-09-22T22:55:57" u="1"/>
        <d v="2025-09-22T23:00:37" u="1"/>
        <d v="2025-09-22T23:00:38" u="1"/>
        <d v="2025-09-22T23:00:39" u="1"/>
        <d v="2025-09-22T23:00:56" u="1"/>
        <d v="2025-09-22T23:01:16" u="1"/>
        <d v="2025-09-22T23:02:16" u="1"/>
        <d v="2025-09-22T23:02:46" u="1"/>
        <d v="2025-09-22T23:03:46" u="1"/>
        <d v="2025-09-22T23:10:07" u="1"/>
        <d v="2025-09-22T23:10:26" u="1"/>
        <d v="2025-09-22T23:10:27" u="1"/>
        <d v="2025-09-22T23:10:28" u="1"/>
        <d v="2025-09-22T23:10:46" u="1"/>
        <d v="2025-09-22T23:10:47" u="1"/>
        <d v="2025-09-22T23:11:16" u="1"/>
        <d v="2025-09-22T23:11:17" u="1"/>
        <d v="2025-09-22T23:14:36" u="1"/>
        <d v="2025-09-22T23:22:58" u="1"/>
        <d v="2025-09-22T23:25:56" u="1"/>
        <d v="2025-09-22T23:25:57" u="1"/>
        <d v="2025-09-22T23:33:16" u="1"/>
        <d v="2025-09-22T23:33:17" u="1"/>
        <d v="2025-09-22T23:36:36" u="1"/>
        <d v="2025-09-22T23:36:37" u="1"/>
        <d v="2025-09-22T23:36:38" u="1"/>
        <d v="2025-09-22T23:36:39" u="1"/>
        <d v="2025-09-22T23:37:36" u="1"/>
        <d v="2025-09-22T23:40:26" u="1"/>
        <d v="2025-09-22T23:40:56" u="1"/>
        <d v="2025-09-22T23:41:46" u="1"/>
        <d v="2025-09-22T23:41:47" u="1"/>
        <d v="2025-09-22T23:41:48" u="1"/>
        <d v="2025-09-22T23:42:36" u="1"/>
        <d v="2025-09-22T23:42:37" u="1"/>
        <d v="2025-09-22T23:52:17" u="1"/>
        <d v="2025-09-22T23:52:18" u="1"/>
        <d v="2025-09-22T23:52:19" u="1"/>
        <d v="2025-09-22T23:52:36" u="1"/>
        <d v="2025-09-22T23:52:37" u="1"/>
        <d v="2025-09-22T23:54:46" u="1"/>
        <d v="2025-09-23T00:01:06" u="1"/>
        <d v="2025-09-23T00:01:07" u="1"/>
        <d v="2025-09-23T00:02:46" u="1"/>
        <d v="2025-09-23T00:02:47" u="1"/>
        <d v="2025-09-23T00:07:06" u="1"/>
        <d v="2025-09-23T00:07:07" u="1"/>
        <d v="2025-09-23T00:07:46" u="1"/>
        <d v="2025-09-23T00:07:47" u="1"/>
        <d v="2025-09-23T00:07:48" u="1"/>
        <d v="2025-09-23T00:08:36" u="1"/>
        <d v="2025-09-23T00:08:37" u="1"/>
        <d v="2025-09-23T00:09:26" u="1"/>
        <d v="2025-09-23T00:11:46" u="1"/>
        <d v="2025-09-23T00:11:47" u="1"/>
        <d v="2025-09-23T00:12:26" u="1"/>
        <d v="2025-09-23T00:12:58" u="1"/>
        <d v="2025-09-23T00:13:56" u="1"/>
        <d v="2025-09-23T00:13:57" u="1"/>
        <d v="2025-09-23T00:35:16" u="1"/>
        <d v="2025-09-23T00:46:16" u="1"/>
        <d v="2025-09-23T00:46:17" u="1"/>
        <d v="2025-09-23T00:46:26" u="1"/>
        <d v="2025-09-23T00:50:56" u="1"/>
        <d v="2025-09-23T00:59:56" u="1"/>
        <d v="2025-09-23T00:59:57" u="1"/>
        <d v="2025-09-23T01:00:06" u="1"/>
        <d v="2025-09-23T01:00:59" u="1"/>
        <d v="2025-09-23T01:01:56" u="1"/>
        <d v="2025-09-23T01:01:57" u="1"/>
        <d v="2025-09-23T01:12:26" u="1"/>
        <d v="2025-09-23T01:12:27" u="1"/>
        <d v="2025-09-23T01:12:28" u="1"/>
        <d v="2025-09-23T01:12:29" u="1"/>
        <d v="2025-09-23T01:12:36" u="1"/>
        <d v="2025-09-23T01:12:56" u="1"/>
        <d v="2025-09-23T01:15:36" u="1"/>
        <d v="2025-09-23T01:22:46" u="1"/>
        <d v="2025-09-23T01:29:06" u="1"/>
        <d v="2025-09-23T01:29:16" u="1"/>
        <d v="2025-09-23T01:29:17" u="1"/>
        <d v="2025-09-23T01:29:56" u="1"/>
        <d v="2025-09-23T01:29:57" u="1"/>
        <d v="2025-09-23T01:32:16" u="1"/>
        <d v="2025-09-23T01:33:16" u="1"/>
        <d v="2025-09-23T01:33:17" u="1"/>
        <d v="2025-09-23T01:33:18" u="1"/>
        <d v="2025-09-23T01:33:46" u="1"/>
        <d v="2025-09-23T01:42:56" u="1"/>
        <d v="2025-09-23T01:42:57" u="1"/>
        <d v="2025-09-23T01:47:16" u="1"/>
        <d v="2025-09-23T01:47:17" u="1"/>
        <d v="2025-09-23T01:47:18" u="1"/>
        <d v="2025-09-23T01:56:26" u="1"/>
        <d v="2025-09-23T01:56:27" u="1"/>
        <d v="2025-09-23T02:00:56" u="1"/>
        <d v="2025-09-23T02:01:26" u="1"/>
        <d v="2025-09-23T02:01:27" u="1"/>
        <d v="2025-09-23T02:05:46" u="1"/>
        <d v="2025-09-23T02:05:57" u="1"/>
        <d v="2025-09-23T02:05:58" u="1"/>
        <d v="2025-09-23T02:19:56" u="1"/>
        <d v="2025-09-23T02:19:57" u="1"/>
        <d v="2025-09-23T02:27:16" u="1"/>
        <d v="2025-09-23T02:59:46" u="1"/>
        <d v="2025-09-23T03:03:16" u="1"/>
        <d v="2025-09-23T03:03:17" u="1"/>
        <d v="2025-09-23T03:03:26" u="1"/>
        <d v="2025-09-23T03:05:36" u="1"/>
        <d v="2025-09-23T03:05:37" u="1"/>
        <d v="2025-09-23T03:06:26" u="1"/>
        <d v="2025-09-23T03:25:36" u="1"/>
        <d v="2025-09-23T03:31:16" u="1"/>
        <d v="2025-09-23T03:31:36" u="1"/>
        <d v="2025-09-23T03:31:37" u="1"/>
        <d v="2025-09-23T03:31:38" u="1"/>
        <d v="2025-09-23T03:38:58" u="1"/>
        <d v="2025-09-23T03:39:06" u="1"/>
        <d v="2025-09-23T03:39:56" u="1"/>
        <d v="2025-09-23T03:39:57" u="1"/>
        <d v="2025-09-23T03:49:06" u="1"/>
        <d v="2025-09-23T03:52:06" u="1"/>
        <d v="2025-09-23T03:55:06" u="1"/>
        <d v="2025-09-23T03:55:07" u="1"/>
        <d v="2025-09-23T03:55:08" u="1"/>
        <d v="2025-09-23T03:55:09" u="1"/>
        <d v="2025-09-23T04:17:10" u="1"/>
        <d v="2025-09-23T04:29:10" u="1"/>
        <d v="2025-09-23T04:32:20" u="1"/>
        <d v="2025-09-23T04:34:50" u="1"/>
        <d v="2025-09-23T06:15:09" u="1"/>
        <d v="2025-09-23T06:15:10" u="1"/>
        <d v="2025-09-23T06:16:09" u="1"/>
        <d v="2025-09-23T06:16:10" u="1"/>
        <d v="2025-09-23T06:16:11" u="1"/>
        <d v="2025-09-23T06:16:12" u="1"/>
        <d v="2025-09-23T06:30:09" u="1"/>
        <d v="2025-09-23T06:30:10" u="1"/>
        <d v="2025-09-23T06:30:11" u="1"/>
        <d v="2025-09-23T06:30:39" u="1"/>
        <d v="2025-09-23T06:30:40" u="1"/>
        <d v="2025-09-23T06:30:49" u="1"/>
        <d v="2025-09-23T06:36:39" u="1"/>
        <d v="2025-09-23T06:40:09" u="1"/>
        <d v="2025-09-23T06:40:10" u="1"/>
        <d v="2025-09-23T06:44:59" u="1"/>
        <d v="2025-09-23T06:45:00" u="1"/>
        <d v="2025-09-23T06:46:59" u="1"/>
        <d v="2025-09-23T06:47:00" u="1"/>
        <d v="2025-09-23T06:48:29" u="1"/>
        <d v="2025-09-23T06:48:30" u="1"/>
        <d v="2025-09-23T06:48:31" u="1"/>
        <d v="2025-09-23T06:48:32" u="1"/>
        <d v="2025-09-23T06:48:49" u="1"/>
        <d v="2025-09-23T06:55:09" u="1"/>
        <d v="2025-09-23T06:56:09" u="1"/>
        <d v="2025-09-23T06:56:10" u="1"/>
        <d v="2025-09-23T06:56:19" u="1"/>
        <d v="2025-09-23T06:56:20" u="1"/>
        <d v="2025-09-23T06:57:29" u="1"/>
        <d v="2025-09-23T07:08:09" u="1"/>
        <d v="2025-09-23T07:11:09" u="1"/>
        <d v="2025-09-23T07:14:09" u="1"/>
        <d v="2025-09-23T07:14:10" u="1"/>
        <d v="2025-09-23T07:16:09" u="1"/>
        <d v="2025-09-23T07:17:09" u="1"/>
        <d v="2025-09-23T07:19:09" u="1"/>
        <d v="2025-09-23T07:19:10" u="1"/>
        <d v="2025-09-23T07:19:11" u="1"/>
        <d v="2025-09-23T07:19:39" u="1"/>
        <d v="2025-09-23T07:19:49" u="1"/>
        <d v="2025-09-23T07:24:19" u="1"/>
        <d v="2025-09-23T07:24:20" u="1"/>
        <d v="2025-09-23T07:25:49" u="1"/>
        <d v="2025-09-23T07:25:50" u="1"/>
        <d v="2025-09-23T07:25:51" u="1"/>
        <d v="2025-09-23T07:27:19" u="1"/>
        <d v="2025-09-23T07:27:20" u="1"/>
        <d v="2025-09-23T07:27:21" u="1"/>
        <d v="2025-09-23T07:34:59" u="1"/>
        <d v="2025-09-23T07:35:00" u="1"/>
        <d v="2025-09-23T07:36:19" u="1"/>
        <d v="2025-09-23T07:37:59" u="1"/>
        <d v="2025-09-23T07:38:00" u="1"/>
        <d v="2025-09-23T07:38:59" u="1"/>
        <d v="2025-09-23T07:42:09" u="1"/>
        <d v="2025-09-23T07:50:19" u="1"/>
        <d v="2025-09-23T07:50:20" u="1"/>
        <d v="2025-09-23T07:52:01" u="1"/>
        <d v="2025-09-23T07:52:29" u="1"/>
        <d v="2025-09-23T07:54:09" u="1"/>
        <d v="2025-09-23T08:02:09" u="1"/>
        <d v="2025-09-23T08:06:19" u="1"/>
        <d v="2025-09-23T08:06:20" u="1"/>
        <d v="2025-09-23T08:18:39" u="1"/>
        <d v="2025-09-23T08:21:19" u="1"/>
        <d v="2025-09-23T08:21:20" u="1"/>
        <d v="2025-09-23T08:21:21" u="1"/>
        <d v="2025-09-23T08:22:09" u="1"/>
        <d v="2025-09-23T08:30:29" u="1"/>
        <d v="2025-09-23T08:30:39" u="1"/>
        <d v="2025-09-23T08:30:40" u="1"/>
        <d v="2025-09-23T08:30:41" u="1"/>
        <d v="2025-09-23T08:31:09" u="1"/>
        <d v="2025-09-23T08:34:59" u="1"/>
        <d v="2025-09-23T08:35:00" u="1"/>
        <d v="2025-09-23T08:47:09" u="1"/>
        <d v="2025-09-23T08:47:10" u="1"/>
        <d v="2025-09-23T08:47:11" u="1"/>
        <d v="2025-09-23T08:48:09" u="1"/>
        <d v="2025-09-23T08:49:59" u="1"/>
        <d v="2025-09-23T08:50:00" u="1"/>
        <d v="2025-09-23T08:54:09" u="1"/>
        <d v="2025-09-23T08:55:09" u="1"/>
        <d v="2025-09-23T08:56:09" u="1"/>
        <d v="2025-09-23T08:56:10" u="1"/>
        <d v="2025-09-23T09:03:59" u="1"/>
        <d v="2025-09-23T09:04:00" u="1"/>
        <d v="2025-09-23T09:06:19" u="1"/>
        <d v="2025-09-23T09:08:19" u="1"/>
        <d v="2025-09-23T09:09:39" u="1"/>
        <d v="2025-09-23T09:09:40" u="1"/>
        <d v="2025-09-23T09:09:41" u="1"/>
        <d v="2025-09-23T09:13:19" u="1"/>
        <d v="2025-09-23T09:18:19" u="1"/>
        <d v="2025-09-23T09:18:20" u="1"/>
        <d v="2025-09-23T09:18:21" u="1"/>
        <d v="2025-09-23T09:18:29" u="1"/>
        <d v="2025-09-23T09:19:09" u="1"/>
        <d v="2025-09-23T09:19:10" u="1"/>
        <d v="2025-09-23T09:20:19" u="1"/>
        <d v="2025-09-23T09:21:39" u="1"/>
        <d v="2025-09-23T09:23:19" u="1"/>
        <d v="2025-09-23T09:23:59" u="1"/>
        <d v="2025-09-23T09:24:29" u="1"/>
        <d v="2025-09-23T09:26:00" u="1"/>
        <d v="2025-09-23T09:28:09" u="1"/>
        <d v="2025-09-23T09:29:29" u="1"/>
        <d v="2025-09-23T09:31:09" u="1"/>
        <d v="2025-09-23T09:31:19" u="1"/>
        <d v="2025-09-23T09:31:39" u="1"/>
        <d v="2025-09-23T09:32:39" u="1"/>
        <d v="2025-09-23T09:35:59" u="1"/>
        <d v="2025-09-23T09:38:09" u="1"/>
        <d v="2025-09-23T09:44:39" u="1"/>
        <d v="2025-09-23T09:46:19" u="1"/>
        <d v="2025-09-23T09:47:29" u="1"/>
        <d v="2025-09-23T09:47:30" u="1"/>
        <d v="2025-09-23T09:47:31" u="1"/>
        <d v="2025-09-23T09:48:09" u="1"/>
        <d v="2025-09-23T09:48:59" u="1"/>
        <d v="2025-09-23T09:50:29" u="1"/>
        <d v="2025-09-23T09:50:59" u="1"/>
        <d v="2025-09-23T09:51:59" u="1"/>
        <d v="2025-09-23T09:52:19" u="1"/>
        <d v="2025-09-23T09:54:39" u="1"/>
        <d v="2025-09-23T10:00:00" u="1"/>
        <d v="2025-09-23T10:01:00" u="1"/>
        <d v="2025-09-23T10:01:09" u="1"/>
        <d v="2025-09-23T10:04:09" u="1"/>
        <d v="2025-09-23T10:05:09" u="1"/>
        <d v="2025-09-23T10:06:19" u="1"/>
        <d v="2025-09-23T10:06:29" u="1"/>
        <d v="2025-09-23T10:10:09" u="1"/>
        <d v="2025-09-23T10:12:19" u="1"/>
        <d v="2025-09-23T10:14:49" u="1"/>
        <d v="2025-09-23T10:17:19" u="1"/>
        <d v="2025-09-23T10:17:20" u="1"/>
        <d v="2025-09-23T10:17:21" u="1"/>
        <d v="2025-09-23T10:21:09" u="1"/>
        <d v="2025-09-23T10:21:10" u="1"/>
        <d v="2025-09-23T10:23:49" u="1"/>
        <d v="2025-09-23T10:25:29" u="1"/>
        <d v="2025-09-23T10:25:39" u="1"/>
        <d v="2025-09-23T10:25:40" u="1"/>
        <d v="2025-09-23T10:25:41" u="1"/>
        <d v="2025-09-23T10:27:29" u="1"/>
        <d v="2025-09-23T10:27:39" u="1"/>
        <d v="2025-09-23T10:27:40" u="1"/>
        <d v="2025-09-23T10:31:09" u="1"/>
        <d v="2025-09-23T10:31:29" u="1"/>
        <d v="2025-09-23T10:31:30" u="1"/>
        <d v="2025-09-23T10:31:31" u="1"/>
        <d v="2025-09-23T10:34:09" u="1"/>
        <d v="2025-09-23T10:34:10" u="1"/>
        <d v="2025-09-23T10:39:00" u="1"/>
        <d v="2025-09-23T10:39:09" u="1"/>
        <d v="2025-09-23T10:50:59" u="1"/>
        <d v="2025-09-23T10:52:29" u="1"/>
        <d v="2025-09-23T10:52:30" u="1"/>
        <d v="2025-09-23T10:52:31" u="1"/>
        <d v="2025-09-23T10:54:29" u="1"/>
        <d v="2025-09-23T10:55:09" u="1"/>
        <d v="2025-09-23T10:55:19" u="1"/>
        <d v="2025-09-23T10:56:39" u="1"/>
        <d v="2025-09-23T10:56:40" u="1"/>
        <d v="2025-09-23T10:56:41" u="1"/>
        <d v="2025-09-23T10:56:49" u="1"/>
        <d v="2025-09-23T10:57:59" u="1"/>
        <d v="2025-09-23T10:58:00" u="1"/>
        <d v="2025-09-23T11:00:09" u="1"/>
        <d v="2025-09-23T11:01:19" u="1"/>
        <d v="2025-09-23T11:06:29" u="1"/>
        <d v="2025-09-23T11:09:09" u="1"/>
        <d v="2025-09-23T11:09:19" u="1"/>
        <d v="2025-09-23T11:09:20" u="1"/>
        <d v="2025-09-23T11:23:19" u="1"/>
        <d v="2025-09-23T11:23:29" u="1"/>
        <d v="2025-09-23T11:24:09" u="1"/>
        <d v="2025-09-23T11:24:10" u="1"/>
        <d v="2025-09-23T11:25:18" u="1"/>
        <d v="2025-09-23T11:26:48" u="1"/>
        <d v="2025-09-23T11:26:49" u="1"/>
        <d v="2025-09-23T11:26:50" u="1"/>
        <d v="2025-09-23T11:48:28" u="1"/>
        <d v="2025-09-23T11:48:29" u="1"/>
        <d v="2025-09-23T11:50:38" u="1"/>
        <d v="2025-09-23T11:50:48" u="1"/>
        <d v="2025-09-23T11:52:18" u="1"/>
        <d v="2025-09-23T11:52:19" u="1"/>
        <d v="2025-09-23T11:52:20" u="1"/>
        <d v="2025-09-23T11:52:21" u="1"/>
        <d v="2025-09-23T12:01:58" u="1"/>
        <d v="2025-09-23T12:01:59" u="1"/>
        <d v="2025-09-23T12:02:00" u="1"/>
        <d v="2025-09-23T12:06:08" u="1"/>
        <d v="2025-09-23T12:06:09" u="1"/>
        <d v="2025-09-23T12:08:08" u="1"/>
        <d v="2025-09-23T12:11:18" u="1"/>
        <d v="2025-09-23T12:11:19" u="1"/>
        <d v="2025-09-23T12:17:58" u="1"/>
        <d v="2025-09-23T12:17:59" u="1"/>
        <d v="2025-09-23T12:19:18" u="1"/>
        <d v="2025-09-23T12:19:19" u="1"/>
        <d v="2025-09-23T12:25:08" u="1"/>
        <d v="2025-09-23T12:44:38" u="1"/>
        <d v="2025-09-23T12:44:39" u="1"/>
        <d v="2025-09-23T12:44:40" u="1"/>
        <d v="2025-09-23T12:45:48" u="1"/>
        <d v="2025-09-23T12:45:58" u="1"/>
        <d v="2025-09-23T12:52:48" u="1"/>
        <d v="2025-09-23T12:52:49" u="1"/>
        <d v="2025-09-23T12:56:08" u="1"/>
        <d v="2025-09-23T12:56:28" u="1"/>
        <d v="2025-09-23T12:56:29" u="1"/>
        <d v="2025-09-23T12:56:38" u="1"/>
        <d v="2025-09-23T13:01:28" u="1"/>
        <d v="2025-09-23T13:12:48" u="1"/>
        <d v="2025-09-23T13:13:08" u="1"/>
        <d v="2025-09-23T13:13:09" u="1"/>
        <d v="2025-09-23T13:18:08" u="1"/>
        <d v="2025-09-23T13:18:38" u="1"/>
        <d v="2025-09-23T13:18:39" u="1"/>
        <d v="2025-09-23T13:20:28" u="1"/>
        <d v="2025-09-23T13:20:29" u="1"/>
        <d v="2025-09-23T13:20:48" u="1"/>
        <d v="2025-09-23T13:21:58" u="1"/>
        <d v="2025-09-23T13:22:08" u="1"/>
        <d v="2025-09-23T13:22:09" u="1"/>
        <d v="2025-09-23T13:30:28" u="1"/>
        <d v="2025-09-23T13:33:18" u="1"/>
        <d v="2025-09-23T13:33:19" u="1"/>
        <d v="2025-09-23T13:39:58" u="1"/>
        <d v="2025-09-23T13:39:59" u="1"/>
        <d v="2025-09-23T13:41:08" u="1"/>
        <d v="2025-09-23T13:41:09" u="1"/>
        <d v="2025-09-23T13:41:10" u="1"/>
        <d v="2025-09-23T13:41:18" u="1"/>
        <d v="2025-09-23T13:41:19" u="1"/>
        <d v="2025-09-23T13:42:48" u="1"/>
        <d v="2025-09-23T13:42:49" u="1"/>
        <d v="2025-09-23T13:42:50" u="1"/>
        <d v="2025-09-23T13:45:48" u="1"/>
        <d v="2025-09-23T13:45:49" u="1"/>
        <d v="2025-09-23T13:48:18" u="1"/>
        <d v="2025-09-23T13:48:58" u="1"/>
        <d v="2025-09-23T13:48:59" u="1"/>
        <d v="2025-09-23T13:49:00" u="1"/>
        <d v="2025-09-23T13:49:01" u="1"/>
        <d v="2025-09-23T13:49:08" u="1"/>
        <d v="2025-09-23T13:58:08" u="1"/>
        <d v="2025-09-23T13:59:03" u="1"/>
        <d v="2025-09-23T13:59:18" u="1"/>
        <d v="2025-09-23T14:00:08" u="1"/>
        <d v="2025-09-23T14:01:08" u="1"/>
        <d v="2025-09-23T14:01:09" u="1"/>
        <d v="2025-09-23T14:02:28" u="1"/>
        <d v="2025-09-23T14:04:28" u="1"/>
        <d v="2025-09-23T14:04:29" u="1"/>
        <d v="2025-09-23T14:04:30" u="1"/>
        <d v="2025-09-23T14:04:38" u="1"/>
        <d v="2025-09-23T14:04:39" u="1"/>
        <d v="2025-09-23T14:05:58" u="1"/>
        <d v="2025-09-23T14:05:59" u="1"/>
        <d v="2025-09-23T14:10:08" u="1"/>
        <d v="2025-09-23T14:10:09" u="1"/>
        <d v="2025-09-23T14:24:08" u="1"/>
        <d v="2025-09-23T14:24:18" u="1"/>
        <d v="2025-09-23T14:24:19" u="1"/>
        <d v="2025-09-23T14:28:08" u="1"/>
        <d v="2025-09-23T14:28:09" u="1"/>
        <d v="2025-09-23T14:28:10" u="1"/>
        <d v="2025-09-23T14:28:11" u="1"/>
        <d v="2025-09-23T14:30:48" u="1"/>
        <d v="2025-09-23T14:33:08" u="1"/>
        <d v="2025-09-23T14:39:08" u="1"/>
        <d v="2025-09-23T14:40:48" u="1"/>
        <d v="2025-09-23T14:42:08" u="1"/>
        <d v="2025-09-23T14:45:08" u="1"/>
        <d v="2025-09-23T14:45:09" u="1"/>
        <d v="2025-09-23T14:45:10" u="1"/>
        <d v="2025-09-23T14:45:11" u="1"/>
        <d v="2025-09-23T14:45:18" u="1"/>
        <d v="2025-09-23T14:45:48" u="1"/>
        <d v="2025-09-23T15:02:18" u="1"/>
        <d v="2025-09-23T15:07:28" u="1"/>
        <d v="2025-09-23T15:07:29" u="1"/>
        <d v="2025-09-23T15:07:48" u="1"/>
        <d v="2025-09-23T15:07:49" u="1"/>
        <d v="2025-09-23T15:07:50" u="1"/>
        <d v="2025-09-23T15:25:58" u="1"/>
        <d v="2025-09-23T15:25:59" u="1"/>
        <d v="2025-09-23T15:26:58" u="1"/>
        <d v="2025-09-23T15:29:28" u="1"/>
        <d v="2025-09-23T15:31:28" u="1"/>
        <d v="2025-09-23T15:33:08" u="1"/>
        <d v="2025-09-23T15:35:48" u="1"/>
        <d v="2025-09-23T15:35:49" u="1"/>
        <d v="2025-09-23T15:35:50" u="1"/>
        <d v="2025-09-23T15:38:28" u="1"/>
        <d v="2025-09-23T15:38:38" u="1"/>
        <d v="2025-09-23T15:38:39" u="1"/>
        <d v="2025-09-23T15:39:58" u="1"/>
        <d v="2025-09-23T15:40:59" u="1"/>
        <d v="2025-09-23T15:41:58" u="1"/>
        <d v="2025-09-23T15:43:08" u="1"/>
        <d v="2025-09-23T15:53:08" u="1"/>
        <d v="2025-09-23T15:58:08" u="1"/>
        <d v="2025-09-23T16:03:08" u="1"/>
        <d v="2025-09-23T16:20:38" u="1"/>
        <d v="2025-09-23T16:20:48" u="1"/>
        <d v="2025-09-23T16:21:08" u="1"/>
        <d v="2025-09-23T16:21:09" u="1"/>
        <d v="2025-09-23T16:21:10" u="1"/>
        <d v="2025-09-23T16:27:28" u="1"/>
        <d v="2025-09-23T16:27:29" u="1"/>
        <d v="2025-09-23T16:35:08" u="1"/>
        <d v="2025-09-23T16:36:28" u="1"/>
        <d v="2025-09-23T16:37:38" u="1"/>
        <d v="2025-09-23T16:37:39" u="1"/>
        <d v="2025-09-23T16:37:40" u="1"/>
        <d v="2025-09-23T16:41:08" u="1"/>
        <d v="2025-09-23T16:46:28" u="1"/>
        <d v="2025-09-23T16:46:48" u="1"/>
        <d v="2025-09-23T16:50:38" u="1"/>
        <d v="2025-09-23T16:50:39" u="1"/>
        <d v="2025-09-23T16:50:40" u="1"/>
        <d v="2025-09-23T16:50:58" u="1"/>
        <d v="2025-09-23T16:52:28" u="1"/>
        <d v="2025-09-23T16:52:29" u="1"/>
        <d v="2025-09-23T16:52:30" u="1"/>
        <d v="2025-09-23T16:53:38" u="1"/>
        <d v="2025-09-23T16:57:38" u="1"/>
        <d v="2025-09-23T16:58:08" u="1"/>
        <d v="2025-09-23T16:58:09" u="1"/>
        <d v="2025-09-23T17:02:38" u="1"/>
        <d v="2025-09-23T17:02:39" u="1"/>
        <d v="2025-09-23T17:02:58" u="1"/>
        <d v="2025-09-23T17:05:08" u="1"/>
        <d v="2025-09-23T17:06:18" u="1"/>
        <d v="2025-09-23T17:06:19" u="1"/>
        <d v="2025-09-23T17:06:20" u="1"/>
        <d v="2025-09-23T17:15:08" u="1"/>
        <d v="2025-09-23T17:16:58" u="1"/>
        <d v="2025-09-23T17:16:59" u="1"/>
        <d v="2025-09-23T17:17:00" u="1"/>
        <d v="2025-09-23T17:25:08" u="1"/>
        <d v="2025-09-23T17:26:58" u="1"/>
        <d v="2025-09-23T17:26:59" u="1"/>
        <d v="2025-09-23T17:27:00" u="1"/>
        <d v="2025-09-23T17:27:28" u="1"/>
        <d v="2025-09-23T17:28:48" u="1"/>
        <d v="2025-09-23T17:30:58" u="1"/>
        <d v="2025-09-23T17:30:59" u="1"/>
        <d v="2025-09-23T17:34:08" u="1"/>
        <d v="2025-09-23T17:36:48" u="1"/>
        <d v="2025-09-23T17:37:28" u="1"/>
        <d v="2025-09-23T17:37:58" u="1"/>
        <d v="2025-09-23T17:40:08" u="1"/>
        <d v="2025-09-23T17:41:18" u="1"/>
        <d v="2025-09-23T17:45:28" u="1"/>
        <d v="2025-09-23T17:46:28" u="1"/>
        <d v="2025-09-23T17:46:29" u="1"/>
        <d v="2025-09-23T17:46:30" u="1"/>
        <d v="2025-09-23T17:50:37" u="1"/>
        <d v="2025-09-23T17:50:47" u="1"/>
        <d v="2025-09-23T17:50:48" u="1"/>
        <d v="2025-09-23T17:53:17" u="1"/>
        <d v="2025-09-23T17:53:18" u="1"/>
        <d v="2025-09-23T17:55:58" u="1"/>
        <d v="2025-09-23T17:57:17" u="1"/>
        <d v="2025-09-23T17:57:37" u="1"/>
        <d v="2025-09-23T17:58:47" u="1"/>
        <d v="2025-09-23T18:00:02" u="1"/>
        <d v="2025-09-23T18:00:38" u="1"/>
        <d v="2025-09-23T18:00:39" u="1"/>
        <d v="2025-09-23T18:00:40" u="1"/>
        <d v="2025-09-23T18:02:27" u="1"/>
        <d v="2025-09-23T18:02:28" u="1"/>
        <d v="2025-09-23T18:05:07" u="1"/>
        <d v="2025-09-23T18:06:47" u="1"/>
        <d v="2025-09-23T18:06:48" u="1"/>
        <d v="2025-09-23T18:15:47" u="1"/>
        <d v="2025-09-23T18:15:48" u="1"/>
        <d v="2025-09-23T18:16:07" u="1"/>
        <d v="2025-09-23T18:16:08" u="1"/>
        <d v="2025-09-23T18:16:17" u="1"/>
        <d v="2025-09-23T18:16:27" u="1"/>
        <d v="2025-09-23T18:16:28" u="1"/>
        <d v="2025-09-23T18:20:37" u="1"/>
        <d v="2025-09-23T18:20:38" u="1"/>
        <d v="2025-09-23T18:20:39" u="1"/>
        <d v="2025-09-23T18:20:47" u="1"/>
        <d v="2025-09-23T18:20:48" u="1"/>
        <d v="2025-09-23T18:21:07" u="1"/>
        <d v="2025-09-23T18:21:08" u="1"/>
        <d v="2025-09-23T18:25:17" u="1"/>
        <d v="2025-09-23T18:25:37" u="1"/>
        <d v="2025-09-23T18:25:38" u="1"/>
        <d v="2025-09-23T18:25:58" u="1"/>
        <d v="2025-09-23T18:30:07" u="1"/>
        <d v="2025-09-23T18:30:08" u="1"/>
        <d v="2025-09-23T18:30:47" u="1"/>
        <d v="2025-09-23T18:31:17" u="1"/>
        <d v="2025-09-23T18:31:18" u="1"/>
        <d v="2025-09-23T18:31:19" u="1"/>
        <d v="2025-09-23T18:31:27" u="1"/>
        <d v="2025-09-23T18:31:28" u="1"/>
        <d v="2025-09-23T18:36:57" u="1"/>
        <d v="2025-09-23T18:36:58" u="1"/>
        <d v="2025-09-23T18:42:07" u="1"/>
        <d v="2025-09-23T18:45:57" u="1"/>
        <d v="2025-09-23T18:45:58" u="1"/>
        <d v="2025-09-23T18:47:17" u="1"/>
        <d v="2025-09-23T18:47:18" u="1"/>
        <d v="2025-09-23T18:49:37" u="1"/>
        <d v="2025-09-23T18:49:38" u="1"/>
        <d v="2025-09-23T18:53:17" u="1"/>
        <d v="2025-09-23T18:53:18" u="1"/>
        <d v="2025-09-23T18:53:19" u="1"/>
        <d v="2025-09-23T18:54:37" u="1"/>
        <d v="2025-09-23T18:54:38" u="1"/>
        <d v="2025-09-23T18:56:37" u="1"/>
        <d v="2025-09-23T18:57:37" u="1"/>
        <d v="2025-09-23T19:00:27" u="1"/>
        <d v="2025-09-23T19:07:57" u="1"/>
        <d v="2025-09-23T19:07:58" u="1"/>
        <d v="2025-09-23T19:15:17" u="1"/>
        <d v="2025-09-23T19:15:18" u="1"/>
        <d v="2025-09-23T19:17:57" u="1"/>
        <d v="2025-09-23T19:17:58" u="1"/>
        <d v="2025-09-23T19:25:27" u="1"/>
        <d v="2025-09-23T19:25:28" u="1"/>
        <d v="2025-09-23T19:30:37" u="1"/>
        <d v="2025-09-23T19:30:38" u="1"/>
        <d v="2025-09-23T19:31:47" u="1"/>
        <d v="2025-09-23T19:31:48" u="1"/>
        <d v="2025-09-23T19:31:49" u="1"/>
        <d v="2025-09-23T19:31:50" u="1"/>
        <d v="2025-09-23T19:33:17" u="1"/>
        <d v="2025-09-23T19:33:18" u="1"/>
        <d v="2025-09-23T19:33:58" u="1"/>
        <d v="2025-09-23T19:38:37" u="1"/>
        <d v="2025-09-23T19:43:27" u="1"/>
        <d v="2025-09-23T19:44:37" u="1"/>
        <d v="2025-09-23T19:44:38" u="1"/>
        <d v="2025-09-23T19:44:39" u="1"/>
        <d v="2025-09-23T19:45:57" u="1"/>
        <d v="2025-09-23T19:45:58" u="1"/>
        <d v="2025-09-23T19:50:07" u="1"/>
        <d v="2025-09-23T19:52:27" u="1"/>
        <d v="2025-09-23T19:52:37" u="1"/>
        <d v="2025-09-23T19:52:38" u="1"/>
        <d v="2025-09-23T19:52:39" u="1"/>
        <d v="2025-09-23T19:52:40" u="1"/>
        <d v="2025-09-23T19:55:57" u="1"/>
        <d v="2025-09-23T19:55:58" u="1"/>
        <d v="2025-09-23T20:04:07" u="1"/>
        <d v="2025-09-23T20:07:17" u="1"/>
        <d v="2025-09-23T20:09:27" u="1"/>
        <d v="2025-09-23T20:09:47" u="1"/>
        <d v="2025-09-23T20:09:48" u="1"/>
        <d v="2025-09-23T20:13:07" u="1"/>
        <d v="2025-09-23T20:14:27" u="1"/>
        <d v="2025-09-23T20:14:28" u="1"/>
        <d v="2025-09-23T20:14:29" u="1"/>
        <d v="2025-09-23T20:14:57" u="1"/>
        <d v="2025-09-23T20:18:37" u="1"/>
        <d v="2025-09-23T20:20:57" u="1"/>
        <d v="2025-09-23T20:20:58" u="1"/>
        <d v="2025-09-23T20:23:58" u="1"/>
        <d v="2025-09-23T20:27:17" u="1"/>
        <d v="2025-09-23T20:27:18" u="1"/>
        <d v="2025-09-23T20:28:37" u="1"/>
        <d v="2025-09-23T20:28:38" u="1"/>
        <d v="2025-09-23T20:28:39" u="1"/>
        <d v="2025-09-23T20:31:57" u="1"/>
        <d v="2025-09-23T20:31:58" u="1"/>
        <d v="2025-09-23T20:33:17" u="1"/>
        <d v="2025-09-23T20:36:07" u="1"/>
        <d v="2025-09-23T20:40:07" u="1"/>
        <d v="2025-09-23T20:40:08" u="1"/>
        <d v="2025-09-23T20:40:09" u="1"/>
        <d v="2025-09-23T20:45:47" u="1"/>
        <d v="2025-09-23T20:47:57" u="1"/>
        <d v="2025-09-23T20:47:58" u="1"/>
        <d v="2025-09-23T20:49:17" u="1"/>
        <d v="2025-09-23T20:50:57" u="1"/>
        <d v="2025-09-23T20:56:17" u="1"/>
        <d v="2025-09-23T21:04:59" u="1"/>
        <d v="2025-09-23T21:09:57" u="1"/>
        <d v="2025-09-23T21:09:58" u="1"/>
        <d v="2025-09-23T21:14:07" u="1"/>
        <d v="2025-09-23T21:15:47" u="1"/>
        <d v="2025-09-23T21:17:07" u="1"/>
        <d v="2025-09-23T21:17:08" u="1"/>
        <d v="2025-09-23T21:17:09" u="1"/>
        <d v="2025-09-23T21:21:37" u="1"/>
        <d v="2025-09-23T21:24:37" u="1"/>
        <d v="2025-09-23T21:25:47" u="1"/>
        <d v="2025-09-23T21:25:48" u="1"/>
        <d v="2025-09-23T21:25:49" u="1"/>
        <d v="2025-09-23T21:27:57" u="1"/>
        <d v="2025-09-23T21:27:58" u="1"/>
        <d v="2025-09-23T21:33:57" u="1"/>
        <d v="2025-09-23T21:35:07" u="1"/>
        <d v="2025-09-23T21:36:47" u="1"/>
        <d v="2025-09-23T21:41:17" u="1"/>
        <d v="2025-09-23T21:41:27" u="1"/>
        <d v="2025-09-23T21:41:28" u="1"/>
        <d v="2025-09-23T21:41:29" u="1"/>
        <d v="2025-09-23T21:41:57" u="1"/>
        <d v="2025-09-23T21:41:58" u="1"/>
        <d v="2025-09-23T21:44:07" u="1"/>
        <d v="2025-09-23T21:52:37" u="1"/>
        <d v="2025-09-23T21:54:37" u="1"/>
        <d v="2025-09-23T21:54:38" u="1"/>
        <d v="2025-09-23T21:54:39" u="1"/>
        <d v="2025-09-23T21:57:15" u="1"/>
        <d v="2025-09-23T21:57:57" u="1"/>
        <d v="2025-09-23T21:59:07" u="1"/>
        <d v="2025-09-23T22:00:15" u="1"/>
        <d v="2025-09-23T22:01:57" u="1"/>
        <d v="2025-09-23T22:01:58" u="1"/>
        <d v="2025-09-23T22:02:17" u="1"/>
        <d v="2025-09-23T22:07:07" u="1"/>
        <d v="2025-09-23T22:09:27" u="1"/>
        <d v="2025-09-23T22:09:28" u="1"/>
        <d v="2025-09-23T22:09:37" u="1"/>
        <d v="2025-09-23T22:12:07" u="1"/>
        <d v="2025-09-23T22:12:08" u="1"/>
        <d v="2025-09-23T22:19:27" u="1"/>
        <d v="2025-09-23T22:25:07" u="1"/>
        <d v="2025-09-23T22:26:27" u="1"/>
        <d v="2025-09-23T22:26:28" u="1"/>
        <d v="2025-09-23T22:26:29" u="1"/>
        <d v="2025-09-23T22:27:57" u="1"/>
        <d v="2025-09-23T22:33:58" u="1"/>
        <d v="2025-09-23T22:35:07" u="1"/>
        <d v="2025-09-23T22:43:37" u="1"/>
        <d v="2025-09-23T22:56:07" u="1"/>
        <d v="2025-09-23T22:58:07" u="1"/>
        <d v="2025-09-23T23:06:57" u="1"/>
        <d v="2025-09-23T23:12:07" u="1"/>
        <d v="2025-09-23T23:16:17" u="1"/>
        <d v="2025-09-23T23:19:07" u="1"/>
        <d v="2025-09-23T23:20:17" u="1"/>
        <d v="2025-09-23T23:20:18" u="1"/>
        <d v="2025-09-23T23:20:19" u="1"/>
        <d v="2025-09-23T23:22:37" u="1"/>
        <d v="2025-09-23T23:33:47" u="1"/>
        <d v="2025-09-23T23:35:17" u="1"/>
        <d v="2025-09-23T23:35:18" u="1"/>
        <d v="2025-09-23T23:44:07" u="1"/>
        <d v="2025-09-23T23:46:16" u="1"/>
        <d v="2025-09-23T23:46:17" u="1"/>
        <d v="2025-09-23T23:47:58" u="1"/>
        <d v="2025-09-23T23:48:07" u="1"/>
        <d v="2025-09-23T23:51:07" u="1"/>
        <d v="2025-09-23T23:51:57" u="1"/>
        <d v="2025-09-23T23:51:58" u="1"/>
        <d v="2025-09-23T23:51:59" u="1"/>
        <d v="2025-09-23T23:52:46" u="1"/>
        <d v="2025-09-23T23:55:57" u="1"/>
        <d v="2025-09-23T23:56:17" u="1"/>
        <d v="2025-09-23T23:56:18" u="1"/>
        <d v="2025-09-23T23:56:36" u="1"/>
        <d v="2025-09-24T00:00:16" u="1"/>
        <d v="2025-09-24T00:02:07" u="1"/>
        <d v="2025-09-24T00:03:37" u="1"/>
        <d v="2025-09-24T00:03:38" u="1"/>
        <d v="2025-09-24T00:07:06" u="1"/>
        <d v="2025-09-24T00:07:07" u="1"/>
        <d v="2025-09-24T00:15:47" u="1"/>
        <d v="2025-09-24T00:17:26" u="1"/>
        <d v="2025-09-24T00:17:27" u="1"/>
        <d v="2025-09-24T00:17:28" u="1"/>
        <d v="2025-09-24T00:17:29" u="1"/>
        <d v="2025-09-24T00:22:27" u="1"/>
        <d v="2025-09-24T00:25:57" u="1"/>
        <d v="2025-09-24T00:28:07" u="1"/>
        <d v="2025-09-24T00:31:57" u="1"/>
        <d v="2025-09-24T00:31:58" u="1"/>
        <d v="2025-09-24T00:31:59" u="1"/>
        <d v="2025-09-24T00:38:16" u="1"/>
        <d v="2025-09-24T00:38:17" u="1"/>
        <d v="2025-09-24T00:38:36" u="1"/>
        <d v="2025-09-24T00:38:37" u="1"/>
        <d v="2025-09-24T00:38:38" u="1"/>
        <d v="2025-09-24T00:38:39" u="1"/>
        <d v="2025-09-24T00:44:56" u="1"/>
        <d v="2025-09-24T00:44:57" u="1"/>
        <d v="2025-09-24T00:44:58" u="1"/>
        <d v="2025-09-24T00:46:58" u="1"/>
        <d v="2025-09-24T00:48:06" u="1"/>
        <d v="2025-09-24T00:48:07" u="1"/>
        <d v="2025-09-24T00:55:36" u="1"/>
        <d v="2025-09-24T00:55:37" u="1"/>
        <d v="2025-09-24T00:57:26" u="1"/>
        <d v="2025-09-24T00:57:27" u="1"/>
        <d v="2025-09-24T00:57:28" u="1"/>
        <d v="2025-09-24T00:57:29" u="1"/>
        <d v="2025-09-24T01:08:46" u="1"/>
        <d v="2025-09-24T01:08:47" u="1"/>
        <d v="2025-09-24T01:18:26" u="1"/>
        <d v="2025-09-24T01:18:27" u="1"/>
        <d v="2025-09-24T01:18:28" u="1"/>
        <d v="2025-09-24T01:18:29" u="1"/>
        <d v="2025-09-24T01:19:56" u="1"/>
        <d v="2025-09-24T01:19:57" u="1"/>
        <d v="2025-09-24T01:27:06" u="1"/>
        <d v="2025-09-24T01:27:26" u="1"/>
        <d v="2025-09-24T01:27:27" u="1"/>
        <d v="2025-09-24T01:28:16" u="1"/>
        <d v="2025-09-24T01:28:17" u="1"/>
        <d v="2025-09-24T01:28:18" u="1"/>
        <d v="2025-09-24T01:28:19" u="1"/>
        <d v="2025-09-24T01:29:16" u="1"/>
        <d v="2025-09-24T01:30:36" u="1"/>
        <d v="2025-09-24T01:30:37" u="1"/>
        <d v="2025-09-24T01:32:56" u="1"/>
        <d v="2025-09-24T01:32:57" u="1"/>
        <d v="2025-09-24T01:36:06" u="1"/>
        <d v="2025-09-24T01:37:36" u="1"/>
        <d v="2025-09-24T01:38:06" u="1"/>
        <d v="2025-09-24T01:38:26" u="1"/>
        <d v="2025-09-24T01:38:36" u="1"/>
        <d v="2025-09-24T01:38:37" u="1"/>
        <d v="2025-09-24T01:39:16" u="1"/>
        <d v="2025-09-24T01:39:17" u="1"/>
        <d v="2025-09-24T01:39:18" u="1"/>
        <d v="2025-09-24T01:47:06" u="1"/>
        <d v="2025-09-24T01:47:07" u="1"/>
        <d v="2025-09-24T01:49:56" u="1"/>
        <d v="2025-09-24T01:49:57" u="1"/>
        <d v="2025-09-24T01:56:06" u="1"/>
        <d v="2025-09-24T01:59:36" u="1"/>
        <d v="2025-09-24T01:59:37" u="1"/>
        <d v="2025-09-24T01:59:38" u="1"/>
        <d v="2025-09-24T01:59:46" u="1"/>
        <d v="2025-09-24T01:59:47" u="1"/>
        <d v="2025-09-24T02:08:36" u="1"/>
        <d v="2025-09-24T02:08:37" u="1"/>
        <d v="2025-09-24T02:09:06" u="1"/>
        <d v="2025-09-24T02:09:07" u="1"/>
        <d v="2025-09-24T02:09:08" u="1"/>
        <d v="2025-09-24T02:09:09" u="1"/>
        <d v="2025-09-24T02:13:16" u="1"/>
        <d v="2025-09-24T02:13:17" u="1"/>
        <d v="2025-09-24T02:45:36" u="1"/>
        <d v="2025-09-24T02:45:37" u="1"/>
        <d v="2025-09-24T02:46:06" u="1"/>
        <d v="2025-09-24T03:00:36" u="1"/>
        <d v="2025-09-24T03:00:37" u="1"/>
        <d v="2025-09-24T03:00:38" u="1"/>
        <d v="2025-09-24T03:03:06" u="1"/>
        <d v="2025-09-24T03:03:07" u="1"/>
        <d v="2025-09-24T03:03:46" u="1"/>
        <d v="2025-09-24T03:07:00" u="1"/>
        <d v="2025-09-24T03:09:10" u="1"/>
        <d v="2025-09-24T03:09:20" u="1"/>
        <d v="2025-09-24T03:09:21" u="1"/>
        <d v="2025-09-24T03:09:22" u="1"/>
        <d v="2025-09-24T03:11:10" u="1"/>
        <d v="2025-09-24T03:11:50" u="1"/>
        <d v="2025-09-24T03:12:20" u="1"/>
        <d v="2025-09-24T03:12:21" u="1"/>
        <d v="2025-09-24T03:12:22" u="1"/>
        <d v="2025-09-24T03:17:30" u="1"/>
        <d v="2025-09-24T03:17:31" u="1"/>
        <d v="2025-09-24T03:17:32" u="1"/>
        <d v="2025-09-24T03:19:40" u="1"/>
        <d v="2025-09-24T03:20:10" u="1"/>
        <d v="2025-09-24T03:21:30" u="1"/>
        <d v="2025-09-24T03:21:31" u="1"/>
        <d v="2025-09-24T03:21:32" u="1"/>
        <d v="2025-09-24T03:25:20" u="1"/>
        <d v="2025-09-24T03:27:00" u="1"/>
        <d v="2025-09-24T03:28:20" u="1"/>
        <d v="2025-09-24T03:30:30" u="1"/>
        <d v="2025-09-24T03:31:20" u="1"/>
        <d v="2025-09-24T03:34:00" u="1"/>
        <d v="2025-09-24T03:38:10" u="1"/>
        <d v="2025-09-24T03:38:30" u="1"/>
        <d v="2025-09-24T03:40:10" u="1"/>
        <d v="2025-09-24T03:43:10" u="1"/>
        <d v="2025-09-24T03:43:50" u="1"/>
        <d v="2025-09-24T03:45:00" u="1"/>
        <d v="2025-09-24T03:47:20" u="1"/>
        <d v="2025-09-24T03:47:21" u="1"/>
        <d v="2025-09-24T03:47:22" u="1"/>
        <d v="2025-09-24T03:48:20" u="1"/>
        <d v="2025-09-24T03:55:40" u="1"/>
        <d v="2025-09-24T03:56:20" u="1"/>
        <d v="2025-09-24T03:56:21" u="1"/>
        <d v="2025-09-24T03:56:50" u="1"/>
        <d v="2025-09-24T04:01:10" u="1"/>
        <d v="2025-09-24T04:07:40" u="1"/>
        <d v="2025-09-24T04:08:19" u="1"/>
        <d v="2025-09-24T04:08:20" u="1"/>
        <d v="2025-09-24T04:09:19" u="1"/>
        <d v="2025-09-24T04:09:20" u="1"/>
        <d v="2025-09-24T04:10:00" u="1"/>
        <d v="2025-09-24T04:12:20" u="1"/>
        <d v="2025-09-24T04:20:09" u="1"/>
        <d v="2025-09-24T04:35:09" u="1"/>
        <d v="2025-09-24T04:35:10" u="1"/>
        <d v="2025-09-24T04:35:11" u="1"/>
        <d v="2025-09-24T04:35:12" u="1"/>
        <d v="2025-09-24T04:44:09" u="1"/>
        <d v="2025-09-24T04:44:10" u="1"/>
        <d v="2025-09-24T04:47:09" u="1"/>
        <d v="2025-09-24T04:51:09" u="1"/>
        <d v="2025-09-24T04:51:19" u="1"/>
        <d v="2025-09-24T04:51:29" u="1"/>
        <d v="2025-09-24T04:51:30" u="1"/>
        <d v="2025-09-24T04:53:39" u="1"/>
        <d v="2025-09-24T06:05:09" u="1"/>
        <d v="2025-09-24T06:05:10" u="1"/>
        <d v="2025-09-24T06:05:59" u="1"/>
        <d v="2025-09-24T06:06:09" u="1"/>
        <d v="2025-09-24T06:14:00" u="1"/>
        <d v="2025-09-24T06:15:59" u="1"/>
        <d v="2025-09-24T06:25:09" u="1"/>
        <d v="2025-09-24T06:30:09" u="1"/>
        <d v="2025-09-24T06:30:10" u="1"/>
        <d v="2025-09-24T06:30:11" u="1"/>
        <d v="2025-09-24T06:30:19" u="1"/>
        <d v="2025-09-24T06:33:09" u="1"/>
        <d v="2025-09-24T06:38:09" u="1"/>
        <d v="2025-09-24T06:39:49" u="1"/>
        <d v="2025-09-24T06:40:49" u="1"/>
        <d v="2025-09-24T06:40:50" u="1"/>
        <d v="2025-09-24T06:40:51" u="1"/>
        <d v="2025-09-24T07:09:29" u="1"/>
        <d v="2025-09-24T07:13:39" u="1"/>
        <d v="2025-09-24T07:13:40" u="1"/>
        <d v="2025-09-24T07:13:41" u="1"/>
        <d v="2025-09-24T07:13:42" u="1"/>
        <d v="2025-09-24T07:14:19" u="1"/>
        <d v="2025-09-24T07:14:20" u="1"/>
        <d v="2025-09-24T07:15:09" u="1"/>
        <d v="2025-09-24T07:17:00" u="1"/>
        <d v="2025-09-24T07:17:01" u="1"/>
        <d v="2025-09-24T07:37:39" u="1"/>
        <d v="2025-09-24T07:37:40" u="1"/>
        <d v="2025-09-24T07:40:29" u="1"/>
        <d v="2025-09-24T07:43:59" u="1"/>
        <d v="2025-09-24T07:44:00" u="1"/>
        <d v="2025-09-24T07:44:01" u="1"/>
        <d v="2025-09-24T07:48:19" u="1"/>
        <d v="2025-09-24T07:56:19" u="1"/>
        <d v="2025-09-24T07:58:49" u="1"/>
        <d v="2025-09-24T07:59:09" u="1"/>
        <d v="2025-09-24T07:59:59" u="1"/>
        <d v="2025-09-24T08:00:00" u="1"/>
        <d v="2025-09-24T08:00:02" u="1"/>
        <d v="2025-09-24T08:06:09" u="1"/>
        <d v="2025-09-24T08:06:39" u="1"/>
        <d v="2025-09-24T08:06:40" u="1"/>
        <d v="2025-09-24T08:06:41" u="1"/>
        <d v="2025-09-24T08:08:59" u="1"/>
        <d v="2025-09-24T08:11:49" u="1"/>
        <d v="2025-09-24T08:15:09" u="1"/>
        <d v="2025-09-24T08:15:10" u="1"/>
        <d v="2025-09-24T08:15:11" u="1"/>
        <d v="2025-09-24T08:15:39" u="1"/>
        <d v="2025-09-24T08:20:19" u="1"/>
        <d v="2025-09-24T08:20:29" u="1"/>
        <d v="2025-09-24T08:21:00" u="1"/>
        <d v="2025-09-24T08:25:29" u="1"/>
        <d v="2025-09-24T08:26:09" u="1"/>
        <d v="2025-09-24T08:28:09" u="1"/>
        <d v="2025-09-24T08:28:29" u="1"/>
        <d v="2025-09-24T08:28:30" u="1"/>
        <d v="2025-09-24T08:28:31" u="1"/>
        <d v="2025-09-24T08:28:39" u="1"/>
        <d v="2025-09-24T08:36:09" u="1"/>
        <d v="2025-09-24T08:37:59" u="1"/>
        <d v="2025-09-24T08:38:00" u="1"/>
        <d v="2025-09-24T08:43:59" u="1"/>
        <d v="2025-09-24T08:48:19" u="1"/>
        <d v="2025-09-24T08:53:09" u="1"/>
        <d v="2025-09-24T08:59:29" u="1"/>
        <d v="2025-09-24T09:00:49" u="1"/>
        <d v="2025-09-24T09:01:09" u="1"/>
        <d v="2025-09-24T09:01:10" u="1"/>
        <d v="2025-09-24T09:01:11" u="1"/>
        <d v="2025-09-24T09:02:59" u="1"/>
        <d v="2025-09-24T09:03:59" u="1"/>
        <d v="2025-09-24T09:04:00" u="1"/>
        <d v="2025-09-24T09:09:09" u="1"/>
        <d v="2025-09-24T09:09:19" u="1"/>
        <d v="2025-09-24T09:09:20" u="1"/>
        <d v="2025-09-24T09:09:21" u="1"/>
        <d v="2025-09-24T09:09:29" u="1"/>
        <d v="2025-09-24T09:12:19" u="1"/>
        <d v="2025-09-24T09:12:59" u="1"/>
        <d v="2025-09-24T09:13:00" u="1"/>
        <d v="2025-09-24T09:13:01" u="1"/>
        <d v="2025-09-24T09:15:02" u="1"/>
        <d v="2025-09-24T09:16:09" u="1"/>
        <d v="2025-09-24T09:18:09" u="1"/>
        <d v="2025-09-24T09:23:29" u="1"/>
        <d v="2025-09-24T09:27:09" u="1"/>
        <d v="2025-09-24T09:27:10" u="1"/>
        <d v="2025-09-24T09:27:11" u="1"/>
        <d v="2025-09-24T09:28:09" u="1"/>
        <d v="2025-09-24T09:31:09" u="1"/>
        <d v="2025-09-24T09:31:10" u="1"/>
        <d v="2025-09-24T09:34:09" u="1"/>
        <d v="2025-09-24T09:34:49" u="1"/>
        <d v="2025-09-24T09:35:19" u="1"/>
        <d v="2025-09-24T09:35:20" u="1"/>
        <d v="2025-09-24T09:35:21" u="1"/>
        <d v="2025-09-24T09:36:29" u="1"/>
        <d v="2025-09-24T09:38:19" u="1"/>
        <d v="2025-09-24T09:38:20" u="1"/>
        <d v="2025-09-24T09:38:29" u="1"/>
        <d v="2025-09-24T09:40:09" u="1"/>
        <d v="2025-09-24T09:40:19" u="1"/>
        <d v="2025-09-24T09:41:59" u="1"/>
        <d v="2025-09-24T09:42:59" u="1"/>
        <d v="2025-09-24T09:48:09" u="1"/>
        <d v="2025-09-24T09:50:29" u="1"/>
        <d v="2025-09-24T09:51:19" u="1"/>
        <d v="2025-09-24T09:52:19" u="1"/>
        <d v="2025-09-24T09:52:20" u="1"/>
        <d v="2025-09-24T09:53:19" u="1"/>
        <d v="2025-09-24T09:54:59" u="1"/>
        <d v="2025-09-24T09:55:19" u="1"/>
        <d v="2025-09-24T09:55:29" u="1"/>
        <d v="2025-09-24T09:55:59" u="1"/>
        <d v="2025-09-24T09:57:09" u="1"/>
        <d v="2025-09-24T10:01:39" u="1"/>
        <d v="2025-09-24T10:05:59" u="1"/>
        <d v="2025-09-24T10:06:00" u="1"/>
        <d v="2025-09-24T10:07:59" u="1"/>
        <d v="2025-09-24T10:08:19" u="1"/>
        <d v="2025-09-24T10:11:19" u="1"/>
        <d v="2025-09-24T10:11:20" u="1"/>
        <d v="2025-09-24T10:12:18" u="1"/>
        <d v="2025-09-24T10:16:09" u="1"/>
        <d v="2025-09-24T10:16:19" u="1"/>
        <d v="2025-09-24T10:16:20" u="1"/>
        <d v="2025-09-24T10:16:28" u="1"/>
        <d v="2025-09-24T10:16:29" u="1"/>
        <d v="2025-09-24T10:24:09" u="1"/>
        <d v="2025-09-24T10:24:10" u="1"/>
        <d v="2025-09-24T10:25:38" u="1"/>
        <d v="2025-09-24T10:26:58" u="1"/>
        <d v="2025-09-24T10:27:08" u="1"/>
        <d v="2025-09-24T10:27:09" u="1"/>
        <d v="2025-09-24T10:27:18" u="1"/>
        <d v="2025-09-24T10:31:38" u="1"/>
        <d v="2025-09-24T10:34:09" u="1"/>
        <d v="2025-09-24T10:34:19" u="1"/>
        <d v="2025-09-24T10:37:09" u="1"/>
        <d v="2025-09-24T10:37:10" u="1"/>
        <d v="2025-09-24T10:37:11" u="1"/>
        <d v="2025-09-24T10:37:18" u="1"/>
        <d v="2025-09-24T10:38:28" u="1"/>
        <d v="2025-09-24T10:39:01" u="1"/>
        <d v="2025-09-24T10:39:08" u="1"/>
        <d v="2025-09-24T10:39:09" u="1"/>
        <d v="2025-09-24T10:39:59" u="1"/>
        <d v="2025-09-24T10:41:09" u="1"/>
        <d v="2025-09-24T10:41:19" u="1"/>
        <d v="2025-09-24T10:48:19" u="1"/>
        <d v="2025-09-24T10:48:48" u="1"/>
        <d v="2025-09-24T10:48:49" u="1"/>
        <d v="2025-09-24T10:48:50" u="1"/>
        <d v="2025-09-24T10:48:51" u="1"/>
        <d v="2025-09-24T10:49:28" u="1"/>
        <d v="2025-09-24T10:49:59" u="1"/>
        <d v="2025-09-24T10:57:39" u="1"/>
        <d v="2025-09-24T10:58:08" u="1"/>
        <d v="2025-09-24T10:58:09" u="1"/>
        <d v="2025-09-24T10:58:10" u="1"/>
        <d v="2025-09-24T10:58:11" u="1"/>
        <d v="2025-09-24T11:00:18" u="1"/>
        <d v="2025-09-24T11:03:58" u="1"/>
        <d v="2025-09-24T11:03:59" u="1"/>
        <d v="2025-09-24T11:05:59" u="1"/>
        <d v="2025-09-24T11:07:08" u="1"/>
        <d v="2025-09-24T11:07:09" u="1"/>
        <d v="2025-09-24T11:08:39" u="1"/>
        <d v="2025-09-24T11:08:40" u="1"/>
        <d v="2025-09-24T11:09:08" u="1"/>
        <d v="2025-09-24T11:12:59" u="1"/>
        <d v="2025-09-24T11:21:08" u="1"/>
        <d v="2025-09-24T11:21:09" u="1"/>
        <d v="2025-09-24T11:21:18" u="1"/>
        <d v="2025-09-24T11:21:19" u="1"/>
        <d v="2025-09-24T11:21:20" u="1"/>
        <d v="2025-09-24T11:21:21" u="1"/>
        <d v="2025-09-24T11:23:48" u="1"/>
        <d v="2025-09-24T11:23:49" u="1"/>
        <d v="2025-09-24T11:29:58" u="1"/>
        <d v="2025-09-24T11:30:08" u="1"/>
        <d v="2025-09-24T11:30:09" u="1"/>
        <d v="2025-09-24T11:30:10" u="1"/>
        <d v="2025-09-24T11:36:08" u="1"/>
        <d v="2025-09-24T11:36:09" u="1"/>
        <d v="2025-09-24T11:37:48" u="1"/>
        <d v="2025-09-24T11:37:49" u="1"/>
        <d v="2025-09-24T11:39:08" u="1"/>
        <d v="2025-09-24T11:39:09" u="1"/>
        <d v="2025-09-24T11:39:10" u="1"/>
        <d v="2025-09-24T11:39:11" u="1"/>
        <d v="2025-09-24T11:44:58" u="1"/>
        <d v="2025-09-24T11:44:59" u="1"/>
        <d v="2025-09-24T11:47:08" u="1"/>
        <d v="2025-09-24T11:47:09" u="1"/>
        <d v="2025-09-24T11:47:18" u="1"/>
        <d v="2025-09-24T11:47:19" u="1"/>
        <d v="2025-09-24T11:59:58" u="1"/>
        <d v="2025-09-24T11:59:59" u="1"/>
        <d v="2025-09-24T12:00:00" u="1"/>
        <d v="2025-09-24T12:00:01" u="1"/>
        <d v="2025-09-24T12:13:18" u="1"/>
        <d v="2025-09-24T12:13:48" u="1"/>
        <d v="2025-09-24T12:13:49" u="1"/>
        <d v="2025-09-24T12:14:01" u="1"/>
        <d v="2025-09-24T12:14:08" u="1"/>
        <d v="2025-09-24T12:14:09" u="1"/>
        <d v="2025-09-24T12:14:10" u="1"/>
        <d v="2025-09-24T12:17:08" u="1"/>
        <d v="2025-09-24T12:18:08" u="1"/>
        <d v="2025-09-24T12:18:58" u="1"/>
        <d v="2025-09-24T12:19:58" u="1"/>
        <d v="2025-09-24T12:19:59" u="1"/>
        <d v="2025-09-24T12:20:08" u="1"/>
        <d v="2025-09-24T12:20:09" u="1"/>
        <d v="2025-09-24T12:24:08" u="1"/>
        <d v="2025-09-24T12:25:18" u="1"/>
        <d v="2025-09-24T12:25:19" u="1"/>
        <d v="2025-09-24T12:25:20" u="1"/>
        <d v="2025-09-24T12:25:21" u="1"/>
        <d v="2025-09-24T12:28:28" u="1"/>
        <d v="2025-09-24T12:31:59" u="1"/>
        <d v="2025-09-24T12:32:08" u="1"/>
        <d v="2025-09-24T12:34:08" u="1"/>
        <d v="2025-09-24T12:36:08" u="1"/>
        <d v="2025-09-24T12:41:08" u="1"/>
        <d v="2025-09-24T12:41:09" u="1"/>
        <d v="2025-09-24T12:41:10" u="1"/>
        <d v="2025-09-24T12:41:11" u="1"/>
        <d v="2025-09-24T12:45:18" u="1"/>
        <d v="2025-09-24T12:59:28" u="1"/>
        <d v="2025-09-24T13:00:02" u="1"/>
        <d v="2025-09-24T13:03:28" u="1"/>
        <d v="2025-09-24T13:03:38" u="1"/>
        <d v="2025-09-24T13:03:39" u="1"/>
        <d v="2025-09-24T13:03:48" u="1"/>
        <d v="2025-09-24T13:03:49" u="1"/>
        <d v="2025-09-24T13:03:50" u="1"/>
        <d v="2025-09-24T13:05:38" u="1"/>
        <d v="2025-09-24T13:06:06" u="1"/>
        <d v="2025-09-24T13:07:59" u="1"/>
        <d v="2025-09-24T13:11:48" u="1"/>
        <d v="2025-09-24T13:11:49" u="1"/>
        <d v="2025-09-24T13:12:08" u="1"/>
        <d v="2025-09-24T13:16:38" u="1"/>
        <d v="2025-09-24T13:16:39" u="1"/>
        <d v="2025-09-24T13:16:40" u="1"/>
        <d v="2025-09-24T13:16:48" u="1"/>
        <d v="2025-09-24T13:16:49" u="1"/>
        <d v="2025-09-24T13:16:58" u="1"/>
        <d v="2025-09-24T13:18:08" u="1"/>
        <d v="2025-09-24T13:22:20" u="1"/>
        <d v="2025-09-24T13:22:21" u="1"/>
        <d v="2025-09-24T13:22:30" u="1"/>
        <d v="2025-09-24T13:28:00" u="1"/>
        <d v="2025-09-24T13:28:40" u="1"/>
        <d v="2025-09-24T13:28:41" u="1"/>
        <d v="2025-09-24T13:28:42" u="1"/>
        <d v="2025-09-24T13:29:00" u="1"/>
        <d v="2025-09-24T13:29:01" u="1"/>
        <d v="2025-09-24T13:29:20" u="1"/>
        <d v="2025-09-24T13:29:21" u="1"/>
        <d v="2025-09-24T13:29:40" u="1"/>
        <d v="2025-09-24T13:30:00" u="1"/>
        <d v="2025-09-24T13:30:20" u="1"/>
        <d v="2025-09-24T13:30:30" u="1"/>
        <d v="2025-09-24T13:39:00" u="1"/>
        <d v="2025-09-24T13:39:01" u="1"/>
        <d v="2025-09-24T13:39:02" u="1"/>
        <d v="2025-09-24T13:39:03" u="1"/>
        <d v="2025-09-24T13:41:20" u="1"/>
        <d v="2025-09-24T13:41:31" u="1"/>
        <d v="2025-09-24T13:43:10" u="1"/>
        <d v="2025-09-24T13:43:11" u="1"/>
        <d v="2025-09-24T13:43:12" u="1"/>
        <d v="2025-09-24T13:43:13" u="1"/>
        <d v="2025-09-24T13:44:00" u="1"/>
        <d v="2025-09-24T13:44:01" u="1"/>
        <d v="2025-09-24T13:47:13" u="1"/>
        <d v="2025-09-24T13:48:01" u="1"/>
        <d v="2025-09-24T13:48:02" u="1"/>
        <d v="2025-09-24T13:48:05" u="1"/>
        <d v="2025-09-24T13:49:30" u="1"/>
        <d v="2025-09-24T13:49:31" u="1"/>
        <d v="2025-09-24T13:50:21" u="1"/>
        <d v="2025-09-24T13:50:41" u="1"/>
        <d v="2025-09-24T13:55:10" u="1"/>
        <d v="2025-09-24T13:56:10" u="1"/>
        <d v="2025-09-24T13:56:11" u="1"/>
        <d v="2025-09-24T13:56:12" u="1"/>
        <d v="2025-09-24T13:56:13" u="1"/>
        <d v="2025-09-24T14:12:30" u="1"/>
        <d v="2025-09-24T14:14:00" u="1"/>
        <d v="2025-09-24T14:14:01" u="1"/>
        <d v="2025-09-24T14:14:02" u="1"/>
        <d v="2025-09-24T14:15:11" u="1"/>
        <d v="2025-09-24T14:26:10" u="1"/>
        <d v="2025-09-24T14:26:11" u="1"/>
        <d v="2025-09-24T14:27:00" u="1"/>
        <d v="2025-09-24T14:30:00" u="1"/>
        <d v="2025-09-24T14:30:01" u="1"/>
        <d v="2025-09-24T14:30:02" u="1"/>
        <d v="2025-09-24T14:31:20" u="1"/>
        <d v="2025-09-24T14:31:21" u="1"/>
        <d v="2025-09-24T14:31:22" u="1"/>
        <d v="2025-09-24T14:31:23" u="1"/>
        <d v="2025-09-24T14:33:30" u="1"/>
        <d v="2025-09-24T14:42:00" u="1"/>
        <d v="2025-09-24T14:42:01" u="1"/>
        <d v="2025-09-24T14:52:00" u="1"/>
        <d v="2025-09-24T14:52:01" u="1"/>
        <d v="2025-09-24T14:54:20" u="1"/>
        <d v="2025-09-24T14:54:21" u="1"/>
        <d v="2025-09-24T14:54:22" u="1"/>
        <d v="2025-09-24T14:54:23" u="1"/>
        <d v="2025-09-24T14:55:02" u="1"/>
        <d v="2025-09-24T14:56:50" u="1"/>
        <d v="2025-09-24T14:58:00" u="1"/>
        <d v="2025-09-24T14:58:01" u="1"/>
        <d v="2025-09-24T15:00:00" u="1"/>
        <d v="2025-09-24T15:01:01" u="1"/>
        <d v="2025-09-24T15:03:40" u="1"/>
        <d v="2025-09-24T15:03:41" u="1"/>
        <d v="2025-09-24T15:08:00" u="1"/>
        <d v="2025-09-24T15:08:01" u="1"/>
        <d v="2025-09-24T15:09:20" u="1"/>
        <d v="2025-09-24T15:10:10" u="1"/>
        <d v="2025-09-24T15:10:11" u="1"/>
        <d v="2025-09-24T15:10:12" u="1"/>
        <d v="2025-09-24T15:10:13" u="1"/>
        <d v="2025-09-24T15:14:20" u="1"/>
        <d v="2025-09-24T15:16:40" u="1"/>
        <d v="2025-09-24T15:18:00" u="1"/>
        <d v="2025-09-24T15:22:00" u="1"/>
        <d v="2025-09-24T15:22:50" u="1"/>
        <d v="2025-09-24T15:23:50" u="1"/>
        <d v="2025-09-24T15:23:51" u="1"/>
        <d v="2025-09-24T15:23:52" u="1"/>
        <d v="2025-09-24T15:25:40" u="1"/>
        <d v="2025-09-24T15:25:41" u="1"/>
        <d v="2025-09-24T15:26:01" u="1"/>
        <d v="2025-09-24T15:26:02" u="1"/>
        <d v="2025-09-24T15:26:30" u="1"/>
        <d v="2025-09-24T15:27:50" u="1"/>
        <d v="2025-09-24T15:28:01" u="1"/>
        <d v="2025-09-24T15:40:10" u="1"/>
        <d v="2025-09-24T15:44:00" u="1"/>
        <d v="2025-09-24T15:44:01" u="1"/>
        <d v="2025-09-24T15:44:10" u="1"/>
        <d v="2025-09-24T15:44:11" u="1"/>
        <d v="2025-09-24T15:44:12" u="1"/>
        <d v="2025-09-24T15:44:30" u="1"/>
        <d v="2025-09-24T15:45:00" u="1"/>
        <d v="2025-09-24T15:45:50" u="1"/>
        <d v="2025-09-24T15:45:51" u="1"/>
        <d v="2025-09-24T15:46:00" u="1"/>
        <d v="2025-09-24T15:46:01" u="1"/>
        <d v="2025-09-24T15:46:30" u="1"/>
        <d v="2025-09-24T15:48:00" u="1"/>
        <d v="2025-09-24T16:02:30" u="1"/>
        <d v="2025-09-24T16:03:30" u="1"/>
        <d v="2025-09-24T16:03:31" u="1"/>
        <d v="2025-09-24T16:04:50" u="1"/>
        <d v="2025-09-24T16:05:10" u="1"/>
        <d v="2025-09-24T16:05:11" u="1"/>
        <d v="2025-09-24T16:05:12" u="1"/>
        <d v="2025-09-24T16:06:10" u="1"/>
        <d v="2025-09-24T16:08:10" u="1"/>
        <d v="2025-09-24T16:12:41" u="1"/>
        <d v="2025-09-24T16:15:30" u="1"/>
        <d v="2025-09-24T16:17:40" u="1"/>
        <d v="2025-09-24T16:17:41" u="1"/>
        <d v="2025-09-24T16:17:42" u="1"/>
        <d v="2025-09-24T16:17:43" u="1"/>
        <d v="2025-09-24T16:22:20" u="1"/>
        <d v="2025-09-24T16:28:00" u="1"/>
        <d v="2025-09-24T16:28:01" u="1"/>
        <d v="2025-09-24T16:30:10" u="1"/>
        <d v="2025-09-24T16:31:10" u="1"/>
        <d v="2025-09-24T16:31:11" u="1"/>
        <d v="2025-09-24T16:31:12" u="1"/>
        <d v="2025-09-24T16:31:20" u="1"/>
        <d v="2025-09-24T16:32:00" u="1"/>
        <d v="2025-09-24T16:32:10" u="1"/>
        <d v="2025-09-24T16:38:20" u="1"/>
        <d v="2025-09-24T16:38:40" u="1"/>
        <d v="2025-09-24T16:38:50" u="1"/>
        <d v="2025-09-24T16:41:50" u="1"/>
        <d v="2025-09-24T16:42:00" u="1"/>
        <d v="2025-09-24T16:43:40" u="1"/>
        <d v="2025-09-24T16:43:41" u="1"/>
        <d v="2025-09-24T16:44:10" u="1"/>
        <d v="2025-09-24T16:44:20" u="1"/>
        <d v="2025-09-24T16:51:00" u="1"/>
        <d v="2025-09-24T16:51:40" u="1"/>
        <d v="2025-09-24T16:52:10" u="1"/>
        <d v="2025-09-24T16:52:11" u="1"/>
        <d v="2025-09-24T16:52:20" u="1"/>
        <d v="2025-09-24T16:57:10" u="1"/>
        <d v="2025-09-24T17:06:00" u="1"/>
        <d v="2025-09-24T17:06:01" u="1"/>
        <d v="2025-09-24T17:06:02" u="1"/>
        <d v="2025-09-24T17:14:10" u="1"/>
        <d v="2025-09-24T17:16:10" u="1"/>
        <d v="2025-09-24T17:27:40" u="1"/>
        <d v="2025-09-24T17:28:10" u="1"/>
        <d v="2025-09-24T17:28:40" u="1"/>
        <d v="2025-09-24T17:28:41" u="1"/>
        <d v="2025-09-24T17:28:42" u="1"/>
        <d v="2025-09-24T17:28:43" u="1"/>
        <d v="2025-09-24T17:34:20" u="1"/>
        <d v="2025-09-24T17:36:10" u="1"/>
        <d v="2025-09-24T17:36:20" u="1"/>
        <d v="2025-09-24T17:36:21" u="1"/>
        <d v="2025-09-24T17:36:50" u="1"/>
        <d v="2025-09-24T17:42:10" u="1"/>
        <d v="2025-09-24T17:42:20" u="1"/>
        <d v="2025-09-24T17:42:30" u="1"/>
        <d v="2025-09-24T17:42:31" u="1"/>
        <d v="2025-09-24T17:42:32" u="1"/>
        <d v="2025-09-24T17:43:10" u="1"/>
        <d v="2025-09-24T17:46:10" u="1"/>
        <d v="2025-09-24T17:47:10" u="1"/>
        <d v="2025-09-24T17:50:03" u="1"/>
        <d v="2025-09-24T17:56:00" u="1"/>
        <d v="2025-09-24T17:56:01" u="1"/>
        <d v="2025-09-24T18:06:10" u="1"/>
        <d v="2025-09-24T18:09:30" u="1"/>
        <d v="2025-09-24T18:10:30" u="1"/>
        <d v="2025-09-24T18:14:20" u="1"/>
        <d v="2025-09-24T18:14:21" u="1"/>
        <d v="2025-09-24T18:14:40" u="1"/>
        <d v="2025-09-24T18:20:40" u="1"/>
        <d v="2025-09-24T18:23:20" u="1"/>
        <d v="2025-09-24T18:23:50" u="1"/>
        <d v="2025-09-24T18:23:51" u="1"/>
        <d v="2025-09-24T18:23:52" u="1"/>
        <d v="2025-09-24T18:23:53" u="1"/>
        <d v="2025-09-24T18:27:20" u="1"/>
        <d v="2025-09-24T18:27:30" u="1"/>
        <d v="2025-09-24T18:27:31" u="1"/>
        <d v="2025-09-24T18:28:10" u="1"/>
        <d v="2025-09-24T18:28:20" u="1"/>
        <d v="2025-09-24T18:28:40" u="1"/>
        <d v="2025-09-24T18:29:10" u="1"/>
        <d v="2025-09-24T18:30:00" u="1"/>
        <d v="2025-09-24T18:30:01" u="1"/>
        <d v="2025-09-24T18:32:10" u="1"/>
        <d v="2025-09-24T18:35:30" u="1"/>
        <d v="2025-09-24T18:42:10" u="1"/>
        <d v="2025-09-24T18:44:10" u="1"/>
        <d v="2025-09-24T18:44:20" u="1"/>
        <d v="2025-09-24T18:46:10" u="1"/>
        <d v="2025-09-24T18:46:11" u="1"/>
        <d v="2025-09-24T18:50:10" u="1"/>
        <d v="2025-09-24T18:52:40" u="1"/>
        <d v="2025-09-24T18:52:50" u="1"/>
        <d v="2025-09-24T18:52:51" u="1"/>
        <d v="2025-09-24T18:52:52" u="1"/>
        <d v="2025-09-24T18:57:30" u="1"/>
        <d v="2025-09-24T18:58:00" u="1"/>
        <d v="2025-09-24T18:58:01" u="1"/>
        <d v="2025-09-24T19:00:00" u="1"/>
        <d v="2025-09-24T19:00:01" u="1"/>
        <d v="2025-09-24T19:00:30" u="1"/>
        <d v="2025-09-24T19:01:50" u="1"/>
        <d v="2025-09-24T19:10:40" u="1"/>
        <d v="2025-09-24T19:12:10" u="1"/>
        <d v="2025-09-24T19:15:10" u="1"/>
        <d v="2025-09-24T19:18:40" u="1"/>
        <d v="2025-09-24T19:20:10" u="1"/>
        <d v="2025-09-24T19:20:20" u="1"/>
        <d v="2025-09-24T19:20:21" u="1"/>
        <d v="2025-09-24T19:20:22" u="1"/>
        <d v="2025-09-24T19:24:50" u="1"/>
        <d v="2025-09-24T19:24:51" u="1"/>
        <d v="2025-09-24T19:31:00" u="1"/>
        <d v="2025-09-24T19:34:10" u="1"/>
        <d v="2025-09-24T19:38:30" u="1"/>
        <d v="2025-09-24T19:40:10" u="1"/>
        <d v="2025-09-24T19:40:20" u="1"/>
        <d v="2025-09-24T19:40:21" u="1"/>
        <d v="2025-09-24T19:40:22" u="1"/>
        <d v="2025-09-24T19:51:09" u="1"/>
        <d v="2025-09-24T19:51:10" u="1"/>
        <d v="2025-09-24T19:54:19" u="1"/>
        <d v="2025-09-24T19:55:09" u="1"/>
        <d v="2025-09-24T19:55:10" u="1"/>
        <d v="2025-09-24T20:03:49" u="1"/>
        <d v="2025-09-24T20:03:50" u="1"/>
        <d v="2025-09-24T20:04:10" u="1"/>
        <d v="2025-09-24T20:04:29" u="1"/>
        <d v="2025-09-24T20:04:30" u="1"/>
        <d v="2025-09-24T20:04:31" u="1"/>
        <d v="2025-09-24T20:09:09" u="1"/>
        <d v="2025-09-24T20:15:40" u="1"/>
        <d v="2025-09-24T20:17:10" u="1"/>
        <d v="2025-09-24T20:17:39" u="1"/>
        <d v="2025-09-24T20:17:40" u="1"/>
        <d v="2025-09-24T20:17:41" u="1"/>
        <d v="2025-09-24T20:17:42" u="1"/>
        <d v="2025-09-24T20:21:10" u="1"/>
        <d v="2025-09-24T20:21:30" u="1"/>
        <d v="2025-09-24T20:24:40" u="1"/>
        <d v="2025-09-24T20:31:40" u="1"/>
        <d v="2025-09-24T20:37:59" u="1"/>
        <d v="2025-09-24T20:38:00" u="1"/>
        <d v="2025-09-24T20:38:01" u="1"/>
        <d v="2025-09-24T20:38:02" u="1"/>
        <d v="2025-09-24T20:38:09" u="1"/>
        <d v="2025-09-24T20:38:10" u="1"/>
        <d v="2025-09-24T20:42:09" u="1"/>
        <d v="2025-09-24T20:45:02" u="1"/>
        <d v="2025-09-24T20:46:09" u="1"/>
        <d v="2025-09-24T20:51:49" u="1"/>
        <d v="2025-09-24T20:51:50" u="1"/>
        <d v="2025-09-24T20:53:29" u="1"/>
        <d v="2025-09-24T20:53:30" u="1"/>
        <d v="2025-09-24T20:53:31" u="1"/>
        <d v="2025-09-24T20:54:19" u="1"/>
        <d v="2025-09-24T20:54:20" u="1"/>
        <d v="2025-09-24T20:58:39" u="1"/>
        <d v="2025-09-24T20:58:49" u="1"/>
        <d v="2025-09-24T20:58:50" u="1"/>
        <d v="2025-09-24T20:58:51" u="1"/>
        <d v="2025-09-24T21:08:39" u="1"/>
        <d v="2025-09-24T21:08:40" u="1"/>
        <d v="2025-09-24T21:09:09" u="1"/>
        <d v="2025-09-24T21:09:10" u="1"/>
        <d v="2025-09-24T21:10:29" u="1"/>
        <d v="2025-09-24T21:11:19" u="1"/>
        <d v="2025-09-24T21:11:20" u="1"/>
        <d v="2025-09-24T21:15:59" u="1"/>
        <d v="2025-09-24T21:16:00" u="1"/>
        <d v="2025-09-24T21:17:09" u="1"/>
        <d v="2025-09-24T21:17:10" u="1"/>
        <d v="2025-09-24T21:17:11" u="1"/>
        <d v="2025-09-24T21:17:19" u="1"/>
        <d v="2025-09-24T21:17:20" u="1"/>
        <d v="2025-09-24T21:18:09" u="1"/>
        <d v="2025-09-24T21:18:10" u="1"/>
        <d v="2025-09-24T21:18:29" u="1"/>
        <d v="2025-09-24T21:18:39" u="1"/>
        <d v="2025-09-24T21:20:09" u="1"/>
        <d v="2025-09-24T21:22:59" u="1"/>
        <d v="2025-09-24T21:23:19" u="1"/>
        <d v="2025-09-24T21:23:20" u="1"/>
        <d v="2025-09-24T21:23:29" u="1"/>
        <d v="2025-09-24T21:24:39" u="1"/>
        <d v="2025-09-24T21:24:40" u="1"/>
        <d v="2025-09-24T21:24:41" u="1"/>
        <d v="2025-09-24T21:24:49" u="1"/>
        <d v="2025-09-24T21:33:09" u="1"/>
        <d v="2025-09-24T21:33:10" u="1"/>
        <d v="2025-09-24T21:34:09" u="1"/>
        <d v="2025-09-24T21:34:10" u="1"/>
        <d v="2025-09-24T21:35:19" u="1"/>
        <d v="2025-09-24T21:35:20" u="1"/>
        <d v="2025-09-24T21:35:29" u="1"/>
        <d v="2025-09-24T21:36:59" u="1"/>
        <d v="2025-09-24T21:37:00" u="1"/>
        <d v="2025-09-24T21:37:01" u="1"/>
        <d v="2025-09-24T21:37:02" u="1"/>
        <d v="2025-09-24T21:38:39" u="1"/>
        <d v="2025-09-24T21:38:40" u="1"/>
        <d v="2025-09-24T21:39:39" u="1"/>
        <d v="2025-09-24T21:39:40" u="1"/>
        <d v="2025-09-24T21:39:41" u="1"/>
        <d v="2025-09-24T21:39:42" u="1"/>
        <d v="2025-09-24T21:40:19" u="1"/>
        <d v="2025-09-24T21:40:20" u="1"/>
        <d v="2025-09-24T21:43:09" u="1"/>
        <d v="2025-09-24T21:43:10" u="1"/>
        <d v="2025-09-24T21:43:11" u="1"/>
        <d v="2025-09-24T21:44:49" u="1"/>
        <d v="2025-09-24T21:44:50" u="1"/>
        <d v="2025-09-24T21:46:49" u="1"/>
        <d v="2025-09-24T21:46:50" u="1"/>
        <d v="2025-09-24T21:48:09" u="1"/>
        <d v="2025-09-24T21:48:10" u="1"/>
        <d v="2025-09-24T21:48:19" u="1"/>
        <d v="2025-09-24T21:48:20" u="1"/>
        <d v="2025-09-24T21:48:21" u="1"/>
        <d v="2025-09-24T21:48:22" u="1"/>
        <d v="2025-09-24T21:52:02" u="1"/>
        <d v="2025-09-24T21:54:59" u="1"/>
        <d v="2025-09-24T21:59:09" u="1"/>
        <d v="2025-09-24T21:59:10" u="1"/>
        <d v="2025-09-24T22:00:39" u="1"/>
        <d v="2025-09-24T22:01:09" u="1"/>
        <d v="2025-09-24T22:01:10" u="1"/>
        <d v="2025-09-24T22:01:11" u="1"/>
        <d v="2025-09-24T22:02:19" u="1"/>
        <d v="2025-09-24T22:02:20" u="1"/>
        <d v="2025-09-24T22:02:39" u="1"/>
        <d v="2025-09-24T22:02:49" u="1"/>
        <d v="2025-09-24T22:03:59" u="1"/>
        <d v="2025-09-24T22:04:00" u="1"/>
        <d v="2025-09-24T22:04:59" u="1"/>
        <d v="2025-09-24T22:05:39" u="1"/>
        <d v="2025-09-24T22:10:09" u="1"/>
        <d v="2025-09-24T22:10:10" u="1"/>
        <d v="2025-09-24T22:12:09" u="1"/>
        <d v="2025-09-24T22:12:10" u="1"/>
        <d v="2025-09-24T22:12:11" u="1"/>
        <d v="2025-09-24T22:14:49" u="1"/>
        <d v="2025-09-24T22:14:50" u="1"/>
        <d v="2025-09-24T22:15:09" u="1"/>
        <d v="2025-09-24T22:15:10" u="1"/>
        <d v="2025-09-24T22:15:19" u="1"/>
        <d v="2025-09-24T22:15:20" u="1"/>
        <d v="2025-09-24T22:15:59" u="1"/>
        <d v="2025-09-24T22:16:00" u="1"/>
        <d v="2025-09-24T22:21:19" u="1"/>
        <d v="2025-09-24T22:21:20" u="1"/>
        <d v="2025-09-24T22:22:29" u="1"/>
        <d v="2025-09-24T22:22:30" u="1"/>
        <d v="2025-09-24T22:22:31" u="1"/>
        <d v="2025-09-24T22:22:39" u="1"/>
        <d v="2025-09-24T22:22:40" u="1"/>
        <d v="2025-09-24T22:23:39" u="1"/>
        <d v="2025-09-24T22:25:49" u="1"/>
        <d v="2025-09-24T22:25:50" u="1"/>
        <d v="2025-09-24T22:27:49" u="1"/>
        <d v="2025-09-24T22:27:59" u="1"/>
        <d v="2025-09-24T22:28:00" u="1"/>
        <d v="2025-09-24T22:28:01" u="1"/>
        <d v="2025-09-24T22:28:02" u="1"/>
        <d v="2025-09-24T22:28:29" u="1"/>
        <d v="2025-09-24T22:28:30" u="1"/>
        <d v="2025-09-24T22:28:49" u="1"/>
        <d v="2025-09-24T22:28:59" u="1"/>
        <d v="2025-09-24T22:29:49" u="1"/>
        <d v="2025-09-24T22:29:59" u="1"/>
        <d v="2025-09-24T22:30:02" u="1"/>
        <d v="2025-09-24T22:30:09" u="1"/>
        <d v="2025-09-24T22:36:19" u="1"/>
        <d v="2025-09-24T22:36:20" u="1"/>
        <d v="2025-09-24T22:36:21" u="1"/>
        <d v="2025-09-24T22:36:22" u="1"/>
        <d v="2025-09-24T22:38:29" u="1"/>
        <d v="2025-09-24T22:40:19" u="1"/>
        <d v="2025-09-24T22:40:20" u="1"/>
        <d v="2025-09-24T22:40:21" u="1"/>
        <d v="2025-09-24T22:40:22" u="1"/>
        <d v="2025-09-24T22:40:49" u="1"/>
        <d v="2025-09-24T22:41:49" u="1"/>
        <d v="2025-09-24T22:41:59" u="1"/>
        <d v="2025-09-24T22:42:00" u="1"/>
        <d v="2025-09-24T22:42:09" u="1"/>
        <d v="2025-09-24T22:46:09" u="1"/>
        <d v="2025-09-24T22:48:29" u="1"/>
        <d v="2025-09-24T22:48:30" u="1"/>
        <d v="2025-09-24T22:48:49" u="1"/>
        <d v="2025-09-24T22:48:59" u="1"/>
        <d v="2025-09-24T22:52:09" u="1"/>
        <d v="2025-09-24T22:52:10" u="1"/>
        <d v="2025-09-24T22:55:19" u="1"/>
        <d v="2025-09-24T22:55:20" u="1"/>
        <d v="2025-09-24T22:56:39" u="1"/>
        <d v="2025-09-24T22:56:40" u="1"/>
        <d v="2025-09-24T22:56:41" u="1"/>
        <d v="2025-09-24T22:58:29" u="1"/>
        <d v="2025-09-24T22:58:30" u="1"/>
        <d v="2025-09-24T22:58:49" u="1"/>
        <d v="2025-09-24T23:00:49" u="1"/>
        <d v="2025-09-24T23:00:59" u="1"/>
        <d v="2025-09-24T23:01:09" u="1"/>
        <d v="2025-09-24T23:01:59" u="1"/>
        <d v="2025-09-24T23:02:00" u="1"/>
        <d v="2025-09-24T23:04:09" u="1"/>
        <d v="2025-09-24T23:04:10" u="1"/>
        <d v="2025-09-24T23:05:19" u="1"/>
        <d v="2025-09-24T23:13:39" u="1"/>
        <d v="2025-09-24T23:13:40" u="1"/>
        <d v="2025-09-24T23:14:49" u="1"/>
        <d v="2025-09-24T23:24:49" u="1"/>
        <d v="2025-09-24T23:24:51" u="1"/>
        <d v="2025-09-24T23:32:09" u="1"/>
        <d v="2025-09-24T23:32:10" u="1"/>
        <d v="2025-09-24T23:36:19" u="1"/>
        <d v="2025-09-24T23:36:20" u="1"/>
        <d v="2025-09-24T23:38:49" u="1"/>
        <d v="2025-09-24T23:38:50" u="1"/>
        <d v="2025-09-24T23:38:51" u="1"/>
        <d v="2025-09-24T23:38:59" u="1"/>
        <d v="2025-09-24T23:43:19" u="1"/>
        <d v="2025-09-24T23:43:20" u="1"/>
        <d v="2025-09-24T23:44:39" u="1"/>
        <d v="2025-09-24T23:44:40" u="1"/>
        <d v="2025-09-24T23:44:41" u="1"/>
        <d v="2025-09-24T23:46:09" u="1"/>
        <d v="2025-09-24T23:46:59" u="1"/>
        <d v="2025-09-24T23:48:49" u="1"/>
        <d v="2025-09-24T23:48:50" u="1"/>
        <d v="2025-09-24T23:49:49" u="1"/>
        <d v="2025-09-24T23:49:59" u="1"/>
        <d v="2025-09-24T23:52:09" u="1"/>
        <d v="2025-09-24T23:53:09" u="1"/>
        <d v="2025-09-24T23:53:10" u="1"/>
        <d v="2025-09-24T23:53:11" u="1"/>
        <d v="2025-09-24T23:53:19" u="1"/>
        <d v="2025-09-24T23:54:09" u="1"/>
        <d v="2025-09-24T23:54:29" u="1"/>
        <d v="2025-09-24T23:54:39" u="1"/>
        <d v="2025-09-24T23:55:19" u="1"/>
        <d v="2025-09-25T00:00:09" u="1"/>
        <d v="2025-09-25T00:00:10" u="1"/>
        <d v="2025-09-25T00:01:29" u="1"/>
        <d v="2025-09-25T00:01:30" u="1"/>
        <d v="2025-09-25T00:01:31" u="1"/>
        <d v="2025-09-25T00:01:49" u="1"/>
        <d v="2025-09-25T00:03:59" u="1"/>
        <d v="2025-09-25T00:04:09" u="1"/>
        <d v="2025-09-25T00:05:29" u="1"/>
        <d v="2025-09-25T00:06:00" u="1"/>
        <d v="2025-09-25T00:07:29" u="1"/>
        <d v="2025-09-25T00:12:09" u="1"/>
        <d v="2025-09-25T00:12:10" u="1"/>
        <d v="2025-09-25T00:13:29" u="1"/>
        <d v="2025-09-25T00:15:39" u="1"/>
        <d v="2025-09-25T00:15:40" u="1"/>
        <d v="2025-09-25T00:15:41" u="1"/>
        <d v="2025-09-25T00:17:29" u="1"/>
        <d v="2025-09-25T00:17:30" u="1"/>
        <d v="2025-09-25T00:17:49" u="1"/>
        <d v="2025-09-25T00:18:09" u="1"/>
        <d v="2025-09-25T00:19:19" u="1"/>
        <d v="2025-09-25T00:19:49" u="1"/>
        <d v="2025-09-25T00:19:59" u="1"/>
        <d v="2025-09-25T00:21:19" u="1"/>
        <d v="2025-09-25T00:25:09" u="1"/>
        <d v="2025-09-25T00:25:10" u="1"/>
        <d v="2025-09-25T00:26:19" u="1"/>
        <d v="2025-09-25T00:26:49" u="1"/>
        <d v="2025-09-25T00:27:59" u="1"/>
        <d v="2025-09-25T00:28:09" u="1"/>
        <d v="2025-09-25T00:37:29" u="1"/>
        <d v="2025-09-25T00:37:49" u="1"/>
        <d v="2025-09-25T00:37:50" u="1"/>
        <d v="2025-09-25T00:38:09" u="1"/>
        <d v="2025-09-25T00:44:09" u="1"/>
        <d v="2025-09-25T00:44:19" u="1"/>
        <d v="2025-09-25T00:44:29" u="1"/>
        <d v="2025-09-25T00:44:30" u="1"/>
        <d v="2025-09-25T00:44:31" u="1"/>
        <d v="2025-09-25T00:44:39" u="1"/>
        <d v="2025-09-25T00:44:49" u="1"/>
        <d v="2025-09-25T00:47:19" u="1"/>
        <d v="2025-09-25T00:47:29" u="1"/>
        <d v="2025-09-25T00:50:19" u="1"/>
        <d v="2025-09-25T00:52:19" u="1"/>
        <d v="2025-09-25T00:52:59" u="1"/>
        <d v="2025-09-25T00:53:00" u="1"/>
        <d v="2025-09-25T00:53:01" u="1"/>
        <d v="2025-09-25T00:53:09" u="1"/>
        <d v="2025-09-25T00:54:39" u="1"/>
        <d v="2025-09-25T00:55:09" u="1"/>
        <d v="2025-09-25T00:55:29" u="1"/>
        <d v="2025-09-25T00:56:29" u="1"/>
        <d v="2025-09-25T00:57:01" u="1"/>
        <d v="2025-09-25T00:57:39" u="1"/>
        <d v="2025-09-25T01:01:49" u="1"/>
        <d v="2025-09-25T01:02:49" u="1"/>
        <d v="2025-09-25T01:03:09" u="1"/>
        <d v="2025-09-25T01:04:49" u="1"/>
        <d v="2025-09-25T01:05:59" u="1"/>
        <d v="2025-09-25T01:06:00" u="1"/>
        <d v="2025-09-25T01:06:39" u="1"/>
        <d v="2025-09-25T01:07:00" u="1"/>
        <d v="2025-09-25T01:07:06" u="1"/>
        <d v="2025-09-25T01:13:29" u="1"/>
        <d v="2025-09-25T01:16:19" u="1"/>
        <d v="2025-09-25T01:16:20" u="1"/>
        <d v="2025-09-25T01:16:21" u="1"/>
        <d v="2025-09-25T01:17:19" u="1"/>
        <d v="2025-09-25T01:22:39" u="1"/>
        <d v="2025-09-25T01:24:19" u="1"/>
        <d v="2025-09-25T01:26:59" u="1"/>
        <d v="2025-09-25T01:27:09" u="1"/>
        <d v="2025-09-25T01:27:10" u="1"/>
        <d v="2025-09-25T01:27:11" u="1"/>
        <d v="2025-09-25T01:29:39" u="1"/>
        <d v="2025-09-25T01:29:40" u="1"/>
        <d v="2025-09-25T01:32:59" u="1"/>
        <d v="2025-09-25T01:33:09" u="1"/>
        <d v="2025-09-25T01:33:10" u="1"/>
        <d v="2025-09-25T01:33:49" u="1"/>
        <d v="2025-09-25T01:34:29" u="1"/>
        <d v="2025-09-25T01:42:59" u="1"/>
        <d v="2025-09-25T01:43:00" u="1"/>
        <d v="2025-09-25T01:47:09" u="1"/>
        <d v="2025-09-25T01:47:39" u="1"/>
        <d v="2025-09-25T01:47:49" u="1"/>
        <d v="2025-09-25T01:51:09" u="1"/>
        <d v="2025-09-25T01:51:29" u="1"/>
        <d v="2025-09-25T02:00:38" u="1"/>
        <d v="2025-09-25T02:00:39" u="1"/>
        <d v="2025-09-25T02:01:18" u="1"/>
        <d v="2025-09-25T02:08:19" u="1"/>
        <d v="2025-09-25T02:09:29" u="1"/>
        <d v="2025-09-25T02:11:59" u="1"/>
        <d v="2025-09-25T02:12:00" u="1"/>
        <d v="2025-09-25T02:12:01" u="1"/>
        <d v="2025-09-25T02:12:09" u="1"/>
        <d v="2025-09-25T02:14:38" u="1"/>
        <d v="2025-09-25T02:14:39" u="1"/>
        <d v="2025-09-25T02:19:19" u="1"/>
        <d v="2025-09-25T02:19:39" u="1"/>
        <d v="2025-09-25T02:19:40" u="1"/>
        <d v="2025-09-25T02:19:58" u="1"/>
        <d v="2025-09-25T02:23:08" u="1"/>
        <d v="2025-09-25T02:23:09" u="1"/>
        <d v="2025-09-25T02:24:18" u="1"/>
        <d v="2025-09-25T02:27:08" u="1"/>
        <d v="2025-09-25T02:27:09" u="1"/>
        <d v="2025-09-25T02:27:38" u="1"/>
        <d v="2025-09-25T02:27:39" u="1"/>
        <d v="2025-09-25T02:28:08" u="1"/>
        <d v="2025-09-25T02:28:18" u="1"/>
        <d v="2025-09-25T02:30:02" u="1"/>
        <d v="2025-09-25T02:30:08" u="1"/>
        <d v="2025-09-25T02:30:09" u="1"/>
        <d v="2025-09-25T02:30:18" u="1"/>
        <d v="2025-09-25T02:41:08" u="1"/>
        <d v="2025-09-25T02:41:09" u="1"/>
        <d v="2025-09-25T02:41:10" u="1"/>
        <d v="2025-09-25T02:41:18" u="1"/>
        <d v="2025-09-25T02:44:08" u="1"/>
        <d v="2025-09-25T02:46:28" u="1"/>
        <d v="2025-09-25T02:50:08" u="1"/>
        <d v="2025-09-25T02:50:09" u="1"/>
        <d v="2025-09-25T02:50:28" u="1"/>
        <d v="2025-09-25T02:50:38" u="1"/>
        <d v="2025-09-25T02:50:39" u="1"/>
        <d v="2025-09-25T02:50:48" u="1"/>
        <d v="2025-09-25T02:50:49" u="1"/>
        <d v="2025-09-25T02:50:50" u="1"/>
        <d v="2025-09-25T02:50:51" u="1"/>
        <d v="2025-09-25T02:59:48" u="1"/>
        <d v="2025-09-25T02:59:49" u="1"/>
        <d v="2025-09-25T03:01:08" u="1"/>
        <d v="2025-09-25T03:01:18" u="1"/>
        <d v="2025-09-25T03:04:18" u="1"/>
        <d v="2025-09-25T03:04:19" u="1"/>
        <d v="2025-09-25T03:05:08" u="1"/>
        <d v="2025-09-25T03:05:09" u="1"/>
        <d v="2025-09-25T03:06:18" u="1"/>
        <d v="2025-09-25T03:06:19" u="1"/>
        <d v="2025-09-25T03:06:28" u="1"/>
        <d v="2025-09-25T03:06:29" u="1"/>
        <d v="2025-09-25T03:06:30" u="1"/>
        <d v="2025-09-25T03:06:31" u="1"/>
        <d v="2025-09-25T03:10:08" u="1"/>
        <d v="2025-09-25T03:10:09" u="1"/>
        <d v="2025-09-25T03:11:58" u="1"/>
        <d v="2025-09-25T03:11:59" u="1"/>
        <d v="2025-09-25T03:12:00" u="1"/>
        <d v="2025-09-25T03:12:08" u="1"/>
        <d v="2025-09-25T03:14:38" u="1"/>
        <d v="2025-09-25T03:14:39" u="1"/>
        <d v="2025-09-25T03:14:40" u="1"/>
        <d v="2025-09-25T03:14:58" u="1"/>
        <d v="2025-09-25T03:19:28" u="1"/>
        <d v="2025-09-25T03:22:18" u="1"/>
        <d v="2025-09-25T03:23:58" u="1"/>
        <d v="2025-09-25T03:24:08" u="1"/>
        <d v="2025-09-25T03:24:09" u="1"/>
        <d v="2025-09-25T03:25:28" u="1"/>
        <d v="2025-09-25T03:25:29" u="1"/>
        <d v="2025-09-25T03:25:30" u="1"/>
        <d v="2025-09-25T03:25:38" u="1"/>
        <d v="2025-09-25T03:25:39" u="1"/>
        <d v="2025-09-25T03:28:18" u="1"/>
        <d v="2025-09-25T03:29:58" u="1"/>
        <d v="2025-09-25T03:29:59" u="1"/>
        <d v="2025-09-25T03:30:58" u="1"/>
        <d v="2025-09-25T03:31:01" u="1"/>
        <d v="2025-09-25T03:31:08" u="1"/>
        <d v="2025-09-25T03:31:09" u="1"/>
        <d v="2025-09-25T03:34:58" u="1"/>
        <d v="2025-09-25T03:34:59" u="1"/>
        <d v="2025-09-25T03:36:18" u="1"/>
        <d v="2025-09-25T03:36:19" u="1"/>
        <d v="2025-09-25T03:38:18" u="1"/>
        <d v="2025-09-25T03:40:08" u="1"/>
        <d v="2025-09-25T03:42:08" u="1"/>
        <d v="2025-09-25T03:43:08" u="1"/>
        <d v="2025-09-25T03:43:18" u="1"/>
        <d v="2025-09-25T03:43:19" u="1"/>
        <d v="2025-09-25T03:43:38" u="1"/>
        <d v="2025-09-25T03:43:39" u="1"/>
        <d v="2025-09-25T03:43:40" u="1"/>
        <d v="2025-09-25T03:43:41" u="1"/>
        <d v="2025-09-25T03:49:08" u="1"/>
        <d v="2025-09-25T03:50:08" u="1"/>
        <d v="2025-09-25T03:50:09" u="1"/>
        <d v="2025-09-25T03:52:08" u="1"/>
        <d v="2025-09-25T03:52:09" u="1"/>
        <d v="2025-09-25T03:55:08" u="1"/>
        <d v="2025-09-25T03:55:09" u="1"/>
        <d v="2025-09-25T03:55:10" u="1"/>
        <d v="2025-09-25T03:55:11" u="1"/>
        <d v="2025-09-25T04:03:38" u="1"/>
        <d v="2025-09-25T04:04:08" u="1"/>
        <d v="2025-09-25T04:04:09" u="1"/>
        <d v="2025-09-25T04:04:58" u="1"/>
        <d v="2025-09-25T04:04:59" u="1"/>
        <d v="2025-09-25T04:32:00" u="1"/>
        <d v="2025-09-25T04:36:10" u="1"/>
        <d v="2025-09-25T04:38:10" u="1"/>
        <d v="2025-09-25T04:43:50" u="1"/>
        <d v="2025-09-25T04:44:00" u="1"/>
        <d v="2025-09-25T04:46:30" u="1"/>
        <d v="2025-09-25T04:46:31" u="1"/>
        <d v="2025-09-25T04:46:32" u="1"/>
        <d v="2025-09-25T04:47:10" u="1"/>
        <d v="2025-09-25T06:05:09" u="1"/>
        <d v="2025-09-25T06:05:39" u="1"/>
        <d v="2025-09-25T06:05:40" u="1"/>
        <d v="2025-09-25T06:05:41" u="1"/>
        <d v="2025-09-25T06:05:49" u="1"/>
        <d v="2025-09-25T06:05:50" u="1"/>
        <d v="2025-09-25T06:06:19" u="1"/>
        <d v="2025-09-25T06:06:20" u="1"/>
        <d v="2025-09-25T06:12:09" u="1"/>
        <d v="2025-09-25T06:17:09" u="1"/>
        <d v="2025-09-25T06:17:10" u="1"/>
        <d v="2025-09-25T06:19:59" u="1"/>
        <d v="2025-09-25T06:21:19" u="1"/>
        <d v="2025-09-25T06:26:39" u="1"/>
        <d v="2025-09-25T06:26:40" u="1"/>
        <d v="2025-09-25T06:28:19" u="1"/>
        <d v="2025-09-25T06:28:20" u="1"/>
        <d v="2025-09-25T06:28:49" u="1"/>
        <d v="2025-09-25T06:28:50" u="1"/>
        <d v="2025-09-25T06:28:51" u="1"/>
        <d v="2025-09-25T06:28:52" u="1"/>
        <d v="2025-09-25T06:32:00" u="1"/>
        <d v="2025-09-25T06:32:01" u="1"/>
        <d v="2025-09-25T06:32:03" u="1"/>
        <d v="2025-09-25T06:32:06" u="1"/>
        <d v="2025-09-25T06:34:09" u="1"/>
        <d v="2025-09-25T06:34:10" u="1"/>
        <d v="2025-09-25T06:39:19" u="1"/>
        <d v="2025-09-25T06:39:39" u="1"/>
        <d v="2025-09-25T06:40:39" u="1"/>
        <d v="2025-09-25T06:40:40" u="1"/>
        <d v="2025-09-25T06:40:41" u="1"/>
        <d v="2025-09-25T06:40:42" u="1"/>
        <d v="2025-09-25T06:40:59" u="1"/>
        <d v="2025-09-25T06:44:09" u="1"/>
        <d v="2025-09-25T06:46:09" u="1"/>
        <d v="2025-09-25T06:49:09" u="1"/>
        <d v="2025-09-25T06:49:10" u="1"/>
        <d v="2025-09-25T06:50:09" u="1"/>
        <d v="2025-09-25T06:50:10" u="1"/>
        <d v="2025-09-25T06:51:39" u="1"/>
        <d v="2025-09-25T06:51:40" u="1"/>
        <d v="2025-09-25T07:02:19" u="1"/>
        <d v="2025-09-25T07:02:20" u="1"/>
        <d v="2025-09-25T07:03:19" u="1"/>
        <d v="2025-09-25T07:05:29" u="1"/>
        <d v="2025-09-25T07:05:30" u="1"/>
        <d v="2025-09-25T07:10:19" u="1"/>
        <d v="2025-09-25T07:10:29" u="1"/>
        <d v="2025-09-25T07:10:30" u="1"/>
        <d v="2025-09-25T07:18:09" u="1"/>
        <d v="2025-09-25T07:20:59" u="1"/>
        <d v="2025-09-25T07:21:00" u="1"/>
        <d v="2025-09-25T07:28:09" u="1"/>
        <d v="2025-09-25T07:29:29" u="1"/>
        <d v="2025-09-25T07:30:19" u="1"/>
        <d v="2025-09-25T07:38:09" u="1"/>
        <d v="2025-09-25T07:41:09" u="1"/>
        <d v="2025-09-25T07:41:19" u="1"/>
        <d v="2025-09-25T07:49:39" u="1"/>
        <d v="2025-09-25T07:49:40" u="1"/>
        <d v="2025-09-25T07:49:41" u="1"/>
        <d v="2025-09-25T07:49:42" u="1"/>
        <d v="2025-09-25T07:49:49" u="1"/>
        <d v="2025-09-25T07:49:50" u="1"/>
        <d v="2025-09-25T07:49:59" u="1"/>
        <d v="2025-09-25T07:50:09" u="1"/>
        <d v="2025-09-25T07:53:29" u="1"/>
        <d v="2025-09-25T07:53:59" u="1"/>
        <d v="2025-09-25T07:54:00" u="1"/>
        <d v="2025-09-25T07:54:09" u="1"/>
        <d v="2025-09-25T07:54:49" u="1"/>
        <d v="2025-09-25T07:54:50" u="1"/>
        <d v="2025-09-25T07:59:19" u="1"/>
        <d v="2025-09-25T07:59:39" u="1"/>
        <d v="2025-09-25T07:59:59" u="1"/>
        <d v="2025-09-25T08:00:00" u="1"/>
        <d v="2025-09-25T08:00:01" u="1"/>
        <d v="2025-09-25T08:00:19" u="1"/>
        <d v="2025-09-25T08:06:09" u="1"/>
        <d v="2025-09-25T08:06:10" u="1"/>
        <d v="2025-09-25T08:08:19" u="1"/>
        <d v="2025-09-25T08:10:09" u="1"/>
        <d v="2025-09-25T08:13:39" u="1"/>
        <d v="2025-09-25T08:19:20" u="1"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11"/>
        <s v="12"/>
        <s v="13"/>
        <s v="14"/>
        <m/>
        <s v="20" u="1"/>
        <s v="21" u="1"/>
        <s v="22" u="1"/>
        <s v="23" u="1"/>
        <s v="00" u="1"/>
        <s v="01" u="1"/>
        <s v="02" u="1"/>
        <s v="03" u="1"/>
        <s v="04" u="1"/>
        <s v="06" u="1"/>
        <s v="07" u="1"/>
        <s v="08" u="1"/>
        <s v="09" u="1"/>
        <s v="10" u="1"/>
        <s v="15" u="1"/>
        <s v="16" u="1"/>
        <s v="17" u="1"/>
        <s v="18" u="1"/>
        <s v="19" u="1"/>
      </sharedItems>
    </cacheField>
    <cacheField name="opening_day_manila" numFmtId="0">
      <sharedItems containsBlank="1"/>
    </cacheField>
    <cacheField name="profit_simulation_30usd" numFmtId="0">
      <sharedItems containsString="0" containsBlank="1" containsNumber="1" minValue="-3.2000000000000001E-2" maxValue="6.8999999999999992E-2"/>
    </cacheField>
    <cacheField name="profit_simulation_60usd" numFmtId="0">
      <sharedItems containsString="0" containsBlank="1" containsNumber="1" minValue="-6.4000000000000001E-2" maxValue="0.13799999999999998"/>
    </cacheField>
    <cacheField name="profit_simulation_100usd" numFmtId="0">
      <sharedItems containsString="0" containsBlank="1" containsNumber="1" minValue="-9.6000000000000002E-2" maxValue="0.20699999999999999"/>
    </cacheField>
    <cacheField name="Seconds (opening_timestamp_manila)" numFmtId="0" databaseField="0">
      <fieldGroup base="19">
        <rangePr groupBy="seconds" startDate="2025-09-25T11:25:09" endDate="2025-09-25T14:20:58"/>
        <groupItems count="62">
          <s v="&lt;25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5/09/2025"/>
        </groupItems>
      </fieldGroup>
    </cacheField>
    <cacheField name="Minutes (opening_timestamp_manila)" numFmtId="0" databaseField="0">
      <fieldGroup base="19">
        <rangePr groupBy="minutes" startDate="2025-09-25T11:25:09" endDate="2025-09-25T14:20:58"/>
        <groupItems count="62">
          <s v="&lt;25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5/09/2025"/>
        </groupItems>
      </fieldGroup>
    </cacheField>
    <cacheField name="Hours (opening_timestamp_manila)" numFmtId="0" databaseField="0">
      <fieldGroup base="19">
        <rangePr groupBy="hours" startDate="2025-09-25T11:25:09" endDate="2025-09-25T14:20:58"/>
        <groupItems count="26">
          <s v="&lt;25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5/09/2025"/>
        </groupItems>
      </fieldGroup>
    </cacheField>
    <cacheField name="Days (opening_timestamp_manila)" numFmtId="0" databaseField="0">
      <fieldGroup base="19">
        <rangePr groupBy="days" startDate="2025-09-25T11:25:09" endDate="2025-09-25T14:20:58"/>
        <groupItems count="368">
          <s v="&lt;25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5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6.460591550924" createdVersion="8" refreshedVersion="8" minRefreshableVersion="3" recordCount="100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25T06:25:09" maxDate="2025-09-26T04:52:19"/>
    </cacheField>
    <cacheField name="Position" numFmtId="0">
      <sharedItems containsString="0" containsBlank="1" containsNumber="1" containsInteger="1" minValue="177237158" maxValue="177653654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726.64" maxValue="3760.53"/>
    </cacheField>
    <cacheField name="S / L" numFmtId="0">
      <sharedItems containsString="0" containsBlank="1" containsNumber="1" minValue="3729.69" maxValue="3760.36"/>
    </cacheField>
    <cacheField name="T / P" numFmtId="0">
      <sharedItems containsString="0" containsBlank="1" containsNumber="1" minValue="3723.19" maxValue="3763.32"/>
    </cacheField>
    <cacheField name="Time2" numFmtId="0">
      <sharedItems containsBlank="1"/>
    </cacheField>
    <cacheField name="Price2" numFmtId="0">
      <sharedItems containsString="0" containsBlank="1" containsNumber="1" minValue="3724.12" maxValue="3760.36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0.57999999999999996" maxValue="0.69"/>
    </cacheField>
    <cacheField name="WL" numFmtId="0">
      <sharedItems containsBlank="1" count="4">
        <s v="L"/>
        <s v="W"/>
        <m/>
        <s v="BE" u="1"/>
      </sharedItems>
    </cacheField>
    <cacheField name="date" numFmtId="0">
      <sharedItems containsNonDate="0" containsDate="1" containsString="0" containsBlank="1" minDate="2025-09-25T00:00:00" maxDate="2025-09-27T00:00:00"/>
    </cacheField>
    <cacheField name="Hour" numFmtId="0">
      <sharedItems containsBlank="1"/>
    </cacheField>
    <cacheField name="comment" numFmtId="0">
      <sharedItems containsBlank="1" count="40">
        <s v="strategy_19_live"/>
        <s v="strategy_31.py"/>
        <s v="Python script or"/>
        <m/>
        <s v="strategy_09_demo" u="1"/>
        <s v="strategy_11_demo" u="1"/>
        <s v="strategy_10_demo" u="1"/>
        <s v="DEMO_strategy_03" u="1"/>
        <s v="DEMO_strategy_01" u="1"/>
        <s v="DEMO_strategy_02" u="1"/>
        <s v="strategy_12_demo" u="1"/>
        <s v="strategy_08_demo" u="1"/>
        <s v="strategy_07_demo" u="1"/>
        <s v="strategy_13_demo" u="1"/>
        <s v="strategy_14_demo" u="1"/>
        <s v="strategy_15_demo" u="1"/>
        <s v="strategy_16_demo" u="1"/>
        <s v="strategy_17_demo" u="1"/>
        <s v="strategy_18_demo" u="1"/>
        <s v="strategy_19_demo" u="1"/>
        <s v="strategy_20_demo" u="1"/>
        <s v="strategy_21_demo" u="1"/>
        <s v="strategy_22_demo" u="1"/>
        <s v="strategy_23_demo" u="1"/>
        <s v="strategy_24_demo" u="1"/>
        <s v="DEMO_strategy_27" u="1"/>
        <s v="strategy_28.py" u="1"/>
        <s v="DEMO_strategy_25" u="1"/>
        <s v="DEMO_strategy_26" u="1"/>
        <s v="strategy_29.py" u="1"/>
        <s v="strategy_30.py" u="1"/>
        <s v="strategy_32.py" u="1"/>
        <s v="strategy_33.py" u="1"/>
        <s v="strategy_34.py" u="1"/>
        <s v="strategy_36.py" u="1"/>
        <s v="strategy_35.py" u="1"/>
        <s v="strategy_37.py" u="1"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25T06:25:09" maxDate="2025-09-26T04:52:19"/>
    </cacheField>
    <cacheField name="opening_timestamp_manila" numFmtId="0">
      <sharedItems containsNonDate="0" containsDate="1" containsString="0" containsBlank="1" minDate="2025-09-16T14:04:38" maxDate="2025-09-26T09:52:19" count="3261">
        <d v="2025-09-25T11:25:09"/>
        <d v="2025-09-25T11:46:09"/>
        <d v="2025-09-25T11:55:19"/>
        <d v="2025-09-25T11:56:09"/>
        <d v="2025-09-25T12:11:18"/>
        <d v="2025-09-25T12:37:08"/>
        <d v="2025-09-25T12:39:58"/>
        <d v="2025-09-25T13:07:48"/>
        <d v="2025-09-25T13:12:08"/>
        <d v="2025-09-25T13:38:08"/>
        <d v="2025-09-25T13:40:08"/>
        <d v="2025-09-25T14:13:38"/>
        <d v="2025-09-25T14:20:58"/>
        <d v="2025-09-25T14:42:48"/>
        <d v="2025-09-25T14:54:08"/>
        <d v="2025-09-25T15:17:08"/>
        <d v="2025-09-25T15:18:08"/>
        <d v="2025-09-25T15:40:18"/>
        <d v="2025-09-25T15:42:18"/>
        <d v="2025-09-25T15:47:28"/>
        <d v="2025-09-25T15:52:08"/>
        <d v="2025-09-25T15:54:08"/>
        <d v="2025-09-25T16:04:18"/>
        <d v="2025-09-25T16:06:08"/>
        <d v="2025-09-25T16:11:48"/>
        <d v="2025-09-25T16:18:58"/>
        <d v="2025-09-25T16:20:08"/>
        <d v="2025-09-25T16:29:38"/>
        <d v="2025-09-25T16:36:28"/>
        <d v="2025-09-25T16:42:08"/>
        <d v="2025-09-25T16:55:38"/>
        <d v="2025-09-25T16:56:28"/>
        <d v="2025-09-25T17:08:08"/>
        <d v="2025-09-25T17:23:08"/>
        <d v="2025-09-25T17:24:08"/>
        <d v="2025-09-25T17:30:48"/>
        <d v="2025-09-25T17:48:08"/>
        <d v="2025-09-25T17:52:38"/>
        <d v="2025-09-25T17:59:28"/>
        <d v="2025-09-25T18:02:08"/>
        <d v="2025-09-25T19:16:27"/>
        <d v="2025-09-25T19:22:17"/>
        <d v="2025-09-25T19:49:07"/>
        <d v="2025-09-25T20:24:07"/>
        <d v="2025-09-25T20:42:07"/>
        <d v="2025-09-25T20:44:17"/>
        <d v="2025-09-25T20:55:37"/>
        <d v="2025-09-25T20:57:57"/>
        <d v="2025-09-25T21:26:07"/>
        <d v="2025-09-25T21:51:37"/>
        <d v="2025-09-25T22:26:27"/>
        <d v="2025-09-25T22:44:57"/>
        <d v="2025-09-25T22:55:47"/>
        <d v="2025-09-25T23:21:47"/>
        <d v="2025-09-25T23:42:32"/>
        <d v="2025-09-25T23:46:27"/>
        <d v="2025-09-26T00:08:34"/>
        <d v="2025-09-26T00:10:50"/>
        <d v="2025-09-26T00:16:07"/>
        <d v="2025-09-26T00:22:33"/>
        <d v="2025-09-26T00:28:28"/>
        <d v="2025-09-26T00:32:23"/>
        <d v="2025-09-26T00:38:07"/>
        <d v="2025-09-26T01:04:06"/>
        <d v="2025-09-26T01:06:36"/>
        <d v="2025-09-26T01:18:36"/>
        <d v="2025-09-26T01:19:56"/>
        <d v="2025-09-26T01:32:06"/>
        <d v="2025-09-26T01:35:06"/>
        <d v="2025-09-26T01:59:06"/>
        <d v="2025-09-26T02:04:06"/>
        <d v="2025-09-26T02:12:36"/>
        <d v="2025-09-26T02:27:16"/>
        <d v="2025-09-26T02:30:26"/>
        <d v="2025-09-26T02:34:06"/>
        <d v="2025-09-26T02:42:06"/>
        <d v="2025-09-26T02:44:16"/>
        <d v="2025-09-26T03:02:56"/>
        <d v="2025-09-26T03:10:06"/>
        <d v="2025-09-26T03:23:06"/>
        <d v="2025-09-26T03:30:06"/>
        <d v="2025-09-26T03:33:46"/>
        <d v="2025-09-26T03:42:36"/>
        <d v="2025-09-26T03:43:50"/>
        <d v="2025-09-26T03:49:20"/>
        <d v="2025-09-26T03:54:10"/>
        <d v="2025-09-26T03:55:10"/>
        <d v="2025-09-26T04:16:20"/>
        <d v="2025-09-26T04:38:30"/>
        <d v="2025-09-26T07:26:09"/>
        <d v="2025-09-26T07:28:29"/>
        <d v="2025-09-26T07:59:19"/>
        <d v="2025-09-26T08:05:29"/>
        <d v="2025-09-26T08:16:09"/>
        <d v="2025-09-26T08:30:49"/>
        <d v="2025-09-26T08:58:29"/>
        <d v="2025-09-26T09:08:29"/>
        <d v="2025-09-26T09:24:19"/>
        <d v="2025-09-26T09:52:19"/>
        <m/>
        <d v="2025-09-17T20:59:17" u="1"/>
        <d v="2025-09-17T20:59:18" u="1"/>
        <d v="2025-09-17T21:05:19" u="1"/>
        <d v="2025-09-17T21:09:57" u="1"/>
        <d v="2025-09-17T21:09:58" u="1"/>
        <d v="2025-09-17T21:15:57" u="1"/>
        <d v="2025-09-17T21:15:58" u="1"/>
        <d v="2025-09-17T21:17:57" u="1"/>
        <d v="2025-09-17T21:25:17" u="1"/>
        <d v="2025-09-17T21:25:18" u="1"/>
        <d v="2025-09-17T21:31:57" u="1"/>
        <d v="2025-09-17T21:40:07" u="1"/>
        <d v="2025-09-17T21:40:08" u="1"/>
        <d v="2025-09-17T21:45:58" u="1"/>
        <d v="2025-09-17T22:19:07" u="1"/>
        <d v="2025-09-17T22:19:08" u="1"/>
        <d v="2025-09-17T22:25:58" u="1"/>
        <d v="2025-09-17T22:35:58" u="1"/>
        <d v="2025-09-17T22:42:27" u="1"/>
        <d v="2025-09-17T22:42:28" u="1"/>
        <d v="2025-09-17T22:53:57" u="1"/>
        <d v="2025-09-17T22:53:58" u="1"/>
        <d v="2025-09-17T22:58:07" u="1"/>
        <d v="2025-09-17T22:58:08" u="1"/>
        <d v="2025-09-17T23:12:07" u="1"/>
        <d v="2025-09-17T23:14:27" u="1"/>
        <d v="2025-09-17T23:15:57" u="1"/>
        <d v="2025-09-17T23:23:57" u="1"/>
        <d v="2025-09-17T23:23:58" u="1"/>
        <d v="2025-09-17T23:29:57" u="1"/>
        <d v="2025-09-17T23:50:17" u="1"/>
        <d v="2025-09-17T23:56:37" u="1"/>
        <d v="2025-09-17T23:58:47" u="1"/>
        <d v="2025-09-18T00:01:57" u="1"/>
        <d v="2025-09-18T00:01:58" u="1"/>
        <d v="2025-09-18T00:06:47" u="1"/>
        <d v="2025-09-18T00:06:48" u="1"/>
        <d v="2025-09-18T00:26:27" u="1"/>
        <d v="2025-09-18T00:30:47" u="1"/>
        <d v="2025-09-18T00:45:57" u="1"/>
        <d v="2025-09-18T00:58:27" u="1"/>
        <d v="2025-09-18T00:58:28" u="1"/>
        <d v="2025-09-18T01:06:07" u="1"/>
        <d v="2025-09-18T01:06:37" u="1"/>
        <d v="2025-09-18T01:23:37" u="1"/>
        <d v="2025-09-18T01:27:57" u="1"/>
        <d v="2025-09-18T01:31:57" u="1"/>
        <d v="2025-09-18T01:31:58" u="1"/>
        <d v="2025-09-18T01:38:57" u="1"/>
        <d v="2025-09-18T01:41:58" u="1"/>
        <d v="2025-09-18T01:51:47" u="1"/>
        <d v="2025-09-18T01:57:27" u="1"/>
        <d v="2025-09-18T01:58:07" u="1"/>
        <d v="2025-09-18T02:12:07" u="1"/>
        <d v="2025-09-18T02:24:57" u="1"/>
        <d v="2025-09-18T02:25:27" u="1"/>
        <d v="2025-09-18T02:29:27" u="1"/>
        <d v="2025-09-18T02:30:17" u="1"/>
        <d v="2025-09-18T02:40:37" u="1"/>
        <d v="2025-09-18T02:41:17" u="1"/>
        <d v="2025-09-18T02:47:56" u="1"/>
        <d v="2025-09-18T02:47:57" u="1"/>
        <d v="2025-09-18T02:48:26" u="1"/>
        <d v="2025-09-18T02:48:27" u="1"/>
        <d v="2025-09-18T02:56:06" u="1"/>
        <d v="2025-09-18T02:56:07" u="1"/>
        <d v="2025-09-18T02:58:36" u="1"/>
        <d v="2025-09-18T02:58:37" u="1"/>
        <d v="2025-09-18T02:59:06" u="1"/>
        <d v="2025-09-18T02:59:07" u="1"/>
        <d v="2025-09-18T03:02:06" u="1"/>
        <d v="2025-09-18T03:02:07" u="1"/>
        <d v="2025-09-18T03:02:26" u="1"/>
        <d v="2025-09-18T03:10:56" u="1"/>
        <d v="2025-09-18T03:19:20" u="1"/>
        <d v="2025-09-18T03:32:50" u="1"/>
        <d v="2025-09-18T03:33:00" u="1"/>
        <d v="2025-09-18T03:37:50" u="1"/>
        <d v="2025-09-18T03:53:20" u="1"/>
        <d v="2025-09-18T03:54:10" u="1"/>
        <d v="2025-09-18T04:18:19" u="1"/>
        <d v="2025-09-18T04:18:20" u="1"/>
        <d v="2025-09-18T04:24:19" u="1"/>
        <d v="2025-09-18T04:24:29" u="1"/>
        <d v="2025-09-18T04:24:30" u="1"/>
        <d v="2025-09-18T06:07:59" u="1"/>
        <d v="2025-09-18T06:09:59" u="1"/>
        <d v="2025-09-18T06:18:39" u="1"/>
        <d v="2025-09-18T06:18:40" u="1"/>
        <d v="2025-09-18T06:28:09" u="1"/>
        <d v="2025-09-18T06:28:49" u="1"/>
        <d v="2025-09-18T06:28:50" u="1"/>
        <d v="2025-09-18T06:38:00" u="1"/>
        <d v="2025-09-18T06:39:59" u="1"/>
        <d v="2025-09-18T07:07:09" u="1"/>
        <d v="2025-09-18T07:18:39" u="1"/>
        <d v="2025-09-18T07:18:40" u="1"/>
        <d v="2025-09-18T07:28:29" u="1"/>
        <d v="2025-09-18T07:28:30" u="1"/>
        <d v="2025-09-18T07:31:09" u="1"/>
        <d v="2025-09-18T08:05:49" u="1"/>
        <d v="2025-09-18T08:05:50" u="1"/>
        <d v="2025-09-18T08:12:39" u="1"/>
        <d v="2025-09-18T08:12:40" u="1"/>
        <d v="2025-09-18T08:23:39" u="1"/>
        <d v="2025-09-18T08:23:49" u="1"/>
        <d v="2025-09-18T08:28:09" u="1"/>
        <d v="2025-09-18T08:30:39" u="1"/>
        <d v="2025-09-18T08:44:09" u="1"/>
        <d v="2025-09-18T08:45:19" u="1"/>
        <d v="2025-09-18T09:02:09" u="1"/>
        <d v="2025-09-18T09:03:59" u="1"/>
        <d v="2025-09-18T09:04:01" u="1"/>
        <d v="2025-09-18T09:12:19" u="1"/>
        <d v="2025-09-18T09:25:09" u="1"/>
        <d v="2025-09-18T09:25:59" u="1"/>
        <d v="2025-09-18T09:28:59" u="1"/>
        <d v="2025-09-18T09:33:29" u="1"/>
        <d v="2025-09-18T09:33:59" u="1"/>
        <d v="2025-09-18T09:38:29" u="1"/>
        <d v="2025-09-18T09:42:29" u="1"/>
        <d v="2025-09-18T10:00:39" u="1"/>
        <d v="2025-09-18T10:04:09" u="1"/>
        <d v="2025-09-18T10:16:38" u="1"/>
        <d v="2025-09-18T10:16:39" u="1"/>
        <d v="2025-09-18T10:28:18" u="1"/>
        <d v="2025-09-18T10:29:08" u="1"/>
        <d v="2025-09-18T10:29:09" u="1"/>
        <d v="2025-09-18T10:33:08" u="1"/>
        <d v="2025-09-18T10:33:09" u="1"/>
        <d v="2025-09-18T10:52:08" u="1"/>
        <d v="2025-09-18T10:52:09" u="1"/>
        <d v="2025-09-18T10:59:28" u="1"/>
        <d v="2025-09-18T11:01:18" u="1"/>
        <d v="2025-09-18T11:01:19" u="1"/>
        <d v="2025-09-18T11:01:28" u="1"/>
        <d v="2025-09-18T11:01:29" u="1"/>
        <d v="2025-09-18T11:09:48" u="1"/>
        <d v="2025-09-18T11:09:49" u="1"/>
        <d v="2025-09-18T11:10:38" u="1"/>
        <d v="2025-09-18T11:10:39" u="1"/>
        <d v="2025-09-18T11:25:28" u="1"/>
        <d v="2025-09-18T11:25:29" u="1"/>
        <d v="2025-09-18T11:45:58" u="1"/>
        <d v="2025-09-18T11:45:59" u="1"/>
        <d v="2025-09-18T11:54:28" u="1"/>
        <d v="2025-09-18T12:06:28" u="1"/>
        <d v="2025-09-18T12:06:29" u="1"/>
        <d v="2025-09-18T12:07:08" u="1"/>
        <d v="2025-09-18T12:09:58" u="1"/>
        <d v="2025-09-18T12:09:59" u="1"/>
        <d v="2025-09-18T12:10:01" u="1"/>
        <d v="2025-09-18T12:38:48" u="1"/>
        <d v="2025-09-18T12:40:48" u="1"/>
        <d v="2025-09-18T12:40:49" u="1"/>
        <d v="2025-09-18T12:41:59" u="1"/>
        <d v="2025-09-18T12:50:58" u="1"/>
        <d v="2025-09-18T13:03:08" u="1"/>
        <d v="2025-09-18T13:03:18" u="1"/>
        <d v="2025-09-18T13:04:58" u="1"/>
        <d v="2025-09-18T13:13:28" u="1"/>
        <d v="2025-09-18T13:13:29" u="1"/>
        <d v="2025-09-18T13:29:08" u="1"/>
        <d v="2025-09-18T13:29:09" u="1"/>
        <d v="2025-09-18T13:44:08" u="1"/>
        <d v="2025-09-18T13:44:09" u="1"/>
        <d v="2025-09-18T13:51:48" u="1"/>
        <d v="2025-09-18T13:51:49" u="1"/>
        <d v="2025-09-18T13:56:08" u="1"/>
        <d v="2025-09-18T13:56:09" u="1"/>
        <d v="2025-09-18T14:16:08" u="1"/>
        <d v="2025-09-18T14:16:09" u="1"/>
        <d v="2025-09-18T14:18:38" u="1"/>
        <d v="2025-09-18T14:18:39" u="1"/>
        <d v="2025-09-18T14:19:48" u="1"/>
        <d v="2025-09-18T14:20:18" u="1"/>
        <d v="2025-09-18T14:23:38" u="1"/>
        <d v="2025-09-18T14:23:39" u="1"/>
        <d v="2025-09-18T14:25:28" u="1"/>
        <d v="2025-09-18T14:25:29" u="1"/>
        <d v="2025-09-18T14:27:48" u="1"/>
        <d v="2025-09-18T14:36:08" u="1"/>
        <d v="2025-09-18T14:43:08" u="1"/>
        <d v="2025-09-18T15:23:08" u="1"/>
        <d v="2025-09-18T15:35:28" u="1"/>
        <d v="2025-09-18T15:48:18" u="1"/>
        <d v="2025-09-18T15:50:38" u="1"/>
        <d v="2025-09-18T15:51:38" u="1"/>
        <d v="2025-09-18T15:55:48" u="1"/>
        <d v="2025-09-18T15:57:38" u="1"/>
        <d v="2025-09-18T16:13:08" u="1"/>
        <d v="2025-09-18T16:13:09" u="1"/>
        <d v="2025-09-18T16:15:07" u="1"/>
        <d v="2025-09-18T16:30:07" u="1"/>
        <d v="2025-09-18T16:47:17" u="1"/>
        <d v="2025-09-18T16:47:18" u="1"/>
        <d v="2025-09-18T16:47:19" u="1"/>
        <d v="2025-09-18T16:54:57" u="1"/>
        <d v="2025-09-18T16:54:58" u="1"/>
        <d v="2025-09-18T16:55:17" u="1"/>
        <d v="2025-09-18T16:55:18" u="1"/>
        <d v="2025-09-18T17:00:27" u="1"/>
        <d v="2025-09-18T17:00:28" u="1"/>
        <d v="2025-09-18T17:05:17" u="1"/>
        <d v="2025-09-18T17:05:18" u="1"/>
        <d v="2025-09-18T17:07:07" u="1"/>
        <d v="2025-09-18T17:07:08" u="1"/>
        <d v="2025-09-18T17:07:27" u="1"/>
        <d v="2025-09-18T17:07:28" u="1"/>
        <d v="2025-09-18T17:13:57" u="1"/>
        <d v="2025-09-18T17:13:58" u="1"/>
        <d v="2025-09-18T17:14:47" u="1"/>
        <d v="2025-09-18T17:14:48" u="1"/>
        <d v="2025-09-18T17:14:57" u="1"/>
        <d v="2025-09-18T17:29:27" u="1"/>
        <d v="2025-09-18T17:29:28" u="1"/>
        <d v="2025-09-18T17:29:29" u="1"/>
        <d v="2025-09-18T17:33:17" u="1"/>
        <d v="2025-09-18T17:33:18" u="1"/>
        <d v="2025-09-18T17:34:07" u="1"/>
        <d v="2025-09-18T17:34:08" u="1"/>
        <d v="2025-09-18T18:04:17" u="1"/>
        <d v="2025-09-18T18:12:07" u="1"/>
        <d v="2025-09-18T18:12:08" u="1"/>
        <d v="2025-09-18T18:20:17" u="1"/>
        <d v="2025-09-18T18:20:18" u="1"/>
        <d v="2025-09-18T18:40:27" u="1"/>
        <d v="2025-09-18T18:40:28" u="1"/>
        <d v="2025-09-18T18:47:17" u="1"/>
        <d v="2025-09-18T19:22:17" u="1"/>
        <d v="2025-09-18T19:22:18" u="1"/>
        <d v="2025-09-18T19:35:07" u="1"/>
        <d v="2025-09-18T19:35:08" u="1"/>
        <d v="2025-09-18T19:48:37" u="1"/>
        <d v="2025-09-18T19:48:38" u="1"/>
        <d v="2025-09-18T20:00:06" u="1"/>
        <d v="2025-09-18T20:01:57" u="1"/>
        <d v="2025-09-18T20:26:27" u="1"/>
        <d v="2025-09-18T20:26:28" u="1"/>
        <d v="2025-09-18T20:33:57" u="1"/>
        <d v="2025-09-18T20:39:57" u="1"/>
        <d v="2025-09-18T21:04:07" u="1"/>
        <d v="2025-09-18T21:04:08" u="1"/>
        <d v="2025-09-18T21:04:47" u="1"/>
        <d v="2025-09-18T21:11:17" u="1"/>
        <d v="2025-09-18T21:11:18" u="1"/>
        <d v="2025-09-18T21:13:57" u="1"/>
        <d v="2025-09-18T21:13:58" u="1"/>
        <d v="2025-09-18T21:15:17" u="1"/>
        <d v="2025-09-18T21:19:37" u="1"/>
        <d v="2025-09-18T21:47:37" u="1"/>
        <d v="2025-09-18T21:47:38" u="1"/>
        <d v="2025-09-18T21:48:17" u="1"/>
        <d v="2025-09-18T21:48:18" u="1"/>
        <d v="2025-09-18T21:50:07" u="1"/>
        <d v="2025-09-18T21:50:57" u="1"/>
        <d v="2025-09-18T21:53:47" u="1"/>
        <d v="2025-09-18T21:56:37" u="1"/>
        <d v="2025-09-18T22:02:27" u="1"/>
        <d v="2025-09-18T22:05:17" u="1"/>
        <d v="2025-09-18T22:05:47" u="1"/>
        <d v="2025-09-18T22:06:57" u="1"/>
        <d v="2025-09-18T22:14:07" u="1"/>
        <d v="2025-09-18T22:18:57" u="1"/>
        <d v="2025-09-18T22:19:07" u="1"/>
        <d v="2025-09-18T22:20:57" u="1"/>
        <d v="2025-09-18T22:23:07" u="1"/>
        <d v="2025-09-18T22:24:17" u="1"/>
        <d v="2025-09-18T22:25:07" u="1"/>
        <d v="2025-09-18T22:25:26" u="1"/>
        <d v="2025-09-18T22:25:27" u="1"/>
        <d v="2025-09-18T22:25:28" u="1"/>
        <d v="2025-09-18T22:29:46" u="1"/>
        <d v="2025-09-18T22:30:16" u="1"/>
        <d v="2025-09-18T22:30:17" u="1"/>
        <d v="2025-09-18T22:40:36" u="1"/>
        <d v="2025-09-18T22:40:37" u="1"/>
        <d v="2025-09-18T22:42:46" u="1"/>
        <d v="2025-09-18T22:42:47" u="1"/>
        <d v="2025-09-18T22:42:48" u="1"/>
        <d v="2025-09-18T22:45:36" u="1"/>
        <d v="2025-09-18T22:49:56" u="1"/>
        <d v="2025-09-18T22:49:57" u="1"/>
        <d v="2025-09-18T22:55:06" u="1"/>
        <d v="2025-09-18T22:55:07" u="1"/>
        <d v="2025-09-18T22:58:26" u="1"/>
        <d v="2025-09-18T22:58:27" u="1"/>
        <d v="2025-09-18T23:00:36" u="1"/>
        <d v="2025-09-18T23:00:37" u="1"/>
        <d v="2025-09-18T23:01:16" u="1"/>
        <d v="2025-09-18T23:01:17" u="1"/>
        <d v="2025-09-18T23:01:18" u="1"/>
        <d v="2025-09-18T23:11:36" u="1"/>
        <d v="2025-09-18T23:11:37" u="1"/>
        <d v="2025-09-18T23:11:56" u="1"/>
        <d v="2025-09-18T23:11:57" u="1"/>
        <d v="2025-09-18T23:13:36" u="1"/>
        <d v="2025-09-18T23:20:46" u="1"/>
        <d v="2025-09-18T23:20:47" u="1"/>
        <d v="2025-09-18T23:30:06" u="1"/>
        <d v="2025-09-19T00:03:46" u="1"/>
        <d v="2025-09-19T00:03:47" u="1"/>
        <d v="2025-09-19T00:03:48" u="1"/>
        <d v="2025-09-19T00:04:46" u="1"/>
        <d v="2025-09-19T00:07:06" u="1"/>
        <d v="2025-09-19T00:07:07" u="1"/>
        <d v="2025-09-19T00:08:06" u="1"/>
        <d v="2025-09-19T00:08:07" u="1"/>
        <d v="2025-09-19T00:13:26" u="1"/>
        <d v="2025-09-19T00:14:46" u="1"/>
        <d v="2025-09-19T00:14:47" u="1"/>
        <d v="2025-09-19T00:19:16" u="1"/>
        <d v="2025-09-19T00:19:26" u="1"/>
        <d v="2025-09-19T00:19:27" u="1"/>
        <d v="2025-09-19T00:19:28" u="1"/>
        <d v="2025-09-19T00:26:06" u="1"/>
        <d v="2025-09-19T00:56:06" u="1"/>
        <d v="2025-09-19T00:56:56" u="1"/>
        <d v="2025-09-19T00:57:06" u="1"/>
        <d v="2025-09-19T00:57:07" u="1"/>
        <d v="2025-09-19T00:59:26" u="1"/>
        <d v="2025-09-19T00:59:27" u="1"/>
        <d v="2025-09-19T01:00:16" u="1"/>
        <d v="2025-09-19T01:09:56" u="1"/>
        <d v="2025-09-19T01:09:57" u="1"/>
        <d v="2025-09-19T01:11:16" u="1"/>
        <d v="2025-09-19T01:18:16" u="1"/>
        <d v="2025-09-19T01:19:46" u="1"/>
        <d v="2025-09-19T01:52:06" u="1"/>
        <d v="2025-09-19T01:57:06" u="1"/>
        <d v="2025-09-19T01:58:06" u="1"/>
        <d v="2025-09-19T02:03:06" u="1"/>
        <d v="2025-09-19T02:06:16" u="1"/>
        <d v="2025-09-19T02:06:17" u="1"/>
        <d v="2025-09-19T02:06:18" u="1"/>
        <d v="2025-09-19T02:08:26" u="1"/>
        <d v="2025-09-19T02:13:56" u="1"/>
        <d v="2025-09-19T02:14:56" u="1"/>
        <d v="2025-09-19T02:15:36" u="1"/>
        <d v="2025-09-19T02:15:56" u="1"/>
        <d v="2025-09-19T03:20:10" u="1"/>
        <d v="2025-09-19T03:25:10" u="1"/>
        <d v="2025-09-19T03:51:10" u="1"/>
        <d v="2025-09-19T03:52:00" u="1"/>
        <d v="2025-09-19T03:58:10" u="1"/>
        <d v="2025-09-19T04:00:19" u="1"/>
        <d v="2025-09-19T04:00:20" u="1"/>
        <d v="2025-09-19T04:00:39" u="1"/>
        <d v="2025-09-19T04:00:40" u="1"/>
        <d v="2025-09-19T04:01:09" u="1"/>
        <d v="2025-09-19T04:01:10" u="1"/>
        <d v="2025-09-19T04:06:57" u="1"/>
        <d v="2025-09-19T04:38:09" u="1"/>
        <d v="2025-09-19T04:54:09" u="1"/>
        <d v="2025-09-19T06:05:09" u="1"/>
        <d v="2025-09-19T06:10:09" u="1"/>
        <d v="2025-09-19T06:10:10" u="1"/>
        <d v="2025-09-19T06:10:11" u="1"/>
        <d v="2025-09-19T06:14:49" u="1"/>
        <d v="2025-09-19T06:25:59" u="1"/>
        <d v="2025-09-19T06:26:09" u="1"/>
        <d v="2025-09-19T06:37:09" u="1"/>
        <d v="2025-09-19T06:58:09" u="1"/>
        <d v="2025-09-19T06:59:59" u="1"/>
        <d v="2025-09-19T07:00:29" u="1"/>
        <d v="2025-09-19T07:00:39" u="1"/>
        <d v="2025-09-19T07:04:09" u="1"/>
        <d v="2025-09-19T07:17:09" u="1"/>
        <d v="2025-09-19T07:19:01" u="1"/>
        <d v="2025-09-19T07:26:39" u="1"/>
        <d v="2025-09-19T07:26:49" u="1"/>
        <d v="2025-09-19T07:33:09" u="1"/>
        <d v="2025-09-19T07:33:19" u="1"/>
        <d v="2025-09-19T07:33:29" u="1"/>
        <d v="2025-09-19T07:33:49" u="1"/>
        <d v="2025-09-19T07:33:59" u="1"/>
        <d v="2025-09-19T07:34:00" u="1"/>
        <d v="2025-09-19T08:02:09" u="1"/>
        <d v="2025-09-19T08:05:09" u="1"/>
        <d v="2025-09-19T08:05:10" u="1"/>
        <d v="2025-09-19T08:07:59" u="1"/>
        <d v="2025-09-19T08:08:00" u="1"/>
        <d v="2025-09-19T08:13:49" u="1"/>
        <d v="2025-09-19T08:15:09" u="1"/>
        <d v="2025-09-19T08:15:10" u="1"/>
        <d v="2025-09-19T08:20:09" u="1"/>
        <d v="2025-09-19T08:20:39" u="1"/>
        <d v="2025-09-19T08:20:40" u="1"/>
        <d v="2025-09-19T08:28:39" u="1"/>
        <d v="2025-09-19T08:28:59" u="1"/>
        <d v="2025-09-19T08:29:29" u="1"/>
        <d v="2025-09-19T08:38:19" u="1"/>
        <d v="2025-09-19T08:41:59" u="1"/>
        <d v="2025-09-19T08:42:09" u="1"/>
        <d v="2025-09-19T08:44:00" u="1"/>
        <d v="2025-09-19T08:49:59" u="1"/>
        <d v="2025-09-19T08:56:09" u="1"/>
        <d v="2025-09-19T08:58:19" u="1"/>
        <d v="2025-09-19T08:58:20" u="1"/>
        <d v="2025-09-19T09:02:29" u="1"/>
        <d v="2025-09-19T09:05:59" u="1"/>
        <d v="2025-09-19T09:11:09" u="1"/>
        <d v="2025-09-19T09:12:19" u="1"/>
        <d v="2025-09-19T09:12:20" u="1"/>
        <d v="2025-09-19T09:16:39" u="1"/>
        <d v="2025-09-19T09:23:19" u="1"/>
        <d v="2025-09-19T09:23:20" u="1"/>
        <d v="2025-09-19T09:23:49" u="1"/>
        <d v="2025-09-19T09:25:49" u="1"/>
        <d v="2025-09-19T09:36:09" u="1"/>
        <d v="2025-09-19T09:42:09" u="1"/>
        <d v="2025-09-19T09:47:29" u="1"/>
        <d v="2025-09-19T09:52:39" u="1"/>
        <d v="2025-09-19T09:53:29" u="1"/>
        <d v="2025-09-19T09:53:30" u="1"/>
        <d v="2025-09-19T09:55:09" u="1"/>
        <d v="2025-09-19T09:55:49" u="1"/>
        <d v="2025-09-19T09:58:59" u="1"/>
        <d v="2025-09-19T10:03:39" u="1"/>
        <d v="2025-09-19T10:11:49" u="1"/>
        <d v="2025-09-19T10:15:19" u="1"/>
        <d v="2025-09-19T10:15:29" u="1"/>
        <d v="2025-09-19T10:15:39" u="1"/>
        <d v="2025-09-19T10:16:49" u="1"/>
        <d v="2025-09-19T10:16:50" u="1"/>
        <d v="2025-09-19T10:26:58" u="1"/>
        <d v="2025-09-19T10:26:59" u="1"/>
        <d v="2025-09-19T10:27:38" u="1"/>
        <d v="2025-09-19T10:27:39" u="1"/>
        <d v="2025-09-19T10:42:28" u="1"/>
        <d v="2025-09-19T10:43:08" u="1"/>
        <d v="2025-09-19T10:44:28" u="1"/>
        <d v="2025-09-19T10:44:29" u="1"/>
        <d v="2025-09-19T10:44:58" u="1"/>
        <d v="2025-09-19T10:48:38" u="1"/>
        <d v="2025-09-19T10:48:39" u="1"/>
        <d v="2025-09-19T10:48:40" u="1"/>
        <d v="2025-09-19T10:49:08" u="1"/>
        <d v="2025-09-19T10:52:08" u="1"/>
        <d v="2025-09-19T10:52:09" u="1"/>
        <d v="2025-09-19T10:54:08" u="1"/>
        <d v="2025-09-19T11:20:28" u="1"/>
        <d v="2025-09-19T11:20:29" u="1"/>
        <d v="2025-09-19T11:24:48" u="1"/>
        <d v="2025-09-19T11:24:49" u="1"/>
        <d v="2025-09-19T11:26:08" u="1"/>
        <d v="2025-09-19T11:26:09" u="1"/>
        <d v="2025-09-19T11:26:10" u="1"/>
        <d v="2025-09-19T11:30:08" u="1"/>
        <d v="2025-09-19T11:32:58" u="1"/>
        <d v="2025-09-19T11:32:59" u="1"/>
        <d v="2025-09-19T11:37:28" u="1"/>
        <d v="2025-09-19T11:37:29" u="1"/>
        <d v="2025-09-19T11:38:08" u="1"/>
        <d v="2025-09-19T11:38:09" u="1"/>
        <d v="2025-09-19T11:47:08" u="1"/>
        <d v="2025-09-19T11:47:09" u="1"/>
        <d v="2025-09-19T12:08:48" u="1"/>
        <d v="2025-09-19T12:11:08" u="1"/>
        <d v="2025-09-19T12:11:09" u="1"/>
        <d v="2025-09-19T12:12:48" u="1"/>
        <d v="2025-09-19T12:12:49" u="1"/>
        <d v="2025-09-19T12:12:50" u="1"/>
        <d v="2025-09-19T12:18:38" u="1"/>
        <d v="2025-09-19T12:41:28" u="1"/>
        <d v="2025-09-19T13:00:08" u="1"/>
        <d v="2025-09-19T13:04:58" u="1"/>
        <d v="2025-09-19T13:05:08" u="1"/>
        <d v="2025-09-19T13:05:09" u="1"/>
        <d v="2025-09-19T13:14:08" u="1"/>
        <d v="2025-09-19T13:16:58" u="1"/>
        <d v="2025-09-19T13:27:28" u="1"/>
        <d v="2025-09-19T13:27:29" u="1"/>
        <d v="2025-09-19T13:27:38" u="1"/>
        <d v="2025-09-19T13:34:08" u="1"/>
        <d v="2025-09-19T13:37:08" u="1"/>
        <d v="2025-09-19T13:38:18" u="1"/>
        <d v="2025-09-19T13:38:19" u="1"/>
        <d v="2025-09-19T13:40:38" u="1"/>
        <d v="2025-09-19T13:40:48" u="1"/>
        <d v="2025-09-19T13:43:08" u="1"/>
        <d v="2025-09-19T13:43:28" u="1"/>
        <d v="2025-09-19T13:52:08" u="1"/>
        <d v="2025-09-19T13:55:28" u="1"/>
        <d v="2025-09-19T14:03:58" u="1"/>
        <d v="2025-09-19T14:03:59" u="1"/>
        <d v="2025-09-19T14:04:38" u="1"/>
        <d v="2025-09-19T14:17:18" u="1"/>
        <d v="2025-09-19T14:22:18" u="1"/>
        <d v="2025-09-19T14:22:48" u="1"/>
        <d v="2025-09-19T14:24:18" u="1"/>
        <d v="2025-09-19T14:24:19" u="1"/>
        <d v="2025-09-19T14:24:58" u="1"/>
        <d v="2025-09-19T14:27:18" u="1"/>
        <d v="2025-09-19T14:37:18" u="1"/>
        <d v="2025-09-19T14:38:08" u="1"/>
        <d v="2025-09-19T14:38:09" u="1"/>
        <d v="2025-09-19T14:38:38" u="1"/>
        <d v="2025-09-19T14:52:28" u="1"/>
        <d v="2025-09-19T14:52:29" u="1"/>
        <d v="2025-09-19T14:52:38" u="1"/>
        <d v="2025-09-19T14:56:08" u="1"/>
        <d v="2025-09-19T14:58:08" u="1"/>
        <d v="2025-09-19T15:02:08" u="1"/>
        <d v="2025-09-19T15:03:08" u="1"/>
        <d v="2025-09-19T15:07:08" u="1"/>
        <d v="2025-09-19T15:14:58" u="1"/>
        <d v="2025-09-19T15:16:08" u="1"/>
        <d v="2025-09-19T15:20:28" u="1"/>
        <d v="2025-09-19T15:20:48" u="1"/>
        <d v="2025-09-19T15:24:38" u="1"/>
        <d v="2025-09-19T15:26:08" u="1"/>
        <d v="2025-09-19T15:26:09" u="1"/>
        <d v="2025-09-19T15:52:48" u="1"/>
        <d v="2025-09-19T15:52:58" u="1"/>
        <d v="2025-09-19T15:53:28" u="1"/>
        <d v="2025-09-19T15:53:29" u="1"/>
        <d v="2025-09-19T15:56:08" u="1"/>
        <d v="2025-09-19T16:01:08" u="1"/>
        <d v="2025-09-19T16:02:08" u="1"/>
        <d v="2025-09-19T16:03:18" u="1"/>
        <d v="2025-09-19T16:12:28" u="1"/>
        <d v="2025-09-19T16:12:29" u="1"/>
        <d v="2025-09-19T16:16:08" u="1"/>
        <d v="2025-09-19T16:16:28" u="1"/>
        <d v="2025-09-19T16:19:08" u="1"/>
        <d v="2025-09-19T16:22:18" u="1"/>
        <d v="2025-09-19T16:32:18" u="1"/>
        <d v="2025-09-19T16:37:38" u="1"/>
        <d v="2025-09-19T16:37:39" u="1"/>
        <d v="2025-09-19T16:50:37" u="1"/>
        <d v="2025-09-19T16:52:57" u="1"/>
        <d v="2025-09-19T16:52:58" u="1"/>
        <d v="2025-09-19T16:53:27" u="1"/>
        <d v="2025-09-19T16:53:28" u="1"/>
        <d v="2025-09-19T16:54:27" u="1"/>
        <d v="2025-09-19T17:06:57" u="1"/>
        <d v="2025-09-19T17:06:58" u="1"/>
        <d v="2025-09-19T17:08:17" u="1"/>
        <d v="2025-09-19T17:08:18" u="1"/>
        <d v="2025-09-19T17:15:07" u="1"/>
        <d v="2025-09-19T17:15:08" u="1"/>
        <d v="2025-09-19T17:21:07" u="1"/>
        <d v="2025-09-19T17:21:08" u="1"/>
        <d v="2025-09-19T17:24:47" u="1"/>
        <d v="2025-09-19T17:24:48" u="1"/>
        <d v="2025-09-19T17:25:07" u="1"/>
        <d v="2025-09-19T17:25:08" u="1"/>
        <d v="2025-09-19T17:31:17" u="1"/>
        <d v="2025-09-19T17:31:18" u="1"/>
        <d v="2025-09-19T17:51:37" u="1"/>
        <d v="2025-09-19T18:00:37" u="1"/>
        <d v="2025-09-19T18:00:57" u="1"/>
        <d v="2025-09-19T18:18:07" u="1"/>
        <d v="2025-09-19T18:22:07" u="1"/>
        <d v="2025-09-19T18:37:07" u="1"/>
        <d v="2025-09-19T18:37:08" u="1"/>
        <d v="2025-09-19T18:38:07" u="1"/>
        <d v="2025-09-19T18:38:08" u="1"/>
        <d v="2025-09-19T18:38:09" u="1"/>
        <d v="2025-09-19T18:58:07" u="1"/>
        <d v="2025-09-19T19:03:07" u="1"/>
        <d v="2025-09-19T19:07:17" u="1"/>
        <d v="2025-09-19T19:07:18" u="1"/>
        <d v="2025-09-19T19:11:37" u="1"/>
        <d v="2025-09-19T19:12:17" u="1"/>
        <d v="2025-09-19T19:12:18" u="1"/>
        <d v="2025-09-19T19:15:07" u="1"/>
        <d v="2025-09-19T19:15:08" u="1"/>
        <d v="2025-09-19T19:17:07" u="1"/>
        <d v="2025-09-19T19:17:08" u="1"/>
        <d v="2025-09-19T19:17:57" u="1"/>
        <d v="2025-09-19T19:18:27" u="1"/>
        <d v="2025-09-19T19:20:37" u="1"/>
        <d v="2025-09-19T19:27:07" u="1"/>
        <d v="2025-09-19T19:28:07" u="1"/>
        <d v="2025-09-19T19:28:27" u="1"/>
        <d v="2025-09-19T19:34:17" u="1"/>
        <d v="2025-09-19T19:34:18" u="1"/>
        <d v="2025-09-19T19:34:27" u="1"/>
        <d v="2025-09-19T19:35:27" u="1"/>
        <d v="2025-09-19T19:40:17" u="1"/>
        <d v="2025-09-19T19:40:18" u="1"/>
        <d v="2025-09-19T19:45:27" u="1"/>
        <d v="2025-09-19T19:46:07" u="1"/>
        <d v="2025-09-19T19:46:08" u="1"/>
        <d v="2025-09-19T19:48:27" u="1"/>
        <d v="2025-09-19T19:48:37" u="1"/>
        <d v="2025-09-19T19:56:17" u="1"/>
        <d v="2025-09-19T19:57:07" u="1"/>
        <d v="2025-09-19T19:57:47" u="1"/>
        <d v="2025-09-19T19:58:07" u="1"/>
        <d v="2025-09-19T19:58:08" u="1"/>
        <d v="2025-09-19T19:59:17" u="1"/>
        <d v="2025-09-19T20:00:01" u="1"/>
        <d v="2025-09-19T20:00:14" u="1"/>
        <d v="2025-09-19T20:04:27" u="1"/>
        <d v="2025-09-19T20:05:57" u="1"/>
        <d v="2025-09-19T20:13:17" u="1"/>
        <d v="2025-09-19T20:17:07" u="1"/>
        <d v="2025-09-19T20:17:57" u="1"/>
        <d v="2025-09-19T20:17:58" u="1"/>
        <d v="2025-09-19T20:18:17" u="1"/>
        <d v="2025-09-19T20:21:57" u="1"/>
        <d v="2025-09-19T20:23:57" u="1"/>
        <d v="2025-09-19T20:24:17" u="1"/>
        <d v="2025-09-19T20:26:07" u="1"/>
        <d v="2025-09-19T20:28:37" u="1"/>
        <d v="2025-09-19T20:43:57" u="1"/>
        <d v="2025-09-19T20:44:07" u="1"/>
        <d v="2025-09-19T20:44:08" u="1"/>
        <d v="2025-09-19T20:51:37" u="1"/>
        <d v="2025-09-19T20:51:38" u="1"/>
        <d v="2025-09-19T20:51:47" u="1"/>
        <d v="2025-09-19T20:51:48" u="1"/>
        <d v="2025-09-19T20:52:17" u="1"/>
        <d v="2025-09-19T20:52:57" u="1"/>
        <d v="2025-09-19T20:56:07" u="1"/>
        <d v="2025-09-19T21:04:07" u="1"/>
        <d v="2025-09-19T21:04:08" u="1"/>
        <d v="2025-09-19T21:04:57" u="1"/>
        <d v="2025-09-19T21:05:57" u="1"/>
        <d v="2025-09-19T21:05:58" u="1"/>
        <d v="2025-09-19T21:08:07" u="1"/>
        <d v="2025-09-19T21:08:08" u="1"/>
        <d v="2025-09-19T21:09:07" u="1"/>
        <d v="2025-09-19T21:09:08" u="1"/>
        <d v="2025-09-19T21:10:07" u="1"/>
        <d v="2025-09-19T21:15:37" u="1"/>
        <d v="2025-09-19T21:15:38" u="1"/>
        <d v="2025-09-19T21:18:27" u="1"/>
        <d v="2025-09-19T21:20:07" u="1"/>
        <d v="2025-09-19T21:20:08" u="1"/>
        <d v="2025-09-19T21:25:17" u="1"/>
        <d v="2025-09-19T21:25:18" u="1"/>
        <d v="2025-09-19T21:30:17" u="1"/>
        <d v="2025-09-19T21:30:57" u="1"/>
        <d v="2025-09-19T21:30:58" u="1"/>
        <d v="2025-09-19T21:32:47" u="1"/>
        <d v="2025-09-19T21:33:37" u="1"/>
        <d v="2025-09-19T21:33:38" u="1"/>
        <d v="2025-09-19T21:37:57" u="1"/>
        <d v="2025-09-19T21:37:58" u="1"/>
        <d v="2025-09-19T21:38:57" u="1"/>
        <d v="2025-09-19T21:39:17" u="1"/>
        <d v="2025-09-19T21:53:27" u="1"/>
        <d v="2025-09-19T21:54:17" u="1"/>
        <d v="2025-09-19T21:58:37" u="1"/>
        <d v="2025-09-19T21:58:38" u="1"/>
        <d v="2025-09-19T22:02:27" u="1"/>
        <d v="2025-09-19T22:02:28" u="1"/>
        <d v="2025-09-19T22:03:17" u="1"/>
        <d v="2025-09-19T22:04:27" u="1"/>
        <d v="2025-09-19T22:10:07" u="1"/>
        <d v="2025-09-19T22:18:17" u="1"/>
        <d v="2025-09-19T22:19:17" u="1"/>
        <d v="2025-09-19T22:20:27" u="1"/>
        <d v="2025-09-19T22:20:28" u="1"/>
        <d v="2025-09-19T22:22:37" u="1"/>
        <d v="2025-09-19T22:23:07" u="1"/>
        <d v="2025-09-19T22:29:07" u="1"/>
        <d v="2025-09-19T22:32:57" u="1"/>
        <d v="2025-09-19T22:33:07" u="1"/>
        <d v="2025-09-19T22:33:08" u="1"/>
        <d v="2025-09-19T22:34:06" u="1"/>
        <d v="2025-09-19T22:34:07" u="1"/>
        <d v="2025-09-19T22:35:26" u="1"/>
        <d v="2025-09-19T22:37:16" u="1"/>
        <d v="2025-09-19T22:41:16" u="1"/>
        <d v="2025-09-19T22:41:17" u="1"/>
        <d v="2025-09-19T22:42:16" u="1"/>
        <d v="2025-09-19T22:42:17" u="1"/>
        <d v="2025-09-19T22:55:07" u="1"/>
        <d v="2025-09-19T22:55:17" u="1"/>
        <d v="2025-09-19T22:58:17" u="1"/>
        <d v="2025-09-19T22:58:57" u="1"/>
        <d v="2025-09-19T22:59:36" u="1"/>
        <d v="2025-09-19T22:59:37" u="1"/>
        <d v="2025-09-19T23:00:16" u="1"/>
        <d v="2025-09-19T23:00:17" u="1"/>
        <d v="2025-09-19T23:04:56" u="1"/>
        <d v="2025-09-19T23:07:06" u="1"/>
        <d v="2025-09-19T23:07:07" u="1"/>
        <d v="2025-09-19T23:07:08" u="1"/>
        <d v="2025-09-19T23:15:17" u="1"/>
        <d v="2025-09-19T23:23:16" u="1"/>
        <d v="2025-09-19T23:23:17" u="1"/>
        <d v="2025-09-19T23:24:06" u="1"/>
        <d v="2025-09-19T23:24:26" u="1"/>
        <d v="2025-09-19T23:25:46" u="1"/>
        <d v="2025-09-19T23:25:47" u="1"/>
        <d v="2025-09-19T23:25:48" u="1"/>
        <d v="2025-09-19T23:26:06" u="1"/>
        <d v="2025-09-19T23:26:07" u="1"/>
        <d v="2025-09-19T23:32:26" u="1"/>
        <d v="2025-09-19T23:32:27" u="1"/>
        <d v="2025-09-19T23:35:26" u="1"/>
        <d v="2025-09-19T23:35:27" u="1"/>
        <d v="2025-09-19T23:36:36" u="1"/>
        <d v="2025-09-19T23:36:37" u="1"/>
        <d v="2025-09-19T23:40:36" u="1"/>
        <d v="2025-09-19T23:40:37" u="1"/>
        <d v="2025-09-19T23:40:38" u="1"/>
        <d v="2025-09-19T23:53:26" u="1"/>
        <d v="2025-09-20T00:01:26" u="1"/>
        <d v="2025-09-20T00:01:27" u="1"/>
        <d v="2025-09-20T00:02:56" u="1"/>
        <d v="2025-09-20T00:07:36" u="1"/>
        <d v="2025-09-20T00:08:06" u="1"/>
        <d v="2025-09-20T00:08:07" u="1"/>
        <d v="2025-09-20T00:08:26" u="1"/>
        <d v="2025-09-20T00:16:06" u="1"/>
        <d v="2025-09-20T00:16:07" u="1"/>
        <d v="2025-09-20T00:17:06" u="1"/>
        <d v="2025-09-20T00:19:06" u="1"/>
        <d v="2025-09-20T00:19:07" u="1"/>
        <d v="2025-09-20T00:19:08" u="1"/>
        <d v="2025-09-20T00:20:56" u="1"/>
        <d v="2025-09-20T00:26:36" u="1"/>
        <d v="2025-09-20T00:26:37" u="1"/>
        <d v="2025-09-20T00:27:16" u="1"/>
        <d v="2025-09-20T00:27:17" u="1"/>
        <d v="2025-09-20T00:27:46" u="1"/>
        <d v="2025-09-20T00:45:06" u="1"/>
        <d v="2025-09-20T00:46:06" u="1"/>
        <d v="2025-09-20T00:46:36" u="1"/>
        <d v="2025-09-20T00:46:37" u="1"/>
        <d v="2025-09-20T00:58:06" u="1"/>
        <d v="2025-09-20T00:59:06" u="1"/>
        <d v="2025-09-20T00:59:07" u="1"/>
        <d v="2025-09-20T01:01:56" u="1"/>
        <d v="2025-09-20T01:01:57" u="1"/>
        <d v="2025-09-20T01:09:56" u="1"/>
        <d v="2025-09-20T01:12:26" u="1"/>
        <d v="2025-09-20T01:13:06" u="1"/>
        <d v="2025-09-20T01:21:06" u="1"/>
        <d v="2025-09-20T01:21:46" u="1"/>
        <d v="2025-09-20T01:21:47" u="1"/>
        <d v="2025-09-20T01:25:36" u="1"/>
        <d v="2025-09-20T01:26:26" u="1"/>
        <d v="2025-09-20T01:32:16" u="1"/>
        <d v="2025-09-20T01:32:26" u="1"/>
        <d v="2025-09-20T01:34:36" u="1"/>
        <d v="2025-09-20T01:37:06" u="1"/>
        <d v="2025-09-20T01:39:36" u="1"/>
        <d v="2025-09-20T01:40:16" u="1"/>
        <d v="2025-09-20T01:42:06" u="1"/>
        <d v="2025-09-20T01:48:16" u="1"/>
        <d v="2025-09-20T01:49:26" u="1"/>
        <d v="2025-09-20T01:49:27" u="1"/>
        <d v="2025-09-20T01:57:26" u="1"/>
        <d v="2025-09-20T01:57:27" u="1"/>
        <d v="2025-09-20T01:57:28" u="1"/>
        <d v="2025-09-20T01:58:06" u="1"/>
        <d v="2025-09-20T02:05:46" u="1"/>
        <d v="2025-09-20T02:14:06" u="1"/>
        <d v="2025-09-20T02:15:06" u="1"/>
        <d v="2025-09-20T02:25:36" u="1"/>
        <d v="2025-09-20T02:25:37" u="1"/>
        <d v="2025-09-20T02:25:38" u="1"/>
        <d v="2025-09-20T02:28:16" u="1"/>
        <d v="2025-09-20T02:31:58" u="1"/>
        <d v="2025-09-20T02:43:56" u="1"/>
        <d v="2025-09-20T02:56:06" u="1"/>
        <d v="2025-09-20T02:57:16" u="1"/>
        <d v="2025-09-20T02:59:36" u="1"/>
        <d v="2025-09-20T03:00:06" u="1"/>
        <d v="2025-09-20T03:00:56" u="1"/>
        <d v="2025-09-20T03:13:46" u="1"/>
        <d v="2025-09-20T03:37:56" u="1"/>
        <d v="2025-09-20T03:51:06" u="1"/>
        <d v="2025-09-20T03:56:46" u="1"/>
        <d v="2025-09-20T03:59:56" u="1"/>
        <d v="2025-09-20T04:00:57" u="1"/>
        <d v="2025-09-20T04:05:26" u="1"/>
        <d v="2025-09-20T04:06:16" u="1"/>
        <d v="2025-09-20T04:14:06" u="1"/>
        <d v="2025-09-20T04:15:46" u="1"/>
        <d v="2025-09-20T04:18:06" u="1"/>
        <d v="2025-09-20T04:19:46" u="1"/>
        <d v="2025-09-20T04:30:06" u="1"/>
        <d v="2025-09-20T04:34:36" u="1"/>
        <d v="2025-09-20T04:36:16" u="1"/>
        <d v="2025-09-20T04:36:17" u="1"/>
        <d v="2025-09-20T04:38:46" u="1"/>
        <d v="2025-09-20T04:46:35" u="1"/>
        <d v="2025-09-20T04:48:05" u="1"/>
        <d v="2025-09-22T06:05:29" u="1"/>
        <d v="2025-09-22T06:05:30" u="1"/>
        <d v="2025-09-22T06:05:39" u="1"/>
        <d v="2025-09-22T06:05:40" u="1"/>
        <d v="2025-09-22T06:05:41" u="1"/>
        <d v="2025-09-22T06:09:09" u="1"/>
        <d v="2025-09-22T06:10:19" u="1"/>
        <d v="2025-09-22T06:10:59" u="1"/>
        <d v="2025-09-22T06:13:29" u="1"/>
        <d v="2025-09-22T06:13:30" u="1"/>
        <d v="2025-09-22T06:16:29" u="1"/>
        <d v="2025-09-22T06:16:30" u="1"/>
        <d v="2025-09-22T06:16:31" u="1"/>
        <d v="2025-09-22T06:17:59" u="1"/>
        <d v="2025-09-22T06:18:00" u="1"/>
        <d v="2025-09-22T06:27:19" u="1"/>
        <d v="2025-09-22T06:30:19" u="1"/>
        <d v="2025-09-22T06:30:29" u="1"/>
        <d v="2025-09-22T06:30:30" u="1"/>
        <d v="2025-09-22T06:30:31" u="1"/>
        <d v="2025-09-22T06:30:59" u="1"/>
        <d v="2025-09-22T06:40:00" u="1"/>
        <d v="2025-09-22T06:41:59" u="1"/>
        <d v="2025-09-22T06:42:00" u="1"/>
        <d v="2025-09-22T06:53:09" u="1"/>
        <d v="2025-09-22T06:56:09" u="1"/>
        <d v="2025-09-22T06:57:09" u="1"/>
        <d v="2025-09-22T06:57:10" u="1"/>
        <d v="2025-09-22T06:58:09" u="1"/>
        <d v="2025-09-22T06:58:10" u="1"/>
        <d v="2025-09-22T07:01:09" u="1"/>
        <d v="2025-09-22T07:04:19" u="1"/>
        <d v="2025-09-22T07:12:29" u="1"/>
        <d v="2025-09-22T07:13:49" u="1"/>
        <d v="2025-09-22T07:13:50" u="1"/>
        <d v="2025-09-22T07:14:09" u="1"/>
        <d v="2025-09-22T07:19:59" u="1"/>
        <d v="2025-09-22T07:20:00" u="1"/>
        <d v="2025-09-22T07:21:59" u="1"/>
        <d v="2025-09-22T07:23:49" u="1"/>
        <d v="2025-09-22T07:27:09" u="1"/>
        <d v="2025-09-22T07:27:10" u="1"/>
        <d v="2025-09-22T07:27:11" u="1"/>
        <d v="2025-09-22T07:39:19" u="1"/>
        <d v="2025-09-22T07:44:09" u="1"/>
        <d v="2025-09-22T07:45:09" u="1"/>
        <d v="2025-09-22T07:45:10" u="1"/>
        <d v="2025-09-22T07:45:11" u="1"/>
        <d v="2025-09-22T08:01:59" u="1"/>
        <d v="2025-09-22T08:15:39" u="1"/>
        <d v="2025-09-22T08:17:19" u="1"/>
        <d v="2025-09-22T08:17:20" u="1"/>
        <d v="2025-09-22T08:17:21" u="1"/>
        <d v="2025-09-22T08:33:09" u="1"/>
        <d v="2025-09-22T08:34:09" u="1"/>
        <d v="2025-09-22T08:57:39" u="1"/>
        <d v="2025-09-22T09:01:19" u="1"/>
        <d v="2025-09-22T09:01:29" u="1"/>
        <d v="2025-09-22T09:03:09" u="1"/>
        <d v="2025-09-22T09:12:19" u="1"/>
        <d v="2025-09-22T09:16:39" u="1"/>
        <d v="2025-09-22T09:17:09" u="1"/>
        <d v="2025-09-22T09:17:10" u="1"/>
        <d v="2025-09-22T09:17:11" u="1"/>
        <d v="2025-09-22T09:18:39" u="1"/>
        <d v="2025-09-22T09:20:59" u="1"/>
        <d v="2025-09-22T09:24:29" u="1"/>
        <d v="2025-09-22T09:27:59" u="1"/>
        <d v="2025-09-22T09:28:09" u="1"/>
        <d v="2025-09-22T09:30:49" u="1"/>
        <d v="2025-09-22T09:32:19" u="1"/>
        <d v="2025-09-22T09:32:20" u="1"/>
        <d v="2025-09-22T09:32:21" u="1"/>
        <d v="2025-09-22T09:33:59" u="1"/>
        <d v="2025-09-22T09:34:00" u="1"/>
        <d v="2025-09-22T09:42:19" u="1"/>
        <d v="2025-09-22T09:43:09" u="1"/>
        <d v="2025-09-22T09:43:10" u="1"/>
        <d v="2025-09-22T09:45:59" u="1"/>
        <d v="2025-09-22T09:46:00" u="1"/>
        <d v="2025-09-22T09:49:09" u="1"/>
        <d v="2025-09-22T09:49:29" u="1"/>
        <d v="2025-09-22T09:51:29" u="1"/>
        <d v="2025-09-22T09:51:30" u="1"/>
        <d v="2025-09-22T09:51:31" u="1"/>
        <d v="2025-09-22T10:04:59" u="1"/>
        <d v="2025-09-22T10:05:59" u="1"/>
        <d v="2025-09-22T10:10:59" u="1"/>
        <d v="2025-09-22T10:17:59" u="1"/>
        <d v="2025-09-22T10:22:09" u="1"/>
        <d v="2025-09-22T10:32:39" u="1"/>
        <d v="2025-09-22T10:33:18" u="1"/>
        <d v="2025-09-22T10:33:19" u="1"/>
        <d v="2025-09-22T10:33:20" u="1"/>
        <d v="2025-09-22T10:33:21" u="1"/>
        <d v="2025-09-22T10:33:59" u="1"/>
        <d v="2025-09-22T10:37:09" u="1"/>
        <d v="2025-09-22T10:40:18" u="1"/>
        <d v="2025-09-22T10:40:19" u="1"/>
        <d v="2025-09-22T10:40:20" u="1"/>
        <d v="2025-09-22T10:40:21" u="1"/>
        <d v="2025-09-22T10:45:38" u="1"/>
        <d v="2025-09-22T10:45:39" u="1"/>
        <d v="2025-09-22T10:47:28" u="1"/>
        <d v="2025-09-22T10:47:29" u="1"/>
        <d v="2025-09-22T10:47:30" u="1"/>
        <d v="2025-09-22T10:47:38" u="1"/>
        <d v="2025-09-22T10:47:39" u="1"/>
        <d v="2025-09-22T10:50:08" u="1"/>
        <d v="2025-09-22T10:59:08" u="1"/>
        <d v="2025-09-22T11:06:28" u="1"/>
        <d v="2025-09-22T11:06:29" u="1"/>
        <d v="2025-09-22T11:07:59" u="1"/>
        <d v="2025-09-22T11:09:28" u="1"/>
        <d v="2025-09-22T11:09:29" u="1"/>
        <d v="2025-09-22T11:09:30" u="1"/>
        <d v="2025-09-22T11:09:31" u="1"/>
        <d v="2025-09-22T11:14:08" u="1"/>
        <d v="2025-09-22T11:17:38" u="1"/>
        <d v="2025-09-22T11:17:39" u="1"/>
        <d v="2025-09-22T11:17:48" u="1"/>
        <d v="2025-09-22T11:17:49" u="1"/>
        <d v="2025-09-22T11:18:18" u="1"/>
        <d v="2025-09-22T11:23:08" u="1"/>
        <d v="2025-09-22T11:23:09" u="1"/>
        <d v="2025-09-22T11:25:38" u="1"/>
        <d v="2025-09-22T11:25:39" u="1"/>
        <d v="2025-09-22T11:28:18" u="1"/>
        <d v="2025-09-22T11:28:19" u="1"/>
        <d v="2025-09-22T11:29:38" u="1"/>
        <d v="2025-09-22T11:29:39" u="1"/>
        <d v="2025-09-22T11:30:28" u="1"/>
        <d v="2025-09-22T11:42:08" u="1"/>
        <d v="2025-09-22T11:49:19" u="1"/>
        <d v="2025-09-22T11:54:18" u="1"/>
        <d v="2025-09-22T11:54:19" u="1"/>
        <d v="2025-09-22T11:54:20" u="1"/>
        <d v="2025-09-22T11:54:21" u="1"/>
        <d v="2025-09-22T11:55:48" u="1"/>
        <d v="2025-09-22T12:00:01" u="1"/>
        <d v="2025-09-22T12:00:08" u="1"/>
        <d v="2025-09-22T12:03:58" u="1"/>
        <d v="2025-09-22T12:03:59" u="1"/>
        <d v="2025-09-22T12:08:18" u="1"/>
        <d v="2025-09-22T12:08:19" u="1"/>
        <d v="2025-09-22T12:12:18" u="1"/>
        <d v="2025-09-22T12:18:28" u="1"/>
        <d v="2025-09-22T12:18:29" u="1"/>
        <d v="2025-09-22T12:18:30" u="1"/>
        <d v="2025-09-22T12:18:31" u="1"/>
        <d v="2025-09-22T12:18:48" u="1"/>
        <d v="2025-09-22T12:38:48" u="1"/>
        <d v="2025-09-22T12:38:49" u="1"/>
        <d v="2025-09-22T12:39:08" u="1"/>
        <d v="2025-09-22T12:39:09" u="1"/>
        <d v="2025-09-22T12:39:18" u="1"/>
        <d v="2025-09-22T12:40:28" u="1"/>
        <d v="2025-09-22T12:40:29" u="1"/>
        <d v="2025-09-22T12:45:59" u="1"/>
        <d v="2025-09-22T13:06:08" u="1"/>
        <d v="2025-09-22T13:06:09" u="1"/>
        <d v="2025-09-22T13:07:08" u="1"/>
        <d v="2025-09-22T13:07:09" u="1"/>
        <d v="2025-09-22T13:07:28" u="1"/>
        <d v="2025-09-22T13:07:29" u="1"/>
        <d v="2025-09-22T13:14:08" u="1"/>
        <d v="2025-09-22T13:20:08" u="1"/>
        <d v="2025-09-22T13:26:48" u="1"/>
        <d v="2025-09-22T13:26:49" u="1"/>
        <d v="2025-09-22T13:26:58" u="1"/>
        <d v="2025-09-22T13:26:59" u="1"/>
        <d v="2025-09-22T13:27:00" u="1"/>
        <d v="2025-09-22T13:29:18" u="1"/>
        <d v="2025-09-22T13:35:58" u="1"/>
        <d v="2025-09-22T13:36:08" u="1"/>
        <d v="2025-09-22T13:36:09" u="1"/>
        <d v="2025-09-22T13:36:10" u="1"/>
        <d v="2025-09-22T13:43:28" u="1"/>
        <d v="2025-09-22T13:43:29" u="1"/>
        <d v="2025-09-22T13:43:48" u="1"/>
        <d v="2025-09-22T13:51:58" u="1"/>
        <d v="2025-09-22T13:51:59" u="1"/>
        <d v="2025-09-22T13:52:28" u="1"/>
        <d v="2025-09-22T13:58:48" u="1"/>
        <d v="2025-09-22T14:09:48" u="1"/>
        <d v="2025-09-22T14:11:48" u="1"/>
        <d v="2025-09-22T14:11:49" u="1"/>
        <d v="2025-09-22T14:11:50" u="1"/>
        <d v="2025-09-22T14:11:58" u="1"/>
        <d v="2025-09-22T14:24:08" u="1"/>
        <d v="2025-09-22T14:30:48" u="1"/>
        <d v="2025-09-22T14:33:08" u="1"/>
        <d v="2025-09-22T14:33:09" u="1"/>
        <d v="2025-09-22T14:33:10" u="1"/>
        <d v="2025-09-22T14:41:28" u="1"/>
        <d v="2025-09-22T14:44:18" u="1"/>
        <d v="2025-09-22T14:45:18" u="1"/>
        <d v="2025-09-22T14:47:28" u="1"/>
        <d v="2025-09-22T14:51:08" u="1"/>
        <d v="2025-09-22T14:51:28" u="1"/>
        <d v="2025-09-22T14:51:29" u="1"/>
        <d v="2025-09-22T14:51:30" u="1"/>
        <d v="2025-09-22T14:55:38" u="1"/>
        <d v="2025-09-22T14:59:38" u="1"/>
        <d v="2025-09-22T15:02:39" u="1"/>
        <d v="2025-09-22T15:03:08" u="1"/>
        <d v="2025-09-22T15:09:19" u="1"/>
        <d v="2025-09-22T15:12:18" u="1"/>
        <d v="2025-09-22T15:14:58" u="1"/>
        <d v="2025-09-22T15:14:59" u="1"/>
        <d v="2025-09-22T15:15:00" u="1"/>
        <d v="2025-09-22T15:16:18" u="1"/>
        <d v="2025-09-22T15:19:48" u="1"/>
        <d v="2025-09-22T15:22:08" u="1"/>
        <d v="2025-09-22T15:22:18" u="1"/>
        <d v="2025-09-22T15:22:19" u="1"/>
        <d v="2025-09-22T15:25:08" u="1"/>
        <d v="2025-09-22T15:25:09" u="1"/>
        <d v="2025-09-22T15:25:38" u="1"/>
        <d v="2025-09-22T15:25:48" u="1"/>
        <d v="2025-09-22T15:29:58" u="1"/>
        <d v="2025-09-22T15:32:18" u="1"/>
        <d v="2025-09-22T15:32:58" u="1"/>
        <d v="2025-09-22T15:32:59" u="1"/>
        <d v="2025-09-22T15:33:18" u="1"/>
        <d v="2025-09-22T15:39:58" u="1"/>
        <d v="2025-09-22T15:39:59" u="1"/>
        <d v="2025-09-22T15:40:08" u="1"/>
        <d v="2025-09-22T15:41:18" u="1"/>
        <d v="2025-09-22T15:47:28" u="1"/>
        <d v="2025-09-22T15:56:58" u="1"/>
        <d v="2025-09-22T16:01:58" u="1"/>
        <d v="2025-09-22T16:07:18" u="1"/>
        <d v="2025-09-22T16:09:48" u="1"/>
        <d v="2025-09-22T16:10:28" u="1"/>
        <d v="2025-09-22T16:10:29" u="1"/>
        <d v="2025-09-22T16:10:30" u="1"/>
        <d v="2025-09-22T16:13:38" u="1"/>
        <d v="2025-09-22T16:14:18" u="1"/>
        <d v="2025-09-22T16:19:58" u="1"/>
        <d v="2025-09-22T16:19:59" u="1"/>
        <d v="2025-09-22T16:27:08" u="1"/>
        <d v="2025-09-22T16:27:28" u="1"/>
        <d v="2025-09-22T16:28:48" u="1"/>
        <d v="2025-09-22T16:38:07" u="1"/>
        <d v="2025-09-22T16:38:08" u="1"/>
        <d v="2025-09-22T16:38:47" u="1"/>
        <d v="2025-09-22T16:39:07" u="1"/>
        <d v="2025-09-22T16:39:08" u="1"/>
        <d v="2025-09-22T16:39:58" u="1"/>
        <d v="2025-09-22T16:47:38" u="1"/>
        <d v="2025-09-22T16:47:39" u="1"/>
        <d v="2025-09-22T16:47:40" u="1"/>
        <d v="2025-09-22T16:48:07" u="1"/>
        <d v="2025-09-22T16:48:08" u="1"/>
        <d v="2025-09-22T16:50:17" u="1"/>
        <d v="2025-09-22T17:00:17" u="1"/>
        <d v="2025-09-22T17:02:49" u="1"/>
        <d v="2025-09-22T17:04:17" u="1"/>
        <d v="2025-09-22T17:04:58" u="1"/>
        <d v="2025-09-22T17:22:08" u="1"/>
        <d v="2025-09-22T17:22:17" u="1"/>
        <d v="2025-09-22T17:24:37" u="1"/>
        <d v="2025-09-22T17:24:38" u="1"/>
        <d v="2025-09-22T17:26:08" u="1"/>
        <d v="2025-09-22T17:26:09" u="1"/>
        <d v="2025-09-22T17:26:10" u="1"/>
        <d v="2025-09-22T17:28:27" u="1"/>
        <d v="2025-09-22T17:28:28" u="1"/>
        <d v="2025-09-22T17:29:27" u="1"/>
        <d v="2025-09-22T17:29:28" u="1"/>
        <d v="2025-09-22T17:30:27" u="1"/>
        <d v="2025-09-22T17:30:28" u="1"/>
        <d v="2025-09-22T17:30:37" u="1"/>
        <d v="2025-09-22T17:30:38" u="1"/>
        <d v="2025-09-22T17:31:07" u="1"/>
        <d v="2025-09-22T17:33:07" u="1"/>
        <d v="2025-09-22T17:33:08" u="1"/>
        <d v="2025-09-22T17:33:58" u="1"/>
        <d v="2025-09-22T17:36:57" u="1"/>
        <d v="2025-09-22T17:40:07" u="1"/>
        <d v="2025-09-22T17:40:08" u="1"/>
        <d v="2025-09-22T17:40:09" u="1"/>
        <d v="2025-09-22T17:40:10" u="1"/>
        <d v="2025-09-22T17:42:17" u="1"/>
        <d v="2025-09-22T17:45:37" u="1"/>
        <d v="2025-09-22T17:45:38" u="1"/>
        <d v="2025-09-22T17:45:58" u="1"/>
        <d v="2025-09-22T17:47:57" u="1"/>
        <d v="2025-09-22T17:47:58" u="1"/>
        <d v="2025-09-22T17:51:07" u="1"/>
        <d v="2025-09-22T17:55:17" u="1"/>
        <d v="2025-09-22T17:55:18" u="1"/>
        <d v="2025-09-22T17:57:07" u="1"/>
        <d v="2025-09-22T17:57:57" u="1"/>
        <d v="2025-09-22T17:57:58" u="1"/>
        <d v="2025-09-22T17:57:59" u="1"/>
        <d v="2025-09-22T17:58:37" u="1"/>
        <d v="2025-09-22T17:58:38" u="1"/>
        <d v="2025-09-22T17:59:57" u="1"/>
        <d v="2025-09-22T18:01:27" u="1"/>
        <d v="2025-09-22T18:08:07" u="1"/>
        <d v="2025-09-22T18:11:17" u="1"/>
        <d v="2025-09-22T18:20:07" u="1"/>
        <d v="2025-09-22T18:25:17" u="1"/>
        <d v="2025-09-22T18:25:47" u="1"/>
        <d v="2025-09-22T18:25:48" u="1"/>
        <d v="2025-09-22T18:26:37" u="1"/>
        <d v="2025-09-22T18:26:38" u="1"/>
        <d v="2025-09-22T18:26:39" u="1"/>
        <d v="2025-09-22T18:26:40" u="1"/>
        <d v="2025-09-22T18:29:07" u="1"/>
        <d v="2025-09-22T18:33:58" u="1"/>
        <d v="2025-09-22T18:33:59" u="1"/>
        <d v="2025-09-22T18:34:00" u="1"/>
        <d v="2025-09-22T18:35:17" u="1"/>
        <d v="2025-09-22T18:37:58" u="1"/>
        <d v="2025-09-22T18:40:17" u="1"/>
        <d v="2025-09-22T18:43:17" u="1"/>
        <d v="2025-09-22T18:43:18" u="1"/>
        <d v="2025-09-22T18:48:57" u="1"/>
        <d v="2025-09-22T18:48:58" u="1"/>
        <d v="2025-09-22T18:48:59" u="1"/>
        <d v="2025-09-22T18:52:17" u="1"/>
        <d v="2025-09-22T18:55:47" u="1"/>
        <d v="2025-09-22T18:55:48" u="1"/>
        <d v="2025-09-22T18:55:49" u="1"/>
        <d v="2025-09-22T18:56:17" u="1"/>
        <d v="2025-09-22T18:56:27" u="1"/>
        <d v="2025-09-22T18:59:57" u="1"/>
        <d v="2025-09-22T18:59:58" u="1"/>
        <d v="2025-09-22T19:42:27" u="1"/>
        <d v="2025-09-22T19:42:28" u="1"/>
        <d v="2025-09-22T19:45:27" u="1"/>
        <d v="2025-09-22T19:45:37" u="1"/>
        <d v="2025-09-22T19:46:17" u="1"/>
        <d v="2025-09-22T19:46:18" u="1"/>
        <d v="2025-09-22T19:46:19" u="1"/>
        <d v="2025-09-22T19:50:57" u="1"/>
        <d v="2025-09-22T19:50:58" u="1"/>
        <d v="2025-09-22T19:50:59" u="1"/>
        <d v="2025-09-22T19:56:27" u="1"/>
        <d v="2025-09-22T19:58:47" u="1"/>
        <d v="2025-09-22T19:59:57" u="1"/>
        <d v="2025-09-22T19:59:58" u="1"/>
        <d v="2025-09-22T20:00:01" u="1"/>
        <d v="2025-09-22T20:01:07" u="1"/>
        <d v="2025-09-22T20:15:07" u="1"/>
        <d v="2025-09-22T20:19:27" u="1"/>
        <d v="2025-09-22T20:21:07" u="1"/>
        <d v="2025-09-22T20:26:17" u="1"/>
        <d v="2025-09-22T20:27:07" u="1"/>
        <d v="2025-09-22T20:27:08" u="1"/>
        <d v="2025-09-22T20:27:09" u="1"/>
        <d v="2025-09-22T20:30:07" u="1"/>
        <d v="2025-09-22T20:30:08" u="1"/>
        <d v="2025-09-22T20:30:09" u="1"/>
        <d v="2025-09-22T20:33:07" u="1"/>
        <d v="2025-09-22T20:33:08" u="1"/>
        <d v="2025-09-22T20:33:27" u="1"/>
        <d v="2025-09-22T20:37:07" u="1"/>
        <d v="2025-09-22T20:53:07" u="1"/>
        <d v="2025-09-22T20:54:27" u="1"/>
        <d v="2025-09-22T20:54:28" u="1"/>
        <d v="2025-09-22T20:54:29" u="1"/>
        <d v="2025-09-22T21:00:57" u="1"/>
        <d v="2025-09-22T21:02:27" u="1"/>
        <d v="2025-09-22T21:02:37" u="1"/>
        <d v="2025-09-22T21:02:38" u="1"/>
        <d v="2025-09-22T21:02:39" u="1"/>
        <d v="2025-09-22T21:04:17" u="1"/>
        <d v="2025-09-22T21:04:47" u="1"/>
        <d v="2025-09-22T21:04:48" u="1"/>
        <d v="2025-09-22T21:05:47" u="1"/>
        <d v="2025-09-22T21:08:17" u="1"/>
        <d v="2025-09-22T21:08:18" u="1"/>
        <d v="2025-09-22T21:08:27" u="1"/>
        <d v="2025-09-22T21:15:57" u="1"/>
        <d v="2025-09-22T21:15:58" u="1"/>
        <d v="2025-09-22T21:18:17" u="1"/>
        <d v="2025-09-22T21:21:07" u="1"/>
        <d v="2025-09-22T21:24:17" u="1"/>
        <d v="2025-09-22T21:24:18" u="1"/>
        <d v="2025-09-22T21:25:57" u="1"/>
        <d v="2025-09-22T21:25:58" u="1"/>
        <d v="2025-09-22T21:31:59" u="1"/>
        <d v="2025-09-22T21:35:37" u="1"/>
        <d v="2025-09-22T21:36:17" u="1"/>
        <d v="2025-09-22T21:36:18" u="1"/>
        <d v="2025-09-22T21:36:37" u="1"/>
        <d v="2025-09-22T21:44:07" u="1"/>
        <d v="2025-09-22T21:46:17" u="1"/>
        <d v="2025-09-22T21:48:17" u="1"/>
        <d v="2025-09-22T21:49:07" u="1"/>
        <d v="2025-09-22T21:49:08" u="1"/>
        <d v="2025-09-22T21:49:09" u="1"/>
        <d v="2025-09-22T21:51:27" u="1"/>
        <d v="2025-09-22T21:51:28" u="1"/>
        <d v="2025-09-22T21:51:29" u="1"/>
        <d v="2025-09-22T21:55:07" u="1"/>
        <d v="2025-09-22T21:58:07" u="1"/>
        <d v="2025-09-22T22:00:37" u="1"/>
        <d v="2025-09-22T22:00:38" u="1"/>
        <d v="2025-09-22T22:00:39" u="1"/>
        <d v="2025-09-22T22:01:07" u="1"/>
        <d v="2025-09-22T22:01:57" u="1"/>
        <d v="2025-09-22T22:02:07" u="1"/>
        <d v="2025-09-22T22:05:07" u="1"/>
        <d v="2025-09-22T22:10:07" u="1"/>
        <d v="2025-09-22T22:19:58" u="1"/>
        <d v="2025-09-22T22:21:07" u="1"/>
        <d v="2025-09-22T22:43:37" u="1"/>
        <d v="2025-09-22T22:44:17" u="1"/>
        <d v="2025-09-22T22:44:18" u="1"/>
        <d v="2025-09-22T22:52:27" u="1"/>
        <d v="2025-09-22T22:55:57" u="1"/>
        <d v="2025-09-22T23:00:37" u="1"/>
        <d v="2025-09-22T23:00:38" u="1"/>
        <d v="2025-09-22T23:00:39" u="1"/>
        <d v="2025-09-22T23:00:56" u="1"/>
        <d v="2025-09-22T23:01:16" u="1"/>
        <d v="2025-09-22T23:02:16" u="1"/>
        <d v="2025-09-22T23:02:46" u="1"/>
        <d v="2025-09-22T23:03:46" u="1"/>
        <d v="2025-09-22T23:10:07" u="1"/>
        <d v="2025-09-22T23:10:26" u="1"/>
        <d v="2025-09-22T23:10:27" u="1"/>
        <d v="2025-09-22T23:10:28" u="1"/>
        <d v="2025-09-22T23:10:46" u="1"/>
        <d v="2025-09-22T23:10:47" u="1"/>
        <d v="2025-09-22T23:11:16" u="1"/>
        <d v="2025-09-22T23:11:17" u="1"/>
        <d v="2025-09-22T23:14:36" u="1"/>
        <d v="2025-09-22T23:22:58" u="1"/>
        <d v="2025-09-22T23:25:56" u="1"/>
        <d v="2025-09-22T23:25:57" u="1"/>
        <d v="2025-09-22T23:33:16" u="1"/>
        <d v="2025-09-22T23:33:17" u="1"/>
        <d v="2025-09-22T23:36:36" u="1"/>
        <d v="2025-09-22T23:36:37" u="1"/>
        <d v="2025-09-22T23:36:38" u="1"/>
        <d v="2025-09-22T23:36:39" u="1"/>
        <d v="2025-09-22T23:37:36" u="1"/>
        <d v="2025-09-22T23:40:26" u="1"/>
        <d v="2025-09-22T23:40:56" u="1"/>
        <d v="2025-09-22T23:41:46" u="1"/>
        <d v="2025-09-22T23:41:47" u="1"/>
        <d v="2025-09-22T23:41:48" u="1"/>
        <d v="2025-09-22T23:42:36" u="1"/>
        <d v="2025-09-22T23:42:37" u="1"/>
        <d v="2025-09-22T23:52:17" u="1"/>
        <d v="2025-09-22T23:52:18" u="1"/>
        <d v="2025-09-22T23:52:19" u="1"/>
        <d v="2025-09-22T23:52:36" u="1"/>
        <d v="2025-09-22T23:52:37" u="1"/>
        <d v="2025-09-22T23:54:46" u="1"/>
        <d v="2025-09-23T00:01:06" u="1"/>
        <d v="2025-09-23T00:01:07" u="1"/>
        <d v="2025-09-23T00:02:46" u="1"/>
        <d v="2025-09-23T00:02:47" u="1"/>
        <d v="2025-09-23T00:07:06" u="1"/>
        <d v="2025-09-23T00:07:07" u="1"/>
        <d v="2025-09-23T00:07:46" u="1"/>
        <d v="2025-09-23T00:07:47" u="1"/>
        <d v="2025-09-23T00:07:48" u="1"/>
        <d v="2025-09-23T00:08:36" u="1"/>
        <d v="2025-09-23T00:08:37" u="1"/>
        <d v="2025-09-23T00:09:26" u="1"/>
        <d v="2025-09-23T00:11:46" u="1"/>
        <d v="2025-09-23T00:11:47" u="1"/>
        <d v="2025-09-23T00:12:26" u="1"/>
        <d v="2025-09-23T00:12:58" u="1"/>
        <d v="2025-09-23T00:13:56" u="1"/>
        <d v="2025-09-23T00:13:57" u="1"/>
        <d v="2025-09-23T00:35:16" u="1"/>
        <d v="2025-09-23T00:46:16" u="1"/>
        <d v="2025-09-23T00:46:17" u="1"/>
        <d v="2025-09-23T00:46:26" u="1"/>
        <d v="2025-09-23T00:50:56" u="1"/>
        <d v="2025-09-23T00:59:56" u="1"/>
        <d v="2025-09-23T00:59:57" u="1"/>
        <d v="2025-09-23T01:00:06" u="1"/>
        <d v="2025-09-23T01:00:59" u="1"/>
        <d v="2025-09-23T01:01:56" u="1"/>
        <d v="2025-09-23T01:01:57" u="1"/>
        <d v="2025-09-23T01:12:26" u="1"/>
        <d v="2025-09-23T01:12:27" u="1"/>
        <d v="2025-09-23T01:12:28" u="1"/>
        <d v="2025-09-23T01:12:29" u="1"/>
        <d v="2025-09-23T01:12:36" u="1"/>
        <d v="2025-09-23T01:12:56" u="1"/>
        <d v="2025-09-23T01:15:36" u="1"/>
        <d v="2025-09-23T01:22:46" u="1"/>
        <d v="2025-09-23T01:29:06" u="1"/>
        <d v="2025-09-23T01:29:16" u="1"/>
        <d v="2025-09-23T01:29:17" u="1"/>
        <d v="2025-09-23T01:29:56" u="1"/>
        <d v="2025-09-23T01:29:57" u="1"/>
        <d v="2025-09-23T01:32:16" u="1"/>
        <d v="2025-09-23T01:33:16" u="1"/>
        <d v="2025-09-23T01:33:17" u="1"/>
        <d v="2025-09-23T01:33:18" u="1"/>
        <d v="2025-09-23T01:33:46" u="1"/>
        <d v="2025-09-23T01:42:56" u="1"/>
        <d v="2025-09-23T01:42:57" u="1"/>
        <d v="2025-09-23T01:47:16" u="1"/>
        <d v="2025-09-23T01:47:17" u="1"/>
        <d v="2025-09-23T01:47:18" u="1"/>
        <d v="2025-09-23T01:56:26" u="1"/>
        <d v="2025-09-23T01:56:27" u="1"/>
        <d v="2025-09-23T02:00:56" u="1"/>
        <d v="2025-09-23T02:01:26" u="1"/>
        <d v="2025-09-23T02:01:27" u="1"/>
        <d v="2025-09-23T02:05:46" u="1"/>
        <d v="2025-09-23T02:05:57" u="1"/>
        <d v="2025-09-23T02:05:58" u="1"/>
        <d v="2025-09-23T02:19:56" u="1"/>
        <d v="2025-09-23T02:19:57" u="1"/>
        <d v="2025-09-23T02:27:16" u="1"/>
        <d v="2025-09-23T02:59:46" u="1"/>
        <d v="2025-09-23T03:03:16" u="1"/>
        <d v="2025-09-23T03:03:17" u="1"/>
        <d v="2025-09-23T03:03:26" u="1"/>
        <d v="2025-09-23T03:05:36" u="1"/>
        <d v="2025-09-23T03:05:37" u="1"/>
        <d v="2025-09-23T03:06:26" u="1"/>
        <d v="2025-09-23T03:25:36" u="1"/>
        <d v="2025-09-23T03:31:16" u="1"/>
        <d v="2025-09-23T03:31:36" u="1"/>
        <d v="2025-09-23T03:31:37" u="1"/>
        <d v="2025-09-23T03:31:38" u="1"/>
        <d v="2025-09-23T03:38:58" u="1"/>
        <d v="2025-09-23T03:39:06" u="1"/>
        <d v="2025-09-23T03:39:56" u="1"/>
        <d v="2025-09-23T03:39:57" u="1"/>
        <d v="2025-09-23T03:49:06" u="1"/>
        <d v="2025-09-23T03:52:06" u="1"/>
        <d v="2025-09-23T03:55:06" u="1"/>
        <d v="2025-09-23T03:55:07" u="1"/>
        <d v="2025-09-23T03:55:08" u="1"/>
        <d v="2025-09-23T03:55:09" u="1"/>
        <d v="2025-09-23T04:17:10" u="1"/>
        <d v="2025-09-23T04:29:10" u="1"/>
        <d v="2025-09-23T04:32:20" u="1"/>
        <d v="2025-09-23T04:34:50" u="1"/>
        <d v="2025-09-23T06:15:09" u="1"/>
        <d v="2025-09-23T06:15:10" u="1"/>
        <d v="2025-09-23T06:16:09" u="1"/>
        <d v="2025-09-23T06:16:10" u="1"/>
        <d v="2025-09-23T06:16:11" u="1"/>
        <d v="2025-09-23T06:16:12" u="1"/>
        <d v="2025-09-23T06:30:09" u="1"/>
        <d v="2025-09-23T06:30:10" u="1"/>
        <d v="2025-09-23T06:30:11" u="1"/>
        <d v="2025-09-23T06:30:39" u="1"/>
        <d v="2025-09-23T06:30:40" u="1"/>
        <d v="2025-09-23T06:30:49" u="1"/>
        <d v="2025-09-23T06:36:39" u="1"/>
        <d v="2025-09-23T06:40:09" u="1"/>
        <d v="2025-09-23T06:40:10" u="1"/>
        <d v="2025-09-23T06:44:59" u="1"/>
        <d v="2025-09-23T06:45:00" u="1"/>
        <d v="2025-09-23T06:46:59" u="1"/>
        <d v="2025-09-23T06:47:00" u="1"/>
        <d v="2025-09-23T06:48:29" u="1"/>
        <d v="2025-09-23T06:48:30" u="1"/>
        <d v="2025-09-23T06:48:31" u="1"/>
        <d v="2025-09-23T06:48:32" u="1"/>
        <d v="2025-09-23T06:48:49" u="1"/>
        <d v="2025-09-23T06:55:09" u="1"/>
        <d v="2025-09-23T06:56:09" u="1"/>
        <d v="2025-09-23T06:56:10" u="1"/>
        <d v="2025-09-23T06:56:19" u="1"/>
        <d v="2025-09-23T06:56:20" u="1"/>
        <d v="2025-09-23T06:57:29" u="1"/>
        <d v="2025-09-23T07:08:09" u="1"/>
        <d v="2025-09-23T07:11:09" u="1"/>
        <d v="2025-09-23T07:14:09" u="1"/>
        <d v="2025-09-23T07:14:10" u="1"/>
        <d v="2025-09-23T07:16:09" u="1"/>
        <d v="2025-09-23T07:17:09" u="1"/>
        <d v="2025-09-23T07:19:09" u="1"/>
        <d v="2025-09-23T07:19:10" u="1"/>
        <d v="2025-09-23T07:19:11" u="1"/>
        <d v="2025-09-23T07:19:39" u="1"/>
        <d v="2025-09-23T07:19:49" u="1"/>
        <d v="2025-09-23T07:24:19" u="1"/>
        <d v="2025-09-23T07:24:20" u="1"/>
        <d v="2025-09-23T07:25:49" u="1"/>
        <d v="2025-09-23T07:25:50" u="1"/>
        <d v="2025-09-23T07:25:51" u="1"/>
        <d v="2025-09-23T07:27:19" u="1"/>
        <d v="2025-09-23T07:27:20" u="1"/>
        <d v="2025-09-23T07:27:21" u="1"/>
        <d v="2025-09-23T07:34:59" u="1"/>
        <d v="2025-09-23T07:35:00" u="1"/>
        <d v="2025-09-23T07:36:19" u="1"/>
        <d v="2025-09-23T07:37:59" u="1"/>
        <d v="2025-09-23T07:38:00" u="1"/>
        <d v="2025-09-23T07:38:59" u="1"/>
        <d v="2025-09-23T07:42:09" u="1"/>
        <d v="2025-09-23T07:50:19" u="1"/>
        <d v="2025-09-23T07:50:20" u="1"/>
        <d v="2025-09-23T07:52:01" u="1"/>
        <d v="2025-09-23T07:52:29" u="1"/>
        <d v="2025-09-23T07:54:09" u="1"/>
        <d v="2025-09-23T08:02:09" u="1"/>
        <d v="2025-09-23T08:06:19" u="1"/>
        <d v="2025-09-23T08:06:20" u="1"/>
        <d v="2025-09-23T08:18:39" u="1"/>
        <d v="2025-09-23T08:21:19" u="1"/>
        <d v="2025-09-23T08:21:20" u="1"/>
        <d v="2025-09-23T08:21:21" u="1"/>
        <d v="2025-09-23T08:22:09" u="1"/>
        <d v="2025-09-23T08:30:29" u="1"/>
        <d v="2025-09-23T08:30:39" u="1"/>
        <d v="2025-09-23T08:30:40" u="1"/>
        <d v="2025-09-23T08:30:41" u="1"/>
        <d v="2025-09-23T08:31:09" u="1"/>
        <d v="2025-09-23T08:34:59" u="1"/>
        <d v="2025-09-23T08:35:00" u="1"/>
        <d v="2025-09-23T08:47:09" u="1"/>
        <d v="2025-09-23T08:47:10" u="1"/>
        <d v="2025-09-23T08:47:11" u="1"/>
        <d v="2025-09-23T08:48:09" u="1"/>
        <d v="2025-09-23T08:49:59" u="1"/>
        <d v="2025-09-23T08:50:00" u="1"/>
        <d v="2025-09-23T08:54:09" u="1"/>
        <d v="2025-09-23T08:55:09" u="1"/>
        <d v="2025-09-23T08:56:09" u="1"/>
        <d v="2025-09-23T08:56:10" u="1"/>
        <d v="2025-09-23T09:03:59" u="1"/>
        <d v="2025-09-23T09:04:00" u="1"/>
        <d v="2025-09-23T09:06:19" u="1"/>
        <d v="2025-09-23T09:08:19" u="1"/>
        <d v="2025-09-23T09:09:39" u="1"/>
        <d v="2025-09-23T09:09:40" u="1"/>
        <d v="2025-09-23T09:09:41" u="1"/>
        <d v="2025-09-23T09:13:19" u="1"/>
        <d v="2025-09-23T09:18:19" u="1"/>
        <d v="2025-09-23T09:18:20" u="1"/>
        <d v="2025-09-23T09:18:21" u="1"/>
        <d v="2025-09-23T09:18:29" u="1"/>
        <d v="2025-09-23T09:19:09" u="1"/>
        <d v="2025-09-23T09:19:10" u="1"/>
        <d v="2025-09-23T09:20:19" u="1"/>
        <d v="2025-09-23T09:21:39" u="1"/>
        <d v="2025-09-23T09:23:19" u="1"/>
        <d v="2025-09-23T09:23:59" u="1"/>
        <d v="2025-09-23T09:24:29" u="1"/>
        <d v="2025-09-23T09:26:00" u="1"/>
        <d v="2025-09-23T09:28:09" u="1"/>
        <d v="2025-09-23T09:29:29" u="1"/>
        <d v="2025-09-23T09:31:09" u="1"/>
        <d v="2025-09-23T09:31:19" u="1"/>
        <d v="2025-09-23T09:31:39" u="1"/>
        <d v="2025-09-23T09:32:39" u="1"/>
        <d v="2025-09-23T09:35:59" u="1"/>
        <d v="2025-09-23T09:38:09" u="1"/>
        <d v="2025-09-23T09:44:39" u="1"/>
        <d v="2025-09-23T09:46:19" u="1"/>
        <d v="2025-09-23T09:47:29" u="1"/>
        <d v="2025-09-23T09:47:30" u="1"/>
        <d v="2025-09-23T09:47:31" u="1"/>
        <d v="2025-09-23T09:48:09" u="1"/>
        <d v="2025-09-23T09:48:59" u="1"/>
        <d v="2025-09-23T09:50:29" u="1"/>
        <d v="2025-09-23T09:50:59" u="1"/>
        <d v="2025-09-23T09:51:59" u="1"/>
        <d v="2025-09-23T09:52:19" u="1"/>
        <d v="2025-09-23T09:54:39" u="1"/>
        <d v="2025-09-23T10:00:00" u="1"/>
        <d v="2025-09-23T10:01:00" u="1"/>
        <d v="2025-09-23T10:01:09" u="1"/>
        <d v="2025-09-23T10:04:09" u="1"/>
        <d v="2025-09-23T10:05:09" u="1"/>
        <d v="2025-09-23T10:06:19" u="1"/>
        <d v="2025-09-23T10:06:29" u="1"/>
        <d v="2025-09-23T10:10:09" u="1"/>
        <d v="2025-09-23T10:12:19" u="1"/>
        <d v="2025-09-23T10:14:49" u="1"/>
        <d v="2025-09-23T10:17:19" u="1"/>
        <d v="2025-09-23T10:17:20" u="1"/>
        <d v="2025-09-23T10:17:21" u="1"/>
        <d v="2025-09-23T10:21:09" u="1"/>
        <d v="2025-09-23T10:21:10" u="1"/>
        <d v="2025-09-23T10:23:49" u="1"/>
        <d v="2025-09-23T10:25:29" u="1"/>
        <d v="2025-09-23T10:25:39" u="1"/>
        <d v="2025-09-23T10:25:40" u="1"/>
        <d v="2025-09-23T10:25:41" u="1"/>
        <d v="2025-09-23T10:27:29" u="1"/>
        <d v="2025-09-23T10:27:39" u="1"/>
        <d v="2025-09-23T10:27:40" u="1"/>
        <d v="2025-09-23T10:31:09" u="1"/>
        <d v="2025-09-23T10:31:29" u="1"/>
        <d v="2025-09-23T10:31:30" u="1"/>
        <d v="2025-09-23T10:31:31" u="1"/>
        <d v="2025-09-23T10:34:09" u="1"/>
        <d v="2025-09-23T10:34:10" u="1"/>
        <d v="2025-09-23T10:39:00" u="1"/>
        <d v="2025-09-23T10:39:09" u="1"/>
        <d v="2025-09-23T10:50:59" u="1"/>
        <d v="2025-09-23T10:52:29" u="1"/>
        <d v="2025-09-23T10:52:30" u="1"/>
        <d v="2025-09-23T10:52:31" u="1"/>
        <d v="2025-09-23T10:54:29" u="1"/>
        <d v="2025-09-23T10:55:09" u="1"/>
        <d v="2025-09-23T10:55:19" u="1"/>
        <d v="2025-09-23T10:56:39" u="1"/>
        <d v="2025-09-23T10:56:40" u="1"/>
        <d v="2025-09-23T10:56:41" u="1"/>
        <d v="2025-09-23T10:56:49" u="1"/>
        <d v="2025-09-23T10:57:59" u="1"/>
        <d v="2025-09-23T10:58:00" u="1"/>
        <d v="2025-09-23T11:00:09" u="1"/>
        <d v="2025-09-23T11:01:19" u="1"/>
        <d v="2025-09-23T11:06:29" u="1"/>
        <d v="2025-09-23T11:09:09" u="1"/>
        <d v="2025-09-23T11:09:19" u="1"/>
        <d v="2025-09-23T11:09:20" u="1"/>
        <d v="2025-09-23T11:23:19" u="1"/>
        <d v="2025-09-23T11:23:29" u="1"/>
        <d v="2025-09-23T11:24:09" u="1"/>
        <d v="2025-09-23T11:24:10" u="1"/>
        <d v="2025-09-23T11:25:18" u="1"/>
        <d v="2025-09-23T11:26:48" u="1"/>
        <d v="2025-09-23T11:26:49" u="1"/>
        <d v="2025-09-23T11:26:50" u="1"/>
        <d v="2025-09-23T11:48:28" u="1"/>
        <d v="2025-09-23T11:48:29" u="1"/>
        <d v="2025-09-23T11:50:38" u="1"/>
        <d v="2025-09-23T11:50:48" u="1"/>
        <d v="2025-09-23T11:52:18" u="1"/>
        <d v="2025-09-23T11:52:19" u="1"/>
        <d v="2025-09-23T11:52:20" u="1"/>
        <d v="2025-09-23T11:52:21" u="1"/>
        <d v="2025-09-23T12:01:58" u="1"/>
        <d v="2025-09-23T12:01:59" u="1"/>
        <d v="2025-09-23T12:02:00" u="1"/>
        <d v="2025-09-23T12:06:08" u="1"/>
        <d v="2025-09-23T12:06:09" u="1"/>
        <d v="2025-09-23T12:08:08" u="1"/>
        <d v="2025-09-23T12:11:18" u="1"/>
        <d v="2025-09-23T12:11:19" u="1"/>
        <d v="2025-09-23T12:17:58" u="1"/>
        <d v="2025-09-23T12:17:59" u="1"/>
        <d v="2025-09-23T12:19:18" u="1"/>
        <d v="2025-09-23T12:19:19" u="1"/>
        <d v="2025-09-23T12:25:08" u="1"/>
        <d v="2025-09-23T12:44:38" u="1"/>
        <d v="2025-09-23T12:44:39" u="1"/>
        <d v="2025-09-23T12:44:40" u="1"/>
        <d v="2025-09-23T12:45:48" u="1"/>
        <d v="2025-09-23T12:45:58" u="1"/>
        <d v="2025-09-23T12:52:48" u="1"/>
        <d v="2025-09-23T12:52:49" u="1"/>
        <d v="2025-09-23T12:56:08" u="1"/>
        <d v="2025-09-23T12:56:28" u="1"/>
        <d v="2025-09-23T12:56:29" u="1"/>
        <d v="2025-09-23T12:56:38" u="1"/>
        <d v="2025-09-23T13:01:28" u="1"/>
        <d v="2025-09-23T13:12:48" u="1"/>
        <d v="2025-09-23T13:13:08" u="1"/>
        <d v="2025-09-23T13:13:09" u="1"/>
        <d v="2025-09-23T13:18:08" u="1"/>
        <d v="2025-09-23T13:18:38" u="1"/>
        <d v="2025-09-23T13:18:39" u="1"/>
        <d v="2025-09-23T13:20:28" u="1"/>
        <d v="2025-09-23T13:20:29" u="1"/>
        <d v="2025-09-23T13:20:48" u="1"/>
        <d v="2025-09-23T13:21:58" u="1"/>
        <d v="2025-09-23T13:22:08" u="1"/>
        <d v="2025-09-23T13:22:09" u="1"/>
        <d v="2025-09-23T13:30:28" u="1"/>
        <d v="2025-09-23T13:33:18" u="1"/>
        <d v="2025-09-23T13:33:19" u="1"/>
        <d v="2025-09-23T13:39:58" u="1"/>
        <d v="2025-09-23T13:39:59" u="1"/>
        <d v="2025-09-23T13:41:08" u="1"/>
        <d v="2025-09-23T13:41:09" u="1"/>
        <d v="2025-09-23T13:41:10" u="1"/>
        <d v="2025-09-23T13:41:18" u="1"/>
        <d v="2025-09-23T13:41:19" u="1"/>
        <d v="2025-09-23T13:42:48" u="1"/>
        <d v="2025-09-23T13:42:49" u="1"/>
        <d v="2025-09-23T13:42:50" u="1"/>
        <d v="2025-09-23T13:45:48" u="1"/>
        <d v="2025-09-23T13:45:49" u="1"/>
        <d v="2025-09-23T13:48:18" u="1"/>
        <d v="2025-09-23T13:48:58" u="1"/>
        <d v="2025-09-23T13:48:59" u="1"/>
        <d v="2025-09-23T13:49:00" u="1"/>
        <d v="2025-09-23T13:49:01" u="1"/>
        <d v="2025-09-23T13:49:08" u="1"/>
        <d v="2025-09-23T13:58:08" u="1"/>
        <d v="2025-09-23T13:59:03" u="1"/>
        <d v="2025-09-23T13:59:18" u="1"/>
        <d v="2025-09-23T14:00:08" u="1"/>
        <d v="2025-09-23T14:01:08" u="1"/>
        <d v="2025-09-23T14:01:09" u="1"/>
        <d v="2025-09-23T14:02:28" u="1"/>
        <d v="2025-09-23T14:04:28" u="1"/>
        <d v="2025-09-23T14:04:29" u="1"/>
        <d v="2025-09-23T14:04:30" u="1"/>
        <d v="2025-09-23T14:04:38" u="1"/>
        <d v="2025-09-23T14:04:39" u="1"/>
        <d v="2025-09-23T14:05:58" u="1"/>
        <d v="2025-09-23T14:05:59" u="1"/>
        <d v="2025-09-23T14:10:08" u="1"/>
        <d v="2025-09-23T14:10:09" u="1"/>
        <d v="2025-09-23T14:24:08" u="1"/>
        <d v="2025-09-23T14:24:18" u="1"/>
        <d v="2025-09-23T14:24:19" u="1"/>
        <d v="2025-09-23T14:28:08" u="1"/>
        <d v="2025-09-23T14:28:09" u="1"/>
        <d v="2025-09-23T14:28:10" u="1"/>
        <d v="2025-09-23T14:28:11" u="1"/>
        <d v="2025-09-23T14:30:48" u="1"/>
        <d v="2025-09-23T14:33:08" u="1"/>
        <d v="2025-09-23T14:39:08" u="1"/>
        <d v="2025-09-23T14:40:48" u="1"/>
        <d v="2025-09-23T14:42:08" u="1"/>
        <d v="2025-09-23T14:45:08" u="1"/>
        <d v="2025-09-23T14:45:09" u="1"/>
        <d v="2025-09-23T14:45:10" u="1"/>
        <d v="2025-09-23T14:45:11" u="1"/>
        <d v="2025-09-23T14:45:18" u="1"/>
        <d v="2025-09-23T14:45:48" u="1"/>
        <d v="2025-09-23T15:02:18" u="1"/>
        <d v="2025-09-23T15:07:28" u="1"/>
        <d v="2025-09-23T15:07:29" u="1"/>
        <d v="2025-09-23T15:07:48" u="1"/>
        <d v="2025-09-23T15:07:49" u="1"/>
        <d v="2025-09-23T15:07:50" u="1"/>
        <d v="2025-09-23T15:25:58" u="1"/>
        <d v="2025-09-23T15:25:59" u="1"/>
        <d v="2025-09-23T15:26:58" u="1"/>
        <d v="2025-09-23T15:29:28" u="1"/>
        <d v="2025-09-23T15:31:28" u="1"/>
        <d v="2025-09-23T15:33:08" u="1"/>
        <d v="2025-09-23T15:35:48" u="1"/>
        <d v="2025-09-23T15:35:49" u="1"/>
        <d v="2025-09-23T15:35:50" u="1"/>
        <d v="2025-09-23T15:38:28" u="1"/>
        <d v="2025-09-23T15:38:38" u="1"/>
        <d v="2025-09-23T15:38:39" u="1"/>
        <d v="2025-09-23T15:39:58" u="1"/>
        <d v="2025-09-23T15:40:59" u="1"/>
        <d v="2025-09-23T15:41:58" u="1"/>
        <d v="2025-09-23T15:43:08" u="1"/>
        <d v="2025-09-23T15:53:08" u="1"/>
        <d v="2025-09-23T15:58:08" u="1"/>
        <d v="2025-09-23T16:03:08" u="1"/>
        <d v="2025-09-23T16:20:38" u="1"/>
        <d v="2025-09-23T16:20:48" u="1"/>
        <d v="2025-09-23T16:21:08" u="1"/>
        <d v="2025-09-23T16:21:09" u="1"/>
        <d v="2025-09-23T16:21:10" u="1"/>
        <d v="2025-09-23T16:27:28" u="1"/>
        <d v="2025-09-23T16:27:29" u="1"/>
        <d v="2025-09-23T16:35:08" u="1"/>
        <d v="2025-09-23T16:36:28" u="1"/>
        <d v="2025-09-23T16:37:38" u="1"/>
        <d v="2025-09-23T16:37:39" u="1"/>
        <d v="2025-09-23T16:37:40" u="1"/>
        <d v="2025-09-23T16:41:08" u="1"/>
        <d v="2025-09-23T16:46:28" u="1"/>
        <d v="2025-09-23T16:46:48" u="1"/>
        <d v="2025-09-23T16:50:38" u="1"/>
        <d v="2025-09-23T16:50:39" u="1"/>
        <d v="2025-09-23T16:50:40" u="1"/>
        <d v="2025-09-23T16:50:58" u="1"/>
        <d v="2025-09-23T16:52:28" u="1"/>
        <d v="2025-09-23T16:52:29" u="1"/>
        <d v="2025-09-23T16:52:30" u="1"/>
        <d v="2025-09-23T16:53:38" u="1"/>
        <d v="2025-09-23T16:57:38" u="1"/>
        <d v="2025-09-23T16:58:08" u="1"/>
        <d v="2025-09-23T16:58:09" u="1"/>
        <d v="2025-09-23T17:02:38" u="1"/>
        <d v="2025-09-23T17:02:39" u="1"/>
        <d v="2025-09-23T17:02:58" u="1"/>
        <d v="2025-09-23T17:05:08" u="1"/>
        <d v="2025-09-23T17:06:18" u="1"/>
        <d v="2025-09-23T17:06:19" u="1"/>
        <d v="2025-09-23T17:06:20" u="1"/>
        <d v="2025-09-23T17:15:08" u="1"/>
        <d v="2025-09-23T17:16:58" u="1"/>
        <d v="2025-09-23T17:16:59" u="1"/>
        <d v="2025-09-23T17:17:00" u="1"/>
        <d v="2025-09-23T17:25:08" u="1"/>
        <d v="2025-09-23T17:26:58" u="1"/>
        <d v="2025-09-23T17:26:59" u="1"/>
        <d v="2025-09-23T17:27:00" u="1"/>
        <d v="2025-09-23T17:27:28" u="1"/>
        <d v="2025-09-23T17:28:48" u="1"/>
        <d v="2025-09-23T17:30:58" u="1"/>
        <d v="2025-09-23T17:30:59" u="1"/>
        <d v="2025-09-23T17:34:08" u="1"/>
        <d v="2025-09-23T17:36:48" u="1"/>
        <d v="2025-09-23T17:37:28" u="1"/>
        <d v="2025-09-23T17:37:58" u="1"/>
        <d v="2025-09-23T17:40:08" u="1"/>
        <d v="2025-09-23T17:41:18" u="1"/>
        <d v="2025-09-23T17:45:28" u="1"/>
        <d v="2025-09-23T17:46:28" u="1"/>
        <d v="2025-09-23T17:46:29" u="1"/>
        <d v="2025-09-23T17:46:30" u="1"/>
        <d v="2025-09-23T17:50:37" u="1"/>
        <d v="2025-09-23T17:50:47" u="1"/>
        <d v="2025-09-23T17:50:48" u="1"/>
        <d v="2025-09-23T17:53:17" u="1"/>
        <d v="2025-09-23T17:53:18" u="1"/>
        <d v="2025-09-23T17:55:58" u="1"/>
        <d v="2025-09-23T17:57:17" u="1"/>
        <d v="2025-09-23T17:57:37" u="1"/>
        <d v="2025-09-23T17:58:47" u="1"/>
        <d v="2025-09-23T18:00:02" u="1"/>
        <d v="2025-09-23T18:00:38" u="1"/>
        <d v="2025-09-23T18:00:39" u="1"/>
        <d v="2025-09-23T18:00:40" u="1"/>
        <d v="2025-09-23T18:02:27" u="1"/>
        <d v="2025-09-23T18:02:28" u="1"/>
        <d v="2025-09-23T18:05:07" u="1"/>
        <d v="2025-09-23T18:06:47" u="1"/>
        <d v="2025-09-23T18:06:48" u="1"/>
        <d v="2025-09-23T18:15:47" u="1"/>
        <d v="2025-09-23T18:15:48" u="1"/>
        <d v="2025-09-23T18:16:07" u="1"/>
        <d v="2025-09-23T18:16:08" u="1"/>
        <d v="2025-09-23T18:16:17" u="1"/>
        <d v="2025-09-23T18:16:27" u="1"/>
        <d v="2025-09-23T18:16:28" u="1"/>
        <d v="2025-09-23T18:20:37" u="1"/>
        <d v="2025-09-23T18:20:38" u="1"/>
        <d v="2025-09-23T18:20:39" u="1"/>
        <d v="2025-09-23T18:20:47" u="1"/>
        <d v="2025-09-23T18:20:48" u="1"/>
        <d v="2025-09-23T18:21:07" u="1"/>
        <d v="2025-09-23T18:21:08" u="1"/>
        <d v="2025-09-23T18:25:17" u="1"/>
        <d v="2025-09-23T18:25:37" u="1"/>
        <d v="2025-09-23T18:25:38" u="1"/>
        <d v="2025-09-23T18:25:58" u="1"/>
        <d v="2025-09-23T18:30:07" u="1"/>
        <d v="2025-09-23T18:30:08" u="1"/>
        <d v="2025-09-23T18:30:47" u="1"/>
        <d v="2025-09-23T18:31:17" u="1"/>
        <d v="2025-09-23T18:31:18" u="1"/>
        <d v="2025-09-23T18:31:19" u="1"/>
        <d v="2025-09-23T18:31:27" u="1"/>
        <d v="2025-09-23T18:31:28" u="1"/>
        <d v="2025-09-23T18:36:57" u="1"/>
        <d v="2025-09-23T18:36:58" u="1"/>
        <d v="2025-09-23T18:42:07" u="1"/>
        <d v="2025-09-23T18:45:57" u="1"/>
        <d v="2025-09-23T18:45:58" u="1"/>
        <d v="2025-09-23T18:47:17" u="1"/>
        <d v="2025-09-23T18:47:18" u="1"/>
        <d v="2025-09-23T18:49:37" u="1"/>
        <d v="2025-09-23T18:49:38" u="1"/>
        <d v="2025-09-23T18:53:17" u="1"/>
        <d v="2025-09-23T18:53:18" u="1"/>
        <d v="2025-09-23T18:53:19" u="1"/>
        <d v="2025-09-23T18:54:37" u="1"/>
        <d v="2025-09-23T18:54:38" u="1"/>
        <d v="2025-09-23T18:56:37" u="1"/>
        <d v="2025-09-23T18:57:37" u="1"/>
        <d v="2025-09-23T19:00:27" u="1"/>
        <d v="2025-09-23T19:07:57" u="1"/>
        <d v="2025-09-23T19:07:58" u="1"/>
        <d v="2025-09-23T19:15:17" u="1"/>
        <d v="2025-09-23T19:15:18" u="1"/>
        <d v="2025-09-23T19:17:57" u="1"/>
        <d v="2025-09-23T19:17:58" u="1"/>
        <d v="2025-09-23T19:25:27" u="1"/>
        <d v="2025-09-23T19:25:28" u="1"/>
        <d v="2025-09-23T19:30:37" u="1"/>
        <d v="2025-09-23T19:30:38" u="1"/>
        <d v="2025-09-23T19:31:47" u="1"/>
        <d v="2025-09-23T19:31:48" u="1"/>
        <d v="2025-09-23T19:31:49" u="1"/>
        <d v="2025-09-23T19:31:50" u="1"/>
        <d v="2025-09-23T19:33:17" u="1"/>
        <d v="2025-09-23T19:33:18" u="1"/>
        <d v="2025-09-23T19:33:58" u="1"/>
        <d v="2025-09-23T19:38:37" u="1"/>
        <d v="2025-09-23T19:43:27" u="1"/>
        <d v="2025-09-23T19:44:37" u="1"/>
        <d v="2025-09-23T19:44:38" u="1"/>
        <d v="2025-09-23T19:44:39" u="1"/>
        <d v="2025-09-23T19:45:57" u="1"/>
        <d v="2025-09-23T19:45:58" u="1"/>
        <d v="2025-09-23T19:50:07" u="1"/>
        <d v="2025-09-23T19:52:27" u="1"/>
        <d v="2025-09-23T19:52:37" u="1"/>
        <d v="2025-09-23T19:52:38" u="1"/>
        <d v="2025-09-23T19:52:39" u="1"/>
        <d v="2025-09-23T19:52:40" u="1"/>
        <d v="2025-09-23T19:55:57" u="1"/>
        <d v="2025-09-23T19:55:58" u="1"/>
        <d v="2025-09-23T20:04:07" u="1"/>
        <d v="2025-09-23T20:07:17" u="1"/>
        <d v="2025-09-23T20:09:27" u="1"/>
        <d v="2025-09-23T20:09:47" u="1"/>
        <d v="2025-09-23T20:09:48" u="1"/>
        <d v="2025-09-23T20:13:07" u="1"/>
        <d v="2025-09-23T20:14:27" u="1"/>
        <d v="2025-09-23T20:14:28" u="1"/>
        <d v="2025-09-23T20:14:29" u="1"/>
        <d v="2025-09-23T20:14:57" u="1"/>
        <d v="2025-09-23T20:18:37" u="1"/>
        <d v="2025-09-23T20:20:57" u="1"/>
        <d v="2025-09-23T20:20:58" u="1"/>
        <d v="2025-09-23T20:23:58" u="1"/>
        <d v="2025-09-23T20:27:17" u="1"/>
        <d v="2025-09-23T20:27:18" u="1"/>
        <d v="2025-09-23T20:28:37" u="1"/>
        <d v="2025-09-23T20:28:38" u="1"/>
        <d v="2025-09-23T20:28:39" u="1"/>
        <d v="2025-09-23T20:31:57" u="1"/>
        <d v="2025-09-23T20:31:58" u="1"/>
        <d v="2025-09-23T20:33:17" u="1"/>
        <d v="2025-09-23T20:36:07" u="1"/>
        <d v="2025-09-23T20:40:07" u="1"/>
        <d v="2025-09-23T20:40:08" u="1"/>
        <d v="2025-09-23T20:40:09" u="1"/>
        <d v="2025-09-23T20:45:47" u="1"/>
        <d v="2025-09-23T20:47:57" u="1"/>
        <d v="2025-09-23T20:47:58" u="1"/>
        <d v="2025-09-23T20:49:17" u="1"/>
        <d v="2025-09-23T20:50:57" u="1"/>
        <d v="2025-09-23T20:56:17" u="1"/>
        <d v="2025-09-23T21:04:59" u="1"/>
        <d v="2025-09-23T21:09:57" u="1"/>
        <d v="2025-09-23T21:09:58" u="1"/>
        <d v="2025-09-23T21:14:07" u="1"/>
        <d v="2025-09-23T21:15:47" u="1"/>
        <d v="2025-09-23T21:17:07" u="1"/>
        <d v="2025-09-23T21:17:08" u="1"/>
        <d v="2025-09-23T21:17:09" u="1"/>
        <d v="2025-09-23T21:21:37" u="1"/>
        <d v="2025-09-23T21:24:37" u="1"/>
        <d v="2025-09-23T21:25:47" u="1"/>
        <d v="2025-09-23T21:25:48" u="1"/>
        <d v="2025-09-23T21:25:49" u="1"/>
        <d v="2025-09-23T21:27:57" u="1"/>
        <d v="2025-09-23T21:27:58" u="1"/>
        <d v="2025-09-23T21:33:57" u="1"/>
        <d v="2025-09-23T21:35:07" u="1"/>
        <d v="2025-09-23T21:36:47" u="1"/>
        <d v="2025-09-23T21:41:17" u="1"/>
        <d v="2025-09-23T21:41:27" u="1"/>
        <d v="2025-09-23T21:41:28" u="1"/>
        <d v="2025-09-23T21:41:29" u="1"/>
        <d v="2025-09-23T21:41:57" u="1"/>
        <d v="2025-09-23T21:41:58" u="1"/>
        <d v="2025-09-23T21:44:07" u="1"/>
        <d v="2025-09-23T21:52:37" u="1"/>
        <d v="2025-09-23T21:54:37" u="1"/>
        <d v="2025-09-23T21:54:38" u="1"/>
        <d v="2025-09-23T21:54:39" u="1"/>
        <d v="2025-09-23T21:57:15" u="1"/>
        <d v="2025-09-23T21:57:57" u="1"/>
        <d v="2025-09-23T21:59:07" u="1"/>
        <d v="2025-09-23T22:00:15" u="1"/>
        <d v="2025-09-23T22:01:57" u="1"/>
        <d v="2025-09-23T22:01:58" u="1"/>
        <d v="2025-09-23T22:02:17" u="1"/>
        <d v="2025-09-23T22:07:07" u="1"/>
        <d v="2025-09-23T22:09:27" u="1"/>
        <d v="2025-09-23T22:09:28" u="1"/>
        <d v="2025-09-23T22:09:37" u="1"/>
        <d v="2025-09-23T22:12:07" u="1"/>
        <d v="2025-09-23T22:12:08" u="1"/>
        <d v="2025-09-23T22:19:27" u="1"/>
        <d v="2025-09-23T22:25:07" u="1"/>
        <d v="2025-09-23T22:26:27" u="1"/>
        <d v="2025-09-23T22:26:28" u="1"/>
        <d v="2025-09-23T22:26:29" u="1"/>
        <d v="2025-09-23T22:27:57" u="1"/>
        <d v="2025-09-23T22:33:58" u="1"/>
        <d v="2025-09-23T22:35:07" u="1"/>
        <d v="2025-09-23T22:43:37" u="1"/>
        <d v="2025-09-23T22:56:07" u="1"/>
        <d v="2025-09-23T22:58:07" u="1"/>
        <d v="2025-09-23T23:06:57" u="1"/>
        <d v="2025-09-23T23:12:07" u="1"/>
        <d v="2025-09-23T23:16:17" u="1"/>
        <d v="2025-09-23T23:19:07" u="1"/>
        <d v="2025-09-23T23:20:17" u="1"/>
        <d v="2025-09-23T23:20:18" u="1"/>
        <d v="2025-09-23T23:20:19" u="1"/>
        <d v="2025-09-23T23:22:37" u="1"/>
        <d v="2025-09-23T23:33:47" u="1"/>
        <d v="2025-09-23T23:35:17" u="1"/>
        <d v="2025-09-23T23:35:18" u="1"/>
        <d v="2025-09-23T23:44:07" u="1"/>
        <d v="2025-09-23T23:46:16" u="1"/>
        <d v="2025-09-23T23:46:17" u="1"/>
        <d v="2025-09-23T23:47:58" u="1"/>
        <d v="2025-09-23T23:48:07" u="1"/>
        <d v="2025-09-23T23:51:07" u="1"/>
        <d v="2025-09-23T23:51:57" u="1"/>
        <d v="2025-09-23T23:51:58" u="1"/>
        <d v="2025-09-23T23:51:59" u="1"/>
        <d v="2025-09-23T23:52:46" u="1"/>
        <d v="2025-09-23T23:55:57" u="1"/>
        <d v="2025-09-23T23:56:17" u="1"/>
        <d v="2025-09-23T23:56:18" u="1"/>
        <d v="2025-09-23T23:56:36" u="1"/>
        <d v="2025-09-24T00:00:16" u="1"/>
        <d v="2025-09-24T00:02:07" u="1"/>
        <d v="2025-09-24T00:03:37" u="1"/>
        <d v="2025-09-24T00:03:38" u="1"/>
        <d v="2025-09-24T00:07:06" u="1"/>
        <d v="2025-09-24T00:07:07" u="1"/>
        <d v="2025-09-24T00:15:47" u="1"/>
        <d v="2025-09-24T00:17:26" u="1"/>
        <d v="2025-09-24T00:17:27" u="1"/>
        <d v="2025-09-24T00:17:28" u="1"/>
        <d v="2025-09-24T00:17:29" u="1"/>
        <d v="2025-09-24T00:22:27" u="1"/>
        <d v="2025-09-24T00:25:57" u="1"/>
        <d v="2025-09-24T00:28:07" u="1"/>
        <d v="2025-09-24T00:31:57" u="1"/>
        <d v="2025-09-24T00:31:58" u="1"/>
        <d v="2025-09-24T00:31:59" u="1"/>
        <d v="2025-09-24T00:38:16" u="1"/>
        <d v="2025-09-24T00:38:17" u="1"/>
        <d v="2025-09-24T00:38:36" u="1"/>
        <d v="2025-09-24T00:38:37" u="1"/>
        <d v="2025-09-24T00:38:38" u="1"/>
        <d v="2025-09-24T00:38:39" u="1"/>
        <d v="2025-09-24T00:44:56" u="1"/>
        <d v="2025-09-24T00:44:57" u="1"/>
        <d v="2025-09-24T00:44:58" u="1"/>
        <d v="2025-09-24T00:46:58" u="1"/>
        <d v="2025-09-24T00:48:06" u="1"/>
        <d v="2025-09-24T00:48:07" u="1"/>
        <d v="2025-09-24T00:55:36" u="1"/>
        <d v="2025-09-24T00:55:37" u="1"/>
        <d v="2025-09-24T00:57:26" u="1"/>
        <d v="2025-09-24T00:57:27" u="1"/>
        <d v="2025-09-24T00:57:28" u="1"/>
        <d v="2025-09-24T00:57:29" u="1"/>
        <d v="2025-09-24T01:08:46" u="1"/>
        <d v="2025-09-24T01:08:47" u="1"/>
        <d v="2025-09-24T01:18:26" u="1"/>
        <d v="2025-09-24T01:18:27" u="1"/>
        <d v="2025-09-24T01:18:28" u="1"/>
        <d v="2025-09-24T01:18:29" u="1"/>
        <d v="2025-09-24T01:19:56" u="1"/>
        <d v="2025-09-24T01:19:57" u="1"/>
        <d v="2025-09-24T01:27:06" u="1"/>
        <d v="2025-09-24T01:27:26" u="1"/>
        <d v="2025-09-24T01:27:27" u="1"/>
        <d v="2025-09-24T01:28:16" u="1"/>
        <d v="2025-09-24T01:28:17" u="1"/>
        <d v="2025-09-24T01:28:18" u="1"/>
        <d v="2025-09-24T01:28:19" u="1"/>
        <d v="2025-09-24T01:29:16" u="1"/>
        <d v="2025-09-24T01:30:36" u="1"/>
        <d v="2025-09-24T01:30:37" u="1"/>
        <d v="2025-09-24T01:32:56" u="1"/>
        <d v="2025-09-24T01:32:57" u="1"/>
        <d v="2025-09-24T01:36:06" u="1"/>
        <d v="2025-09-24T01:37:36" u="1"/>
        <d v="2025-09-24T01:38:06" u="1"/>
        <d v="2025-09-24T01:38:26" u="1"/>
        <d v="2025-09-24T01:38:36" u="1"/>
        <d v="2025-09-24T01:38:37" u="1"/>
        <d v="2025-09-24T01:39:16" u="1"/>
        <d v="2025-09-24T01:39:17" u="1"/>
        <d v="2025-09-24T01:39:18" u="1"/>
        <d v="2025-09-24T01:47:06" u="1"/>
        <d v="2025-09-24T01:47:07" u="1"/>
        <d v="2025-09-24T01:49:56" u="1"/>
        <d v="2025-09-24T01:49:57" u="1"/>
        <d v="2025-09-24T01:56:06" u="1"/>
        <d v="2025-09-24T01:59:36" u="1"/>
        <d v="2025-09-24T01:59:37" u="1"/>
        <d v="2025-09-24T01:59:38" u="1"/>
        <d v="2025-09-24T01:59:46" u="1"/>
        <d v="2025-09-24T01:59:47" u="1"/>
        <d v="2025-09-24T02:08:36" u="1"/>
        <d v="2025-09-24T02:08:37" u="1"/>
        <d v="2025-09-24T02:09:06" u="1"/>
        <d v="2025-09-24T02:09:07" u="1"/>
        <d v="2025-09-24T02:09:08" u="1"/>
        <d v="2025-09-24T02:09:09" u="1"/>
        <d v="2025-09-24T02:13:16" u="1"/>
        <d v="2025-09-24T02:13:17" u="1"/>
        <d v="2025-09-24T02:45:36" u="1"/>
        <d v="2025-09-24T02:45:37" u="1"/>
        <d v="2025-09-24T02:46:06" u="1"/>
        <d v="2025-09-24T03:00:36" u="1"/>
        <d v="2025-09-24T03:00:37" u="1"/>
        <d v="2025-09-24T03:00:38" u="1"/>
        <d v="2025-09-24T03:03:06" u="1"/>
        <d v="2025-09-24T03:03:07" u="1"/>
        <d v="2025-09-24T03:03:46" u="1"/>
        <d v="2025-09-24T03:07:00" u="1"/>
        <d v="2025-09-24T03:09:10" u="1"/>
        <d v="2025-09-24T03:09:20" u="1"/>
        <d v="2025-09-24T03:09:21" u="1"/>
        <d v="2025-09-24T03:09:22" u="1"/>
        <d v="2025-09-24T03:11:10" u="1"/>
        <d v="2025-09-24T03:11:50" u="1"/>
        <d v="2025-09-24T03:12:20" u="1"/>
        <d v="2025-09-24T03:12:21" u="1"/>
        <d v="2025-09-24T03:12:22" u="1"/>
        <d v="2025-09-24T03:17:30" u="1"/>
        <d v="2025-09-24T03:17:31" u="1"/>
        <d v="2025-09-24T03:17:32" u="1"/>
        <d v="2025-09-24T03:19:40" u="1"/>
        <d v="2025-09-24T03:20:10" u="1"/>
        <d v="2025-09-24T03:21:30" u="1"/>
        <d v="2025-09-24T03:21:31" u="1"/>
        <d v="2025-09-24T03:21:32" u="1"/>
        <d v="2025-09-24T03:25:20" u="1"/>
        <d v="2025-09-24T03:27:00" u="1"/>
        <d v="2025-09-24T03:28:20" u="1"/>
        <d v="2025-09-24T03:30:30" u="1"/>
        <d v="2025-09-24T03:31:20" u="1"/>
        <d v="2025-09-24T03:34:00" u="1"/>
        <d v="2025-09-24T03:38:10" u="1"/>
        <d v="2025-09-24T03:38:30" u="1"/>
        <d v="2025-09-24T03:40:10" u="1"/>
        <d v="2025-09-24T03:43:10" u="1"/>
        <d v="2025-09-24T03:43:50" u="1"/>
        <d v="2025-09-24T03:45:00" u="1"/>
        <d v="2025-09-24T03:47:20" u="1"/>
        <d v="2025-09-24T03:47:21" u="1"/>
        <d v="2025-09-24T03:47:22" u="1"/>
        <d v="2025-09-24T03:48:20" u="1"/>
        <d v="2025-09-24T03:55:40" u="1"/>
        <d v="2025-09-24T03:56:20" u="1"/>
        <d v="2025-09-24T03:56:21" u="1"/>
        <d v="2025-09-24T03:56:50" u="1"/>
        <d v="2025-09-24T04:01:10" u="1"/>
        <d v="2025-09-24T04:07:40" u="1"/>
        <d v="2025-09-24T04:08:19" u="1"/>
        <d v="2025-09-24T04:08:20" u="1"/>
        <d v="2025-09-24T04:09:19" u="1"/>
        <d v="2025-09-24T04:09:20" u="1"/>
        <d v="2025-09-24T04:10:00" u="1"/>
        <d v="2025-09-24T04:12:20" u="1"/>
        <d v="2025-09-24T04:20:09" u="1"/>
        <d v="2025-09-24T04:35:09" u="1"/>
        <d v="2025-09-24T04:35:10" u="1"/>
        <d v="2025-09-24T04:35:11" u="1"/>
        <d v="2025-09-24T04:35:12" u="1"/>
        <d v="2025-09-24T04:44:09" u="1"/>
        <d v="2025-09-24T04:44:10" u="1"/>
        <d v="2025-09-24T04:47:09" u="1"/>
        <d v="2025-09-24T04:51:09" u="1"/>
        <d v="2025-09-24T04:51:19" u="1"/>
        <d v="2025-09-24T04:51:29" u="1"/>
        <d v="2025-09-24T04:51:30" u="1"/>
        <d v="2025-09-24T04:53:39" u="1"/>
        <d v="2025-09-24T06:05:09" u="1"/>
        <d v="2025-09-24T06:05:10" u="1"/>
        <d v="2025-09-24T06:05:59" u="1"/>
        <d v="2025-09-24T06:06:09" u="1"/>
        <d v="2025-09-24T06:14:00" u="1"/>
        <d v="2025-09-24T06:15:59" u="1"/>
        <d v="2025-09-24T06:25:09" u="1"/>
        <d v="2025-09-24T06:30:09" u="1"/>
        <d v="2025-09-24T06:30:10" u="1"/>
        <d v="2025-09-24T06:30:11" u="1"/>
        <d v="2025-09-24T06:30:19" u="1"/>
        <d v="2025-09-24T06:33:09" u="1"/>
        <d v="2025-09-24T06:38:09" u="1"/>
        <d v="2025-09-24T06:39:49" u="1"/>
        <d v="2025-09-24T06:40:49" u="1"/>
        <d v="2025-09-24T06:40:50" u="1"/>
        <d v="2025-09-24T06:40:51" u="1"/>
        <d v="2025-09-24T07:09:29" u="1"/>
        <d v="2025-09-24T07:13:39" u="1"/>
        <d v="2025-09-24T07:13:40" u="1"/>
        <d v="2025-09-24T07:13:41" u="1"/>
        <d v="2025-09-24T07:13:42" u="1"/>
        <d v="2025-09-24T07:14:19" u="1"/>
        <d v="2025-09-24T07:14:20" u="1"/>
        <d v="2025-09-24T07:15:09" u="1"/>
        <d v="2025-09-24T07:17:00" u="1"/>
        <d v="2025-09-24T07:17:01" u="1"/>
        <d v="2025-09-24T07:37:39" u="1"/>
        <d v="2025-09-24T07:37:40" u="1"/>
        <d v="2025-09-24T07:40:29" u="1"/>
        <d v="2025-09-24T07:43:59" u="1"/>
        <d v="2025-09-24T07:44:00" u="1"/>
        <d v="2025-09-24T07:44:01" u="1"/>
        <d v="2025-09-24T07:48:19" u="1"/>
        <d v="2025-09-24T07:56:19" u="1"/>
        <d v="2025-09-24T07:58:49" u="1"/>
        <d v="2025-09-24T07:59:09" u="1"/>
        <d v="2025-09-24T07:59:59" u="1"/>
        <d v="2025-09-24T08:00:00" u="1"/>
        <d v="2025-09-24T08:00:02" u="1"/>
        <d v="2025-09-24T08:06:09" u="1"/>
        <d v="2025-09-24T08:06:39" u="1"/>
        <d v="2025-09-24T08:06:40" u="1"/>
        <d v="2025-09-24T08:06:41" u="1"/>
        <d v="2025-09-24T08:08:59" u="1"/>
        <d v="2025-09-24T08:11:49" u="1"/>
        <d v="2025-09-24T08:15:09" u="1"/>
        <d v="2025-09-24T08:15:10" u="1"/>
        <d v="2025-09-24T08:15:11" u="1"/>
        <d v="2025-09-24T08:15:39" u="1"/>
        <d v="2025-09-24T08:20:19" u="1"/>
        <d v="2025-09-24T08:20:29" u="1"/>
        <d v="2025-09-24T08:21:00" u="1"/>
        <d v="2025-09-24T08:25:29" u="1"/>
        <d v="2025-09-24T08:26:09" u="1"/>
        <d v="2025-09-24T08:28:09" u="1"/>
        <d v="2025-09-24T08:28:29" u="1"/>
        <d v="2025-09-24T08:28:30" u="1"/>
        <d v="2025-09-24T08:28:31" u="1"/>
        <d v="2025-09-24T08:28:39" u="1"/>
        <d v="2025-09-24T08:36:09" u="1"/>
        <d v="2025-09-24T08:37:59" u="1"/>
        <d v="2025-09-24T08:38:00" u="1"/>
        <d v="2025-09-24T08:43:59" u="1"/>
        <d v="2025-09-24T08:48:19" u="1"/>
        <d v="2025-09-24T08:53:09" u="1"/>
        <d v="2025-09-24T08:59:29" u="1"/>
        <d v="2025-09-24T09:00:49" u="1"/>
        <d v="2025-09-24T09:01:09" u="1"/>
        <d v="2025-09-24T09:01:10" u="1"/>
        <d v="2025-09-24T09:01:11" u="1"/>
        <d v="2025-09-24T09:02:59" u="1"/>
        <d v="2025-09-24T09:03:59" u="1"/>
        <d v="2025-09-24T09:04:00" u="1"/>
        <d v="2025-09-24T09:09:09" u="1"/>
        <d v="2025-09-24T09:09:19" u="1"/>
        <d v="2025-09-24T09:09:20" u="1"/>
        <d v="2025-09-24T09:09:21" u="1"/>
        <d v="2025-09-24T09:09:29" u="1"/>
        <d v="2025-09-24T09:12:19" u="1"/>
        <d v="2025-09-24T09:12:59" u="1"/>
        <d v="2025-09-24T09:13:00" u="1"/>
        <d v="2025-09-24T09:13:01" u="1"/>
        <d v="2025-09-24T09:15:02" u="1"/>
        <d v="2025-09-24T09:16:09" u="1"/>
        <d v="2025-09-24T09:18:09" u="1"/>
        <d v="2025-09-24T09:23:29" u="1"/>
        <d v="2025-09-24T09:27:09" u="1"/>
        <d v="2025-09-24T09:27:10" u="1"/>
        <d v="2025-09-24T09:27:11" u="1"/>
        <d v="2025-09-24T09:28:09" u="1"/>
        <d v="2025-09-24T09:31:09" u="1"/>
        <d v="2025-09-24T09:31:10" u="1"/>
        <d v="2025-09-24T09:34:09" u="1"/>
        <d v="2025-09-24T09:34:49" u="1"/>
        <d v="2025-09-24T09:35:19" u="1"/>
        <d v="2025-09-24T09:35:20" u="1"/>
        <d v="2025-09-24T09:35:21" u="1"/>
        <d v="2025-09-24T09:36:29" u="1"/>
        <d v="2025-09-24T09:38:19" u="1"/>
        <d v="2025-09-24T09:38:20" u="1"/>
        <d v="2025-09-24T09:38:29" u="1"/>
        <d v="2025-09-24T09:40:09" u="1"/>
        <d v="2025-09-24T09:40:19" u="1"/>
        <d v="2025-09-24T09:41:59" u="1"/>
        <d v="2025-09-24T09:42:59" u="1"/>
        <d v="2025-09-24T09:48:09" u="1"/>
        <d v="2025-09-24T09:50:29" u="1"/>
        <d v="2025-09-24T09:51:19" u="1"/>
        <d v="2025-09-24T09:52:19" u="1"/>
        <d v="2025-09-24T09:52:20" u="1"/>
        <d v="2025-09-24T09:53:19" u="1"/>
        <d v="2025-09-24T09:54:59" u="1"/>
        <d v="2025-09-24T09:55:19" u="1"/>
        <d v="2025-09-24T09:55:29" u="1"/>
        <d v="2025-09-24T09:55:59" u="1"/>
        <d v="2025-09-24T09:57:09" u="1"/>
        <d v="2025-09-24T10:01:39" u="1"/>
        <d v="2025-09-24T10:05:59" u="1"/>
        <d v="2025-09-24T10:06:00" u="1"/>
        <d v="2025-09-24T10:07:59" u="1"/>
        <d v="2025-09-24T10:08:19" u="1"/>
        <d v="2025-09-24T10:11:19" u="1"/>
        <d v="2025-09-24T10:11:20" u="1"/>
        <d v="2025-09-24T10:12:18" u="1"/>
        <d v="2025-09-24T10:16:09" u="1"/>
        <d v="2025-09-24T10:16:19" u="1"/>
        <d v="2025-09-24T10:16:20" u="1"/>
        <d v="2025-09-24T10:16:28" u="1"/>
        <d v="2025-09-24T10:16:29" u="1"/>
        <d v="2025-09-24T10:24:09" u="1"/>
        <d v="2025-09-24T10:24:10" u="1"/>
        <d v="2025-09-24T10:25:38" u="1"/>
        <d v="2025-09-24T10:26:58" u="1"/>
        <d v="2025-09-24T10:27:08" u="1"/>
        <d v="2025-09-24T10:27:09" u="1"/>
        <d v="2025-09-24T10:27:18" u="1"/>
        <d v="2025-09-24T10:31:38" u="1"/>
        <d v="2025-09-24T10:34:09" u="1"/>
        <d v="2025-09-24T10:34:19" u="1"/>
        <d v="2025-09-24T10:37:09" u="1"/>
        <d v="2025-09-24T10:37:10" u="1"/>
        <d v="2025-09-24T10:37:11" u="1"/>
        <d v="2025-09-24T10:37:18" u="1"/>
        <d v="2025-09-24T10:38:28" u="1"/>
        <d v="2025-09-24T10:39:01" u="1"/>
        <d v="2025-09-24T10:39:08" u="1"/>
        <d v="2025-09-24T10:39:09" u="1"/>
        <d v="2025-09-24T10:39:59" u="1"/>
        <d v="2025-09-24T10:41:09" u="1"/>
        <d v="2025-09-24T10:41:19" u="1"/>
        <d v="2025-09-24T10:48:19" u="1"/>
        <d v="2025-09-24T10:48:48" u="1"/>
        <d v="2025-09-24T10:48:49" u="1"/>
        <d v="2025-09-24T10:48:50" u="1"/>
        <d v="2025-09-24T10:48:51" u="1"/>
        <d v="2025-09-24T10:49:28" u="1"/>
        <d v="2025-09-24T10:49:59" u="1"/>
        <d v="2025-09-24T10:57:39" u="1"/>
        <d v="2025-09-24T10:58:08" u="1"/>
        <d v="2025-09-24T10:58:09" u="1"/>
        <d v="2025-09-24T10:58:10" u="1"/>
        <d v="2025-09-24T10:58:11" u="1"/>
        <d v="2025-09-24T11:00:18" u="1"/>
        <d v="2025-09-24T11:03:58" u="1"/>
        <d v="2025-09-24T11:03:59" u="1"/>
        <d v="2025-09-24T11:05:59" u="1"/>
        <d v="2025-09-24T11:07:08" u="1"/>
        <d v="2025-09-24T11:07:09" u="1"/>
        <d v="2025-09-24T11:08:39" u="1"/>
        <d v="2025-09-24T11:08:40" u="1"/>
        <d v="2025-09-24T11:09:08" u="1"/>
        <d v="2025-09-24T11:12:59" u="1"/>
        <d v="2025-09-24T11:21:08" u="1"/>
        <d v="2025-09-24T11:21:09" u="1"/>
        <d v="2025-09-24T11:21:18" u="1"/>
        <d v="2025-09-24T11:21:19" u="1"/>
        <d v="2025-09-24T11:21:20" u="1"/>
        <d v="2025-09-24T11:21:21" u="1"/>
        <d v="2025-09-24T11:23:48" u="1"/>
        <d v="2025-09-24T11:23:49" u="1"/>
        <d v="2025-09-24T11:29:58" u="1"/>
        <d v="2025-09-24T11:30:08" u="1"/>
        <d v="2025-09-24T11:30:09" u="1"/>
        <d v="2025-09-24T11:30:10" u="1"/>
        <d v="2025-09-24T11:36:08" u="1"/>
        <d v="2025-09-24T11:36:09" u="1"/>
        <d v="2025-09-24T11:37:48" u="1"/>
        <d v="2025-09-24T11:37:49" u="1"/>
        <d v="2025-09-24T11:39:08" u="1"/>
        <d v="2025-09-24T11:39:09" u="1"/>
        <d v="2025-09-24T11:39:10" u="1"/>
        <d v="2025-09-24T11:39:11" u="1"/>
        <d v="2025-09-24T11:44:58" u="1"/>
        <d v="2025-09-24T11:44:59" u="1"/>
        <d v="2025-09-24T11:47:08" u="1"/>
        <d v="2025-09-24T11:47:09" u="1"/>
        <d v="2025-09-24T11:47:18" u="1"/>
        <d v="2025-09-24T11:47:19" u="1"/>
        <d v="2025-09-24T11:59:58" u="1"/>
        <d v="2025-09-24T11:59:59" u="1"/>
        <d v="2025-09-24T12:00:00" u="1"/>
        <d v="2025-09-24T12:00:01" u="1"/>
        <d v="2025-09-24T12:13:18" u="1"/>
        <d v="2025-09-24T12:13:48" u="1"/>
        <d v="2025-09-24T12:13:49" u="1"/>
        <d v="2025-09-24T12:14:01" u="1"/>
        <d v="2025-09-24T12:14:08" u="1"/>
        <d v="2025-09-24T12:14:09" u="1"/>
        <d v="2025-09-24T12:14:10" u="1"/>
        <d v="2025-09-24T12:17:08" u="1"/>
        <d v="2025-09-24T12:18:08" u="1"/>
        <d v="2025-09-24T12:18:58" u="1"/>
        <d v="2025-09-24T12:19:58" u="1"/>
        <d v="2025-09-24T12:19:59" u="1"/>
        <d v="2025-09-24T12:20:08" u="1"/>
        <d v="2025-09-24T12:20:09" u="1"/>
        <d v="2025-09-24T12:24:08" u="1"/>
        <d v="2025-09-24T12:25:18" u="1"/>
        <d v="2025-09-24T12:25:19" u="1"/>
        <d v="2025-09-24T12:25:20" u="1"/>
        <d v="2025-09-24T12:25:21" u="1"/>
        <d v="2025-09-24T12:28:28" u="1"/>
        <d v="2025-09-24T12:31:59" u="1"/>
        <d v="2025-09-24T12:32:08" u="1"/>
        <d v="2025-09-24T12:34:08" u="1"/>
        <d v="2025-09-24T12:36:08" u="1"/>
        <d v="2025-09-24T12:41:08" u="1"/>
        <d v="2025-09-24T12:41:09" u="1"/>
        <d v="2025-09-24T12:41:10" u="1"/>
        <d v="2025-09-24T12:41:11" u="1"/>
        <d v="2025-09-24T12:45:18" u="1"/>
        <d v="2025-09-24T12:59:28" u="1"/>
        <d v="2025-09-24T13:00:02" u="1"/>
        <d v="2025-09-24T13:03:28" u="1"/>
        <d v="2025-09-24T13:03:38" u="1"/>
        <d v="2025-09-24T13:03:39" u="1"/>
        <d v="2025-09-24T13:03:48" u="1"/>
        <d v="2025-09-24T13:03:49" u="1"/>
        <d v="2025-09-24T13:03:50" u="1"/>
        <d v="2025-09-24T13:05:38" u="1"/>
        <d v="2025-09-24T13:06:06" u="1"/>
        <d v="2025-09-24T13:07:59" u="1"/>
        <d v="2025-09-24T13:11:48" u="1"/>
        <d v="2025-09-24T13:11:49" u="1"/>
        <d v="2025-09-24T13:12:08" u="1"/>
        <d v="2025-09-24T13:16:38" u="1"/>
        <d v="2025-09-24T13:16:39" u="1"/>
        <d v="2025-09-24T13:16:40" u="1"/>
        <d v="2025-09-24T13:16:48" u="1"/>
        <d v="2025-09-24T13:16:49" u="1"/>
        <d v="2025-09-24T13:16:58" u="1"/>
        <d v="2025-09-24T13:18:08" u="1"/>
        <d v="2025-09-24T13:22:20" u="1"/>
        <d v="2025-09-24T13:22:21" u="1"/>
        <d v="2025-09-24T13:22:30" u="1"/>
        <d v="2025-09-24T13:28:00" u="1"/>
        <d v="2025-09-24T13:28:40" u="1"/>
        <d v="2025-09-24T13:28:41" u="1"/>
        <d v="2025-09-24T13:28:42" u="1"/>
        <d v="2025-09-24T13:29:00" u="1"/>
        <d v="2025-09-24T13:29:01" u="1"/>
        <d v="2025-09-24T13:29:20" u="1"/>
        <d v="2025-09-24T13:29:21" u="1"/>
        <d v="2025-09-24T13:29:40" u="1"/>
        <d v="2025-09-24T13:30:00" u="1"/>
        <d v="2025-09-24T13:30:20" u="1"/>
        <d v="2025-09-24T13:30:30" u="1"/>
        <d v="2025-09-24T13:39:00" u="1"/>
        <d v="2025-09-24T13:39:01" u="1"/>
        <d v="2025-09-24T13:39:02" u="1"/>
        <d v="2025-09-24T13:39:03" u="1"/>
        <d v="2025-09-24T13:41:20" u="1"/>
        <d v="2025-09-24T13:41:31" u="1"/>
        <d v="2025-09-24T13:43:10" u="1"/>
        <d v="2025-09-24T13:43:11" u="1"/>
        <d v="2025-09-24T13:43:12" u="1"/>
        <d v="2025-09-24T13:43:13" u="1"/>
        <d v="2025-09-24T13:44:00" u="1"/>
        <d v="2025-09-24T13:44:01" u="1"/>
        <d v="2025-09-24T13:47:13" u="1"/>
        <d v="2025-09-24T13:48:01" u="1"/>
        <d v="2025-09-24T13:48:02" u="1"/>
        <d v="2025-09-24T13:48:05" u="1"/>
        <d v="2025-09-24T13:49:30" u="1"/>
        <d v="2025-09-24T13:49:31" u="1"/>
        <d v="2025-09-24T13:50:21" u="1"/>
        <d v="2025-09-24T13:50:41" u="1"/>
        <d v="2025-09-24T13:55:10" u="1"/>
        <d v="2025-09-24T13:56:10" u="1"/>
        <d v="2025-09-24T13:56:11" u="1"/>
        <d v="2025-09-24T13:56:12" u="1"/>
        <d v="2025-09-24T13:56:13" u="1"/>
        <d v="2025-09-24T14:12:30" u="1"/>
        <d v="2025-09-24T14:14:00" u="1"/>
        <d v="2025-09-24T14:14:01" u="1"/>
        <d v="2025-09-24T14:14:02" u="1"/>
        <d v="2025-09-24T14:15:11" u="1"/>
        <d v="2025-09-24T14:26:10" u="1"/>
        <d v="2025-09-24T14:26:11" u="1"/>
        <d v="2025-09-24T14:27:00" u="1"/>
        <d v="2025-09-24T14:30:00" u="1"/>
        <d v="2025-09-24T14:30:01" u="1"/>
        <d v="2025-09-24T14:30:02" u="1"/>
        <d v="2025-09-24T14:31:20" u="1"/>
        <d v="2025-09-24T14:31:21" u="1"/>
        <d v="2025-09-24T14:31:22" u="1"/>
        <d v="2025-09-24T14:31:23" u="1"/>
        <d v="2025-09-24T14:33:30" u="1"/>
        <d v="2025-09-24T14:42:00" u="1"/>
        <d v="2025-09-24T14:42:01" u="1"/>
        <d v="2025-09-24T14:52:00" u="1"/>
        <d v="2025-09-24T14:52:01" u="1"/>
        <d v="2025-09-24T14:54:20" u="1"/>
        <d v="2025-09-24T14:54:21" u="1"/>
        <d v="2025-09-24T14:54:22" u="1"/>
        <d v="2025-09-24T14:54:23" u="1"/>
        <d v="2025-09-24T14:55:02" u="1"/>
        <d v="2025-09-24T14:56:50" u="1"/>
        <d v="2025-09-24T14:58:00" u="1"/>
        <d v="2025-09-24T14:58:01" u="1"/>
        <d v="2025-09-24T15:00:00" u="1"/>
        <d v="2025-09-24T15:01:01" u="1"/>
        <d v="2025-09-24T15:03:40" u="1"/>
        <d v="2025-09-24T15:03:41" u="1"/>
        <d v="2025-09-24T15:08:00" u="1"/>
        <d v="2025-09-24T15:08:01" u="1"/>
        <d v="2025-09-24T15:09:20" u="1"/>
        <d v="2025-09-24T15:10:10" u="1"/>
        <d v="2025-09-24T15:10:11" u="1"/>
        <d v="2025-09-24T15:10:12" u="1"/>
        <d v="2025-09-24T15:10:13" u="1"/>
        <d v="2025-09-24T15:14:20" u="1"/>
        <d v="2025-09-24T15:16:40" u="1"/>
        <d v="2025-09-24T15:18:00" u="1"/>
        <d v="2025-09-24T15:22:00" u="1"/>
        <d v="2025-09-24T15:22:50" u="1"/>
        <d v="2025-09-24T15:23:50" u="1"/>
        <d v="2025-09-24T15:23:51" u="1"/>
        <d v="2025-09-24T15:23:52" u="1"/>
        <d v="2025-09-24T15:25:40" u="1"/>
        <d v="2025-09-24T15:25:41" u="1"/>
        <d v="2025-09-24T15:26:01" u="1"/>
        <d v="2025-09-24T15:26:02" u="1"/>
        <d v="2025-09-24T15:26:30" u="1"/>
        <d v="2025-09-24T15:27:50" u="1"/>
        <d v="2025-09-24T15:28:01" u="1"/>
        <d v="2025-09-24T15:40:10" u="1"/>
        <d v="2025-09-24T15:44:00" u="1"/>
        <d v="2025-09-24T15:44:01" u="1"/>
        <d v="2025-09-24T15:44:10" u="1"/>
        <d v="2025-09-24T15:44:11" u="1"/>
        <d v="2025-09-24T15:44:12" u="1"/>
        <d v="2025-09-24T15:44:30" u="1"/>
        <d v="2025-09-24T15:45:00" u="1"/>
        <d v="2025-09-24T15:45:50" u="1"/>
        <d v="2025-09-24T15:45:51" u="1"/>
        <d v="2025-09-24T15:46:00" u="1"/>
        <d v="2025-09-24T15:46:01" u="1"/>
        <d v="2025-09-24T15:46:30" u="1"/>
        <d v="2025-09-24T15:48:00" u="1"/>
        <d v="2025-09-24T16:02:30" u="1"/>
        <d v="2025-09-24T16:03:30" u="1"/>
        <d v="2025-09-24T16:03:31" u="1"/>
        <d v="2025-09-24T16:04:50" u="1"/>
        <d v="2025-09-24T16:05:10" u="1"/>
        <d v="2025-09-24T16:05:11" u="1"/>
        <d v="2025-09-24T16:05:12" u="1"/>
        <d v="2025-09-24T16:06:10" u="1"/>
        <d v="2025-09-24T16:08:10" u="1"/>
        <d v="2025-09-24T16:12:41" u="1"/>
        <d v="2025-09-24T16:15:30" u="1"/>
        <d v="2025-09-24T16:17:40" u="1"/>
        <d v="2025-09-24T16:17:41" u="1"/>
        <d v="2025-09-24T16:17:42" u="1"/>
        <d v="2025-09-24T16:17:43" u="1"/>
        <d v="2025-09-24T16:22:20" u="1"/>
        <d v="2025-09-24T16:28:00" u="1"/>
        <d v="2025-09-24T16:28:01" u="1"/>
        <d v="2025-09-24T16:30:10" u="1"/>
        <d v="2025-09-24T16:31:10" u="1"/>
        <d v="2025-09-24T16:31:11" u="1"/>
        <d v="2025-09-24T16:31:12" u="1"/>
        <d v="2025-09-24T16:31:20" u="1"/>
        <d v="2025-09-24T16:32:00" u="1"/>
        <d v="2025-09-24T16:32:10" u="1"/>
        <d v="2025-09-24T16:38:20" u="1"/>
        <d v="2025-09-24T16:38:40" u="1"/>
        <d v="2025-09-24T16:38:50" u="1"/>
        <d v="2025-09-24T16:41:50" u="1"/>
        <d v="2025-09-24T16:42:00" u="1"/>
        <d v="2025-09-24T16:43:40" u="1"/>
        <d v="2025-09-24T16:43:41" u="1"/>
        <d v="2025-09-24T16:44:10" u="1"/>
        <d v="2025-09-24T16:44:20" u="1"/>
        <d v="2025-09-24T16:51:00" u="1"/>
        <d v="2025-09-24T16:51:40" u="1"/>
        <d v="2025-09-24T16:52:10" u="1"/>
        <d v="2025-09-24T16:52:11" u="1"/>
        <d v="2025-09-24T16:52:20" u="1"/>
        <d v="2025-09-24T16:57:10" u="1"/>
        <d v="2025-09-24T17:06:00" u="1"/>
        <d v="2025-09-24T17:06:01" u="1"/>
        <d v="2025-09-24T17:06:02" u="1"/>
        <d v="2025-09-24T17:14:10" u="1"/>
        <d v="2025-09-24T17:16:10" u="1"/>
        <d v="2025-09-24T17:27:40" u="1"/>
        <d v="2025-09-24T17:28:10" u="1"/>
        <d v="2025-09-24T17:28:40" u="1"/>
        <d v="2025-09-24T17:28:41" u="1"/>
        <d v="2025-09-24T17:28:42" u="1"/>
        <d v="2025-09-24T17:28:43" u="1"/>
        <d v="2025-09-24T17:34:20" u="1"/>
        <d v="2025-09-24T17:36:10" u="1"/>
        <d v="2025-09-24T17:36:20" u="1"/>
        <d v="2025-09-24T17:36:21" u="1"/>
        <d v="2025-09-24T17:36:50" u="1"/>
        <d v="2025-09-24T17:42:10" u="1"/>
        <d v="2025-09-24T17:42:20" u="1"/>
        <d v="2025-09-24T17:42:30" u="1"/>
        <d v="2025-09-24T17:42:31" u="1"/>
        <d v="2025-09-24T17:42:32" u="1"/>
        <d v="2025-09-24T17:43:10" u="1"/>
        <d v="2025-09-24T17:46:10" u="1"/>
        <d v="2025-09-24T17:47:10" u="1"/>
        <d v="2025-09-24T17:50:03" u="1"/>
        <d v="2025-09-24T17:56:00" u="1"/>
        <d v="2025-09-24T17:56:01" u="1"/>
        <d v="2025-09-24T18:06:10" u="1"/>
        <d v="2025-09-24T18:09:30" u="1"/>
        <d v="2025-09-24T18:10:30" u="1"/>
        <d v="2025-09-24T18:14:20" u="1"/>
        <d v="2025-09-24T18:14:21" u="1"/>
        <d v="2025-09-24T18:14:40" u="1"/>
        <d v="2025-09-24T18:20:40" u="1"/>
        <d v="2025-09-24T18:23:20" u="1"/>
        <d v="2025-09-24T18:23:50" u="1"/>
        <d v="2025-09-24T18:23:51" u="1"/>
        <d v="2025-09-24T18:23:52" u="1"/>
        <d v="2025-09-24T18:23:53" u="1"/>
        <d v="2025-09-24T18:27:20" u="1"/>
        <d v="2025-09-24T18:27:30" u="1"/>
        <d v="2025-09-24T18:27:31" u="1"/>
        <d v="2025-09-24T18:28:10" u="1"/>
        <d v="2025-09-24T18:28:20" u="1"/>
        <d v="2025-09-24T18:28:40" u="1"/>
        <d v="2025-09-24T18:29:10" u="1"/>
        <d v="2025-09-24T18:30:00" u="1"/>
        <d v="2025-09-24T18:30:01" u="1"/>
        <d v="2025-09-24T18:32:10" u="1"/>
        <d v="2025-09-24T18:35:30" u="1"/>
        <d v="2025-09-24T18:42:10" u="1"/>
        <d v="2025-09-24T18:44:10" u="1"/>
        <d v="2025-09-24T18:44:20" u="1"/>
        <d v="2025-09-24T18:46:10" u="1"/>
        <d v="2025-09-24T18:46:11" u="1"/>
        <d v="2025-09-24T18:50:10" u="1"/>
        <d v="2025-09-24T18:52:40" u="1"/>
        <d v="2025-09-24T18:52:50" u="1"/>
        <d v="2025-09-24T18:52:51" u="1"/>
        <d v="2025-09-24T18:52:52" u="1"/>
        <d v="2025-09-24T18:57:30" u="1"/>
        <d v="2025-09-24T18:58:00" u="1"/>
        <d v="2025-09-24T18:58:01" u="1"/>
        <d v="2025-09-24T19:00:00" u="1"/>
        <d v="2025-09-24T19:00:01" u="1"/>
        <d v="2025-09-24T19:00:30" u="1"/>
        <d v="2025-09-24T19:01:50" u="1"/>
        <d v="2025-09-24T19:10:40" u="1"/>
        <d v="2025-09-24T19:12:10" u="1"/>
        <d v="2025-09-24T19:15:10" u="1"/>
        <d v="2025-09-24T19:18:40" u="1"/>
        <d v="2025-09-24T19:20:10" u="1"/>
        <d v="2025-09-24T19:20:20" u="1"/>
        <d v="2025-09-24T19:20:21" u="1"/>
        <d v="2025-09-24T19:20:22" u="1"/>
        <d v="2025-09-24T19:24:50" u="1"/>
        <d v="2025-09-24T19:24:51" u="1"/>
        <d v="2025-09-24T19:31:00" u="1"/>
        <d v="2025-09-24T19:34:10" u="1"/>
        <d v="2025-09-24T19:38:30" u="1"/>
        <d v="2025-09-24T19:40:10" u="1"/>
        <d v="2025-09-24T19:40:20" u="1"/>
        <d v="2025-09-24T19:40:21" u="1"/>
        <d v="2025-09-24T19:40:22" u="1"/>
        <d v="2025-09-24T19:51:09" u="1"/>
        <d v="2025-09-24T19:51:10" u="1"/>
        <d v="2025-09-24T19:54:19" u="1"/>
        <d v="2025-09-24T19:55:09" u="1"/>
        <d v="2025-09-24T19:55:10" u="1"/>
        <d v="2025-09-24T20:03:49" u="1"/>
        <d v="2025-09-24T20:03:50" u="1"/>
        <d v="2025-09-24T20:04:10" u="1"/>
        <d v="2025-09-24T20:04:29" u="1"/>
        <d v="2025-09-24T20:04:30" u="1"/>
        <d v="2025-09-24T20:04:31" u="1"/>
        <d v="2025-09-24T20:09:09" u="1"/>
        <d v="2025-09-24T20:15:40" u="1"/>
        <d v="2025-09-24T20:17:10" u="1"/>
        <d v="2025-09-24T20:17:39" u="1"/>
        <d v="2025-09-24T20:17:40" u="1"/>
        <d v="2025-09-24T20:17:41" u="1"/>
        <d v="2025-09-24T20:17:42" u="1"/>
        <d v="2025-09-24T20:21:10" u="1"/>
        <d v="2025-09-24T20:21:30" u="1"/>
        <d v="2025-09-24T20:24:40" u="1"/>
        <d v="2025-09-24T20:31:40" u="1"/>
        <d v="2025-09-24T20:37:59" u="1"/>
        <d v="2025-09-24T20:38:00" u="1"/>
        <d v="2025-09-24T20:38:01" u="1"/>
        <d v="2025-09-24T20:38:02" u="1"/>
        <d v="2025-09-24T20:38:09" u="1"/>
        <d v="2025-09-24T20:38:10" u="1"/>
        <d v="2025-09-24T20:42:09" u="1"/>
        <d v="2025-09-24T20:45:02" u="1"/>
        <d v="2025-09-24T20:46:09" u="1"/>
        <d v="2025-09-24T20:51:49" u="1"/>
        <d v="2025-09-24T20:51:50" u="1"/>
        <d v="2025-09-24T20:53:29" u="1"/>
        <d v="2025-09-24T20:53:30" u="1"/>
        <d v="2025-09-24T20:53:31" u="1"/>
        <d v="2025-09-24T20:54:19" u="1"/>
        <d v="2025-09-24T20:54:20" u="1"/>
        <d v="2025-09-24T20:58:39" u="1"/>
        <d v="2025-09-24T20:58:49" u="1"/>
        <d v="2025-09-24T20:58:50" u="1"/>
        <d v="2025-09-24T20:58:51" u="1"/>
        <d v="2025-09-24T21:08:39" u="1"/>
        <d v="2025-09-24T21:08:40" u="1"/>
        <d v="2025-09-24T21:09:09" u="1"/>
        <d v="2025-09-24T21:09:10" u="1"/>
        <d v="2025-09-24T21:10:29" u="1"/>
        <d v="2025-09-24T21:11:19" u="1"/>
        <d v="2025-09-24T21:11:20" u="1"/>
        <d v="2025-09-24T21:15:59" u="1"/>
        <d v="2025-09-24T21:16:00" u="1"/>
        <d v="2025-09-24T21:17:09" u="1"/>
        <d v="2025-09-24T21:17:10" u="1"/>
        <d v="2025-09-24T21:17:11" u="1"/>
        <d v="2025-09-24T21:17:19" u="1"/>
        <d v="2025-09-24T21:17:20" u="1"/>
        <d v="2025-09-24T21:18:09" u="1"/>
        <d v="2025-09-24T21:18:10" u="1"/>
        <d v="2025-09-24T21:18:29" u="1"/>
        <d v="2025-09-24T21:18:39" u="1"/>
        <d v="2025-09-24T21:20:09" u="1"/>
        <d v="2025-09-24T21:22:59" u="1"/>
        <d v="2025-09-24T21:23:19" u="1"/>
        <d v="2025-09-24T21:23:20" u="1"/>
        <d v="2025-09-24T21:23:29" u="1"/>
        <d v="2025-09-24T21:24:39" u="1"/>
        <d v="2025-09-24T21:24:40" u="1"/>
        <d v="2025-09-24T21:24:41" u="1"/>
        <d v="2025-09-24T21:24:49" u="1"/>
        <d v="2025-09-24T21:33:09" u="1"/>
        <d v="2025-09-24T21:33:10" u="1"/>
        <d v="2025-09-24T21:34:09" u="1"/>
        <d v="2025-09-24T21:34:10" u="1"/>
        <d v="2025-09-24T21:35:19" u="1"/>
        <d v="2025-09-24T21:35:20" u="1"/>
        <d v="2025-09-24T21:35:29" u="1"/>
        <d v="2025-09-24T21:36:59" u="1"/>
        <d v="2025-09-24T21:37:00" u="1"/>
        <d v="2025-09-24T21:37:01" u="1"/>
        <d v="2025-09-24T21:37:02" u="1"/>
        <d v="2025-09-24T21:38:39" u="1"/>
        <d v="2025-09-24T21:38:40" u="1"/>
        <d v="2025-09-24T21:39:39" u="1"/>
        <d v="2025-09-24T21:39:40" u="1"/>
        <d v="2025-09-24T21:39:41" u="1"/>
        <d v="2025-09-24T21:39:42" u="1"/>
        <d v="2025-09-24T21:40:19" u="1"/>
        <d v="2025-09-24T21:40:20" u="1"/>
        <d v="2025-09-24T21:43:09" u="1"/>
        <d v="2025-09-24T21:43:10" u="1"/>
        <d v="2025-09-24T21:43:11" u="1"/>
        <d v="2025-09-24T21:44:49" u="1"/>
        <d v="2025-09-24T21:44:50" u="1"/>
        <d v="2025-09-24T21:46:49" u="1"/>
        <d v="2025-09-24T21:46:50" u="1"/>
        <d v="2025-09-24T21:48:09" u="1"/>
        <d v="2025-09-24T21:48:10" u="1"/>
        <d v="2025-09-24T21:48:19" u="1"/>
        <d v="2025-09-24T21:48:20" u="1"/>
        <d v="2025-09-24T21:48:21" u="1"/>
        <d v="2025-09-24T21:48:22" u="1"/>
        <d v="2025-09-24T21:52:02" u="1"/>
        <d v="2025-09-24T21:54:59" u="1"/>
        <d v="2025-09-24T21:59:09" u="1"/>
        <d v="2025-09-24T21:59:10" u="1"/>
        <d v="2025-09-24T22:00:39" u="1"/>
        <d v="2025-09-24T22:01:09" u="1"/>
        <d v="2025-09-24T22:01:10" u="1"/>
        <d v="2025-09-24T22:01:11" u="1"/>
        <d v="2025-09-24T22:02:19" u="1"/>
        <d v="2025-09-24T22:02:20" u="1"/>
        <d v="2025-09-24T22:02:39" u="1"/>
        <d v="2025-09-24T22:02:49" u="1"/>
        <d v="2025-09-24T22:03:59" u="1"/>
        <d v="2025-09-24T22:04:00" u="1"/>
        <d v="2025-09-24T22:04:59" u="1"/>
        <d v="2025-09-24T22:05:39" u="1"/>
        <d v="2025-09-24T22:10:09" u="1"/>
        <d v="2025-09-24T22:10:10" u="1"/>
        <d v="2025-09-24T22:12:09" u="1"/>
        <d v="2025-09-24T22:12:10" u="1"/>
        <d v="2025-09-24T22:12:11" u="1"/>
        <d v="2025-09-24T22:14:49" u="1"/>
        <d v="2025-09-24T22:14:50" u="1"/>
        <d v="2025-09-24T22:15:09" u="1"/>
        <d v="2025-09-24T22:15:10" u="1"/>
        <d v="2025-09-24T22:15:19" u="1"/>
        <d v="2025-09-24T22:15:20" u="1"/>
        <d v="2025-09-24T22:15:59" u="1"/>
        <d v="2025-09-24T22:16:00" u="1"/>
        <d v="2025-09-24T22:21:19" u="1"/>
        <d v="2025-09-24T22:21:20" u="1"/>
        <d v="2025-09-24T22:22:29" u="1"/>
        <d v="2025-09-24T22:22:30" u="1"/>
        <d v="2025-09-24T22:22:31" u="1"/>
        <d v="2025-09-24T22:22:39" u="1"/>
        <d v="2025-09-24T22:22:40" u="1"/>
        <d v="2025-09-24T22:23:39" u="1"/>
        <d v="2025-09-24T22:25:49" u="1"/>
        <d v="2025-09-24T22:25:50" u="1"/>
        <d v="2025-09-24T22:27:49" u="1"/>
        <d v="2025-09-24T22:27:59" u="1"/>
        <d v="2025-09-24T22:28:00" u="1"/>
        <d v="2025-09-24T22:28:01" u="1"/>
        <d v="2025-09-24T22:28:02" u="1"/>
        <d v="2025-09-24T22:28:29" u="1"/>
        <d v="2025-09-24T22:28:30" u="1"/>
        <d v="2025-09-24T22:28:49" u="1"/>
        <d v="2025-09-24T22:28:59" u="1"/>
        <d v="2025-09-24T22:29:49" u="1"/>
        <d v="2025-09-24T22:29:59" u="1"/>
        <d v="2025-09-24T22:30:02" u="1"/>
        <d v="2025-09-24T22:30:09" u="1"/>
        <d v="2025-09-24T22:36:19" u="1"/>
        <d v="2025-09-24T22:36:20" u="1"/>
        <d v="2025-09-24T22:36:21" u="1"/>
        <d v="2025-09-24T22:36:22" u="1"/>
        <d v="2025-09-24T22:38:29" u="1"/>
        <d v="2025-09-24T22:40:19" u="1"/>
        <d v="2025-09-24T22:40:20" u="1"/>
        <d v="2025-09-24T22:40:21" u="1"/>
        <d v="2025-09-24T22:40:22" u="1"/>
        <d v="2025-09-24T22:40:49" u="1"/>
        <d v="2025-09-24T22:41:49" u="1"/>
        <d v="2025-09-24T22:41:59" u="1"/>
        <d v="2025-09-24T22:42:00" u="1"/>
        <d v="2025-09-24T22:42:09" u="1"/>
        <d v="2025-09-24T22:46:09" u="1"/>
        <d v="2025-09-24T22:48:29" u="1"/>
        <d v="2025-09-24T22:48:30" u="1"/>
        <d v="2025-09-24T22:48:49" u="1"/>
        <d v="2025-09-24T22:48:59" u="1"/>
        <d v="2025-09-24T22:52:09" u="1"/>
        <d v="2025-09-24T22:52:10" u="1"/>
        <d v="2025-09-24T22:55:19" u="1"/>
        <d v="2025-09-24T22:55:20" u="1"/>
        <d v="2025-09-24T22:56:39" u="1"/>
        <d v="2025-09-24T22:56:40" u="1"/>
        <d v="2025-09-24T22:56:41" u="1"/>
        <d v="2025-09-24T22:58:29" u="1"/>
        <d v="2025-09-24T22:58:30" u="1"/>
        <d v="2025-09-24T22:58:49" u="1"/>
        <d v="2025-09-24T23:00:49" u="1"/>
        <d v="2025-09-24T23:00:59" u="1"/>
        <d v="2025-09-24T23:01:09" u="1"/>
        <d v="2025-09-24T23:01:59" u="1"/>
        <d v="2025-09-24T23:02:00" u="1"/>
        <d v="2025-09-24T23:04:09" u="1"/>
        <d v="2025-09-24T23:04:10" u="1"/>
        <d v="2025-09-24T23:05:19" u="1"/>
        <d v="2025-09-24T23:13:39" u="1"/>
        <d v="2025-09-24T23:13:40" u="1"/>
        <d v="2025-09-24T23:14:49" u="1"/>
        <d v="2025-09-24T23:24:49" u="1"/>
        <d v="2025-09-24T23:24:51" u="1"/>
        <d v="2025-09-24T23:32:09" u="1"/>
        <d v="2025-09-24T23:32:10" u="1"/>
        <d v="2025-09-24T23:36:19" u="1"/>
        <d v="2025-09-24T23:36:20" u="1"/>
        <d v="2025-09-24T23:38:49" u="1"/>
        <d v="2025-09-24T23:38:50" u="1"/>
        <d v="2025-09-24T23:38:51" u="1"/>
        <d v="2025-09-24T23:38:59" u="1"/>
        <d v="2025-09-24T23:43:19" u="1"/>
        <d v="2025-09-24T23:43:20" u="1"/>
        <d v="2025-09-24T23:44:39" u="1"/>
        <d v="2025-09-24T23:44:40" u="1"/>
        <d v="2025-09-24T23:44:41" u="1"/>
        <d v="2025-09-24T23:46:09" u="1"/>
        <d v="2025-09-24T23:46:59" u="1"/>
        <d v="2025-09-24T23:48:49" u="1"/>
        <d v="2025-09-24T23:48:50" u="1"/>
        <d v="2025-09-24T23:49:49" u="1"/>
        <d v="2025-09-24T23:49:59" u="1"/>
        <d v="2025-09-24T23:52:09" u="1"/>
        <d v="2025-09-24T23:53:09" u="1"/>
        <d v="2025-09-24T23:53:10" u="1"/>
        <d v="2025-09-24T23:53:11" u="1"/>
        <d v="2025-09-24T23:53:19" u="1"/>
        <d v="2025-09-24T23:54:09" u="1"/>
        <d v="2025-09-24T23:54:29" u="1"/>
        <d v="2025-09-24T23:54:39" u="1"/>
        <d v="2025-09-24T23:55:19" u="1"/>
        <d v="2025-09-25T00:00:09" u="1"/>
        <d v="2025-09-25T00:00:10" u="1"/>
        <d v="2025-09-25T00:01:29" u="1"/>
        <d v="2025-09-25T00:01:30" u="1"/>
        <d v="2025-09-25T00:01:31" u="1"/>
        <d v="2025-09-25T00:01:49" u="1"/>
        <d v="2025-09-25T00:03:59" u="1"/>
        <d v="2025-09-25T00:04:09" u="1"/>
        <d v="2025-09-25T00:05:29" u="1"/>
        <d v="2025-09-25T00:06:00" u="1"/>
        <d v="2025-09-25T00:07:29" u="1"/>
        <d v="2025-09-25T00:12:09" u="1"/>
        <d v="2025-09-25T00:12:10" u="1"/>
        <d v="2025-09-25T00:13:29" u="1"/>
        <d v="2025-09-25T00:15:39" u="1"/>
        <d v="2025-09-25T00:15:40" u="1"/>
        <d v="2025-09-25T00:15:41" u="1"/>
        <d v="2025-09-25T00:17:29" u="1"/>
        <d v="2025-09-25T00:17:30" u="1"/>
        <d v="2025-09-25T00:17:49" u="1"/>
        <d v="2025-09-25T00:18:09" u="1"/>
        <d v="2025-09-25T00:19:19" u="1"/>
        <d v="2025-09-25T00:19:49" u="1"/>
        <d v="2025-09-25T00:19:59" u="1"/>
        <d v="2025-09-25T00:21:19" u="1"/>
        <d v="2025-09-25T00:25:09" u="1"/>
        <d v="2025-09-25T00:25:10" u="1"/>
        <d v="2025-09-25T00:26:19" u="1"/>
        <d v="2025-09-25T00:26:49" u="1"/>
        <d v="2025-09-25T00:27:59" u="1"/>
        <d v="2025-09-25T00:28:09" u="1"/>
        <d v="2025-09-25T00:37:29" u="1"/>
        <d v="2025-09-25T00:37:49" u="1"/>
        <d v="2025-09-25T00:37:50" u="1"/>
        <d v="2025-09-25T00:38:09" u="1"/>
        <d v="2025-09-25T00:44:09" u="1"/>
        <d v="2025-09-25T00:44:19" u="1"/>
        <d v="2025-09-25T00:44:29" u="1"/>
        <d v="2025-09-25T00:44:30" u="1"/>
        <d v="2025-09-25T00:44:31" u="1"/>
        <d v="2025-09-25T00:44:39" u="1"/>
        <d v="2025-09-25T00:44:49" u="1"/>
        <d v="2025-09-25T00:47:19" u="1"/>
        <d v="2025-09-25T00:47:29" u="1"/>
        <d v="2025-09-25T00:50:19" u="1"/>
        <d v="2025-09-25T00:52:19" u="1"/>
        <d v="2025-09-25T00:52:59" u="1"/>
        <d v="2025-09-25T00:53:00" u="1"/>
        <d v="2025-09-25T00:53:01" u="1"/>
        <d v="2025-09-25T00:53:09" u="1"/>
        <d v="2025-09-25T00:54:39" u="1"/>
        <d v="2025-09-25T00:55:09" u="1"/>
        <d v="2025-09-25T00:55:29" u="1"/>
        <d v="2025-09-25T00:56:29" u="1"/>
        <d v="2025-09-25T00:57:01" u="1"/>
        <d v="2025-09-25T00:57:39" u="1"/>
        <d v="2025-09-25T01:01:49" u="1"/>
        <d v="2025-09-25T01:02:49" u="1"/>
        <d v="2025-09-25T01:03:09" u="1"/>
        <d v="2025-09-25T01:04:49" u="1"/>
        <d v="2025-09-25T01:05:59" u="1"/>
        <d v="2025-09-25T01:06:00" u="1"/>
        <d v="2025-09-25T01:06:39" u="1"/>
        <d v="2025-09-25T01:07:00" u="1"/>
        <d v="2025-09-25T01:07:06" u="1"/>
        <d v="2025-09-25T01:13:29" u="1"/>
        <d v="2025-09-25T01:16:19" u="1"/>
        <d v="2025-09-25T01:16:20" u="1"/>
        <d v="2025-09-25T01:16:21" u="1"/>
        <d v="2025-09-25T01:17:19" u="1"/>
        <d v="2025-09-25T01:22:39" u="1"/>
        <d v="2025-09-25T01:24:19" u="1"/>
        <d v="2025-09-25T01:26:59" u="1"/>
        <d v="2025-09-25T01:27:09" u="1"/>
        <d v="2025-09-25T01:27:10" u="1"/>
        <d v="2025-09-25T01:27:11" u="1"/>
        <d v="2025-09-25T01:29:39" u="1"/>
        <d v="2025-09-25T01:29:40" u="1"/>
        <d v="2025-09-25T01:32:59" u="1"/>
        <d v="2025-09-25T01:33:09" u="1"/>
        <d v="2025-09-25T01:33:10" u="1"/>
        <d v="2025-09-25T01:33:49" u="1"/>
        <d v="2025-09-25T01:34:29" u="1"/>
        <d v="2025-09-25T01:42:59" u="1"/>
        <d v="2025-09-25T01:43:00" u="1"/>
        <d v="2025-09-25T01:47:09" u="1"/>
        <d v="2025-09-25T01:47:39" u="1"/>
        <d v="2025-09-25T01:47:49" u="1"/>
        <d v="2025-09-25T01:51:09" u="1"/>
        <d v="2025-09-25T01:51:29" u="1"/>
        <d v="2025-09-25T02:00:38" u="1"/>
        <d v="2025-09-25T02:00:39" u="1"/>
        <d v="2025-09-25T02:01:18" u="1"/>
        <d v="2025-09-25T02:08:19" u="1"/>
        <d v="2025-09-25T02:09:29" u="1"/>
        <d v="2025-09-25T02:11:59" u="1"/>
        <d v="2025-09-25T02:12:00" u="1"/>
        <d v="2025-09-25T02:12:01" u="1"/>
        <d v="2025-09-25T02:12:09" u="1"/>
        <d v="2025-09-25T02:14:38" u="1"/>
        <d v="2025-09-25T02:14:39" u="1"/>
        <d v="2025-09-25T02:19:19" u="1"/>
        <d v="2025-09-25T02:19:39" u="1"/>
        <d v="2025-09-25T02:19:40" u="1"/>
        <d v="2025-09-25T02:19:58" u="1"/>
        <d v="2025-09-25T02:23:08" u="1"/>
        <d v="2025-09-25T02:23:09" u="1"/>
        <d v="2025-09-25T02:24:18" u="1"/>
        <d v="2025-09-25T02:27:08" u="1"/>
        <d v="2025-09-25T02:27:09" u="1"/>
        <d v="2025-09-25T02:27:38" u="1"/>
        <d v="2025-09-25T02:27:39" u="1"/>
        <d v="2025-09-25T02:28:08" u="1"/>
        <d v="2025-09-25T02:28:18" u="1"/>
        <d v="2025-09-25T02:30:02" u="1"/>
        <d v="2025-09-25T02:30:08" u="1"/>
        <d v="2025-09-25T02:30:09" u="1"/>
        <d v="2025-09-25T02:30:18" u="1"/>
        <d v="2025-09-25T02:41:08" u="1"/>
        <d v="2025-09-25T02:41:09" u="1"/>
        <d v="2025-09-25T02:41:10" u="1"/>
        <d v="2025-09-25T02:41:18" u="1"/>
        <d v="2025-09-25T02:44:08" u="1"/>
        <d v="2025-09-25T02:46:28" u="1"/>
        <d v="2025-09-25T02:50:08" u="1"/>
        <d v="2025-09-25T02:50:09" u="1"/>
        <d v="2025-09-25T02:50:28" u="1"/>
        <d v="2025-09-25T02:50:38" u="1"/>
        <d v="2025-09-25T02:50:39" u="1"/>
        <d v="2025-09-25T02:50:48" u="1"/>
        <d v="2025-09-25T02:50:49" u="1"/>
        <d v="2025-09-25T02:50:50" u="1"/>
        <d v="2025-09-25T02:50:51" u="1"/>
        <d v="2025-09-25T02:59:48" u="1"/>
        <d v="2025-09-25T02:59:49" u="1"/>
        <d v="2025-09-25T03:01:08" u="1"/>
        <d v="2025-09-25T03:01:18" u="1"/>
        <d v="2025-09-25T03:04:18" u="1"/>
        <d v="2025-09-25T03:04:19" u="1"/>
        <d v="2025-09-25T03:05:08" u="1"/>
        <d v="2025-09-25T03:05:09" u="1"/>
        <d v="2025-09-25T03:06:18" u="1"/>
        <d v="2025-09-25T03:06:19" u="1"/>
        <d v="2025-09-25T03:06:28" u="1"/>
        <d v="2025-09-25T03:06:29" u="1"/>
        <d v="2025-09-25T03:06:30" u="1"/>
        <d v="2025-09-25T03:06:31" u="1"/>
        <d v="2025-09-25T03:10:08" u="1"/>
        <d v="2025-09-25T03:10:09" u="1"/>
        <d v="2025-09-25T03:11:58" u="1"/>
        <d v="2025-09-25T03:11:59" u="1"/>
        <d v="2025-09-25T03:12:00" u="1"/>
        <d v="2025-09-25T03:12:08" u="1"/>
        <d v="2025-09-25T03:14:38" u="1"/>
        <d v="2025-09-25T03:14:39" u="1"/>
        <d v="2025-09-25T03:14:40" u="1"/>
        <d v="2025-09-25T03:14:58" u="1"/>
        <d v="2025-09-25T03:19:28" u="1"/>
        <d v="2025-09-25T03:22:18" u="1"/>
        <d v="2025-09-25T03:23:58" u="1"/>
        <d v="2025-09-25T03:24:08" u="1"/>
        <d v="2025-09-25T03:24:09" u="1"/>
        <d v="2025-09-25T03:25:28" u="1"/>
        <d v="2025-09-25T03:25:29" u="1"/>
        <d v="2025-09-25T03:25:30" u="1"/>
        <d v="2025-09-25T03:25:38" u="1"/>
        <d v="2025-09-25T03:25:39" u="1"/>
        <d v="2025-09-25T03:28:18" u="1"/>
        <d v="2025-09-25T03:29:58" u="1"/>
        <d v="2025-09-25T03:29:59" u="1"/>
        <d v="2025-09-25T03:30:58" u="1"/>
        <d v="2025-09-25T03:31:01" u="1"/>
        <d v="2025-09-25T03:31:08" u="1"/>
        <d v="2025-09-25T03:31:09" u="1"/>
        <d v="2025-09-25T03:34:58" u="1"/>
        <d v="2025-09-25T03:34:59" u="1"/>
        <d v="2025-09-25T03:36:18" u="1"/>
        <d v="2025-09-25T03:36:19" u="1"/>
        <d v="2025-09-25T03:38:18" u="1"/>
        <d v="2025-09-25T03:40:08" u="1"/>
        <d v="2025-09-25T03:42:08" u="1"/>
        <d v="2025-09-25T03:43:08" u="1"/>
        <d v="2025-09-25T03:43:18" u="1"/>
        <d v="2025-09-25T03:43:19" u="1"/>
        <d v="2025-09-25T03:43:38" u="1"/>
        <d v="2025-09-25T03:43:39" u="1"/>
        <d v="2025-09-25T03:43:40" u="1"/>
        <d v="2025-09-25T03:43:41" u="1"/>
        <d v="2025-09-25T03:49:08" u="1"/>
        <d v="2025-09-25T03:50:08" u="1"/>
        <d v="2025-09-25T03:50:09" u="1"/>
        <d v="2025-09-25T03:52:08" u="1"/>
        <d v="2025-09-25T03:52:09" u="1"/>
        <d v="2025-09-25T03:55:08" u="1"/>
        <d v="2025-09-25T03:55:09" u="1"/>
        <d v="2025-09-25T03:55:10" u="1"/>
        <d v="2025-09-25T03:55:11" u="1"/>
        <d v="2025-09-25T04:03:38" u="1"/>
        <d v="2025-09-25T04:04:08" u="1"/>
        <d v="2025-09-25T04:04:09" u="1"/>
        <d v="2025-09-25T04:04:58" u="1"/>
        <d v="2025-09-25T04:04:59" u="1"/>
        <d v="2025-09-25T04:32:00" u="1"/>
        <d v="2025-09-25T04:36:10" u="1"/>
        <d v="2025-09-25T04:38:10" u="1"/>
        <d v="2025-09-25T04:43:50" u="1"/>
        <d v="2025-09-25T04:44:00" u="1"/>
        <d v="2025-09-25T04:46:30" u="1"/>
        <d v="2025-09-25T04:46:31" u="1"/>
        <d v="2025-09-25T04:46:32" u="1"/>
        <d v="2025-09-25T04:47:10" u="1"/>
        <d v="2025-09-25T06:05:09" u="1"/>
        <d v="2025-09-25T06:05:39" u="1"/>
        <d v="2025-09-25T06:05:40" u="1"/>
        <d v="2025-09-25T06:05:41" u="1"/>
        <d v="2025-09-25T06:05:49" u="1"/>
        <d v="2025-09-25T06:05:50" u="1"/>
        <d v="2025-09-25T06:06:19" u="1"/>
        <d v="2025-09-25T06:06:20" u="1"/>
        <d v="2025-09-25T06:12:09" u="1"/>
        <d v="2025-09-25T06:17:09" u="1"/>
        <d v="2025-09-25T06:17:10" u="1"/>
        <d v="2025-09-25T06:19:59" u="1"/>
        <d v="2025-09-25T06:21:19" u="1"/>
        <d v="2025-09-25T06:26:39" u="1"/>
        <d v="2025-09-25T06:26:40" u="1"/>
        <d v="2025-09-25T06:28:19" u="1"/>
        <d v="2025-09-25T06:28:20" u="1"/>
        <d v="2025-09-25T06:28:49" u="1"/>
        <d v="2025-09-25T06:28:50" u="1"/>
        <d v="2025-09-25T06:28:51" u="1"/>
        <d v="2025-09-25T06:28:52" u="1"/>
        <d v="2025-09-25T06:32:00" u="1"/>
        <d v="2025-09-25T06:32:01" u="1"/>
        <d v="2025-09-25T06:32:03" u="1"/>
        <d v="2025-09-25T06:32:06" u="1"/>
        <d v="2025-09-25T06:34:09" u="1"/>
        <d v="2025-09-25T06:34:10" u="1"/>
        <d v="2025-09-25T06:39:19" u="1"/>
        <d v="2025-09-25T06:39:39" u="1"/>
        <d v="2025-09-25T06:40:39" u="1"/>
        <d v="2025-09-25T06:40:40" u="1"/>
        <d v="2025-09-25T06:40:41" u="1"/>
        <d v="2025-09-25T06:40:42" u="1"/>
        <d v="2025-09-25T06:40:59" u="1"/>
        <d v="2025-09-25T06:44:09" u="1"/>
        <d v="2025-09-25T06:46:09" u="1"/>
        <d v="2025-09-25T06:49:09" u="1"/>
        <d v="2025-09-25T06:49:10" u="1"/>
        <d v="2025-09-25T06:50:09" u="1"/>
        <d v="2025-09-25T06:50:10" u="1"/>
        <d v="2025-09-25T06:51:39" u="1"/>
        <d v="2025-09-25T06:51:40" u="1"/>
        <d v="2025-09-25T07:02:19" u="1"/>
        <d v="2025-09-25T07:02:20" u="1"/>
        <d v="2025-09-25T07:03:19" u="1"/>
        <d v="2025-09-25T07:05:29" u="1"/>
        <d v="2025-09-25T07:05:30" u="1"/>
        <d v="2025-09-25T07:10:19" u="1"/>
        <d v="2025-09-25T07:10:29" u="1"/>
        <d v="2025-09-25T07:10:30" u="1"/>
        <d v="2025-09-25T07:18:09" u="1"/>
        <d v="2025-09-25T07:20:59" u="1"/>
        <d v="2025-09-25T07:21:00" u="1"/>
        <d v="2025-09-25T07:28:09" u="1"/>
        <d v="2025-09-25T07:29:29" u="1"/>
        <d v="2025-09-25T07:30:19" u="1"/>
        <d v="2025-09-25T07:38:09" u="1"/>
        <d v="2025-09-25T07:41:09" u="1"/>
        <d v="2025-09-25T07:41:19" u="1"/>
        <d v="2025-09-25T07:49:39" u="1"/>
        <d v="2025-09-25T07:49:40" u="1"/>
        <d v="2025-09-25T07:49:41" u="1"/>
        <d v="2025-09-25T07:49:42" u="1"/>
        <d v="2025-09-25T07:49:49" u="1"/>
        <d v="2025-09-25T07:49:50" u="1"/>
        <d v="2025-09-25T07:49:59" u="1"/>
        <d v="2025-09-25T07:50:09" u="1"/>
        <d v="2025-09-25T07:53:29" u="1"/>
        <d v="2025-09-25T07:53:59" u="1"/>
        <d v="2025-09-25T07:54:00" u="1"/>
        <d v="2025-09-25T07:54:09" u="1"/>
        <d v="2025-09-25T07:54:49" u="1"/>
        <d v="2025-09-25T07:54:50" u="1"/>
        <d v="2025-09-25T07:59:19" u="1"/>
        <d v="2025-09-25T07:59:39" u="1"/>
        <d v="2025-09-25T07:59:59" u="1"/>
        <d v="2025-09-25T08:00:00" u="1"/>
        <d v="2025-09-25T08:00:01" u="1"/>
        <d v="2025-09-25T08:00:19" u="1"/>
        <d v="2025-09-25T08:06:09" u="1"/>
        <d v="2025-09-25T08:06:10" u="1"/>
        <d v="2025-09-25T08:08:19" u="1"/>
        <d v="2025-09-25T08:10:09" u="1"/>
        <d v="2025-09-25T08:13:39" u="1"/>
        <d v="2025-09-25T08:19:20" u="1"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10">
        <s v="2025-09-25"/>
        <s v="2025-09-26"/>
        <m/>
        <s v="2025-09-17" u="1"/>
        <s v="2025-09-18" u="1"/>
        <s v="2025-09-19" u="1"/>
        <s v="2025-09-20" u="1"/>
        <s v="2025-09-22" u="1"/>
        <s v="2025-09-23" u="1"/>
        <s v="2025-09-24" u="1"/>
      </sharedItems>
    </cacheField>
    <cacheField name="opening_hours_manila" numFmtId="0">
      <sharedItems containsBlank="1" count="24">
        <s v="11"/>
        <s v="12"/>
        <s v="13"/>
        <s v="14"/>
        <s v="15"/>
        <s v="16"/>
        <s v="17"/>
        <s v="18"/>
        <s v="19"/>
        <s v="20"/>
        <s v="21"/>
        <s v="22"/>
        <s v="23"/>
        <s v="00"/>
        <s v="01"/>
        <s v="02"/>
        <s v="03"/>
        <s v="04"/>
        <s v="07"/>
        <s v="08"/>
        <s v="09"/>
        <m/>
        <s v="06" u="1"/>
        <s v="10" u="1"/>
      </sharedItems>
    </cacheField>
    <cacheField name="opening_day_manila" numFmtId="0">
      <sharedItems containsBlank="1" count="7">
        <s v="Thu"/>
        <s v="Fri"/>
        <m/>
        <s v="Wed" u="1"/>
        <s v="Sat" u="1"/>
        <s v="Mon" u="1"/>
        <s v="Tue" u="1"/>
      </sharedItems>
    </cacheField>
    <cacheField name="profit_simulation_30usd" numFmtId="0">
      <sharedItems containsString="0" containsBlank="1" containsNumber="1" minValue="-5.7999999999999996E-2" maxValue="6.8999999999999992E-2"/>
    </cacheField>
    <cacheField name="profit_simulation_60usd" numFmtId="0">
      <sharedItems containsString="0" containsBlank="1" containsNumber="1" minValue="-0.11599999999999999" maxValue="0.13799999999999998"/>
    </cacheField>
    <cacheField name="profit_simulation_100usd" numFmtId="0">
      <sharedItems containsString="0" containsBlank="1" containsNumber="1" minValue="-0.17399999999999999" maxValue="0.20699999999999999"/>
    </cacheField>
    <cacheField name="Normalized_Profit" numFmtId="0">
      <sharedItems containsString="0" containsBlank="1" containsNumber="1" containsInteger="1" minValue="-3" maxValue="-3"/>
    </cacheField>
    <cacheField name="Seconds (opening_timestamp_manila)" numFmtId="0" databaseField="0">
      <fieldGroup base="19">
        <rangePr groupBy="seconds" startDate="2025-09-25T11:25:09" endDate="2025-09-26T09:52:19"/>
        <groupItems count="62">
          <s v="&lt;25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6/09/2025"/>
        </groupItems>
      </fieldGroup>
    </cacheField>
    <cacheField name="Minutes (opening_timestamp_manila)" numFmtId="0" databaseField="0">
      <fieldGroup base="19">
        <rangePr groupBy="minutes" startDate="2025-09-25T11:25:09" endDate="2025-09-26T09:52:19"/>
        <groupItems count="62">
          <s v="&lt;25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6/09/2025"/>
        </groupItems>
      </fieldGroup>
    </cacheField>
    <cacheField name="Hours (opening_timestamp_manila)" numFmtId="0" databaseField="0">
      <fieldGroup base="19">
        <rangePr groupBy="hours" startDate="2025-09-25T11:25:09" endDate="2025-09-26T09:52:19"/>
        <groupItems count="26">
          <s v="&lt;25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6/09/2025"/>
        </groupItems>
      </fieldGroup>
    </cacheField>
    <cacheField name="Days (opening_timestamp_manila)" numFmtId="0" databaseField="0">
      <fieldGroup base="19">
        <rangePr groupBy="days" startDate="2025-09-25T11:25:09" endDate="2025-09-26T09:52:19"/>
        <groupItems count="368">
          <s v="&lt;25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6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1"/>
    <x v="1"/>
  </r>
  <r>
    <x v="0"/>
    <x v="0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1"/>
    <x v="3"/>
  </r>
  <r>
    <x v="0"/>
    <x v="0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1"/>
    <x v="6"/>
  </r>
  <r>
    <x v="1"/>
    <x v="7"/>
  </r>
  <r>
    <x v="1"/>
    <x v="8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0"/>
    <x v="0"/>
  </r>
  <r>
    <x v="0"/>
    <x v="1"/>
  </r>
  <r>
    <x v="1"/>
    <x v="0"/>
  </r>
  <r>
    <x v="1"/>
    <x v="1"/>
  </r>
  <r>
    <x v="1"/>
    <x v="2"/>
  </r>
  <r>
    <x v="1"/>
    <x v="3"/>
  </r>
  <r>
    <x v="1"/>
    <x v="4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d v="2025-09-25T06:25:09"/>
    <n v="177237158"/>
    <s v="GOLDm#"/>
    <s v="buy"/>
    <s v="0.1"/>
    <n v="3737.4"/>
    <n v="3734.4"/>
    <m/>
    <s v="2025.09.25 06:55:02"/>
    <n v="3734.35"/>
    <n v="0"/>
    <n v="0"/>
    <n v="-0.31"/>
    <x v="0"/>
    <d v="2025-09-25T00:00:00"/>
    <s v="06"/>
    <x v="0"/>
    <s v="Thu"/>
    <d v="2025-09-25T06:25:09"/>
    <x v="0"/>
    <s v="2025-09-25"/>
    <x v="0"/>
    <s v="Thu"/>
    <n v="-3.1E-2"/>
    <n v="-6.2E-2"/>
    <n v="-9.2999999999999999E-2"/>
  </r>
  <r>
    <d v="2025-09-25T06:46:09"/>
    <n v="177240017"/>
    <s v="GOLDm#"/>
    <s v="buy"/>
    <s v="0.1"/>
    <n v="3738.15"/>
    <n v="3735.17"/>
    <n v="3741.67"/>
    <s v="2025.09.25 06:54:21"/>
    <n v="3735.16"/>
    <n v="0"/>
    <n v="0"/>
    <n v="-0.3"/>
    <x v="0"/>
    <d v="2025-09-25T00:00:00"/>
    <s v="06"/>
    <x v="1"/>
    <s v="Thu"/>
    <d v="2025-09-25T06:46:09"/>
    <x v="1"/>
    <s v="2025-09-25"/>
    <x v="0"/>
    <s v="Thu"/>
    <n v="-0.03"/>
    <n v="-0.06"/>
    <n v="-0.09"/>
  </r>
  <r>
    <d v="2025-09-25T06:55:19"/>
    <n v="177241403"/>
    <s v="GOLDm#"/>
    <s v="sell"/>
    <s v="0.1"/>
    <n v="3735.02"/>
    <n v="3737.94"/>
    <m/>
    <s v="2025.09.25 07:34:25"/>
    <n v="3738.12"/>
    <n v="0"/>
    <n v="0"/>
    <n v="-0.31"/>
    <x v="0"/>
    <d v="2025-09-25T00:00:00"/>
    <s v="06"/>
    <x v="0"/>
    <s v="Thu"/>
    <d v="2025-09-25T06:55:19"/>
    <x v="2"/>
    <s v="2025-09-25"/>
    <x v="0"/>
    <s v="Thu"/>
    <n v="-3.1E-2"/>
    <n v="-6.2E-2"/>
    <n v="-9.2999999999999999E-2"/>
  </r>
  <r>
    <d v="2025-09-25T06:56:09"/>
    <n v="177241530"/>
    <s v="GOLDm#"/>
    <s v="sell"/>
    <s v="0.1"/>
    <n v="3735.86"/>
    <n v="3733.46"/>
    <n v="3732.36"/>
    <s v="2025.09.25 07:11:13"/>
    <n v="3733.54"/>
    <n v="0"/>
    <n v="0"/>
    <n v="0.23"/>
    <x v="1"/>
    <d v="2025-09-25T00:00:00"/>
    <s v="06"/>
    <x v="1"/>
    <s v="Thu"/>
    <d v="2025-09-25T06:56:09"/>
    <x v="3"/>
    <s v="2025-09-25"/>
    <x v="0"/>
    <s v="Thu"/>
    <n v="2.3000000000000003E-2"/>
    <n v="4.6000000000000006E-2"/>
    <n v="6.9000000000000006E-2"/>
  </r>
  <r>
    <d v="2025-09-25T07:11:18"/>
    <n v="177244477"/>
    <s v="GOLDm#"/>
    <s v="sell"/>
    <s v="0.1"/>
    <n v="3733.33"/>
    <n v="3736.33"/>
    <n v="3729.83"/>
    <s v="2025.09.25 07:33:20"/>
    <n v="3736.34"/>
    <n v="0"/>
    <n v="0"/>
    <n v="-0.3"/>
    <x v="0"/>
    <d v="2025-09-25T00:00:00"/>
    <s v="07"/>
    <x v="1"/>
    <s v="Thu"/>
    <d v="2025-09-25T07:11:18"/>
    <x v="4"/>
    <s v="2025-09-25"/>
    <x v="1"/>
    <s v="Thu"/>
    <n v="-0.03"/>
    <n v="-0.06"/>
    <n v="-0.09"/>
  </r>
  <r>
    <d v="2025-09-25T07:37:08"/>
    <n v="177250104"/>
    <s v="GOLDm#"/>
    <s v="buy"/>
    <s v="0.1"/>
    <n v="3739.48"/>
    <n v="3736.46"/>
    <m/>
    <s v="2025.09.25 08:06:31"/>
    <n v="3736.46"/>
    <n v="0"/>
    <n v="0"/>
    <n v="-0.3"/>
    <x v="0"/>
    <d v="2025-09-25T00:00:00"/>
    <s v="07"/>
    <x v="0"/>
    <s v="Thu"/>
    <d v="2025-09-25T07:37:08"/>
    <x v="5"/>
    <s v="2025-09-25"/>
    <x v="1"/>
    <s v="Thu"/>
    <n v="-0.03"/>
    <n v="-0.06"/>
    <n v="-0.09"/>
  </r>
  <r>
    <d v="2025-09-25T07:39:58"/>
    <n v="177250730"/>
    <s v="GOLDm#"/>
    <s v="buy"/>
    <s v="0.1"/>
    <n v="3738.62"/>
    <n v="3735.62"/>
    <n v="3742.12"/>
    <s v="2025.09.25 08:08:17"/>
    <n v="3735.58"/>
    <n v="0"/>
    <n v="0"/>
    <n v="-0.3"/>
    <x v="0"/>
    <d v="2025-09-25T00:00:00"/>
    <s v="07"/>
    <x v="1"/>
    <s v="Thu"/>
    <d v="2025-09-25T07:39:58"/>
    <x v="6"/>
    <s v="2025-09-25"/>
    <x v="1"/>
    <s v="Thu"/>
    <n v="-0.03"/>
    <n v="-0.06"/>
    <n v="-0.09"/>
  </r>
  <r>
    <d v="2025-09-25T08:07:48"/>
    <n v="177254998"/>
    <s v="GOLDm#"/>
    <s v="sell"/>
    <s v="0.1"/>
    <n v="3736.52"/>
    <n v="3739.52"/>
    <m/>
    <s v="2025.09.25 08:36:14"/>
    <n v="3739.55"/>
    <n v="0"/>
    <n v="0"/>
    <n v="-0.3"/>
    <x v="0"/>
    <d v="2025-09-25T00:00:00"/>
    <s v="08"/>
    <x v="0"/>
    <s v="Thu"/>
    <d v="2025-09-25T08:07:48"/>
    <x v="7"/>
    <s v="2025-09-25"/>
    <x v="2"/>
    <s v="Thu"/>
    <n v="-0.03"/>
    <n v="-0.06"/>
    <n v="-0.09"/>
  </r>
  <r>
    <d v="2025-09-25T08:12:08"/>
    <n v="177255633"/>
    <s v="GOLDm#"/>
    <s v="sell"/>
    <s v="0.1"/>
    <n v="3735.83"/>
    <n v="3738.83"/>
    <n v="3732.33"/>
    <s v="2025.09.25 08:35:41"/>
    <n v="3738.84"/>
    <n v="0"/>
    <n v="0"/>
    <n v="-0.3"/>
    <x v="0"/>
    <d v="2025-09-25T00:00:00"/>
    <s v="08"/>
    <x v="1"/>
    <s v="Thu"/>
    <d v="2025-09-25T08:12:08"/>
    <x v="8"/>
    <s v="2025-09-25"/>
    <x v="2"/>
    <s v="Thu"/>
    <n v="-0.03"/>
    <n v="-0.06"/>
    <n v="-0.09"/>
  </r>
  <r>
    <d v="2025-09-25T08:38:08"/>
    <n v="177261044"/>
    <s v="GOLDm#"/>
    <s v="buy"/>
    <s v="0.1"/>
    <n v="3739"/>
    <n v="3740.72"/>
    <n v="3742.54"/>
    <s v="2025.09.25 09:10:24"/>
    <n v="3742.54"/>
    <n v="0"/>
    <n v="0"/>
    <n v="0.35"/>
    <x v="1"/>
    <d v="2025-09-25T00:00:00"/>
    <s v="08"/>
    <x v="1"/>
    <s v="Thu"/>
    <d v="2025-09-25T08:38:08"/>
    <x v="9"/>
    <s v="2025-09-25"/>
    <x v="2"/>
    <s v="Thu"/>
    <n v="3.4999999999999996E-2"/>
    <n v="6.9999999999999993E-2"/>
    <n v="0.105"/>
  </r>
  <r>
    <d v="2025-09-25T08:40:08"/>
    <n v="177261677"/>
    <s v="GOLDm#"/>
    <s v="buy"/>
    <s v="0.1"/>
    <n v="3738.47"/>
    <n v="3745.35"/>
    <m/>
    <s v="2025.09.25 09:13:33"/>
    <n v="3745.35"/>
    <n v="0"/>
    <n v="0"/>
    <n v="0.69"/>
    <x v="1"/>
    <d v="2025-09-25T00:00:00"/>
    <s v="08"/>
    <x v="0"/>
    <s v="Thu"/>
    <d v="2025-09-25T08:40:08"/>
    <x v="10"/>
    <s v="2025-09-25"/>
    <x v="2"/>
    <s v="Thu"/>
    <n v="6.8999999999999992E-2"/>
    <n v="0.13799999999999998"/>
    <n v="0.20699999999999999"/>
  </r>
  <r>
    <d v="2025-09-25T09:13:38"/>
    <n v="177269910"/>
    <s v="GOLDm#"/>
    <s v="buy"/>
    <s v="0.1"/>
    <n v="3745.44"/>
    <n v="3742.4"/>
    <m/>
    <s v="2025.09.25 09:40:40"/>
    <n v="3742.33"/>
    <n v="0"/>
    <n v="0"/>
    <n v="-0.31"/>
    <x v="0"/>
    <d v="2025-09-25T00:00:00"/>
    <s v="09"/>
    <x v="0"/>
    <s v="Thu"/>
    <d v="2025-09-25T09:13:38"/>
    <x v="11"/>
    <s v="2025-09-25"/>
    <x v="3"/>
    <s v="Thu"/>
    <n v="-3.1E-2"/>
    <n v="-6.2E-2"/>
    <n v="-9.2999999999999999E-2"/>
  </r>
  <r>
    <d v="2025-09-25T09:20:58"/>
    <n v="177272834"/>
    <s v="GOLDm#"/>
    <s v="buy"/>
    <s v="0.1"/>
    <n v="3746.84"/>
    <n v="3743.81"/>
    <n v="3750.31"/>
    <s v="2025.09.25 09:36:07"/>
    <n v="3743.6"/>
    <n v="0"/>
    <n v="0"/>
    <n v="-0.32"/>
    <x v="0"/>
    <d v="2025-09-25T00:00:00"/>
    <s v="09"/>
    <x v="1"/>
    <s v="Thu"/>
    <d v="2025-09-25T09:20:58"/>
    <x v="12"/>
    <s v="2025-09-25"/>
    <x v="3"/>
    <s v="Thu"/>
    <n v="-3.2000000000000001E-2"/>
    <n v="-6.4000000000000001E-2"/>
    <n v="-9.6000000000000002E-2"/>
  </r>
  <r>
    <m/>
    <m/>
    <m/>
    <m/>
    <m/>
    <m/>
    <m/>
    <m/>
    <m/>
    <m/>
    <m/>
    <m/>
    <m/>
    <x v="2"/>
    <m/>
    <m/>
    <x v="2"/>
    <m/>
    <m/>
    <x v="13"/>
    <m/>
    <x v="4"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d v="2025-09-25T06:25:09"/>
    <n v="177237158"/>
    <s v="GOLDm#"/>
    <s v="buy"/>
    <s v="0.1"/>
    <n v="3737.4"/>
    <n v="3734.4"/>
    <m/>
    <s v="2025.09.25 06:55:02"/>
    <n v="3734.35"/>
    <n v="0"/>
    <n v="0"/>
    <n v="-0.31"/>
    <x v="0"/>
    <d v="2025-09-25T00:00:00"/>
    <s v="06"/>
    <x v="0"/>
    <s v="Thu"/>
    <d v="2025-09-25T06:25:09"/>
    <x v="0"/>
    <x v="0"/>
    <x v="0"/>
    <x v="0"/>
    <n v="-3.1E-2"/>
    <n v="-6.2E-2"/>
    <n v="-9.2999999999999999E-2"/>
    <n v="-3"/>
  </r>
  <r>
    <d v="2025-09-25T06:46:09"/>
    <n v="177240017"/>
    <s v="GOLDm#"/>
    <s v="buy"/>
    <s v="0.1"/>
    <n v="3738.15"/>
    <n v="3735.17"/>
    <n v="3741.67"/>
    <s v="2025.09.25 06:54:21"/>
    <n v="3735.16"/>
    <n v="0"/>
    <n v="0"/>
    <n v="-0.3"/>
    <x v="0"/>
    <d v="2025-09-25T00:00:00"/>
    <s v="06"/>
    <x v="1"/>
    <s v="Thu"/>
    <d v="2025-09-25T06:46:09"/>
    <x v="1"/>
    <x v="0"/>
    <x v="0"/>
    <x v="0"/>
    <n v="-0.03"/>
    <n v="-0.06"/>
    <n v="-0.09"/>
    <n v="-3"/>
  </r>
  <r>
    <d v="2025-09-25T06:55:19"/>
    <n v="177241403"/>
    <s v="GOLDm#"/>
    <s v="sell"/>
    <s v="0.1"/>
    <n v="3735.02"/>
    <n v="3737.94"/>
    <m/>
    <s v="2025.09.25 07:34:25"/>
    <n v="3738.12"/>
    <n v="0"/>
    <n v="0"/>
    <n v="-0.31"/>
    <x v="0"/>
    <d v="2025-09-25T00:00:00"/>
    <s v="06"/>
    <x v="0"/>
    <s v="Thu"/>
    <d v="2025-09-25T06:55:19"/>
    <x v="2"/>
    <x v="0"/>
    <x v="0"/>
    <x v="0"/>
    <n v="-3.1E-2"/>
    <n v="-6.2E-2"/>
    <n v="-9.2999999999999999E-2"/>
    <n v="-3"/>
  </r>
  <r>
    <d v="2025-09-25T06:56:09"/>
    <n v="177241530"/>
    <s v="GOLDm#"/>
    <s v="sell"/>
    <s v="0.1"/>
    <n v="3735.86"/>
    <n v="3733.46"/>
    <n v="3732.36"/>
    <s v="2025.09.25 07:11:13"/>
    <n v="3733.54"/>
    <n v="0"/>
    <n v="0"/>
    <n v="0.23"/>
    <x v="1"/>
    <d v="2025-09-25T00:00:00"/>
    <s v="06"/>
    <x v="1"/>
    <s v="Thu"/>
    <d v="2025-09-25T06:56:09"/>
    <x v="3"/>
    <x v="0"/>
    <x v="0"/>
    <x v="0"/>
    <n v="2.3000000000000003E-2"/>
    <n v="4.6000000000000006E-2"/>
    <n v="6.9000000000000006E-2"/>
    <n v="-3"/>
  </r>
  <r>
    <d v="2025-09-25T07:11:18"/>
    <n v="177244477"/>
    <s v="GOLDm#"/>
    <s v="sell"/>
    <s v="0.1"/>
    <n v="3733.33"/>
    <n v="3736.33"/>
    <n v="3729.83"/>
    <s v="2025.09.25 07:33:20"/>
    <n v="3736.34"/>
    <n v="0"/>
    <n v="0"/>
    <n v="-0.3"/>
    <x v="0"/>
    <d v="2025-09-25T00:00:00"/>
    <s v="07"/>
    <x v="1"/>
    <s v="Thu"/>
    <d v="2025-09-25T07:11:18"/>
    <x v="4"/>
    <x v="0"/>
    <x v="1"/>
    <x v="0"/>
    <n v="-0.03"/>
    <n v="-0.06"/>
    <n v="-0.09"/>
    <n v="-3"/>
  </r>
  <r>
    <d v="2025-09-25T07:37:08"/>
    <n v="177250104"/>
    <s v="GOLDm#"/>
    <s v="buy"/>
    <s v="0.1"/>
    <n v="3739.48"/>
    <n v="3736.46"/>
    <m/>
    <s v="2025.09.25 08:06:31"/>
    <n v="3736.46"/>
    <n v="0"/>
    <n v="0"/>
    <n v="-0.3"/>
    <x v="0"/>
    <d v="2025-09-25T00:00:00"/>
    <s v="07"/>
    <x v="0"/>
    <s v="Thu"/>
    <d v="2025-09-25T07:37:08"/>
    <x v="5"/>
    <x v="0"/>
    <x v="1"/>
    <x v="0"/>
    <n v="-0.03"/>
    <n v="-0.06"/>
    <n v="-0.09"/>
    <n v="-3"/>
  </r>
  <r>
    <d v="2025-09-25T07:39:58"/>
    <n v="177250730"/>
    <s v="GOLDm#"/>
    <s v="buy"/>
    <s v="0.1"/>
    <n v="3738.62"/>
    <n v="3735.62"/>
    <n v="3742.12"/>
    <s v="2025.09.25 08:08:17"/>
    <n v="3735.58"/>
    <n v="0"/>
    <n v="0"/>
    <n v="-0.3"/>
    <x v="0"/>
    <d v="2025-09-25T00:00:00"/>
    <s v="07"/>
    <x v="1"/>
    <s v="Thu"/>
    <d v="2025-09-25T07:39:58"/>
    <x v="6"/>
    <x v="0"/>
    <x v="1"/>
    <x v="0"/>
    <n v="-0.03"/>
    <n v="-0.06"/>
    <n v="-0.09"/>
    <n v="-3"/>
  </r>
  <r>
    <d v="2025-09-25T08:07:48"/>
    <n v="177254998"/>
    <s v="GOLDm#"/>
    <s v="sell"/>
    <s v="0.1"/>
    <n v="3736.52"/>
    <n v="3739.52"/>
    <m/>
    <s v="2025.09.25 08:36:14"/>
    <n v="3739.55"/>
    <n v="0"/>
    <n v="0"/>
    <n v="-0.3"/>
    <x v="0"/>
    <d v="2025-09-25T00:00:00"/>
    <s v="08"/>
    <x v="0"/>
    <s v="Thu"/>
    <d v="2025-09-25T08:07:48"/>
    <x v="7"/>
    <x v="0"/>
    <x v="2"/>
    <x v="0"/>
    <n v="-0.03"/>
    <n v="-0.06"/>
    <n v="-0.09"/>
    <n v="-3"/>
  </r>
  <r>
    <d v="2025-09-25T08:12:08"/>
    <n v="177255633"/>
    <s v="GOLDm#"/>
    <s v="sell"/>
    <s v="0.1"/>
    <n v="3735.83"/>
    <n v="3738.83"/>
    <n v="3732.33"/>
    <s v="2025.09.25 08:35:41"/>
    <n v="3738.84"/>
    <n v="0"/>
    <n v="0"/>
    <n v="-0.3"/>
    <x v="0"/>
    <d v="2025-09-25T00:00:00"/>
    <s v="08"/>
    <x v="1"/>
    <s v="Thu"/>
    <d v="2025-09-25T08:12:08"/>
    <x v="8"/>
    <x v="0"/>
    <x v="2"/>
    <x v="0"/>
    <n v="-0.03"/>
    <n v="-0.06"/>
    <n v="-0.09"/>
    <n v="-3"/>
  </r>
  <r>
    <d v="2025-09-25T08:38:08"/>
    <n v="177261044"/>
    <s v="GOLDm#"/>
    <s v="buy"/>
    <s v="0.1"/>
    <n v="3739"/>
    <n v="3740.72"/>
    <n v="3742.54"/>
    <s v="2025.09.25 09:10:24"/>
    <n v="3742.54"/>
    <n v="0"/>
    <n v="0"/>
    <n v="0.35"/>
    <x v="1"/>
    <d v="2025-09-25T00:00:00"/>
    <s v="08"/>
    <x v="1"/>
    <s v="Thu"/>
    <d v="2025-09-25T08:38:08"/>
    <x v="9"/>
    <x v="0"/>
    <x v="2"/>
    <x v="0"/>
    <n v="3.4999999999999996E-2"/>
    <n v="6.9999999999999993E-2"/>
    <n v="0.105"/>
    <n v="-3"/>
  </r>
  <r>
    <d v="2025-09-25T08:40:08"/>
    <n v="177261677"/>
    <s v="GOLDm#"/>
    <s v="buy"/>
    <s v="0.1"/>
    <n v="3738.47"/>
    <n v="3745.35"/>
    <m/>
    <s v="2025.09.25 09:13:33"/>
    <n v="3745.35"/>
    <n v="0"/>
    <n v="0"/>
    <n v="0.69"/>
    <x v="1"/>
    <d v="2025-09-25T00:00:00"/>
    <s v="08"/>
    <x v="0"/>
    <s v="Thu"/>
    <d v="2025-09-25T08:40:08"/>
    <x v="10"/>
    <x v="0"/>
    <x v="2"/>
    <x v="0"/>
    <n v="6.8999999999999992E-2"/>
    <n v="0.13799999999999998"/>
    <n v="0.20699999999999999"/>
    <n v="-3"/>
  </r>
  <r>
    <d v="2025-09-25T09:13:38"/>
    <n v="177269910"/>
    <s v="GOLDm#"/>
    <s v="buy"/>
    <s v="0.1"/>
    <n v="3745.44"/>
    <n v="3742.4"/>
    <m/>
    <s v="2025.09.25 09:40:40"/>
    <n v="3742.33"/>
    <n v="0"/>
    <n v="0"/>
    <n v="-0.31"/>
    <x v="0"/>
    <d v="2025-09-25T00:00:00"/>
    <s v="09"/>
    <x v="0"/>
    <s v="Thu"/>
    <d v="2025-09-25T09:13:38"/>
    <x v="11"/>
    <x v="0"/>
    <x v="3"/>
    <x v="0"/>
    <n v="-3.1E-2"/>
    <n v="-6.2E-2"/>
    <n v="-9.2999999999999999E-2"/>
    <n v="-3"/>
  </r>
  <r>
    <d v="2025-09-25T09:20:58"/>
    <n v="177272834"/>
    <s v="GOLDm#"/>
    <s v="buy"/>
    <s v="0.1"/>
    <n v="3746.84"/>
    <n v="3743.81"/>
    <n v="3750.31"/>
    <s v="2025.09.25 09:36:07"/>
    <n v="3743.6"/>
    <n v="0"/>
    <n v="0"/>
    <n v="-0.32"/>
    <x v="0"/>
    <d v="2025-09-25T00:00:00"/>
    <s v="09"/>
    <x v="1"/>
    <s v="Thu"/>
    <d v="2025-09-25T09:20:58"/>
    <x v="12"/>
    <x v="0"/>
    <x v="3"/>
    <x v="0"/>
    <n v="-3.2000000000000001E-2"/>
    <n v="-6.4000000000000001E-2"/>
    <n v="-9.6000000000000002E-2"/>
    <n v="-3"/>
  </r>
  <r>
    <d v="2025-09-25T09:42:48"/>
    <n v="177277660"/>
    <s v="GOLDm#"/>
    <s v="sell"/>
    <s v="0.1"/>
    <n v="3741.64"/>
    <n v="3744.62"/>
    <m/>
    <s v="2025.09.25 10:15:40"/>
    <n v="3744.66"/>
    <n v="0"/>
    <n v="0"/>
    <n v="-0.3"/>
    <x v="0"/>
    <d v="2025-09-25T00:00:00"/>
    <s v="09"/>
    <x v="0"/>
    <s v="Thu"/>
    <d v="2025-09-25T09:42:48"/>
    <x v="13"/>
    <x v="0"/>
    <x v="3"/>
    <x v="0"/>
    <n v="-0.03"/>
    <n v="-0.06"/>
    <n v="-0.09"/>
    <n v="-3"/>
  </r>
  <r>
    <d v="2025-09-25T09:54:08"/>
    <n v="177279981"/>
    <s v="GOLDm#"/>
    <s v="sell"/>
    <s v="0.1"/>
    <n v="3741.88"/>
    <n v="3744.88"/>
    <n v="3738.38"/>
    <s v="2025.09.25 10:15:42"/>
    <n v="3744.88"/>
    <n v="0"/>
    <n v="0"/>
    <n v="-0.3"/>
    <x v="0"/>
    <d v="2025-09-25T00:00:00"/>
    <s v="09"/>
    <x v="1"/>
    <s v="Thu"/>
    <d v="2025-09-25T09:54:08"/>
    <x v="14"/>
    <x v="0"/>
    <x v="3"/>
    <x v="0"/>
    <n v="-0.03"/>
    <n v="-0.06"/>
    <n v="-0.09"/>
    <n v="-3"/>
  </r>
  <r>
    <d v="2025-09-25T10:17:08"/>
    <n v="177285426"/>
    <s v="GOLDm#"/>
    <s v="buy"/>
    <s v="0.1"/>
    <n v="3744.55"/>
    <n v="3750.71"/>
    <m/>
    <s v="2025.09.25 10:40:08"/>
    <n v="3750.69"/>
    <n v="0"/>
    <n v="0"/>
    <n v="0.61"/>
    <x v="1"/>
    <d v="2025-09-25T00:00:00"/>
    <s v="10"/>
    <x v="0"/>
    <s v="Thu"/>
    <d v="2025-09-25T10:17:08"/>
    <x v="15"/>
    <x v="0"/>
    <x v="4"/>
    <x v="0"/>
    <n v="6.0999999999999999E-2"/>
    <n v="0.122"/>
    <n v="0.183"/>
    <n v="-3"/>
  </r>
  <r>
    <d v="2025-09-25T10:18:08"/>
    <n v="177285613"/>
    <s v="GOLDm#"/>
    <s v="buy"/>
    <s v="0.1"/>
    <n v="3744.24"/>
    <n v="3745.91"/>
    <n v="3747.71"/>
    <s v="2025.09.25 10:34:53"/>
    <n v="3747.74"/>
    <n v="0"/>
    <n v="0"/>
    <n v="0.35"/>
    <x v="1"/>
    <d v="2025-09-25T00:00:00"/>
    <s v="10"/>
    <x v="1"/>
    <s v="Thu"/>
    <d v="2025-09-25T10:18:08"/>
    <x v="16"/>
    <x v="0"/>
    <x v="4"/>
    <x v="0"/>
    <n v="3.4999999999999996E-2"/>
    <n v="6.9999999999999993E-2"/>
    <n v="0.105"/>
    <n v="-3"/>
  </r>
  <r>
    <d v="2025-09-25T10:40:18"/>
    <n v="177293762"/>
    <s v="GOLDm#"/>
    <s v="buy"/>
    <s v="0.1"/>
    <n v="3750.46"/>
    <n v="3752.8"/>
    <m/>
    <s v="2025.09.25 10:47:19"/>
    <n v="3752.74"/>
    <n v="0"/>
    <n v="0"/>
    <n v="0.23"/>
    <x v="1"/>
    <d v="2025-09-25T00:00:00"/>
    <s v="10"/>
    <x v="0"/>
    <s v="Thu"/>
    <d v="2025-09-25T10:40:18"/>
    <x v="17"/>
    <x v="0"/>
    <x v="4"/>
    <x v="0"/>
    <n v="2.3000000000000003E-2"/>
    <n v="4.6000000000000006E-2"/>
    <n v="6.9000000000000006E-2"/>
    <n v="-3"/>
  </r>
  <r>
    <d v="2025-09-25T10:42:18"/>
    <n v="177294581"/>
    <s v="GOLDm#"/>
    <s v="buy"/>
    <s v="0.1"/>
    <n v="3749.78"/>
    <n v="3746.78"/>
    <n v="3753.28"/>
    <s v="2025.09.25 10:45:08"/>
    <n v="3753.31"/>
    <n v="0"/>
    <n v="0"/>
    <n v="0.35"/>
    <x v="1"/>
    <d v="2025-09-25T00:00:00"/>
    <s v="10"/>
    <x v="1"/>
    <s v="Thu"/>
    <d v="2025-09-25T10:42:18"/>
    <x v="18"/>
    <x v="0"/>
    <x v="4"/>
    <x v="0"/>
    <n v="3.4999999999999996E-2"/>
    <n v="6.9999999999999993E-2"/>
    <n v="0.105"/>
    <n v="-3"/>
  </r>
  <r>
    <d v="2025-09-25T10:47:28"/>
    <n v="177297721"/>
    <s v="GOLDm#"/>
    <s v="buy"/>
    <s v="0.1"/>
    <n v="3753.34"/>
    <n v="3750.13"/>
    <m/>
    <s v="2025.09.25 10:53:33"/>
    <n v="3750.13"/>
    <n v="0"/>
    <n v="0"/>
    <n v="-0.32"/>
    <x v="0"/>
    <d v="2025-09-25T00:00:00"/>
    <s v="10"/>
    <x v="0"/>
    <s v="Thu"/>
    <d v="2025-09-25T10:47:28"/>
    <x v="19"/>
    <x v="0"/>
    <x v="4"/>
    <x v="0"/>
    <n v="-3.2000000000000001E-2"/>
    <n v="-6.4000000000000001E-2"/>
    <n v="-9.6000000000000002E-2"/>
    <n v="-3"/>
  </r>
  <r>
    <d v="2025-09-25T10:52:08"/>
    <n v="177300048"/>
    <s v="GOLDm#"/>
    <s v="buy"/>
    <s v="0.1"/>
    <n v="3753.38"/>
    <n v="3750.38"/>
    <n v="3756.88"/>
    <s v="2025.09.25 10:53:30"/>
    <n v="3750.38"/>
    <n v="0"/>
    <n v="0"/>
    <n v="-0.3"/>
    <x v="0"/>
    <d v="2025-09-25T00:00:00"/>
    <s v="10"/>
    <x v="1"/>
    <s v="Thu"/>
    <d v="2025-09-25T10:52:08"/>
    <x v="20"/>
    <x v="0"/>
    <x v="4"/>
    <x v="0"/>
    <n v="-0.03"/>
    <n v="-0.06"/>
    <n v="-0.09"/>
    <n v="-3"/>
  </r>
  <r>
    <d v="2025-09-25T10:54:08"/>
    <n v="177301510"/>
    <s v="GOLDm#"/>
    <s v="buy"/>
    <s v="0.1"/>
    <n v="3751.16"/>
    <n v="3748.16"/>
    <n v="3754.66"/>
    <s v="2025.09.25 11:02:32"/>
    <n v="3754.75"/>
    <n v="0"/>
    <n v="0"/>
    <n v="0.36"/>
    <x v="1"/>
    <d v="2025-09-25T00:00:00"/>
    <s v="10"/>
    <x v="1"/>
    <s v="Thu"/>
    <d v="2025-09-25T10:54:08"/>
    <x v="21"/>
    <x v="0"/>
    <x v="4"/>
    <x v="0"/>
    <n v="3.5999999999999997E-2"/>
    <n v="7.1999999999999995E-2"/>
    <n v="0.108"/>
    <n v="-3"/>
  </r>
  <r>
    <d v="2025-09-25T11:04:18"/>
    <n v="177306772"/>
    <s v="GOLDm#"/>
    <s v="buy"/>
    <s v="0.1"/>
    <n v="3753.04"/>
    <n v="3755.47"/>
    <n v="3756.54"/>
    <s v="2025.09.25 11:09:47"/>
    <n v="3756.55"/>
    <n v="0"/>
    <n v="0"/>
    <n v="0.35"/>
    <x v="1"/>
    <d v="2025-09-25T00:00:00"/>
    <s v="11"/>
    <x v="1"/>
    <s v="Thu"/>
    <d v="2025-09-25T11:04:18"/>
    <x v="22"/>
    <x v="0"/>
    <x v="5"/>
    <x v="0"/>
    <n v="3.4999999999999996E-2"/>
    <n v="6.9999999999999993E-2"/>
    <n v="0.105"/>
    <n v="-3"/>
  </r>
  <r>
    <d v="2025-09-25T11:06:08"/>
    <n v="177307570"/>
    <s v="GOLDm#"/>
    <s v="buy"/>
    <s v="0.1"/>
    <n v="3755.33"/>
    <n v="3760.36"/>
    <m/>
    <s v="2025.09.25 11:18:57"/>
    <n v="3760.36"/>
    <n v="0"/>
    <n v="0"/>
    <n v="0.5"/>
    <x v="1"/>
    <d v="2025-09-25T00:00:00"/>
    <s v="11"/>
    <x v="0"/>
    <s v="Thu"/>
    <d v="2025-09-25T11:06:08"/>
    <x v="23"/>
    <x v="0"/>
    <x v="5"/>
    <x v="0"/>
    <n v="0.05"/>
    <n v="0.1"/>
    <n v="0.15"/>
    <n v="-3"/>
  </r>
  <r>
    <d v="2025-09-25T11:11:48"/>
    <n v="177309350"/>
    <s v="GOLDm#"/>
    <s v="buy"/>
    <s v="0.1"/>
    <n v="3755.25"/>
    <n v="3756.93"/>
    <n v="3758.69"/>
    <s v="2025.09.25 11:14:40"/>
    <n v="3758.88"/>
    <n v="0"/>
    <n v="0"/>
    <n v="0.36"/>
    <x v="1"/>
    <d v="2025-09-25T00:00:00"/>
    <s v="11"/>
    <x v="1"/>
    <s v="Thu"/>
    <d v="2025-09-25T11:11:48"/>
    <x v="24"/>
    <x v="0"/>
    <x v="5"/>
    <x v="0"/>
    <n v="3.5999999999999997E-2"/>
    <n v="7.1999999999999995E-2"/>
    <n v="0.108"/>
    <n v="-3"/>
  </r>
  <r>
    <d v="2025-09-25T11:18:58"/>
    <n v="177314400"/>
    <s v="GOLDm#"/>
    <s v="buy"/>
    <s v="0.1"/>
    <n v="3760.53"/>
    <n v="3757.56"/>
    <m/>
    <s v="2025.09.25 11:27:28"/>
    <n v="3757.55"/>
    <n v="0"/>
    <n v="0"/>
    <n v="-0.3"/>
    <x v="0"/>
    <d v="2025-09-25T00:00:00"/>
    <s v="11"/>
    <x v="0"/>
    <s v="Thu"/>
    <d v="2025-09-25T11:18:58"/>
    <x v="25"/>
    <x v="0"/>
    <x v="5"/>
    <x v="0"/>
    <n v="-0.03"/>
    <n v="-0.06"/>
    <n v="-0.09"/>
    <n v="-3"/>
  </r>
  <r>
    <d v="2025-09-25T11:20:08"/>
    <n v="177314905"/>
    <s v="GOLDm#"/>
    <s v="buy"/>
    <s v="0.1"/>
    <n v="3759.8"/>
    <n v="3756.82"/>
    <n v="3763.32"/>
    <s v="2025.09.25 11:27:59"/>
    <n v="3756.74"/>
    <n v="0"/>
    <n v="0"/>
    <n v="-0.31"/>
    <x v="0"/>
    <d v="2025-09-25T00:00:00"/>
    <s v="11"/>
    <x v="1"/>
    <s v="Thu"/>
    <d v="2025-09-25T11:20:08"/>
    <x v="26"/>
    <x v="0"/>
    <x v="5"/>
    <x v="0"/>
    <n v="-3.1E-2"/>
    <n v="-6.2E-2"/>
    <n v="-9.2999999999999999E-2"/>
    <n v="-3"/>
  </r>
  <r>
    <d v="2025-09-25T11:29:38"/>
    <n v="177318879"/>
    <s v="GOLDm#"/>
    <s v="sell"/>
    <s v="0.1"/>
    <n v="3757.07"/>
    <n v="3753.44"/>
    <m/>
    <s v="2025.09.25 11:35:43"/>
    <n v="3753.49"/>
    <n v="0"/>
    <n v="0"/>
    <n v="0.36"/>
    <x v="1"/>
    <d v="2025-09-25T00:00:00"/>
    <s v="11"/>
    <x v="0"/>
    <s v="Thu"/>
    <d v="2025-09-25T11:29:38"/>
    <x v="27"/>
    <x v="0"/>
    <x v="5"/>
    <x v="0"/>
    <n v="3.5999999999999997E-2"/>
    <n v="7.1999999999999995E-2"/>
    <n v="0.108"/>
    <n v="-3"/>
  </r>
  <r>
    <d v="2025-09-25T11:36:28"/>
    <n v="177322682"/>
    <s v="GOLDm#"/>
    <s v="sell"/>
    <s v="0.1"/>
    <n v="3753.71"/>
    <n v="3756.71"/>
    <m/>
    <s v="2025.09.25 11:52:33"/>
    <n v="3756.71"/>
    <n v="0"/>
    <n v="0"/>
    <n v="-0.3"/>
    <x v="0"/>
    <d v="2025-09-25T00:00:00"/>
    <s v="11"/>
    <x v="0"/>
    <s v="Thu"/>
    <d v="2025-09-25T11:36:28"/>
    <x v="28"/>
    <x v="0"/>
    <x v="5"/>
    <x v="0"/>
    <n v="-0.03"/>
    <n v="-0.06"/>
    <n v="-0.09"/>
    <n v="-3"/>
  </r>
  <r>
    <d v="2025-09-25T11:42:08"/>
    <n v="177324730"/>
    <s v="GOLDm#"/>
    <s v="sell"/>
    <s v="0.1"/>
    <n v="3752.98"/>
    <n v="3755.99"/>
    <n v="3749.49"/>
    <s v="2025.09.25 11:52:15"/>
    <n v="3756.04"/>
    <n v="0"/>
    <n v="0"/>
    <n v="-0.31"/>
    <x v="0"/>
    <d v="2025-09-25T00:00:00"/>
    <s v="11"/>
    <x v="1"/>
    <s v="Thu"/>
    <d v="2025-09-25T11:42:08"/>
    <x v="29"/>
    <x v="0"/>
    <x v="5"/>
    <x v="0"/>
    <n v="-3.1E-2"/>
    <n v="-6.2E-2"/>
    <n v="-9.2999999999999999E-2"/>
    <n v="-3"/>
  </r>
  <r>
    <d v="2025-09-25T11:55:38"/>
    <n v="177329023"/>
    <s v="GOLDm#"/>
    <s v="buy"/>
    <s v="0.1"/>
    <n v="3757.31"/>
    <n v="3754.21"/>
    <m/>
    <s v="2025.09.25 12:04:07"/>
    <n v="3754.1"/>
    <n v="0"/>
    <n v="0"/>
    <n v="-0.32"/>
    <x v="0"/>
    <d v="2025-09-25T00:00:00"/>
    <s v="11"/>
    <x v="0"/>
    <s v="Thu"/>
    <d v="2025-09-25T11:55:38"/>
    <x v="30"/>
    <x v="0"/>
    <x v="5"/>
    <x v="0"/>
    <n v="-3.2000000000000001E-2"/>
    <n v="-6.4000000000000001E-2"/>
    <n v="-9.6000000000000002E-2"/>
    <n v="-3"/>
  </r>
  <r>
    <d v="2025-09-25T11:56:28"/>
    <n v="177329314"/>
    <s v="GOLDm#"/>
    <s v="buy"/>
    <s v="0.1"/>
    <n v="3756.73"/>
    <n v="3753.77"/>
    <n v="3760.27"/>
    <s v="2025.09.25 12:22:47"/>
    <n v="3753.72"/>
    <n v="0"/>
    <n v="0"/>
    <n v="-0.3"/>
    <x v="0"/>
    <d v="2025-09-25T00:00:00"/>
    <s v="11"/>
    <x v="1"/>
    <s v="Thu"/>
    <d v="2025-09-25T11:56:28"/>
    <x v="31"/>
    <x v="0"/>
    <x v="5"/>
    <x v="0"/>
    <n v="-0.03"/>
    <n v="-0.06"/>
    <n v="-0.09"/>
    <n v="-3"/>
  </r>
  <r>
    <d v="2025-09-25T12:08:08"/>
    <n v="177332017"/>
    <s v="GOLDm#"/>
    <s v="buy"/>
    <s v="0.1"/>
    <n v="3756.7"/>
    <n v="3753.68"/>
    <m/>
    <s v="2025.09.25 12:22:49"/>
    <n v="3753.68"/>
    <n v="0"/>
    <n v="0"/>
    <n v="-0.3"/>
    <x v="0"/>
    <d v="2025-09-25T00:00:00"/>
    <s v="12"/>
    <x v="0"/>
    <s v="Thu"/>
    <d v="2025-09-25T12:08:08"/>
    <x v="32"/>
    <x v="0"/>
    <x v="6"/>
    <x v="0"/>
    <n v="-0.03"/>
    <n v="-0.06"/>
    <n v="-0.09"/>
    <n v="-3"/>
  </r>
  <r>
    <d v="2025-09-25T12:23:08"/>
    <n v="177334972"/>
    <s v="GOLDm#"/>
    <s v="sell"/>
    <s v="0.1"/>
    <n v="3753.68"/>
    <n v="3756.68"/>
    <m/>
    <s v="2025.09.25 12:45:04"/>
    <n v="3756.71"/>
    <n v="0"/>
    <n v="0"/>
    <n v="-0.3"/>
    <x v="0"/>
    <d v="2025-09-25T00:00:00"/>
    <s v="12"/>
    <x v="0"/>
    <s v="Thu"/>
    <d v="2025-09-25T12:23:08"/>
    <x v="33"/>
    <x v="0"/>
    <x v="6"/>
    <x v="0"/>
    <n v="-0.03"/>
    <n v="-0.06"/>
    <n v="-0.09"/>
    <n v="-3"/>
  </r>
  <r>
    <d v="2025-09-25T12:24:08"/>
    <n v="177335268"/>
    <s v="GOLDm#"/>
    <s v="sell"/>
    <s v="0.1"/>
    <n v="3754.58"/>
    <n v="3752.04"/>
    <n v="3750.8"/>
    <s v="2025.09.25 12:29:39"/>
    <n v="3750.78"/>
    <n v="0"/>
    <n v="0"/>
    <n v="0.38"/>
    <x v="1"/>
    <d v="2025-09-25T00:00:00"/>
    <s v="12"/>
    <x v="1"/>
    <s v="Thu"/>
    <d v="2025-09-25T12:24:08"/>
    <x v="34"/>
    <x v="0"/>
    <x v="6"/>
    <x v="0"/>
    <n v="3.8000000000000006E-2"/>
    <n v="7.6000000000000012E-2"/>
    <n v="0.11399999999999999"/>
    <n v="-3"/>
  </r>
  <r>
    <d v="2025-09-25T12:30:48"/>
    <n v="177338172"/>
    <s v="GOLDm#"/>
    <s v="sell"/>
    <s v="0.1"/>
    <n v="3752.29"/>
    <n v="3755.29"/>
    <n v="3748.79"/>
    <s v="2025.09.25 12:43:05"/>
    <n v="3755.46"/>
    <n v="0"/>
    <n v="0"/>
    <n v="-0.32"/>
    <x v="0"/>
    <d v="2025-09-25T00:00:00"/>
    <s v="12"/>
    <x v="1"/>
    <s v="Thu"/>
    <d v="2025-09-25T12:30:48"/>
    <x v="35"/>
    <x v="0"/>
    <x v="6"/>
    <x v="0"/>
    <n v="-3.2000000000000001E-2"/>
    <n v="-6.4000000000000001E-2"/>
    <n v="-9.6000000000000002E-2"/>
    <n v="-3"/>
  </r>
  <r>
    <d v="2025-09-25T12:48:08"/>
    <n v="177344228"/>
    <s v="GOLDm#"/>
    <s v="buy"/>
    <s v="0.1"/>
    <n v="3758.43"/>
    <n v="3755.55"/>
    <m/>
    <s v="2025.09.25 12:57:50"/>
    <n v="3755.53"/>
    <n v="0"/>
    <n v="0"/>
    <n v="-0.28999999999999998"/>
    <x v="0"/>
    <d v="2025-09-25T00:00:00"/>
    <s v="12"/>
    <x v="0"/>
    <s v="Thu"/>
    <d v="2025-09-25T12:48:08"/>
    <x v="36"/>
    <x v="0"/>
    <x v="6"/>
    <x v="0"/>
    <n v="-2.8999999999999998E-2"/>
    <n v="-5.7999999999999996E-2"/>
    <n v="-8.6999999999999994E-2"/>
    <n v="-3"/>
  </r>
  <r>
    <d v="2025-09-25T12:52:38"/>
    <n v="177346406"/>
    <s v="GOLDm#"/>
    <s v="buy"/>
    <s v="0.1"/>
    <n v="3759.44"/>
    <n v="3756.39"/>
    <n v="3762.89"/>
    <s v="2025.09.25 12:57:29"/>
    <n v="3756.37"/>
    <n v="0"/>
    <n v="0"/>
    <n v="-0.31"/>
    <x v="0"/>
    <d v="2025-09-25T00:00:00"/>
    <s v="12"/>
    <x v="1"/>
    <s v="Thu"/>
    <d v="2025-09-25T12:52:38"/>
    <x v="37"/>
    <x v="0"/>
    <x v="6"/>
    <x v="0"/>
    <n v="-3.1E-2"/>
    <n v="-6.2E-2"/>
    <n v="-9.2999999999999999E-2"/>
    <n v="-3"/>
  </r>
  <r>
    <d v="2025-09-25T12:59:28"/>
    <n v="177349228"/>
    <s v="GOLDm#"/>
    <s v="sell"/>
    <s v="0.1"/>
    <n v="3756.13"/>
    <n v="3759.13"/>
    <m/>
    <s v="2025.09.25 13:48:17"/>
    <n v="3759.32"/>
    <n v="0"/>
    <n v="0"/>
    <n v="-0.32"/>
    <x v="0"/>
    <d v="2025-09-25T00:00:00"/>
    <s v="12"/>
    <x v="0"/>
    <s v="Thu"/>
    <d v="2025-09-25T12:59:28"/>
    <x v="38"/>
    <x v="0"/>
    <x v="6"/>
    <x v="0"/>
    <n v="-3.2000000000000001E-2"/>
    <n v="-6.4000000000000001E-2"/>
    <n v="-9.6000000000000002E-2"/>
    <n v="-3"/>
  </r>
  <r>
    <d v="2025-09-25T13:02:08"/>
    <n v="177349875"/>
    <s v="GOLDm#"/>
    <s v="buy"/>
    <s v="0.1"/>
    <n v="3757.71"/>
    <n v="3754.71"/>
    <n v="3761.21"/>
    <s v="2025.09.25 14:02:29"/>
    <n v="3754.6"/>
    <n v="0"/>
    <n v="0"/>
    <n v="-0.31"/>
    <x v="0"/>
    <d v="2025-09-25T00:00:00"/>
    <s v="13"/>
    <x v="1"/>
    <s v="Thu"/>
    <d v="2025-09-25T13:02:08"/>
    <x v="39"/>
    <x v="0"/>
    <x v="7"/>
    <x v="0"/>
    <n v="-3.1E-2"/>
    <n v="-6.2E-2"/>
    <n v="-9.2999999999999999E-2"/>
    <n v="-3"/>
  </r>
  <r>
    <d v="2025-09-25T14:16:27"/>
    <n v="177376615"/>
    <s v="GOLDm#"/>
    <s v="sell"/>
    <s v="0.1"/>
    <n v="3744.64"/>
    <n v="3747.6"/>
    <n v="3741.1"/>
    <s v="2025.09.25 14:22:02"/>
    <n v="3747.61"/>
    <n v="0"/>
    <n v="0"/>
    <n v="-0.3"/>
    <x v="0"/>
    <d v="2025-09-25T00:00:00"/>
    <s v="14"/>
    <x v="1"/>
    <s v="Thu"/>
    <d v="2025-09-25T14:16:27"/>
    <x v="40"/>
    <x v="0"/>
    <x v="8"/>
    <x v="0"/>
    <n v="-0.03"/>
    <n v="-0.06"/>
    <n v="-0.09"/>
    <n v="-3"/>
  </r>
  <r>
    <d v="2025-09-25T14:22:17"/>
    <n v="177379628"/>
    <s v="GOLDm#"/>
    <s v="sell"/>
    <s v="0.1"/>
    <n v="3746.94"/>
    <n v="3750.06"/>
    <n v="3743.56"/>
    <s v="2025.09.25 14:26:23"/>
    <n v="3750.07"/>
    <n v="0"/>
    <n v="0"/>
    <n v="-0.31"/>
    <x v="0"/>
    <d v="2025-09-25T00:00:00"/>
    <s v="14"/>
    <x v="1"/>
    <s v="Thu"/>
    <d v="2025-09-25T14:22:17"/>
    <x v="41"/>
    <x v="0"/>
    <x v="8"/>
    <x v="0"/>
    <n v="-3.1E-2"/>
    <n v="-6.2E-2"/>
    <n v="-9.2999999999999999E-2"/>
    <n v="-3"/>
  </r>
  <r>
    <d v="2025-09-25T14:49:07"/>
    <n v="177390984"/>
    <s v="GOLDm#"/>
    <s v="buy"/>
    <s v="0.1"/>
    <n v="3752.22"/>
    <n v="3749.16"/>
    <n v="3755.66"/>
    <s v="2025.09.25 15:22:18"/>
    <n v="3755.81"/>
    <n v="0"/>
    <n v="0"/>
    <n v="0.36"/>
    <x v="1"/>
    <d v="2025-09-25T00:00:00"/>
    <s v="14"/>
    <x v="1"/>
    <s v="Thu"/>
    <d v="2025-09-25T14:49:07"/>
    <x v="42"/>
    <x v="0"/>
    <x v="8"/>
    <x v="0"/>
    <n v="3.5999999999999997E-2"/>
    <n v="7.1999999999999995E-2"/>
    <n v="0.108"/>
    <n v="-3"/>
  </r>
  <r>
    <d v="2025-09-25T15:24:07"/>
    <n v="177402156"/>
    <s v="GOLDm#"/>
    <s v="buy"/>
    <s v="0.1"/>
    <n v="3754.44"/>
    <n v="3751.4"/>
    <n v="3757.9"/>
    <s v="2025.09.25 15:30:00"/>
    <n v="3748.68"/>
    <n v="0"/>
    <n v="0"/>
    <n v="-0.57999999999999996"/>
    <x v="0"/>
    <d v="2025-09-25T00:00:00"/>
    <s v="15"/>
    <x v="1"/>
    <s v="Thu"/>
    <d v="2025-09-25T15:24:07"/>
    <x v="43"/>
    <x v="0"/>
    <x v="9"/>
    <x v="0"/>
    <n v="-5.7999999999999996E-2"/>
    <n v="-0.11599999999999999"/>
    <n v="-0.17399999999999999"/>
    <n v="-3"/>
  </r>
  <r>
    <d v="2025-09-25T15:42:07"/>
    <n v="177425533"/>
    <s v="GOLDm#"/>
    <s v="sell"/>
    <s v="0.1"/>
    <n v="3742.18"/>
    <n v="3745.26"/>
    <n v="3738.76"/>
    <s v="2025.09.25 15:43:37"/>
    <n v="3738.68"/>
    <n v="0"/>
    <n v="0"/>
    <n v="0.35"/>
    <x v="1"/>
    <d v="2025-09-25T00:00:00"/>
    <s v="15"/>
    <x v="1"/>
    <s v="Thu"/>
    <d v="2025-09-25T15:42:07"/>
    <x v="44"/>
    <x v="0"/>
    <x v="9"/>
    <x v="0"/>
    <n v="3.4999999999999996E-2"/>
    <n v="6.9999999999999993E-2"/>
    <n v="0.105"/>
    <n v="-3"/>
  </r>
  <r>
    <d v="2025-09-25T15:44:17"/>
    <n v="177427766"/>
    <s v="GOLDm#"/>
    <s v="sell"/>
    <s v="0.1"/>
    <n v="3742.49"/>
    <n v="3740.49"/>
    <n v="3738.98"/>
    <s v="2025.09.25 15:46:41"/>
    <n v="3738.77"/>
    <n v="0"/>
    <n v="0"/>
    <n v="0.37"/>
    <x v="1"/>
    <d v="2025-09-25T00:00:00"/>
    <s v="15"/>
    <x v="1"/>
    <s v="Thu"/>
    <d v="2025-09-25T15:44:17"/>
    <x v="45"/>
    <x v="0"/>
    <x v="9"/>
    <x v="0"/>
    <n v="3.6999999999999998E-2"/>
    <n v="7.3999999999999996E-2"/>
    <n v="0.111"/>
    <n v="-3"/>
  </r>
  <r>
    <d v="2025-09-25T15:55:37"/>
    <n v="177439865"/>
    <s v="GOLDm#"/>
    <s v="sell"/>
    <s v="0.1"/>
    <n v="3735.59"/>
    <n v="3738.66"/>
    <n v="3732.16"/>
    <s v="2025.09.25 15:56:54"/>
    <n v="3738.67"/>
    <n v="0"/>
    <n v="0"/>
    <n v="-0.31"/>
    <x v="0"/>
    <d v="2025-09-25T00:00:00"/>
    <s v="15"/>
    <x v="1"/>
    <s v="Thu"/>
    <d v="2025-09-25T15:55:37"/>
    <x v="46"/>
    <x v="0"/>
    <x v="9"/>
    <x v="0"/>
    <n v="-3.1E-2"/>
    <n v="-6.2E-2"/>
    <n v="-9.2999999999999999E-2"/>
    <n v="-3"/>
  </r>
  <r>
    <d v="2025-09-25T15:57:57"/>
    <n v="177442675"/>
    <s v="GOLDm#"/>
    <s v="sell"/>
    <s v="0.1"/>
    <n v="3738.12"/>
    <n v="3741.11"/>
    <n v="3734.61"/>
    <s v="2025.09.25 16:02:07"/>
    <n v="3734.46"/>
    <n v="0"/>
    <n v="0"/>
    <n v="0.37"/>
    <x v="1"/>
    <d v="2025-09-25T00:00:00"/>
    <s v="15"/>
    <x v="1"/>
    <s v="Thu"/>
    <d v="2025-09-25T15:57:57"/>
    <x v="47"/>
    <x v="0"/>
    <x v="9"/>
    <x v="0"/>
    <n v="3.6999999999999998E-2"/>
    <n v="7.3999999999999996E-2"/>
    <n v="0.111"/>
    <n v="-3"/>
  </r>
  <r>
    <d v="2025-09-25T16:26:07"/>
    <n v="177460407"/>
    <s v="GOLDm#"/>
    <s v="buy"/>
    <s v="0.1"/>
    <n v="3742.44"/>
    <n v="3739.45"/>
    <n v="3745.95"/>
    <s v="2025.09.25 16:31:08"/>
    <n v="3739.45"/>
    <n v="0"/>
    <n v="0"/>
    <n v="-0.3"/>
    <x v="0"/>
    <d v="2025-09-25T00:00:00"/>
    <s v="16"/>
    <x v="1"/>
    <s v="Thu"/>
    <d v="2025-09-25T16:26:07"/>
    <x v="48"/>
    <x v="0"/>
    <x v="10"/>
    <x v="0"/>
    <n v="-0.03"/>
    <n v="-0.06"/>
    <n v="-0.09"/>
    <n v="-3"/>
  </r>
  <r>
    <d v="2025-09-25T16:51:37"/>
    <n v="177483615"/>
    <s v="GOLDm#"/>
    <s v="sell"/>
    <s v="0.1"/>
    <n v="3727.45"/>
    <n v="3730.5"/>
    <n v="3724"/>
    <s v="2025.09.25 16:57:53"/>
    <n v="3730.51"/>
    <n v="0"/>
    <n v="0"/>
    <n v="-0.31"/>
    <x v="0"/>
    <d v="2025-09-25T00:00:00"/>
    <s v="16"/>
    <x v="1"/>
    <s v="Thu"/>
    <d v="2025-09-25T16:51:37"/>
    <x v="49"/>
    <x v="0"/>
    <x v="10"/>
    <x v="0"/>
    <n v="-3.1E-2"/>
    <n v="-6.2E-2"/>
    <n v="-9.2999999999999999E-2"/>
    <n v="-3"/>
  </r>
  <r>
    <d v="2025-09-25T17:26:27"/>
    <n v="177506074"/>
    <s v="GOLDm#"/>
    <s v="buy"/>
    <s v="0.1"/>
    <n v="3734.01"/>
    <n v="3730.9"/>
    <n v="3737.4"/>
    <s v="2025.09.25 17:27:40"/>
    <n v="3730.73"/>
    <n v="0"/>
    <n v="0"/>
    <n v="-0.33"/>
    <x v="0"/>
    <d v="2025-09-25T00:00:00"/>
    <s v="17"/>
    <x v="1"/>
    <s v="Thu"/>
    <d v="2025-09-25T17:26:27"/>
    <x v="50"/>
    <x v="0"/>
    <x v="11"/>
    <x v="0"/>
    <n v="-3.3000000000000002E-2"/>
    <n v="-6.6000000000000003E-2"/>
    <n v="-9.9000000000000005E-2"/>
    <n v="-3"/>
  </r>
  <r>
    <d v="2025-09-25T17:44:57"/>
    <n v="177515117"/>
    <s v="GOLDm#"/>
    <s v="sell"/>
    <s v="0.1"/>
    <n v="3727.52"/>
    <n v="3730.69"/>
    <n v="3724.19"/>
    <s v="2025.09.25 17:52:27"/>
    <n v="3724.12"/>
    <n v="0"/>
    <n v="0"/>
    <n v="0.34"/>
    <x v="1"/>
    <d v="2025-09-25T00:00:00"/>
    <s v="17"/>
    <x v="1"/>
    <s v="Thu"/>
    <d v="2025-09-25T17:44:57"/>
    <x v="51"/>
    <x v="0"/>
    <x v="11"/>
    <x v="0"/>
    <n v="3.4000000000000002E-2"/>
    <n v="6.8000000000000005E-2"/>
    <n v="0.10200000000000001"/>
    <n v="-3"/>
  </r>
  <r>
    <d v="2025-09-25T17:55:47"/>
    <n v="177519593"/>
    <s v="GOLDm#"/>
    <s v="sell"/>
    <s v="0.1"/>
    <n v="3726.64"/>
    <n v="3729.69"/>
    <n v="3723.19"/>
    <s v="2025.09.25 17:56:33"/>
    <n v="3730.21"/>
    <n v="0"/>
    <n v="0"/>
    <n v="-0.36"/>
    <x v="0"/>
    <d v="2025-09-25T00:00:00"/>
    <s v="17"/>
    <x v="1"/>
    <s v="Thu"/>
    <d v="2025-09-25T17:55:47"/>
    <x v="52"/>
    <x v="0"/>
    <x v="11"/>
    <x v="0"/>
    <n v="-3.5999999999999997E-2"/>
    <n v="-7.1999999999999995E-2"/>
    <n v="-0.108"/>
    <n v="-3"/>
  </r>
  <r>
    <d v="2025-09-25T18:21:47"/>
    <n v="177533273"/>
    <s v="GOLDm#"/>
    <s v="buy"/>
    <s v="0.1"/>
    <n v="3736.29"/>
    <n v="3733.29"/>
    <n v="3739.79"/>
    <s v="2025.09.25 18:24:44"/>
    <n v="3733.29"/>
    <n v="0"/>
    <n v="0"/>
    <n v="-0.3"/>
    <x v="0"/>
    <d v="2025-09-25T00:00:00"/>
    <s v="18"/>
    <x v="1"/>
    <s v="Thu"/>
    <d v="2025-09-25T18:21:47"/>
    <x v="53"/>
    <x v="0"/>
    <x v="12"/>
    <x v="0"/>
    <n v="-0.03"/>
    <n v="-0.06"/>
    <n v="-0.09"/>
    <n v="-3"/>
  </r>
  <r>
    <d v="2025-09-25T18:42:32"/>
    <n v="177541507"/>
    <s v="GOLDm#"/>
    <s v="buy"/>
    <s v="0.1"/>
    <n v="3734.9"/>
    <n v="3739.57"/>
    <n v="3749.9"/>
    <s v="2025.09.25 19:15:50"/>
    <n v="3741.7"/>
    <n v="0"/>
    <n v="0"/>
    <n v="0.68"/>
    <x v="1"/>
    <d v="2025-09-25T00:00:00"/>
    <s v="18"/>
    <x v="2"/>
    <s v="Thu"/>
    <d v="2025-09-25T18:42:32"/>
    <x v="54"/>
    <x v="0"/>
    <x v="12"/>
    <x v="0"/>
    <n v="6.8000000000000005E-2"/>
    <n v="0.13600000000000001"/>
    <n v="0.20400000000000001"/>
    <n v="-3"/>
  </r>
  <r>
    <d v="2025-09-25T18:46:27"/>
    <n v="177542901"/>
    <s v="GOLDm#"/>
    <s v="buy"/>
    <s v="0.1"/>
    <n v="3734.98"/>
    <n v="3737.36"/>
    <n v="3738.48"/>
    <s v="2025.09.25 19:07:44"/>
    <n v="3738.48"/>
    <n v="0"/>
    <n v="0"/>
    <n v="0.35"/>
    <x v="1"/>
    <d v="2025-09-25T00:00:00"/>
    <s v="18"/>
    <x v="1"/>
    <s v="Thu"/>
    <d v="2025-09-25T18:46:27"/>
    <x v="55"/>
    <x v="0"/>
    <x v="12"/>
    <x v="0"/>
    <n v="3.4999999999999996E-2"/>
    <n v="6.9999999999999993E-2"/>
    <n v="0.105"/>
    <n v="-3"/>
  </r>
  <r>
    <d v="2025-09-25T19:08:34"/>
    <n v="177548439"/>
    <s v="GOLDm#"/>
    <s v="buy"/>
    <s v="0.1"/>
    <n v="3739.78"/>
    <n v="3739.87"/>
    <n v="3757.78"/>
    <s v="2025.09.25 19:16:34"/>
    <n v="3739.86"/>
    <n v="0"/>
    <n v="0"/>
    <n v="0.01"/>
    <x v="1"/>
    <d v="2025-09-25T00:00:00"/>
    <s v="19"/>
    <x v="2"/>
    <s v="Thu"/>
    <d v="2025-09-25T19:08:34"/>
    <x v="56"/>
    <x v="1"/>
    <x v="13"/>
    <x v="1"/>
    <n v="1E-3"/>
    <n v="2E-3"/>
    <n v="3.0000000000000001E-3"/>
    <n v="-3"/>
  </r>
  <r>
    <d v="2025-09-25T19:10:50"/>
    <n v="177549802"/>
    <s v="GOLDm#"/>
    <s v="buy"/>
    <s v="0.1"/>
    <n v="3741.2"/>
    <n v="3738.2"/>
    <n v="3757.62"/>
    <s v="2025.09.25 19:21:54"/>
    <n v="3738.87"/>
    <n v="0"/>
    <n v="0"/>
    <n v="-0.23"/>
    <x v="0"/>
    <d v="2025-09-25T00:00:00"/>
    <s v="19"/>
    <x v="2"/>
    <s v="Thu"/>
    <d v="2025-09-25T19:10:50"/>
    <x v="57"/>
    <x v="1"/>
    <x v="13"/>
    <x v="1"/>
    <n v="-2.3000000000000003E-2"/>
    <n v="-4.6000000000000006E-2"/>
    <n v="-6.9000000000000006E-2"/>
    <n v="-3"/>
  </r>
  <r>
    <d v="2025-09-25T19:16:07"/>
    <n v="177552038"/>
    <s v="GOLDm#"/>
    <s v="buy"/>
    <s v="0.1"/>
    <n v="3741.1"/>
    <n v="3738.15"/>
    <n v="3744.65"/>
    <s v="2025.09.25 19:22:01"/>
    <n v="3738.91"/>
    <n v="0"/>
    <n v="0"/>
    <n v="-0.22"/>
    <x v="0"/>
    <d v="2025-09-25T00:00:00"/>
    <s v="19"/>
    <x v="1"/>
    <s v="Thu"/>
    <d v="2025-09-25T19:16:07"/>
    <x v="58"/>
    <x v="1"/>
    <x v="13"/>
    <x v="1"/>
    <n v="-2.2000000000000002E-2"/>
    <n v="-4.4000000000000004E-2"/>
    <n v="-6.6000000000000003E-2"/>
    <n v="-3"/>
  </r>
  <r>
    <d v="2025-09-25T19:22:33"/>
    <n v="177554174"/>
    <s v="GOLDm#"/>
    <s v="sell"/>
    <s v="0.1"/>
    <n v="3737.96"/>
    <n v="3737.14"/>
    <n v="3734.5"/>
    <s v="2025.09.25 19:27:15"/>
    <n v="3737.17"/>
    <n v="0"/>
    <n v="0"/>
    <n v="0.08"/>
    <x v="1"/>
    <d v="2025-09-25T00:00:00"/>
    <s v="19"/>
    <x v="2"/>
    <s v="Thu"/>
    <d v="2025-09-25T19:22:33"/>
    <x v="59"/>
    <x v="1"/>
    <x v="13"/>
    <x v="1"/>
    <n v="8.0000000000000002E-3"/>
    <n v="1.6E-2"/>
    <n v="2.4E-2"/>
    <n v="-3"/>
  </r>
  <r>
    <d v="2025-09-25T19:28:28"/>
    <n v="177556663"/>
    <s v="GOLDm#"/>
    <s v="buy"/>
    <s v="0.1"/>
    <n v="3737.72"/>
    <n v="3734.72"/>
    <n v="3741.22"/>
    <s v="2025.09.25 19:31:55"/>
    <n v="3735.6"/>
    <n v="0"/>
    <n v="0"/>
    <n v="-0.21"/>
    <x v="0"/>
    <d v="2025-09-25T00:00:00"/>
    <s v="19"/>
    <x v="2"/>
    <s v="Thu"/>
    <d v="2025-09-25T19:28:28"/>
    <x v="60"/>
    <x v="1"/>
    <x v="13"/>
    <x v="1"/>
    <n v="-2.1000000000000001E-2"/>
    <n v="-4.2000000000000003E-2"/>
    <n v="-6.3E-2"/>
    <n v="-3"/>
  </r>
  <r>
    <d v="2025-09-25T19:32:23"/>
    <n v="177557698"/>
    <s v="GOLDm#"/>
    <s v="sell"/>
    <s v="0.1"/>
    <n v="3735.74"/>
    <n v="3736.87"/>
    <n v="3732.24"/>
    <s v="2025.09.25 19:39:18"/>
    <n v="3736.88"/>
    <n v="0"/>
    <n v="0"/>
    <n v="-0.11"/>
    <x v="0"/>
    <d v="2025-09-25T00:00:00"/>
    <s v="19"/>
    <x v="2"/>
    <s v="Thu"/>
    <d v="2025-09-25T19:32:23"/>
    <x v="61"/>
    <x v="1"/>
    <x v="13"/>
    <x v="1"/>
    <n v="-1.1000000000000001E-2"/>
    <n v="-2.2000000000000002E-2"/>
    <n v="-3.3000000000000002E-2"/>
    <n v="-3"/>
  </r>
  <r>
    <d v="2025-09-25T19:38:07"/>
    <n v="177558685"/>
    <s v="GOLDm#"/>
    <s v="sell"/>
    <s v="0.1"/>
    <n v="3735.73"/>
    <n v="3733.41"/>
    <n v="3732.23"/>
    <s v="2025.09.25 20:06:31"/>
    <n v="3733.42"/>
    <n v="0"/>
    <n v="0"/>
    <n v="0.23"/>
    <x v="1"/>
    <d v="2025-09-25T00:00:00"/>
    <s v="19"/>
    <x v="1"/>
    <s v="Thu"/>
    <d v="2025-09-25T19:38:07"/>
    <x v="62"/>
    <x v="1"/>
    <x v="13"/>
    <x v="1"/>
    <n v="2.3000000000000003E-2"/>
    <n v="4.6000000000000006E-2"/>
    <n v="6.9000000000000006E-2"/>
    <n v="-3"/>
  </r>
  <r>
    <d v="2025-09-25T20:04:06"/>
    <n v="177564707"/>
    <s v="GOLDm#"/>
    <s v="sell"/>
    <s v="0.1"/>
    <n v="3733.49"/>
    <n v="3736.49"/>
    <m/>
    <s v="2025.09.25 20:11:41"/>
    <n v="3736.85"/>
    <n v="0"/>
    <n v="0"/>
    <n v="-0.34"/>
    <x v="0"/>
    <d v="2025-09-25T00:00:00"/>
    <s v="20"/>
    <x v="0"/>
    <s v="Thu"/>
    <d v="2025-09-25T20:04:06"/>
    <x v="63"/>
    <x v="1"/>
    <x v="14"/>
    <x v="1"/>
    <n v="-3.4000000000000002E-2"/>
    <n v="-6.8000000000000005E-2"/>
    <n v="-0.10200000000000001"/>
    <n v="-3"/>
  </r>
  <r>
    <d v="2025-09-25T20:06:36"/>
    <n v="177565274"/>
    <s v="GOLDm#"/>
    <s v="sell"/>
    <s v="0.1"/>
    <n v="3733.37"/>
    <n v="3736.18"/>
    <n v="3729.68"/>
    <s v="2025.09.25 20:11:07"/>
    <n v="3736.18"/>
    <n v="0"/>
    <n v="0"/>
    <n v="-0.28000000000000003"/>
    <x v="0"/>
    <d v="2025-09-25T00:00:00"/>
    <s v="20"/>
    <x v="1"/>
    <s v="Thu"/>
    <d v="2025-09-25T20:06:36"/>
    <x v="64"/>
    <x v="1"/>
    <x v="14"/>
    <x v="1"/>
    <n v="-2.8000000000000004E-2"/>
    <n v="-5.6000000000000008E-2"/>
    <n v="-8.4000000000000005E-2"/>
    <n v="-3"/>
  </r>
  <r>
    <d v="2025-09-25T20:18:36"/>
    <n v="177570549"/>
    <s v="GOLDm#"/>
    <s v="buy"/>
    <s v="0.1"/>
    <n v="3741.63"/>
    <n v="3738.63"/>
    <m/>
    <s v="2025.09.25 20:22:29"/>
    <n v="3738.63"/>
    <n v="0"/>
    <n v="0"/>
    <n v="-0.3"/>
    <x v="0"/>
    <d v="2025-09-25T00:00:00"/>
    <s v="20"/>
    <x v="0"/>
    <s v="Thu"/>
    <d v="2025-09-25T20:18:36"/>
    <x v="65"/>
    <x v="1"/>
    <x v="14"/>
    <x v="1"/>
    <n v="-0.03"/>
    <n v="-0.06"/>
    <n v="-0.09"/>
    <n v="-3"/>
  </r>
  <r>
    <d v="2025-09-25T20:19:56"/>
    <n v="177571380"/>
    <s v="GOLDm#"/>
    <s v="buy"/>
    <s v="0.1"/>
    <n v="3739.68"/>
    <n v="3736.73"/>
    <n v="3743.23"/>
    <s v="2025.09.25 20:57:51"/>
    <n v="3743.27"/>
    <n v="0"/>
    <n v="0"/>
    <n v="0.36"/>
    <x v="1"/>
    <d v="2025-09-25T00:00:00"/>
    <s v="20"/>
    <x v="1"/>
    <s v="Thu"/>
    <d v="2025-09-25T20:19:56"/>
    <x v="66"/>
    <x v="1"/>
    <x v="14"/>
    <x v="1"/>
    <n v="3.5999999999999997E-2"/>
    <n v="7.1999999999999995E-2"/>
    <n v="0.108"/>
    <n v="-3"/>
  </r>
  <r>
    <d v="2025-09-25T20:32:06"/>
    <n v="177576309"/>
    <s v="GOLDm#"/>
    <s v="buy"/>
    <s v="0.1"/>
    <n v="3741.63"/>
    <n v="3738.55"/>
    <m/>
    <s v="2025.09.25 20:34:43"/>
    <n v="3738.44"/>
    <n v="0"/>
    <n v="0"/>
    <n v="-0.32"/>
    <x v="0"/>
    <d v="2025-09-25T00:00:00"/>
    <s v="20"/>
    <x v="0"/>
    <s v="Thu"/>
    <d v="2025-09-25T20:32:06"/>
    <x v="67"/>
    <x v="1"/>
    <x v="14"/>
    <x v="1"/>
    <n v="-3.2000000000000001E-2"/>
    <n v="-6.4000000000000001E-2"/>
    <n v="-9.6000000000000002E-2"/>
    <n v="-3"/>
  </r>
  <r>
    <d v="2025-09-25T20:35:06"/>
    <n v="177577252"/>
    <s v="GOLDm#"/>
    <s v="sell"/>
    <s v="0.1"/>
    <n v="3739.68"/>
    <n v="3742.34"/>
    <m/>
    <s v="2025.09.25 20:57:28"/>
    <n v="3742.35"/>
    <n v="0"/>
    <n v="0"/>
    <n v="-0.27"/>
    <x v="0"/>
    <d v="2025-09-25T00:00:00"/>
    <s v="20"/>
    <x v="0"/>
    <s v="Thu"/>
    <d v="2025-09-25T20:35:06"/>
    <x v="68"/>
    <x v="1"/>
    <x v="14"/>
    <x v="1"/>
    <n v="-2.7000000000000003E-2"/>
    <n v="-5.4000000000000006E-2"/>
    <n v="-8.1000000000000003E-2"/>
    <n v="-3"/>
  </r>
  <r>
    <d v="2025-09-25T20:59:06"/>
    <n v="177582152"/>
    <s v="GOLDm#"/>
    <s v="buy"/>
    <s v="0.1"/>
    <n v="3742.62"/>
    <n v="3739.62"/>
    <m/>
    <s v="2025.09.25 21:10:27"/>
    <n v="3739.62"/>
    <n v="0"/>
    <n v="0"/>
    <n v="-0.3"/>
    <x v="0"/>
    <d v="2025-09-25T00:00:00"/>
    <s v="20"/>
    <x v="0"/>
    <s v="Thu"/>
    <d v="2025-09-25T20:59:06"/>
    <x v="69"/>
    <x v="1"/>
    <x v="14"/>
    <x v="1"/>
    <n v="-0.03"/>
    <n v="-0.06"/>
    <n v="-0.09"/>
    <n v="-3"/>
  </r>
  <r>
    <d v="2025-09-25T21:04:06"/>
    <n v="177584097"/>
    <s v="GOLDm#"/>
    <s v="buy"/>
    <s v="0.1"/>
    <n v="3742.72"/>
    <n v="3739.74"/>
    <n v="3746.24"/>
    <s v="2025.09.25 21:10:24"/>
    <n v="3739.68"/>
    <n v="0"/>
    <n v="0"/>
    <n v="-0.3"/>
    <x v="0"/>
    <d v="2025-09-25T00:00:00"/>
    <s v="21"/>
    <x v="1"/>
    <s v="Thu"/>
    <d v="2025-09-25T21:04:06"/>
    <x v="70"/>
    <x v="1"/>
    <x v="15"/>
    <x v="1"/>
    <n v="-0.03"/>
    <n v="-0.06"/>
    <n v="-0.09"/>
    <n v="-3"/>
  </r>
  <r>
    <d v="2025-09-25T21:12:36"/>
    <n v="177586695"/>
    <s v="GOLDm#"/>
    <s v="sell"/>
    <s v="0.1"/>
    <n v="3738.06"/>
    <n v="3740.97"/>
    <m/>
    <s v="2025.09.25 21:18:28"/>
    <n v="3740.97"/>
    <n v="0"/>
    <n v="0"/>
    <n v="-0.28999999999999998"/>
    <x v="0"/>
    <d v="2025-09-25T00:00:00"/>
    <s v="21"/>
    <x v="0"/>
    <s v="Thu"/>
    <d v="2025-09-25T21:12:36"/>
    <x v="71"/>
    <x v="1"/>
    <x v="15"/>
    <x v="1"/>
    <n v="-2.8999999999999998E-2"/>
    <n v="-5.7999999999999996E-2"/>
    <n v="-8.6999999999999994E-2"/>
    <n v="-3"/>
  </r>
  <r>
    <d v="2025-09-25T21:27:16"/>
    <n v="177590290"/>
    <s v="GOLDm#"/>
    <s v="buy"/>
    <s v="0.1"/>
    <n v="3746.39"/>
    <n v="3749.16"/>
    <m/>
    <s v="2025.09.25 21:30:26"/>
    <n v="3749.11"/>
    <n v="0"/>
    <n v="0"/>
    <n v="0.27"/>
    <x v="1"/>
    <d v="2025-09-25T00:00:00"/>
    <s v="21"/>
    <x v="0"/>
    <s v="Thu"/>
    <d v="2025-09-25T21:27:16"/>
    <x v="72"/>
    <x v="1"/>
    <x v="15"/>
    <x v="1"/>
    <n v="2.7000000000000003E-2"/>
    <n v="5.4000000000000006E-2"/>
    <n v="8.1000000000000003E-2"/>
    <n v="-3"/>
  </r>
  <r>
    <d v="2025-09-25T21:30:26"/>
    <n v="177592120"/>
    <s v="GOLDm#"/>
    <s v="buy"/>
    <s v="0.1"/>
    <n v="3749.33"/>
    <n v="3755.95"/>
    <m/>
    <s v="2025.09.25 21:42:02"/>
    <n v="3755.91"/>
    <n v="0"/>
    <n v="0"/>
    <n v="0.66"/>
    <x v="1"/>
    <d v="2025-09-25T00:00:00"/>
    <s v="21"/>
    <x v="0"/>
    <s v="Thu"/>
    <d v="2025-09-25T21:30:26"/>
    <x v="73"/>
    <x v="1"/>
    <x v="15"/>
    <x v="1"/>
    <n v="6.6000000000000003E-2"/>
    <n v="0.13200000000000001"/>
    <n v="0.19800000000000001"/>
    <n v="-3"/>
  </r>
  <r>
    <d v="2025-09-25T21:34:06"/>
    <n v="177592907"/>
    <s v="GOLDm#"/>
    <s v="buy"/>
    <s v="0.1"/>
    <n v="3749.41"/>
    <n v="3751.2"/>
    <n v="3752.91"/>
    <s v="2025.09.25 21:36:09"/>
    <n v="3752.93"/>
    <n v="0"/>
    <n v="0"/>
    <n v="0.35"/>
    <x v="1"/>
    <d v="2025-09-25T00:00:00"/>
    <s v="21"/>
    <x v="1"/>
    <s v="Thu"/>
    <d v="2025-09-25T21:34:06"/>
    <x v="74"/>
    <x v="1"/>
    <x v="15"/>
    <x v="1"/>
    <n v="3.4999999999999996E-2"/>
    <n v="6.9999999999999993E-2"/>
    <n v="0.105"/>
    <n v="-3"/>
  </r>
  <r>
    <d v="2025-09-25T21:42:06"/>
    <n v="177596211"/>
    <s v="GOLDm#"/>
    <s v="buy"/>
    <s v="0.1"/>
    <n v="3756.08"/>
    <n v="3753.06"/>
    <m/>
    <s v="2025.09.25 22:00:33"/>
    <n v="3753"/>
    <n v="0"/>
    <n v="0"/>
    <n v="-0.31"/>
    <x v="0"/>
    <d v="2025-09-25T00:00:00"/>
    <s v="21"/>
    <x v="0"/>
    <s v="Thu"/>
    <d v="2025-09-25T21:42:06"/>
    <x v="75"/>
    <x v="1"/>
    <x v="15"/>
    <x v="1"/>
    <n v="-3.1E-2"/>
    <n v="-6.2E-2"/>
    <n v="-9.2999999999999999E-2"/>
    <n v="-3"/>
  </r>
  <r>
    <d v="2025-09-25T21:44:16"/>
    <n v="177596803"/>
    <s v="GOLDm#"/>
    <s v="buy"/>
    <s v="0.1"/>
    <n v="3755.44"/>
    <n v="3752.44"/>
    <n v="3758.94"/>
    <s v="2025.09.25 22:01:22"/>
    <n v="3752.43"/>
    <n v="0"/>
    <n v="0"/>
    <n v="-0.3"/>
    <x v="0"/>
    <d v="2025-09-25T00:00:00"/>
    <s v="21"/>
    <x v="1"/>
    <s v="Thu"/>
    <d v="2025-09-25T21:44:16"/>
    <x v="76"/>
    <x v="1"/>
    <x v="15"/>
    <x v="1"/>
    <n v="-0.03"/>
    <n v="-0.06"/>
    <n v="-0.09"/>
    <n v="-3"/>
  </r>
  <r>
    <d v="2025-09-25T22:02:56"/>
    <n v="177601390"/>
    <s v="GOLDm#"/>
    <s v="sell"/>
    <s v="0.1"/>
    <n v="3753.26"/>
    <n v="3756.16"/>
    <m/>
    <s v="2025.09.25 22:05:29"/>
    <n v="3756.17"/>
    <n v="0"/>
    <n v="0"/>
    <n v="-0.28999999999999998"/>
    <x v="0"/>
    <d v="2025-09-25T00:00:00"/>
    <s v="22"/>
    <x v="0"/>
    <s v="Thu"/>
    <d v="2025-09-25T22:02:56"/>
    <x v="77"/>
    <x v="1"/>
    <x v="16"/>
    <x v="1"/>
    <n v="-2.8999999999999998E-2"/>
    <n v="-5.7999999999999996E-2"/>
    <n v="-8.6999999999999994E-2"/>
    <n v="-3"/>
  </r>
  <r>
    <d v="2025-09-25T22:10:06"/>
    <n v="177602894"/>
    <s v="GOLDm#"/>
    <s v="buy"/>
    <s v="0.1"/>
    <n v="3755.57"/>
    <n v="3752.57"/>
    <m/>
    <s v="2025.09.25 22:22:18"/>
    <n v="3752.56"/>
    <n v="0"/>
    <n v="0"/>
    <n v="-0.3"/>
    <x v="0"/>
    <d v="2025-09-25T00:00:00"/>
    <s v="22"/>
    <x v="0"/>
    <s v="Thu"/>
    <d v="2025-09-25T22:10:06"/>
    <x v="78"/>
    <x v="1"/>
    <x v="16"/>
    <x v="1"/>
    <n v="-0.03"/>
    <n v="-0.06"/>
    <n v="-0.09"/>
    <n v="-3"/>
  </r>
  <r>
    <d v="2025-09-25T22:23:06"/>
    <n v="177604390"/>
    <s v="GOLDm#"/>
    <s v="sell"/>
    <s v="0.1"/>
    <n v="3753.03"/>
    <n v="3750.44"/>
    <m/>
    <s v="2025.09.25 22:33:39"/>
    <n v="3750.49"/>
    <n v="0"/>
    <n v="0"/>
    <n v="0.25"/>
    <x v="1"/>
    <d v="2025-09-25T00:00:00"/>
    <s v="22"/>
    <x v="0"/>
    <s v="Thu"/>
    <d v="2025-09-25T22:23:06"/>
    <x v="79"/>
    <x v="1"/>
    <x v="16"/>
    <x v="1"/>
    <n v="2.5000000000000001E-2"/>
    <n v="0.05"/>
    <n v="7.4999999999999997E-2"/>
    <n v="-3"/>
  </r>
  <r>
    <d v="2025-09-25T22:30:06"/>
    <n v="177605573"/>
    <s v="GOLDm#"/>
    <s v="sell"/>
    <s v="0.1"/>
    <n v="3751.86"/>
    <n v="3754.87"/>
    <n v="3748.37"/>
    <s v="2025.09.25 22:36:55"/>
    <n v="3748.36"/>
    <n v="0"/>
    <n v="0"/>
    <n v="0.35"/>
    <x v="1"/>
    <d v="2025-09-25T00:00:00"/>
    <s v="22"/>
    <x v="1"/>
    <s v="Thu"/>
    <d v="2025-09-25T22:30:06"/>
    <x v="80"/>
    <x v="1"/>
    <x v="16"/>
    <x v="1"/>
    <n v="3.4999999999999996E-2"/>
    <n v="6.9999999999999993E-2"/>
    <n v="0.105"/>
    <n v="-3"/>
  </r>
  <r>
    <d v="2025-09-25T22:33:46"/>
    <n v="177606397"/>
    <s v="GOLDm#"/>
    <s v="sell"/>
    <s v="0.1"/>
    <n v="3750.49"/>
    <n v="3746.79"/>
    <m/>
    <s v="2025.09.25 22:39:34"/>
    <n v="3747.09"/>
    <n v="0"/>
    <n v="0"/>
    <n v="0.34"/>
    <x v="1"/>
    <d v="2025-09-25T00:00:00"/>
    <s v="22"/>
    <x v="0"/>
    <s v="Thu"/>
    <d v="2025-09-25T22:33:46"/>
    <x v="81"/>
    <x v="1"/>
    <x v="16"/>
    <x v="1"/>
    <n v="3.4000000000000002E-2"/>
    <n v="6.8000000000000005E-2"/>
    <n v="0.10200000000000001"/>
    <n v="-3"/>
  </r>
  <r>
    <d v="2025-09-25T22:42:36"/>
    <n v="177608496"/>
    <s v="GOLDm#"/>
    <s v="sell"/>
    <s v="0.1"/>
    <n v="3745.43"/>
    <n v="3748.43"/>
    <m/>
    <s v="2025.09.25 22:47:05"/>
    <n v="3748.55"/>
    <n v="0"/>
    <n v="0"/>
    <n v="-0.31"/>
    <x v="0"/>
    <d v="2025-09-25T00:00:00"/>
    <s v="22"/>
    <x v="0"/>
    <s v="Thu"/>
    <d v="2025-09-25T22:42:36"/>
    <x v="82"/>
    <x v="1"/>
    <x v="16"/>
    <x v="1"/>
    <n v="-3.1E-2"/>
    <n v="-6.2E-2"/>
    <n v="-9.2999999999999999E-2"/>
    <n v="-3"/>
  </r>
  <r>
    <d v="2025-09-25T22:43:50"/>
    <n v="177608775"/>
    <s v="GOLDm#"/>
    <s v="sell"/>
    <s v="0.1"/>
    <n v="3746.56"/>
    <n v="3749.53"/>
    <n v="3743.03"/>
    <s v="2025.09.25 22:47:08"/>
    <n v="3749.88"/>
    <n v="0"/>
    <n v="0"/>
    <n v="-0.33"/>
    <x v="0"/>
    <d v="2025-09-25T00:00:00"/>
    <s v="22"/>
    <x v="1"/>
    <s v="Thu"/>
    <d v="2025-09-25T22:43:50"/>
    <x v="83"/>
    <x v="1"/>
    <x v="16"/>
    <x v="1"/>
    <n v="-3.3000000000000002E-2"/>
    <n v="-6.6000000000000003E-2"/>
    <n v="-9.9000000000000005E-2"/>
    <n v="-3"/>
  </r>
  <r>
    <d v="2025-09-25T22:49:20"/>
    <n v="177609906"/>
    <s v="GOLDm#"/>
    <s v="buy"/>
    <s v="0.1"/>
    <n v="3749.78"/>
    <n v="3746.77"/>
    <m/>
    <s v="2025.09.25 22:52:25"/>
    <n v="3746.76"/>
    <n v="0"/>
    <n v="0"/>
    <n v="-0.3"/>
    <x v="0"/>
    <d v="2025-09-25T00:00:00"/>
    <s v="22"/>
    <x v="0"/>
    <s v="Thu"/>
    <d v="2025-09-25T22:49:20"/>
    <x v="84"/>
    <x v="1"/>
    <x v="16"/>
    <x v="1"/>
    <n v="-0.03"/>
    <n v="-0.06"/>
    <n v="-0.09"/>
    <n v="-3"/>
  </r>
  <r>
    <d v="2025-09-25T22:54:10"/>
    <n v="177610549"/>
    <s v="GOLDm#"/>
    <s v="sell"/>
    <s v="0.1"/>
    <n v="3747.7"/>
    <n v="3750.7"/>
    <n v="3744.2"/>
    <s v="2025.09.25 23:37:27"/>
    <n v="3750.71"/>
    <n v="0"/>
    <n v="0"/>
    <n v="-0.3"/>
    <x v="0"/>
    <d v="2025-09-25T00:00:00"/>
    <s v="22"/>
    <x v="1"/>
    <s v="Thu"/>
    <d v="2025-09-25T22:54:10"/>
    <x v="85"/>
    <x v="1"/>
    <x v="16"/>
    <x v="1"/>
    <n v="-0.03"/>
    <n v="-0.06"/>
    <n v="-0.09"/>
    <n v="-3"/>
  </r>
  <r>
    <d v="2025-09-25T22:55:10"/>
    <n v="177610626"/>
    <s v="GOLDm#"/>
    <s v="sell"/>
    <s v="0.1"/>
    <n v="3747.32"/>
    <n v="3750.42"/>
    <m/>
    <s v="2025.09.25 23:15:37"/>
    <n v="3750.44"/>
    <n v="0"/>
    <n v="0"/>
    <n v="-0.31"/>
    <x v="0"/>
    <d v="2025-09-25T00:00:00"/>
    <s v="22"/>
    <x v="0"/>
    <s v="Thu"/>
    <d v="2025-09-25T22:55:10"/>
    <x v="86"/>
    <x v="1"/>
    <x v="16"/>
    <x v="1"/>
    <n v="-3.1E-2"/>
    <n v="-6.2E-2"/>
    <n v="-9.2999999999999999E-2"/>
    <n v="-3"/>
  </r>
  <r>
    <d v="2025-09-25T23:16:20"/>
    <n v="177613038"/>
    <s v="GOLDm#"/>
    <s v="buy"/>
    <s v="0.1"/>
    <n v="3750.3"/>
    <n v="3747.3"/>
    <m/>
    <s v="2025.09.26 01:04:38"/>
    <n v="3747.26"/>
    <n v="0"/>
    <n v="0"/>
    <n v="-0.3"/>
    <x v="0"/>
    <d v="2025-09-25T00:00:00"/>
    <s v="23"/>
    <x v="0"/>
    <s v="Thu"/>
    <d v="2025-09-25T23:16:20"/>
    <x v="87"/>
    <x v="1"/>
    <x v="17"/>
    <x v="1"/>
    <n v="-0.03"/>
    <n v="-0.06"/>
    <n v="-0.09"/>
    <n v="-3"/>
  </r>
  <r>
    <d v="2025-09-25T23:38:30"/>
    <n v="177614240"/>
    <s v="GOLDm#"/>
    <s v="buy"/>
    <s v="0.1"/>
    <n v="3750.68"/>
    <n v="3747.68"/>
    <n v="3754.18"/>
    <s v="2025.09.26 01:03:09"/>
    <n v="3747.61"/>
    <n v="0"/>
    <n v="0"/>
    <n v="-0.31"/>
    <x v="0"/>
    <d v="2025-09-25T00:00:00"/>
    <s v="23"/>
    <x v="1"/>
    <s v="Thu"/>
    <d v="2025-09-25T23:38:30"/>
    <x v="88"/>
    <x v="1"/>
    <x v="17"/>
    <x v="1"/>
    <n v="-3.1E-2"/>
    <n v="-6.2E-2"/>
    <n v="-9.2999999999999999E-2"/>
    <n v="-3"/>
  </r>
  <r>
    <d v="2025-09-26T02:26:09"/>
    <n v="177625795"/>
    <s v="GOLDm#"/>
    <s v="sell"/>
    <s v="0.1"/>
    <n v="3741.31"/>
    <n v="3744.31"/>
    <n v="3737.81"/>
    <s v="2025.09.26 02:27:17"/>
    <n v="3742.79"/>
    <n v="0"/>
    <n v="0"/>
    <n v="-0.15"/>
    <x v="0"/>
    <d v="2025-09-26T00:00:00"/>
    <s v="02"/>
    <x v="1"/>
    <s v="Fri"/>
    <d v="2025-09-26T02:26:09"/>
    <x v="89"/>
    <x v="1"/>
    <x v="18"/>
    <x v="1"/>
    <n v="-1.4999999999999999E-2"/>
    <n v="-0.03"/>
    <n v="-4.4999999999999998E-2"/>
    <n v="-3"/>
  </r>
  <r>
    <d v="2025-09-26T02:28:29"/>
    <n v="177626238"/>
    <s v="GOLDm#"/>
    <s v="sell"/>
    <s v="0.1"/>
    <n v="3742.52"/>
    <n v="3745.59"/>
    <n v="3739.09"/>
    <s v="2025.09.26 02:52:15"/>
    <n v="3745.6"/>
    <n v="0"/>
    <n v="0"/>
    <n v="-0.31"/>
    <x v="0"/>
    <d v="2025-09-26T00:00:00"/>
    <s v="02"/>
    <x v="1"/>
    <s v="Fri"/>
    <d v="2025-09-26T02:28:29"/>
    <x v="90"/>
    <x v="1"/>
    <x v="18"/>
    <x v="1"/>
    <n v="-3.1E-2"/>
    <n v="-6.2E-2"/>
    <n v="-9.2999999999999999E-2"/>
    <n v="-3"/>
  </r>
  <r>
    <d v="2025-09-26T02:59:19"/>
    <n v="177629764"/>
    <s v="GOLDm#"/>
    <s v="buy"/>
    <s v="0.1"/>
    <n v="3745.07"/>
    <n v="3746.43"/>
    <n v="3748.57"/>
    <s v="2025.09.26 03:01:56"/>
    <n v="3748.63"/>
    <n v="0"/>
    <n v="0"/>
    <n v="0.36"/>
    <x v="1"/>
    <d v="2025-09-26T00:00:00"/>
    <s v="02"/>
    <x v="1"/>
    <s v="Fri"/>
    <d v="2025-09-26T02:59:19"/>
    <x v="91"/>
    <x v="1"/>
    <x v="18"/>
    <x v="1"/>
    <n v="3.5999999999999997E-2"/>
    <n v="7.1999999999999995E-2"/>
    <n v="0.108"/>
    <n v="-3"/>
  </r>
  <r>
    <d v="2025-09-26T03:05:29"/>
    <n v="177631427"/>
    <s v="GOLDm#"/>
    <s v="buy"/>
    <s v="0.1"/>
    <n v="3745.99"/>
    <n v="3742.94"/>
    <n v="3749.44"/>
    <s v="2025.09.26 03:08:01"/>
    <n v="3742.93"/>
    <n v="0"/>
    <n v="0"/>
    <n v="-0.31"/>
    <x v="0"/>
    <d v="2025-09-26T00:00:00"/>
    <s v="03"/>
    <x v="1"/>
    <s v="Fri"/>
    <d v="2025-09-26T03:05:29"/>
    <x v="92"/>
    <x v="1"/>
    <x v="19"/>
    <x v="1"/>
    <n v="-3.1E-2"/>
    <n v="-6.2E-2"/>
    <n v="-9.2999999999999999E-2"/>
    <n v="-3"/>
  </r>
  <r>
    <d v="2025-09-26T03:16:09"/>
    <n v="177633392"/>
    <s v="GOLDm#"/>
    <s v="buy"/>
    <s v="0.1"/>
    <n v="3746.22"/>
    <n v="3743.22"/>
    <n v="3749.72"/>
    <s v="2025.09.26 03:26:33"/>
    <n v="3743.21"/>
    <n v="0"/>
    <n v="0"/>
    <n v="-0.3"/>
    <x v="0"/>
    <d v="2025-09-26T00:00:00"/>
    <s v="03"/>
    <x v="1"/>
    <s v="Fri"/>
    <d v="2025-09-26T03:16:09"/>
    <x v="93"/>
    <x v="1"/>
    <x v="19"/>
    <x v="1"/>
    <n v="-0.03"/>
    <n v="-0.06"/>
    <n v="-0.09"/>
    <n v="-3"/>
  </r>
  <r>
    <d v="2025-09-26T03:30:49"/>
    <n v="177636197"/>
    <s v="GOLDm#"/>
    <s v="sell"/>
    <s v="0.1"/>
    <n v="3742.81"/>
    <n v="3745.81"/>
    <n v="3739.31"/>
    <s v="2025.09.26 03:38:46"/>
    <n v="3745.83"/>
    <n v="0"/>
    <n v="0"/>
    <n v="-0.3"/>
    <x v="0"/>
    <d v="2025-09-26T00:00:00"/>
    <s v="03"/>
    <x v="1"/>
    <s v="Fri"/>
    <d v="2025-09-26T03:30:49"/>
    <x v="94"/>
    <x v="1"/>
    <x v="19"/>
    <x v="1"/>
    <n v="-0.03"/>
    <n v="-0.06"/>
    <n v="-0.09"/>
    <n v="-3"/>
  </r>
  <r>
    <d v="2025-09-26T03:58:29"/>
    <n v="177640141"/>
    <s v="GOLDm#"/>
    <s v="buy"/>
    <s v="0.1"/>
    <n v="3748.57"/>
    <n v="3745.41"/>
    <n v="3751.91"/>
    <s v="2025.09.26 04:05:39"/>
    <n v="3751.98"/>
    <n v="0"/>
    <n v="0"/>
    <n v="0.34"/>
    <x v="1"/>
    <d v="2025-09-26T00:00:00"/>
    <s v="03"/>
    <x v="1"/>
    <s v="Fri"/>
    <d v="2025-09-26T03:58:29"/>
    <x v="95"/>
    <x v="1"/>
    <x v="19"/>
    <x v="1"/>
    <n v="3.4000000000000002E-2"/>
    <n v="6.8000000000000005E-2"/>
    <n v="0.10200000000000001"/>
    <n v="-3"/>
  </r>
  <r>
    <d v="2025-09-26T04:08:29"/>
    <n v="177643324"/>
    <s v="GOLDm#"/>
    <s v="buy"/>
    <s v="0.1"/>
    <n v="3751.04"/>
    <n v="3747.9"/>
    <n v="3754.4"/>
    <s v="2025.09.26 04:10:25"/>
    <n v="3747.83"/>
    <n v="0"/>
    <n v="0"/>
    <n v="-0.32"/>
    <x v="0"/>
    <d v="2025-09-26T00:00:00"/>
    <s v="04"/>
    <x v="1"/>
    <s v="Fri"/>
    <d v="2025-09-26T04:08:29"/>
    <x v="96"/>
    <x v="1"/>
    <x v="20"/>
    <x v="1"/>
    <n v="-3.2000000000000001E-2"/>
    <n v="-6.4000000000000001E-2"/>
    <n v="-9.6000000000000002E-2"/>
    <n v="-3"/>
  </r>
  <r>
    <d v="2025-09-26T04:24:19"/>
    <n v="177648568"/>
    <s v="GOLDm#"/>
    <s v="sell"/>
    <s v="0.1"/>
    <n v="3740.79"/>
    <n v="3743.72"/>
    <n v="3737.22"/>
    <s v="2025.09.26 04:45:01"/>
    <n v="3743.82"/>
    <n v="0"/>
    <n v="0"/>
    <n v="-0.3"/>
    <x v="0"/>
    <d v="2025-09-26T00:00:00"/>
    <s v="04"/>
    <x v="1"/>
    <s v="Fri"/>
    <d v="2025-09-26T04:24:19"/>
    <x v="97"/>
    <x v="1"/>
    <x v="20"/>
    <x v="1"/>
    <n v="-0.03"/>
    <n v="-0.06"/>
    <n v="-0.09"/>
    <n v="-3"/>
  </r>
  <r>
    <d v="2025-09-26T04:52:19"/>
    <n v="177653654"/>
    <s v="GOLDm#"/>
    <s v="sell"/>
    <s v="0.1"/>
    <n v="3740.44"/>
    <n v="3743.56"/>
    <n v="3737.06"/>
    <s v="2025.09.26 06:00:25"/>
    <n v="3736.94"/>
    <n v="0"/>
    <n v="0"/>
    <n v="0.35"/>
    <x v="1"/>
    <d v="2025-09-26T00:00:00"/>
    <s v="04"/>
    <x v="1"/>
    <s v="Fri"/>
    <d v="2025-09-26T04:52:19"/>
    <x v="98"/>
    <x v="1"/>
    <x v="20"/>
    <x v="1"/>
    <n v="3.4999999999999996E-2"/>
    <n v="6.9999999999999993E-2"/>
    <n v="0.105"/>
    <n v="-3"/>
  </r>
  <r>
    <m/>
    <m/>
    <m/>
    <m/>
    <m/>
    <m/>
    <m/>
    <m/>
    <m/>
    <m/>
    <m/>
    <m/>
    <m/>
    <x v="2"/>
    <m/>
    <m/>
    <x v="3"/>
    <m/>
    <m/>
    <x v="99"/>
    <x v="2"/>
    <x v="21"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8:R13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m="1" x="3"/>
        <item x="0"/>
        <item x="1"/>
        <item x="2"/>
        <item t="default"/>
      </items>
    </pivotField>
    <pivotField showAll="0"/>
    <pivotField showAll="0"/>
    <pivotField axis="axisRow" showAll="0" sortType="descending">
      <items count="41">
        <item m="1" x="8"/>
        <item m="1" x="9"/>
        <item m="1" x="7"/>
        <item m="1" x="27"/>
        <item m="1" x="28"/>
        <item m="1" x="25"/>
        <item m="1" x="37"/>
        <item m="1" x="12"/>
        <item m="1" x="38"/>
        <item m="1" x="11"/>
        <item m="1" x="39"/>
        <item m="1" x="4"/>
        <item m="1" x="6"/>
        <item m="1" x="5"/>
        <item m="1" x="10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6"/>
        <item m="1" x="29"/>
        <item m="1" x="30"/>
        <item x="1"/>
        <item m="1" x="31"/>
        <item m="1" x="32"/>
        <item m="1" x="33"/>
        <item m="1" x="35"/>
        <item m="1" x="34"/>
        <item m="1" x="36"/>
        <item x="3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axis="axisPage" multipleItemSelectionAllowed="1" showAll="0">
      <items count="25">
        <item h="1" x="13"/>
        <item x="14"/>
        <item x="15"/>
        <item x="16"/>
        <item x="17"/>
        <item h="1" m="1" x="22"/>
        <item h="1" x="18"/>
        <item h="1" x="19"/>
        <item h="1" x="20"/>
        <item m="1" x="23"/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x="21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3">
    <i>
      <x v="30"/>
    </i>
    <i>
      <x v="38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43">
    <format dxfId="501">
      <pivotArea dataOnly="0" labelOnly="1" fieldPosition="0">
        <references count="1">
          <reference field="16" count="1">
            <x v="14"/>
          </reference>
        </references>
      </pivotArea>
    </format>
    <format dxfId="500">
      <pivotArea type="all" dataOnly="0" outline="0" fieldPosition="0"/>
    </format>
    <format dxfId="499">
      <pivotArea outline="0" collapsedLevelsAreSubtotals="1" fieldPosition="0"/>
    </format>
    <format dxfId="498">
      <pivotArea field="16" type="button" dataOnly="0" labelOnly="1" outline="0" axis="axisRow" fieldPosition="0"/>
    </format>
    <format dxfId="497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496">
      <pivotArea dataOnly="0" labelOnly="1" grandRow="1" outline="0" fieldPosition="0"/>
    </format>
    <format dxfId="495">
      <pivotArea dataOnly="0" labelOnly="1" outline="0" axis="axisValues" fieldPosition="0"/>
    </format>
    <format dxfId="494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493">
      <pivotArea dataOnly="0" labelOnly="1" fieldPosition="0">
        <references count="1">
          <reference field="16" count="1">
            <x v="13"/>
          </reference>
        </references>
      </pivotArea>
    </format>
    <format dxfId="492">
      <pivotArea dataOnly="0" labelOnly="1" fieldPosition="0">
        <references count="1">
          <reference field="16" count="1">
            <x v="11"/>
          </reference>
        </references>
      </pivotArea>
    </format>
    <format dxfId="491">
      <pivotArea grandRow="1" outline="0" collapsedLevelsAreSubtotals="1" fieldPosition="0"/>
    </format>
    <format dxfId="490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  <format dxfId="489">
      <pivotArea dataOnly="0" labelOnly="1" fieldPosition="0">
        <references count="1">
          <reference field="16" count="1">
            <x v="21"/>
          </reference>
        </references>
      </pivotArea>
    </format>
    <format dxfId="488">
      <pivotArea dataOnly="0" labelOnly="1" fieldPosition="0">
        <references count="1">
          <reference field="16" count="1">
            <x v="21"/>
          </reference>
        </references>
      </pivotArea>
    </format>
    <format dxfId="487">
      <pivotArea dataOnly="0" labelOnly="1" fieldPosition="0">
        <references count="1">
          <reference field="16" count="1">
            <x v="21"/>
          </reference>
        </references>
      </pivotArea>
    </format>
    <format dxfId="486">
      <pivotArea dataOnly="0" labelOnly="1" fieldPosition="0">
        <references count="1">
          <reference field="16" count="1">
            <x v="28"/>
          </reference>
        </references>
      </pivotArea>
    </format>
    <format dxfId="485">
      <pivotArea outline="0" collapsedLevelsAreSubtotals="1" fieldPosition="0"/>
    </format>
    <format dxfId="484">
      <pivotArea dataOnly="0" labelOnly="1" fieldPosition="0">
        <references count="1">
          <reference field="16" count="1">
            <x v="22"/>
          </reference>
        </references>
      </pivotArea>
    </format>
    <format dxfId="483">
      <pivotArea dataOnly="0" labelOnly="1" fieldPosition="0">
        <references count="1">
          <reference field="16" count="1">
            <x v="20"/>
          </reference>
        </references>
      </pivotArea>
    </format>
    <format dxfId="482">
      <pivotArea collapsedLevelsAreSubtotals="1" fieldPosition="0">
        <references count="3">
          <reference field="4294967294" count="1" selected="0">
            <x v="1"/>
          </reference>
          <reference field="13" count="1" selected="0">
            <x v="1"/>
          </reference>
          <reference field="16" count="1">
            <x v="21"/>
          </reference>
        </references>
      </pivotArea>
    </format>
    <format dxfId="481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1"/>
          </reference>
        </references>
      </pivotArea>
    </format>
    <format dxfId="480">
      <pivotArea dataOnly="0" labelOnly="1" fieldPosition="0">
        <references count="1">
          <reference field="16" count="1">
            <x v="21"/>
          </reference>
        </references>
      </pivotArea>
    </format>
    <format dxfId="479">
      <pivotArea dataOnly="0" labelOnly="1" fieldPosition="0">
        <references count="1">
          <reference field="16" count="1">
            <x v="28"/>
          </reference>
        </references>
      </pivotArea>
    </format>
    <format dxfId="478">
      <pivotArea dataOnly="0" fieldPosition="0">
        <references count="1">
          <reference field="16" count="4">
            <x v="21"/>
            <x v="28"/>
            <x v="31"/>
            <x v="32"/>
          </reference>
        </references>
      </pivotArea>
    </format>
    <format dxfId="477">
      <pivotArea dataOnly="0" labelOnly="1" fieldPosition="0">
        <references count="1">
          <reference field="16" count="1">
            <x v="16"/>
          </reference>
        </references>
      </pivotArea>
    </format>
    <format dxfId="476">
      <pivotArea dataOnly="0" labelOnly="1" fieldPosition="0">
        <references count="1">
          <reference field="16" count="1">
            <x v="30"/>
          </reference>
        </references>
      </pivotArea>
    </format>
    <format dxfId="475">
      <pivotArea collapsedLevelsAreSubtotals="1" fieldPosition="0">
        <references count="1">
          <reference field="16" count="1">
            <x v="21"/>
          </reference>
        </references>
      </pivotArea>
    </format>
    <format dxfId="474">
      <pivotArea dataOnly="0" labelOnly="1" fieldPosition="0">
        <references count="1">
          <reference field="16" count="1">
            <x v="21"/>
          </reference>
        </references>
      </pivotArea>
    </format>
    <format dxfId="473">
      <pivotArea collapsedLevelsAreSubtotals="1" fieldPosition="0">
        <references count="1">
          <reference field="16" count="1">
            <x v="21"/>
          </reference>
        </references>
      </pivotArea>
    </format>
    <format dxfId="472">
      <pivotArea dataOnly="0" labelOnly="1" fieldPosition="0">
        <references count="1">
          <reference field="16" count="1">
            <x v="21"/>
          </reference>
        </references>
      </pivotArea>
    </format>
    <format dxfId="471">
      <pivotArea dataOnly="0" labelOnly="1" fieldPosition="0">
        <references count="1">
          <reference field="16" count="33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</reference>
        </references>
      </pivotArea>
    </format>
    <format dxfId="470">
      <pivotArea collapsedLevelsAreSubtotals="1" fieldPosition="0">
        <references count="1">
          <reference field="16" count="1">
            <x v="21"/>
          </reference>
        </references>
      </pivotArea>
    </format>
    <format dxfId="469">
      <pivotArea dataOnly="0" labelOnly="1" fieldPosition="0">
        <references count="1">
          <reference field="16" count="1">
            <x v="21"/>
          </reference>
        </references>
      </pivotArea>
    </format>
    <format dxfId="468">
      <pivotArea collapsedLevelsAreSubtotals="1" fieldPosition="0">
        <references count="1">
          <reference field="16" count="1">
            <x v="0"/>
          </reference>
        </references>
      </pivotArea>
    </format>
    <format dxfId="467">
      <pivotArea dataOnly="0" labelOnly="1" fieldPosition="0">
        <references count="1">
          <reference field="16" count="1">
            <x v="0"/>
          </reference>
        </references>
      </pivotArea>
    </format>
    <format dxfId="466">
      <pivotArea collapsedLevelsAreSubtotals="1" fieldPosition="0">
        <references count="1">
          <reference field="16" count="1">
            <x v="27"/>
          </reference>
        </references>
      </pivotArea>
    </format>
    <format dxfId="465">
      <pivotArea dataOnly="0" labelOnly="1" fieldPosition="0">
        <references count="1">
          <reference field="16" count="1">
            <x v="27"/>
          </reference>
        </references>
      </pivotArea>
    </format>
    <format dxfId="464">
      <pivotArea collapsedLevelsAreSubtotals="1" fieldPosition="0">
        <references count="1">
          <reference field="16" count="34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63">
      <pivotArea dataOnly="0" labelOnly="1" fieldPosition="0">
        <references count="1">
          <reference field="16" count="34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62">
      <pivotArea collapsedLevelsAreSubtotals="1" fieldPosition="0">
        <references count="1">
          <reference field="16" count="34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61">
      <pivotArea dataOnly="0" labelOnly="1" fieldPosition="0">
        <references count="1">
          <reference field="16" count="34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60">
      <pivotArea collapsedLevelsAreSubtotals="1" fieldPosition="0">
        <references count="1">
          <reference field="16" count="34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59">
      <pivotArea dataOnly="0" labelOnly="1" fieldPosition="0">
        <references count="1">
          <reference field="16" count="34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</formats>
  <conditionalFormats count="1">
    <conditionalFormat priority="3">
      <pivotAreas count="102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H11:AK17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40">
        <item m="1" x="7"/>
        <item m="1" x="8"/>
        <item m="1" x="6"/>
        <item m="1" x="26"/>
        <item m="1" x="27"/>
        <item m="1" x="24"/>
        <item m="1" x="36"/>
        <item m="1" x="11"/>
        <item m="1" x="37"/>
        <item m="1" x="10"/>
        <item m="1" x="38"/>
        <item m="1" x="3"/>
        <item m="1" x="5"/>
        <item m="1" x="4"/>
        <item m="1" x="9"/>
        <item m="1" x="12"/>
        <item m="1" x="13"/>
        <item m="1" x="14"/>
        <item m="1" x="15"/>
        <item m="1" x="16"/>
        <item m="1" x="17"/>
        <item m="1" x="18"/>
        <item x="0"/>
        <item m="1" x="19"/>
        <item m="1" x="20"/>
        <item m="1" x="21"/>
        <item m="1" x="22"/>
        <item m="1" x="23"/>
        <item m="1" x="25"/>
        <item m="1" x="28"/>
        <item m="1" x="29"/>
        <item x="1"/>
        <item m="1" x="30"/>
        <item m="1" x="31"/>
        <item m="1" x="32"/>
        <item m="1" x="34"/>
        <item m="1" x="33"/>
        <item m="1" x="35"/>
        <item x="2"/>
        <item t="default"/>
      </items>
    </pivotField>
    <pivotField showAll="0"/>
    <pivotField showAll="0"/>
    <pivotField showAll="0">
      <items count="3172"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7"/>
        <item m="1" x="548"/>
        <item m="1" x="550"/>
        <item m="1" x="551"/>
        <item m="1" x="552"/>
        <item m="1" x="553"/>
        <item m="1" x="556"/>
        <item m="1" x="545"/>
        <item m="1" x="546"/>
        <item m="1" x="549"/>
        <item m="1" x="554"/>
        <item m="1" x="555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3"/>
        <item m="1" x="834"/>
        <item m="1" x="835"/>
        <item m="1" x="836"/>
        <item m="1" x="842"/>
        <item m="1" x="843"/>
        <item m="1" x="832"/>
        <item m="1" x="837"/>
        <item m="1" x="838"/>
        <item m="1" x="839"/>
        <item m="1" x="840"/>
        <item m="1" x="841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6"/>
        <item m="1" x="1057"/>
        <item m="1" x="1054"/>
        <item m="1" x="1055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6"/>
        <item m="1" x="1137"/>
        <item m="1" x="1138"/>
        <item m="1" x="1140"/>
        <item m="1" x="1134"/>
        <item m="1" x="1135"/>
        <item m="1" x="1139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51"/>
        <item m="1" x="1652"/>
        <item m="1" x="1648"/>
        <item m="1" x="1649"/>
        <item m="1" x="1650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50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7"/>
        <item m="1" x="2878"/>
        <item m="1" x="2864"/>
        <item m="1" x="2876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09"/>
        <item m="1" x="2910"/>
        <item m="1" x="2911"/>
        <item m="1" x="2912"/>
        <item m="1" x="2913"/>
        <item m="1" x="2914"/>
        <item m="1" x="2915"/>
        <item m="1" x="2916"/>
        <item m="1" x="2917"/>
        <item m="1" x="2918"/>
        <item m="1" x="2919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0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2"/>
        <item m="1" x="2963"/>
        <item m="1" x="2964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axis="axisRow" showAll="0" sortType="ascending">
      <items count="25"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m="1" x="19"/>
        <item m="1" x="20"/>
        <item m="1" x="21"/>
        <item m="1" x="22"/>
        <item m="1" x="23"/>
        <item m="1" x="5"/>
        <item m="1" x="6"/>
        <item m="1" x="7"/>
        <item m="1" x="8"/>
        <item h="1"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x="0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x="0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25"/>
        <item x="0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  <item t="default"/>
      </items>
    </pivotField>
  </pivotFields>
  <rowFields count="1">
    <field x="21"/>
  </rowFields>
  <rowItems count="5">
    <i>
      <x v="10"/>
    </i>
    <i>
      <x v="11"/>
    </i>
    <i>
      <x v="12"/>
    </i>
    <i>
      <x v="13"/>
    </i>
    <i t="grand">
      <x/>
    </i>
  </rowItems>
  <colFields count="1">
    <field x="16"/>
  </colFields>
  <colItems count="3">
    <i>
      <x v="22"/>
    </i>
    <i>
      <x v="31"/>
    </i>
    <i t="grand">
      <x/>
    </i>
  </colItems>
  <dataFields count="1">
    <dataField name="Sum of Profit" fld="12" baseField="0" baseItem="0"/>
  </dataFields>
  <formats count="11">
    <format dxfId="512">
      <pivotArea type="all" dataOnly="0" outline="0" fieldPosition="0"/>
    </format>
    <format dxfId="511">
      <pivotArea outline="0" collapsedLevelsAreSubtotals="1" fieldPosition="0"/>
    </format>
    <format dxfId="510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09">
      <pivotArea dataOnly="0" labelOnly="1" grandCol="1" outline="0" fieldPosition="0"/>
    </format>
    <format dxfId="508">
      <pivotArea outline="0" collapsedLevelsAreSubtotals="1" fieldPosition="0"/>
    </format>
    <format dxfId="507">
      <pivotArea field="21" type="button" dataOnly="0" labelOnly="1" outline="0" axis="axisRow" fieldPosition="0"/>
    </format>
    <format dxfId="506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505">
      <pivotArea dataOnly="0" labelOnly="1" grandRow="1" outline="0" fieldPosition="0"/>
    </format>
    <format dxfId="504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03">
      <pivotArea dataOnly="0" labelOnly="1" grandCol="1" outline="0" fieldPosition="0"/>
    </format>
    <format dxfId="502">
      <pivotArea dataOnly="0" fieldPosition="0">
        <references count="1">
          <reference field="21" count="6">
            <x v="17"/>
            <x v="18"/>
            <x v="19"/>
            <x v="20"/>
            <x v="21"/>
            <x v="22"/>
          </reference>
        </references>
      </pivotArea>
    </format>
  </formats>
  <conditionalFormats count="6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4">
              <x v="10"/>
              <x v="11"/>
              <x v="12"/>
              <x v="13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4">
              <x v="10"/>
              <x v="11"/>
              <x v="12"/>
              <x v="13"/>
            </reference>
          </references>
        </pivotArea>
      </pivotAreas>
    </conditionalFormat>
    <conditionalFormat priority="10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0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0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10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7:E61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41">
        <item m="1" x="8"/>
        <item m="1" x="9"/>
        <item m="1" x="7"/>
        <item m="1" x="27"/>
        <item m="1" x="28"/>
        <item m="1" x="25"/>
        <item x="2"/>
        <item m="1" x="37"/>
        <item m="1" x="12"/>
        <item m="1" x="38"/>
        <item m="1" x="11"/>
        <item m="1" x="39"/>
        <item m="1" x="4"/>
        <item m="1" x="6"/>
        <item m="1" x="5"/>
        <item m="1" x="10"/>
        <item m="1" x="13"/>
        <item m="1" x="14"/>
        <item m="1" x="15"/>
        <item m="1" x="16"/>
        <item m="1" x="17"/>
        <item m="1" x="18"/>
        <item m="1" x="19"/>
        <item x="0"/>
        <item m="1" x="20"/>
        <item m="1" x="21"/>
        <item m="1" x="22"/>
        <item m="1" x="23"/>
        <item m="1" x="24"/>
        <item m="1" x="26"/>
        <item m="1" x="29"/>
        <item m="1" x="30"/>
        <item x="1"/>
        <item m="1" x="31"/>
        <item m="1" x="32"/>
        <item m="1" x="33"/>
        <item m="1" x="35"/>
        <item m="1" x="34"/>
        <item m="1" x="36"/>
        <item x="3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axis="axisRow" showAll="0">
      <items count="11">
        <item m="1" x="3"/>
        <item m="1" x="4"/>
        <item x="2"/>
        <item m="1" x="5"/>
        <item m="1" x="6"/>
        <item m="1" x="7"/>
        <item m="1" x="8"/>
        <item m="1" x="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 v="8"/>
    </i>
    <i>
      <x v="9"/>
    </i>
    <i t="grand">
      <x/>
    </i>
  </rowItems>
  <colFields count="1">
    <field x="16"/>
  </colFields>
  <colItems count="4">
    <i>
      <x v="6"/>
    </i>
    <i>
      <x v="23"/>
    </i>
    <i>
      <x v="32"/>
    </i>
    <i t="grand">
      <x/>
    </i>
  </colItems>
  <pageFields count="1">
    <pageField fld="29" hier="-1"/>
  </pageFields>
  <dataFields count="1">
    <dataField name="Sum of Profit" fld="12" baseField="0" baseItem="0"/>
  </dataFields>
  <formats count="40">
    <format dxfId="552">
      <pivotArea dataOnly="0" labelOnly="1" fieldPosition="0">
        <references count="1">
          <reference field="16" count="1">
            <x v="15"/>
          </reference>
        </references>
      </pivotArea>
    </format>
    <format dxfId="551">
      <pivotArea type="all" dataOnly="0" outline="0" fieldPosition="0"/>
    </format>
    <format dxfId="550">
      <pivotArea outline="0" collapsedLevelsAreSubtotals="1" fieldPosition="0"/>
    </format>
    <format dxfId="549">
      <pivotArea type="origin" dataOnly="0" labelOnly="1" outline="0" fieldPosition="0"/>
    </format>
    <format dxfId="548">
      <pivotArea field="16" type="button" dataOnly="0" labelOnly="1" outline="0" axis="axisCol" fieldPosition="0"/>
    </format>
    <format dxfId="547">
      <pivotArea type="topRight" dataOnly="0" labelOnly="1" outline="0" fieldPosition="0"/>
    </format>
    <format dxfId="546">
      <pivotArea field="20" type="button" dataOnly="0" labelOnly="1" outline="0" axis="axisRow" fieldPosition="0"/>
    </format>
    <format dxfId="545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544">
      <pivotArea dataOnly="0" labelOnly="1" grandRow="1" outline="0" fieldPosition="0"/>
    </format>
    <format dxfId="543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542">
      <pivotArea dataOnly="0" labelOnly="1" grandCol="1" outline="0" fieldPosition="0"/>
    </format>
    <format dxfId="541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540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539">
      <pivotArea dataOnly="0" labelOnly="1" fieldPosition="0">
        <references count="1">
          <reference field="16" count="1">
            <x v="12"/>
          </reference>
        </references>
      </pivotArea>
    </format>
    <format dxfId="538">
      <pivotArea dataOnly="0" labelOnly="1" fieldPosition="0">
        <references count="1">
          <reference field="16" count="1">
            <x v="12"/>
          </reference>
        </references>
      </pivotArea>
    </format>
    <format dxfId="537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536">
      <pivotArea outline="0" collapsedLevelsAreSubtotals="1" fieldPosition="0"/>
    </format>
    <format dxfId="535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534">
      <pivotArea dataOnly="0" labelOnly="1" grandCol="1" outline="0" fieldPosition="0"/>
    </format>
    <format dxfId="533">
      <pivotArea dataOnly="0" labelOnly="1" fieldPosition="0">
        <references count="1">
          <reference field="16" count="1">
            <x v="12"/>
          </reference>
        </references>
      </pivotArea>
    </format>
    <format dxfId="532">
      <pivotArea dataOnly="0" labelOnly="1" fieldPosition="0">
        <references count="1">
          <reference field="16" count="12">
            <x v="0"/>
            <x v="1"/>
            <x v="2"/>
            <x v="8"/>
            <x v="10"/>
            <x v="12"/>
            <x v="13"/>
            <x v="14"/>
            <x v="15"/>
            <x v="16"/>
            <x v="17"/>
            <x v="18"/>
          </reference>
        </references>
      </pivotArea>
    </format>
    <format dxfId="531">
      <pivotArea dataOnly="0" labelOnly="1" grandCol="1" outline="0" fieldPosition="0"/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type="origin" dataOnly="0" labelOnly="1" outline="0" fieldPosition="0"/>
    </format>
    <format dxfId="527">
      <pivotArea field="20" type="button" dataOnly="0" labelOnly="1" outline="0" axis="axisRow" fieldPosition="0"/>
    </format>
    <format dxfId="526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525">
      <pivotArea dataOnly="0" labelOnly="1" grandRow="1" outline="0" fieldPosition="0"/>
    </format>
    <format dxfId="524">
      <pivotArea dataOnly="0" labelOnly="1" fieldPosition="0">
        <references count="1">
          <reference field="16" count="12">
            <x v="0"/>
            <x v="1"/>
            <x v="2"/>
            <x v="8"/>
            <x v="10"/>
            <x v="12"/>
            <x v="13"/>
            <x v="14"/>
            <x v="15"/>
            <x v="16"/>
            <x v="17"/>
            <x v="18"/>
          </reference>
        </references>
      </pivotArea>
    </format>
    <format dxfId="523">
      <pivotArea dataOnly="0" labelOnly="1" grandCol="1" outline="0" fieldPosition="0"/>
    </format>
    <format dxfId="522">
      <pivotArea outline="0" collapsedLevelsAreSubtotals="1" fieldPosition="0">
        <references count="1">
          <reference field="16" count="7" selected="0">
            <x v="0"/>
            <x v="1"/>
            <x v="2"/>
            <x v="3"/>
            <x v="4"/>
            <x v="5"/>
            <x v="8"/>
          </reference>
        </references>
      </pivotArea>
    </format>
    <format dxfId="521">
      <pivotArea dataOnly="0" labelOnly="1" outline="0" fieldPosition="0">
        <references count="1">
          <reference field="29" count="0"/>
        </references>
      </pivotArea>
    </format>
    <format dxfId="520">
      <pivotArea field="16" type="button" dataOnly="0" labelOnly="1" outline="0" axis="axisCol" fieldPosition="0"/>
    </format>
    <format dxfId="519">
      <pivotArea type="topRight" dataOnly="0" labelOnly="1" outline="0" fieldPosition="0"/>
    </format>
    <format dxfId="518">
      <pivotArea dataOnly="0" labelOnly="1" fieldPosition="0">
        <references count="1">
          <reference field="16" count="7">
            <x v="0"/>
            <x v="1"/>
            <x v="2"/>
            <x v="3"/>
            <x v="4"/>
            <x v="5"/>
            <x v="8"/>
          </reference>
        </references>
      </pivotArea>
    </format>
    <format dxfId="517">
      <pivotArea outline="0" collapsedLevelsAreSubtotals="1" fieldPosition="0">
        <references count="1">
          <reference field="16" count="7" selected="0">
            <x v="0"/>
            <x v="1"/>
            <x v="2"/>
            <x v="3"/>
            <x v="4"/>
            <x v="5"/>
            <x v="8"/>
          </reference>
        </references>
      </pivotArea>
    </format>
    <format dxfId="516">
      <pivotArea dataOnly="0" labelOnly="1" outline="0" fieldPosition="0">
        <references count="1">
          <reference field="29" count="0"/>
        </references>
      </pivotArea>
    </format>
    <format dxfId="515">
      <pivotArea field="16" type="button" dataOnly="0" labelOnly="1" outline="0" axis="axisCol" fieldPosition="0"/>
    </format>
    <format dxfId="514">
      <pivotArea type="topRight" dataOnly="0" labelOnly="1" outline="0" fieldPosition="0"/>
    </format>
    <format dxfId="513">
      <pivotArea dataOnly="0" labelOnly="1" fieldPosition="0">
        <references count="1">
          <reference field="16" count="7">
            <x v="0"/>
            <x v="1"/>
            <x v="2"/>
            <x v="3"/>
            <x v="4"/>
            <x v="5"/>
            <x v="8"/>
          </reference>
        </references>
      </pivotArea>
    </format>
  </formats>
  <conditionalFormats count="4">
    <conditionalFormat priority="9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5"/>
            </reference>
          </references>
        </pivotArea>
      </pivotAreas>
    </conditionalFormat>
    <conditionalFormat priority="9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10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0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34BA68-D54A-4374-9B8B-588C39AC18FC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8:AA14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m="1" x="3"/>
        <item x="0"/>
        <item x="1"/>
        <item x="2"/>
        <item t="default"/>
      </items>
    </pivotField>
    <pivotField showAll="0"/>
    <pivotField showAll="0"/>
    <pivotField axis="axisRow" showAll="0" sortType="descending">
      <items count="41">
        <item m="1" x="8"/>
        <item m="1" x="9"/>
        <item m="1" x="7"/>
        <item m="1" x="27"/>
        <item m="1" x="28"/>
        <item m="1" x="25"/>
        <item m="1" x="37"/>
        <item m="1" x="12"/>
        <item m="1" x="38"/>
        <item m="1" x="11"/>
        <item m="1" x="39"/>
        <item m="1" x="4"/>
        <item m="1" x="6"/>
        <item m="1" x="5"/>
        <item m="1" x="10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6"/>
        <item m="1" x="29"/>
        <item m="1" x="30"/>
        <item x="1"/>
        <item m="1" x="31"/>
        <item m="1" x="32"/>
        <item m="1" x="33"/>
        <item m="1" x="35"/>
        <item m="1" x="34"/>
        <item m="1" x="36"/>
        <item x="3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axis="axisPage" multipleItemSelectionAllowed="1" showAll="0">
      <items count="25">
        <item x="13"/>
        <item x="14"/>
        <item x="15"/>
        <item x="16"/>
        <item x="17"/>
        <item m="1" x="22"/>
        <item x="18"/>
        <item x="19"/>
        <item x="20"/>
        <item m="1" x="23"/>
        <item x="0"/>
        <item x="1"/>
        <item h="1" x="2"/>
        <item h="1" x="3"/>
        <item h="1" x="4"/>
        <item h="1" x="5"/>
        <item h="1" x="6"/>
        <item h="1" x="7"/>
        <item h="1" x="8"/>
        <item x="9"/>
        <item x="10"/>
        <item x="11"/>
        <item x="12"/>
        <item x="21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4">
    <i>
      <x v="39"/>
    </i>
    <i>
      <x v="30"/>
    </i>
    <i>
      <x v="38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27">
    <format dxfId="579">
      <pivotArea dataOnly="0" labelOnly="1" fieldPosition="0">
        <references count="1">
          <reference field="16" count="1">
            <x v="14"/>
          </reference>
        </references>
      </pivotArea>
    </format>
    <format dxfId="578">
      <pivotArea type="all" dataOnly="0" outline="0" fieldPosition="0"/>
    </format>
    <format dxfId="577">
      <pivotArea outline="0" collapsedLevelsAreSubtotals="1" fieldPosition="0"/>
    </format>
    <format dxfId="576">
      <pivotArea field="16" type="button" dataOnly="0" labelOnly="1" outline="0" axis="axisRow" fieldPosition="0"/>
    </format>
    <format dxfId="575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74">
      <pivotArea dataOnly="0" labelOnly="1" grandRow="1" outline="0" fieldPosition="0"/>
    </format>
    <format dxfId="573">
      <pivotArea dataOnly="0" labelOnly="1" outline="0" axis="axisValues" fieldPosition="0"/>
    </format>
    <format dxfId="572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571">
      <pivotArea dataOnly="0" labelOnly="1" fieldPosition="0">
        <references count="1">
          <reference field="16" count="1">
            <x v="13"/>
          </reference>
        </references>
      </pivotArea>
    </format>
    <format dxfId="570">
      <pivotArea dataOnly="0" labelOnly="1" fieldPosition="0">
        <references count="1">
          <reference field="16" count="1">
            <x v="11"/>
          </reference>
        </references>
      </pivotArea>
    </format>
    <format dxfId="569">
      <pivotArea grandRow="1" outline="0" collapsedLevelsAreSubtotals="1" fieldPosition="0"/>
    </format>
    <format dxfId="568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  <format dxfId="567">
      <pivotArea dataOnly="0" labelOnly="1" fieldPosition="0">
        <references count="1">
          <reference field="16" count="1">
            <x v="20"/>
          </reference>
        </references>
      </pivotArea>
    </format>
    <format dxfId="566">
      <pivotArea dataOnly="0" labelOnly="1" fieldPosition="0">
        <references count="1">
          <reference field="16" count="1">
            <x v="21"/>
          </reference>
        </references>
      </pivotArea>
    </format>
    <format dxfId="565">
      <pivotArea dataOnly="0" labelOnly="1" fieldPosition="0">
        <references count="1">
          <reference field="16" count="1">
            <x v="21"/>
          </reference>
        </references>
      </pivotArea>
    </format>
    <format dxfId="564">
      <pivotArea dataOnly="0" labelOnly="1" fieldPosition="0">
        <references count="1">
          <reference field="16" count="1">
            <x v="21"/>
          </reference>
        </references>
      </pivotArea>
    </format>
    <format dxfId="563">
      <pivotArea dataOnly="0" labelOnly="1" fieldPosition="0">
        <references count="1">
          <reference field="16" count="1">
            <x v="28"/>
          </reference>
        </references>
      </pivotArea>
    </format>
    <format dxfId="562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1"/>
          </reference>
        </references>
      </pivotArea>
    </format>
    <format dxfId="561">
      <pivotArea dataOnly="0" labelOnly="1" fieldPosition="0">
        <references count="1">
          <reference field="16" count="1">
            <x v="28"/>
          </reference>
        </references>
      </pivotArea>
    </format>
    <format dxfId="560">
      <pivotArea outline="0" collapsedLevelsAreSubtotals="1" fieldPosition="0"/>
    </format>
    <format dxfId="559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1"/>
          </reference>
        </references>
      </pivotArea>
    </format>
    <format dxfId="558">
      <pivotArea dataOnly="0" labelOnly="1" fieldPosition="0">
        <references count="1">
          <reference field="16" count="1">
            <x v="21"/>
          </reference>
        </references>
      </pivotArea>
    </format>
    <format dxfId="557">
      <pivotArea dataOnly="0" labelOnly="1" fieldPosition="0">
        <references count="1">
          <reference field="16" count="3">
            <x v="30"/>
            <x v="31"/>
            <x v="32"/>
          </reference>
        </references>
      </pivotArea>
    </format>
    <format dxfId="556">
      <pivotArea collapsedLevelsAreSubtotals="1" fieldPosition="0">
        <references count="1">
          <reference field="16" count="3">
            <x v="30"/>
            <x v="31"/>
            <x v="32"/>
          </reference>
        </references>
      </pivotArea>
    </format>
    <format dxfId="555">
      <pivotArea dataOnly="0" labelOnly="1" fieldPosition="0">
        <references count="1">
          <reference field="16" count="3">
            <x v="30"/>
            <x v="31"/>
            <x v="32"/>
          </reference>
        </references>
      </pivotArea>
    </format>
    <format dxfId="554">
      <pivotArea collapsedLevelsAreSubtotals="1" fieldPosition="0">
        <references count="1">
          <reference field="16" count="1">
            <x v="27"/>
          </reference>
        </references>
      </pivotArea>
    </format>
    <format dxfId="553">
      <pivotArea dataOnly="0" labelOnly="1" fieldPosition="0">
        <references count="1">
          <reference field="16" count="1">
            <x v="27"/>
          </reference>
        </references>
      </pivotArea>
    </format>
  </formats>
  <conditionalFormats count="1">
    <conditionalFormat priority="10">
      <pivotAreas count="93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G14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m="1" x="3"/>
        <item x="0"/>
        <item x="1"/>
        <item h="1" x="2"/>
        <item t="default"/>
      </items>
    </pivotField>
    <pivotField showAll="0"/>
    <pivotField showAll="0"/>
    <pivotField axis="axisRow" showAll="0" sortType="descending">
      <items count="41">
        <item m="1" x="8"/>
        <item m="1" x="9"/>
        <item m="1" x="7"/>
        <item m="1" x="27"/>
        <item m="1" x="28"/>
        <item m="1" x="25"/>
        <item m="1" x="37"/>
        <item m="1" x="12"/>
        <item m="1" x="38"/>
        <item m="1" x="11"/>
        <item m="1" x="39"/>
        <item m="1" x="4"/>
        <item m="1" x="6"/>
        <item m="1" x="5"/>
        <item m="1" x="10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6"/>
        <item m="1" x="29"/>
        <item m="1" x="30"/>
        <item x="1"/>
        <item m="1" x="31"/>
        <item m="1" x="32"/>
        <item m="1" x="33"/>
        <item m="1" x="35"/>
        <item m="1" x="34"/>
        <item m="1" x="36"/>
        <item x="3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axis="axisPage" showAll="0">
      <items count="25">
        <item x="13"/>
        <item x="14"/>
        <item x="15"/>
        <item x="16"/>
        <item x="17"/>
        <item m="1" x="22"/>
        <item x="18"/>
        <item x="19"/>
        <item x="20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21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4">
    <i>
      <x v="39"/>
    </i>
    <i>
      <x v="30"/>
    </i>
    <i>
      <x v="38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66">
    <format dxfId="645">
      <pivotArea dataOnly="0" labelOnly="1" fieldPosition="0">
        <references count="1">
          <reference field="16" count="1">
            <x v="14"/>
          </reference>
        </references>
      </pivotArea>
    </format>
    <format dxfId="644">
      <pivotArea type="all" dataOnly="0" outline="0" fieldPosition="0"/>
    </format>
    <format dxfId="643">
      <pivotArea outline="0" collapsedLevelsAreSubtotals="1" fieldPosition="0"/>
    </format>
    <format dxfId="642">
      <pivotArea field="16" type="button" dataOnly="0" labelOnly="1" outline="0" axis="axisRow" fieldPosition="0"/>
    </format>
    <format dxfId="641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640">
      <pivotArea dataOnly="0" labelOnly="1" grandRow="1" outline="0" fieldPosition="0"/>
    </format>
    <format dxfId="639">
      <pivotArea dataOnly="0" labelOnly="1" outline="0" axis="axisValues" fieldPosition="0"/>
    </format>
    <format dxfId="638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637">
      <pivotArea dataOnly="0" labelOnly="1" fieldPosition="0">
        <references count="1">
          <reference field="16" count="1">
            <x v="1"/>
          </reference>
        </references>
      </pivotArea>
    </format>
    <format dxfId="636">
      <pivotArea dataOnly="0" labelOnly="1" fieldPosition="0">
        <references count="1">
          <reference field="16" count="1">
            <x v="2"/>
          </reference>
        </references>
      </pivotArea>
    </format>
    <format dxfId="635">
      <pivotArea dataOnly="0" labelOnly="1" fieldPosition="0">
        <references count="1">
          <reference field="16" count="2">
            <x v="4"/>
            <x v="5"/>
          </reference>
        </references>
      </pivotArea>
    </format>
    <format dxfId="634">
      <pivotArea dataOnly="0" labelOnly="1" fieldPosition="0">
        <references count="1">
          <reference field="16" count="1">
            <x v="3"/>
          </reference>
        </references>
      </pivotArea>
    </format>
    <format dxfId="633">
      <pivotArea grandRow="1" outline="0" collapsedLevelsAreSubtotals="1" fieldPosition="0"/>
    </format>
    <format dxfId="632">
      <pivotArea dataOnly="0" labelOnly="1" fieldPosition="0">
        <references count="1">
          <reference field="16" count="1">
            <x v="0"/>
          </reference>
        </references>
      </pivotArea>
    </format>
    <format dxfId="631">
      <pivotArea collapsedLevelsAreSubtotals="1" fieldPosition="0">
        <references count="1">
          <reference field="16" count="1">
            <x v="21"/>
          </reference>
        </references>
      </pivotArea>
    </format>
    <format dxfId="630">
      <pivotArea dataOnly="0" labelOnly="1" fieldPosition="0">
        <references count="1">
          <reference field="16" count="1">
            <x v="21"/>
          </reference>
        </references>
      </pivotArea>
    </format>
    <format dxfId="629">
      <pivotArea collapsedLevelsAreSubtotals="1" fieldPosition="0">
        <references count="1">
          <reference field="16" count="1">
            <x v="28"/>
          </reference>
        </references>
      </pivotArea>
    </format>
    <format dxfId="628">
      <pivotArea dataOnly="0" labelOnly="1" fieldPosition="0">
        <references count="1">
          <reference field="16" count="1">
            <x v="28"/>
          </reference>
        </references>
      </pivotArea>
    </format>
    <format dxfId="627">
      <pivotArea dataOnly="0" labelOnly="1" fieldPosition="0">
        <references count="1">
          <reference field="16" count="1">
            <x v="20"/>
          </reference>
        </references>
      </pivotArea>
    </format>
    <format dxfId="626">
      <pivotArea dataOnly="0" labelOnly="1" fieldPosition="0">
        <references count="1">
          <reference field="16" count="1">
            <x v="21"/>
          </reference>
        </references>
      </pivotArea>
    </format>
    <format dxfId="625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1"/>
          </reference>
        </references>
      </pivotArea>
    </format>
    <format dxfId="624">
      <pivotArea collapsedLevelsAreSubtotals="1" fieldPosition="0">
        <references count="1">
          <reference field="16" count="1">
            <x v="21"/>
          </reference>
        </references>
      </pivotArea>
    </format>
    <format dxfId="623">
      <pivotArea dataOnly="0" labelOnly="1" fieldPosition="0">
        <references count="1">
          <reference field="16" count="1">
            <x v="21"/>
          </reference>
        </references>
      </pivotArea>
    </format>
    <format dxfId="622">
      <pivotArea collapsedLevelsAreSubtotals="1" fieldPosition="0">
        <references count="1">
          <reference field="16" count="1">
            <x v="28"/>
          </reference>
        </references>
      </pivotArea>
    </format>
    <format dxfId="621">
      <pivotArea dataOnly="0" labelOnly="1" fieldPosition="0">
        <references count="1">
          <reference field="16" count="1">
            <x v="28"/>
          </reference>
        </references>
      </pivotArea>
    </format>
    <format dxfId="620">
      <pivotArea outline="0" collapsedLevelsAreSubtotals="1" fieldPosition="0"/>
    </format>
    <format dxfId="619">
      <pivotArea dataOnly="0" labelOnly="1" outline="0" fieldPosition="0">
        <references count="1">
          <reference field="21" count="0"/>
        </references>
      </pivotArea>
    </format>
    <format dxfId="618">
      <pivotArea field="13" type="button" dataOnly="0" labelOnly="1" outline="0" axis="axisCol" fieldPosition="0"/>
    </format>
    <format dxfId="617">
      <pivotArea field="-2" type="button" dataOnly="0" labelOnly="1" outline="0" axis="axisCol" fieldPosition="1"/>
    </format>
    <format dxfId="616">
      <pivotArea type="topRight" dataOnly="0" labelOnly="1" outline="0" fieldPosition="0"/>
    </format>
    <format dxfId="615">
      <pivotArea dataOnly="0" labelOnly="1" fieldPosition="0">
        <references count="1">
          <reference field="13" count="0"/>
        </references>
      </pivotArea>
    </format>
    <format dxfId="614">
      <pivotArea field="1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13">
      <pivotArea field="13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12">
      <pivotArea dataOnly="0" labelOnly="1" outline="0" fieldPosition="0">
        <references count="2">
          <reference field="4294967294" count="2">
            <x v="0"/>
            <x v="1"/>
          </reference>
          <reference field="13" count="1" selected="0">
            <x v="1"/>
          </reference>
        </references>
      </pivotArea>
    </format>
    <format dxfId="611">
      <pivotArea dataOnly="0" labelOnly="1" outline="0" fieldPosition="0">
        <references count="2">
          <reference field="4294967294" count="2">
            <x v="0"/>
            <x v="1"/>
          </reference>
          <reference field="13" count="1" selected="0">
            <x v="2"/>
          </reference>
        </references>
      </pivotArea>
    </format>
    <format dxfId="610">
      <pivotArea outline="0" collapsedLevelsAreSubtotals="1" fieldPosition="0"/>
    </format>
    <format dxfId="609">
      <pivotArea dataOnly="0" labelOnly="1" outline="0" fieldPosition="0">
        <references count="1">
          <reference field="21" count="0"/>
        </references>
      </pivotArea>
    </format>
    <format dxfId="608">
      <pivotArea field="13" type="button" dataOnly="0" labelOnly="1" outline="0" axis="axisCol" fieldPosition="0"/>
    </format>
    <format dxfId="607">
      <pivotArea field="-2" type="button" dataOnly="0" labelOnly="1" outline="0" axis="axisCol" fieldPosition="1"/>
    </format>
    <format dxfId="606">
      <pivotArea type="topRight" dataOnly="0" labelOnly="1" outline="0" fieldPosition="0"/>
    </format>
    <format dxfId="605">
      <pivotArea dataOnly="0" labelOnly="1" fieldPosition="0">
        <references count="1">
          <reference field="13" count="0"/>
        </references>
      </pivotArea>
    </format>
    <format dxfId="604">
      <pivotArea field="1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03">
      <pivotArea field="13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02">
      <pivotArea dataOnly="0" labelOnly="1" outline="0" fieldPosition="0">
        <references count="2">
          <reference field="4294967294" count="2">
            <x v="0"/>
            <x v="1"/>
          </reference>
          <reference field="13" count="1" selected="0">
            <x v="1"/>
          </reference>
        </references>
      </pivotArea>
    </format>
    <format dxfId="601">
      <pivotArea dataOnly="0" labelOnly="1" outline="0" fieldPosition="0">
        <references count="2">
          <reference field="4294967294" count="2">
            <x v="0"/>
            <x v="1"/>
          </reference>
          <reference field="13" count="1" selected="0">
            <x v="2"/>
          </reference>
        </references>
      </pivotArea>
    </format>
    <format dxfId="600">
      <pivotArea dataOnly="0" fieldPosition="0">
        <references count="1">
          <reference field="16" count="1">
            <x v="32"/>
          </reference>
        </references>
      </pivotArea>
    </format>
    <format dxfId="599">
      <pivotArea dataOnly="0" labelOnly="1" fieldPosition="0">
        <references count="1">
          <reference field="16" count="1">
            <x v="31"/>
          </reference>
        </references>
      </pivotArea>
    </format>
    <format dxfId="598">
      <pivotArea collapsedLevelsAreSubtotals="1" fieldPosition="0">
        <references count="1">
          <reference field="16" count="2">
            <x v="31"/>
            <x v="32"/>
          </reference>
        </references>
      </pivotArea>
    </format>
    <format dxfId="597">
      <pivotArea dataOnly="0" labelOnly="1" fieldPosition="0">
        <references count="1">
          <reference field="16" count="2">
            <x v="31"/>
            <x v="32"/>
          </reference>
        </references>
      </pivotArea>
    </format>
    <format dxfId="596">
      <pivotArea dataOnly="0" labelOnly="1" fieldPosition="0">
        <references count="1">
          <reference field="16" count="1">
            <x v="30"/>
          </reference>
        </references>
      </pivotArea>
    </format>
    <format dxfId="595">
      <pivotArea collapsedLevelsAreSubtotals="1" fieldPosition="0">
        <references count="1">
          <reference field="16" count="1">
            <x v="36"/>
          </reference>
        </references>
      </pivotArea>
    </format>
    <format dxfId="594">
      <pivotArea dataOnly="0" labelOnly="1" fieldPosition="0">
        <references count="1">
          <reference field="16" count="1">
            <x v="36"/>
          </reference>
        </references>
      </pivotArea>
    </format>
    <format dxfId="593">
      <pivotArea collapsedLevelsAreSubtotals="1" fieldPosition="0">
        <references count="3">
          <reference field="4294967294" count="1" selected="0">
            <x v="1"/>
          </reference>
          <reference field="13" count="1" selected="0">
            <x v="2"/>
          </reference>
          <reference field="16" count="1">
            <x v="31"/>
          </reference>
        </references>
      </pivotArea>
    </format>
    <format dxfId="592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32"/>
          </reference>
        </references>
      </pivotArea>
    </format>
    <format dxfId="591">
      <pivotArea collapsedLevelsAreSubtotals="1" fieldPosition="0">
        <references count="1">
          <reference field="16" count="1">
            <x v="32"/>
          </reference>
        </references>
      </pivotArea>
    </format>
    <format dxfId="590">
      <pivotArea dataOnly="0" labelOnly="1" fieldPosition="0">
        <references count="1">
          <reference field="16" count="1">
            <x v="32"/>
          </reference>
        </references>
      </pivotArea>
    </format>
    <format dxfId="589">
      <pivotArea collapsedLevelsAreSubtotals="1" fieldPosition="0">
        <references count="1">
          <reference field="16" count="1">
            <x v="36"/>
          </reference>
        </references>
      </pivotArea>
    </format>
    <format dxfId="588">
      <pivotArea dataOnly="0" labelOnly="1" fieldPosition="0">
        <references count="1">
          <reference field="16" count="1">
            <x v="36"/>
          </reference>
        </references>
      </pivotArea>
    </format>
    <format dxfId="587">
      <pivotArea collapsedLevelsAreSubtotals="1" fieldPosition="0">
        <references count="1">
          <reference field="16" count="1">
            <x v="27"/>
          </reference>
        </references>
      </pivotArea>
    </format>
    <format dxfId="586">
      <pivotArea dataOnly="0" labelOnly="1" fieldPosition="0">
        <references count="1">
          <reference field="16" count="1">
            <x v="27"/>
          </reference>
        </references>
      </pivotArea>
    </format>
    <format dxfId="585">
      <pivotArea outline="0" collapsedLevelsAreSubtotals="1" fieldPosition="0"/>
    </format>
    <format dxfId="584">
      <pivotArea dataOnly="0" labelOnly="1" fieldPosition="0">
        <references count="1">
          <reference field="16" count="34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583">
      <pivotArea dataOnly="0" labelOnly="1" grandRow="1" outline="0" fieldPosition="0"/>
    </format>
    <format dxfId="582">
      <pivotArea outline="0" collapsedLevelsAreSubtotals="1" fieldPosition="0"/>
    </format>
    <format dxfId="581">
      <pivotArea dataOnly="0" labelOnly="1" fieldPosition="0">
        <references count="1">
          <reference field="16" count="34">
            <x v="0"/>
            <x v="1"/>
            <x v="2"/>
            <x v="3"/>
            <x v="4"/>
            <x v="5"/>
            <x v="7"/>
            <x v="9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580">
      <pivotArea dataOnly="0" labelOnly="1" grandRow="1" outline="0" fieldPosition="0"/>
    </format>
  </formats>
  <conditionalFormats count="1">
    <conditionalFormat priority="6">
      <pivotAreas count="102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1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DA9B3-83AD-457F-89C2-B401415E478B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M58:AS65" firstHeaderRow="1" firstDataRow="3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m="1" x="3"/>
        <item x="0"/>
        <item x="1"/>
        <item h="1" x="2"/>
        <item t="default"/>
      </items>
    </pivotField>
    <pivotField showAll="0"/>
    <pivotField showAll="0"/>
    <pivotField axis="axisPage" showAll="0" sortType="ascending">
      <items count="40">
        <item m="1" x="7"/>
        <item m="1" x="8"/>
        <item m="1" x="6"/>
        <item m="1" x="26"/>
        <item m="1" x="27"/>
        <item m="1" x="24"/>
        <item m="1" x="36"/>
        <item m="1" x="11"/>
        <item m="1" x="37"/>
        <item m="1" x="10"/>
        <item m="1" x="38"/>
        <item m="1" x="3"/>
        <item m="1" x="5"/>
        <item m="1" x="4"/>
        <item m="1" x="9"/>
        <item m="1" x="12"/>
        <item m="1" x="13"/>
        <item m="1" x="14"/>
        <item m="1" x="15"/>
        <item m="1" x="16"/>
        <item m="1" x="17"/>
        <item m="1" x="18"/>
        <item x="0"/>
        <item m="1" x="19"/>
        <item m="1" x="20"/>
        <item m="1" x="21"/>
        <item m="1" x="22"/>
        <item m="1" x="23"/>
        <item m="1" x="25"/>
        <item m="1" x="28"/>
        <item m="1" x="29"/>
        <item x="1"/>
        <item m="1" x="30"/>
        <item m="1" x="31"/>
        <item m="1" x="32"/>
        <item m="1" x="34"/>
        <item m="1" x="33"/>
        <item m="1" x="35"/>
        <item x="2"/>
        <item t="default"/>
      </items>
    </pivotField>
    <pivotField showAll="0"/>
    <pivotField showAll="0"/>
    <pivotField showAll="0">
      <items count="3172"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7"/>
        <item m="1" x="548"/>
        <item m="1" x="550"/>
        <item m="1" x="551"/>
        <item m="1" x="552"/>
        <item m="1" x="553"/>
        <item m="1" x="556"/>
        <item m="1" x="545"/>
        <item m="1" x="546"/>
        <item m="1" x="549"/>
        <item m="1" x="554"/>
        <item m="1" x="555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3"/>
        <item m="1" x="834"/>
        <item m="1" x="835"/>
        <item m="1" x="836"/>
        <item m="1" x="842"/>
        <item m="1" x="843"/>
        <item m="1" x="832"/>
        <item m="1" x="837"/>
        <item m="1" x="838"/>
        <item m="1" x="839"/>
        <item m="1" x="840"/>
        <item m="1" x="841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6"/>
        <item m="1" x="1057"/>
        <item m="1" x="1054"/>
        <item m="1" x="1055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6"/>
        <item m="1" x="1137"/>
        <item m="1" x="1138"/>
        <item m="1" x="1140"/>
        <item m="1" x="1134"/>
        <item m="1" x="1135"/>
        <item m="1" x="1139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51"/>
        <item m="1" x="1652"/>
        <item m="1" x="1648"/>
        <item m="1" x="1649"/>
        <item m="1" x="1650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50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7"/>
        <item m="1" x="2878"/>
        <item m="1" x="2864"/>
        <item m="1" x="2876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09"/>
        <item m="1" x="2910"/>
        <item m="1" x="2911"/>
        <item m="1" x="2912"/>
        <item m="1" x="2913"/>
        <item m="1" x="2914"/>
        <item m="1" x="2915"/>
        <item m="1" x="2916"/>
        <item m="1" x="2917"/>
        <item m="1" x="2918"/>
        <item m="1" x="2919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0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2"/>
        <item m="1" x="2963"/>
        <item m="1" x="2964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axis="axisRow" showAll="0" sortType="ascending">
      <items count="25"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m="1" x="19"/>
        <item m="1" x="20"/>
        <item m="1" x="21"/>
        <item m="1" x="22"/>
        <item m="1" x="23"/>
        <item m="1" x="5"/>
        <item m="1" x="6"/>
        <item m="1" x="7"/>
        <item m="1" x="8"/>
        <item h="1"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x="0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x="0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25"/>
        <item x="0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  <item t="default"/>
      </items>
    </pivotField>
  </pivotFields>
  <rowFields count="1">
    <field x="21"/>
  </rowFields>
  <rowItems count="5">
    <i>
      <x v="10"/>
    </i>
    <i>
      <x v="11"/>
    </i>
    <i>
      <x v="12"/>
    </i>
    <i>
      <x v="13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16" item="31" hier="-1"/>
  </pageFields>
  <dataFields count="2">
    <dataField name="Count of WL" fld="13" subtotal="count" baseField="0" baseItem="0"/>
    <dataField name="Sum of Profit" fld="12" baseField="0" baseItem="0"/>
  </dataFields>
  <formats count="13">
    <format dxfId="658">
      <pivotArea type="all" dataOnly="0" outline="0" fieldPosition="0"/>
    </format>
    <format dxfId="657">
      <pivotArea outline="0" collapsedLevelsAreSubtotals="1" fieldPosition="0"/>
    </format>
    <format dxfId="656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655">
      <pivotArea dataOnly="0" labelOnly="1" grandCol="1" outline="0" fieldPosition="0"/>
    </format>
    <format dxfId="654">
      <pivotArea outline="0" collapsedLevelsAreSubtotals="1" fieldPosition="0"/>
    </format>
    <format dxfId="653">
      <pivotArea field="21" type="button" dataOnly="0" labelOnly="1" outline="0" axis="axisRow" fieldPosition="0"/>
    </format>
    <format dxfId="652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651">
      <pivotArea dataOnly="0" labelOnly="1" grandRow="1" outline="0" fieldPosition="0"/>
    </format>
    <format dxfId="650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649">
      <pivotArea dataOnly="0" labelOnly="1" grandCol="1" outline="0" fieldPosition="0"/>
    </format>
    <format dxfId="648">
      <pivotArea collapsedLevelsAreSubtotals="1" fieldPosition="0">
        <references count="3">
          <reference field="4294967294" count="1" selected="0">
            <x v="1"/>
          </reference>
          <reference field="13" count="1" selected="0">
            <x v="1"/>
          </reference>
          <reference field="21" count="0"/>
        </references>
      </pivotArea>
    </format>
    <format dxfId="647">
      <pivotArea collapsedLevelsAreSubtotals="1" fieldPosition="0">
        <references count="3">
          <reference field="4294967294" count="1" selected="0">
            <x v="1"/>
          </reference>
          <reference field="13" count="1" selected="0">
            <x v="2"/>
          </reference>
          <reference field="21" count="0"/>
        </references>
      </pivotArea>
    </format>
    <format dxfId="646">
      <pivotArea field="21" grandCol="1" collapsedLevelsAreSubtotals="1" axis="axisRow" fieldPosition="0">
        <references count="2">
          <reference field="4294967294" count="1" selected="0">
            <x v="1"/>
          </reference>
          <reference field="21" count="0"/>
        </references>
      </pivotArea>
    </format>
  </formats>
  <conditionalFormats count="7">
    <conditionalFormat priority="26">
      <pivotAreas count="1">
        <pivotArea type="data" grandCol="1" collapsedLevelsAreSubtotals="1" fieldPosition="0">
          <references count="2">
            <reference field="4294967294" count="1" selected="0">
              <x v="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28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30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34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35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36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37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0A638-386F-4CFD-ABB4-3B17725C1506}" name="PivotTable1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1:O17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40">
        <item m="1" x="7"/>
        <item m="1" x="8"/>
        <item m="1" x="6"/>
        <item m="1" x="26"/>
        <item m="1" x="27"/>
        <item m="1" x="24"/>
        <item m="1" x="36"/>
        <item m="1" x="11"/>
        <item m="1" x="37"/>
        <item m="1" x="10"/>
        <item m="1" x="38"/>
        <item m="1" x="3"/>
        <item m="1" x="5"/>
        <item m="1" x="4"/>
        <item m="1" x="9"/>
        <item m="1" x="12"/>
        <item m="1" x="13"/>
        <item m="1" x="14"/>
        <item m="1" x="15"/>
        <item m="1" x="16"/>
        <item m="1" x="17"/>
        <item m="1" x="18"/>
        <item x="0"/>
        <item m="1" x="19"/>
        <item m="1" x="20"/>
        <item m="1" x="21"/>
        <item m="1" x="22"/>
        <item m="1" x="23"/>
        <item m="1" x="25"/>
        <item m="1" x="28"/>
        <item m="1" x="29"/>
        <item x="1"/>
        <item m="1" x="30"/>
        <item m="1" x="31"/>
        <item m="1" x="32"/>
        <item m="1" x="34"/>
        <item m="1" x="33"/>
        <item m="1" x="35"/>
        <item x="2"/>
        <item t="default"/>
      </items>
    </pivotField>
    <pivotField showAll="0"/>
    <pivotField showAll="0"/>
    <pivotField showAll="0">
      <items count="3172"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7"/>
        <item m="1" x="548"/>
        <item m="1" x="550"/>
        <item m="1" x="551"/>
        <item m="1" x="552"/>
        <item m="1" x="553"/>
        <item m="1" x="556"/>
        <item m="1" x="545"/>
        <item m="1" x="546"/>
        <item m="1" x="549"/>
        <item m="1" x="554"/>
        <item m="1" x="555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3"/>
        <item m="1" x="834"/>
        <item m="1" x="835"/>
        <item m="1" x="836"/>
        <item m="1" x="842"/>
        <item m="1" x="843"/>
        <item m="1" x="832"/>
        <item m="1" x="837"/>
        <item m="1" x="838"/>
        <item m="1" x="839"/>
        <item m="1" x="840"/>
        <item m="1" x="841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6"/>
        <item m="1" x="1057"/>
        <item m="1" x="1054"/>
        <item m="1" x="1055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6"/>
        <item m="1" x="1137"/>
        <item m="1" x="1138"/>
        <item m="1" x="1140"/>
        <item m="1" x="1134"/>
        <item m="1" x="1135"/>
        <item m="1" x="1139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51"/>
        <item m="1" x="1652"/>
        <item m="1" x="1648"/>
        <item m="1" x="1649"/>
        <item m="1" x="1650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50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7"/>
        <item m="1" x="2878"/>
        <item m="1" x="2864"/>
        <item m="1" x="2876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09"/>
        <item m="1" x="2910"/>
        <item m="1" x="2911"/>
        <item m="1" x="2912"/>
        <item m="1" x="2913"/>
        <item m="1" x="2914"/>
        <item m="1" x="2915"/>
        <item m="1" x="2916"/>
        <item m="1" x="2917"/>
        <item m="1" x="2918"/>
        <item m="1" x="2919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0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2"/>
        <item m="1" x="2963"/>
        <item m="1" x="2964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axis="axisRow" showAll="0" sortType="ascending">
      <items count="25">
        <item m="1" x="9"/>
        <item m="1" x="10"/>
        <item m="1" x="11"/>
        <item m="1" x="12"/>
        <item m="1" x="13"/>
        <item h="1" m="1" x="14"/>
        <item h="1" m="1" x="15"/>
        <item h="1" m="1" x="16"/>
        <item h="1" m="1" x="17"/>
        <item m="1" x="18"/>
        <item x="0"/>
        <item x="1"/>
        <item x="2"/>
        <item x="3"/>
        <item m="1" x="19"/>
        <item m="1" x="20"/>
        <item m="1" x="21"/>
        <item h="1" m="1" x="22"/>
        <item h="1" m="1" x="23"/>
        <item h="1" m="1" x="5"/>
        <item h="1" m="1" x="6"/>
        <item h="1" m="1" x="7"/>
        <item h="1" m="1" x="8"/>
        <item h="1"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x="0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x="0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25"/>
        <item x="0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  <item t="default"/>
      </items>
    </pivotField>
  </pivotFields>
  <rowFields count="1">
    <field x="21"/>
  </rowFields>
  <rowItems count="5">
    <i>
      <x v="10"/>
    </i>
    <i>
      <x v="11"/>
    </i>
    <i>
      <x v="12"/>
    </i>
    <i>
      <x v="13"/>
    </i>
    <i t="grand">
      <x/>
    </i>
  </rowItems>
  <colFields count="1">
    <field x="16"/>
  </colFields>
  <colItems count="3">
    <i>
      <x v="22"/>
    </i>
    <i>
      <x v="31"/>
    </i>
    <i t="grand">
      <x/>
    </i>
  </colItems>
  <dataFields count="1">
    <dataField name="Sum of Profit" fld="12" baseField="0" baseItem="0"/>
  </dataFields>
  <formats count="10">
    <format dxfId="363">
      <pivotArea type="all" dataOnly="0" outline="0" fieldPosition="0"/>
    </format>
    <format dxfId="362">
      <pivotArea outline="0" collapsedLevelsAreSubtotals="1" fieldPosition="0"/>
    </format>
    <format dxfId="361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360">
      <pivotArea dataOnly="0" labelOnly="1" grandCol="1" outline="0" fieldPosition="0"/>
    </format>
    <format dxfId="359">
      <pivotArea outline="0" collapsedLevelsAreSubtotals="1" fieldPosition="0"/>
    </format>
    <format dxfId="358">
      <pivotArea field="21" type="button" dataOnly="0" labelOnly="1" outline="0" axis="axisRow" fieldPosition="0"/>
    </format>
    <format dxfId="357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356">
      <pivotArea dataOnly="0" labelOnly="1" grandRow="1" outline="0" fieldPosition="0"/>
    </format>
    <format dxfId="355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354">
      <pivotArea dataOnly="0" labelOnly="1" grandCol="1" outline="0" fieldPosition="0"/>
    </format>
  </formats>
  <conditionalFormats count="4">
    <conditionalFormat priority="4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4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4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4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49779-B857-4017-AF44-D438D2F466DA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8:H13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m="1" x="3"/>
        <item x="0"/>
        <item x="1"/>
        <item x="2"/>
        <item t="default"/>
      </items>
    </pivotField>
    <pivotField showAll="0"/>
    <pivotField showAll="0"/>
    <pivotField axis="axisRow" showAll="0" sortType="ascending">
      <items count="41">
        <item m="1" x="8"/>
        <item m="1" x="9"/>
        <item m="1" x="7"/>
        <item m="1" x="27"/>
        <item m="1" x="28"/>
        <item m="1" x="25"/>
        <item x="2"/>
        <item m="1" x="37"/>
        <item m="1" x="12"/>
        <item m="1" x="38"/>
        <item m="1" x="11"/>
        <item m="1" x="39"/>
        <item m="1" x="4"/>
        <item m="1" x="6"/>
        <item m="1" x="5"/>
        <item m="1" x="10"/>
        <item m="1" x="13"/>
        <item m="1" x="14"/>
        <item m="1" x="15"/>
        <item m="1" x="16"/>
        <item m="1" x="17"/>
        <item m="1" x="18"/>
        <item m="1" x="19"/>
        <item x="0"/>
        <item m="1" x="20"/>
        <item m="1" x="21"/>
        <item m="1" x="22"/>
        <item m="1" x="23"/>
        <item m="1" x="24"/>
        <item m="1" x="26"/>
        <item m="1" x="29"/>
        <item m="1" x="30"/>
        <item x="1"/>
        <item m="1" x="31"/>
        <item m="1" x="32"/>
        <item m="1" x="33"/>
        <item m="1" x="35"/>
        <item m="1" x="34"/>
        <item m="1" x="36"/>
        <item x="3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axis="axisPage" multipleItemSelectionAllowed="1" showAll="0">
      <items count="25">
        <item h="1" x="13"/>
        <item x="14"/>
        <item x="15"/>
        <item x="16"/>
        <item x="17"/>
        <item h="1" m="1" x="22"/>
        <item h="1" x="18"/>
        <item h="1" x="19"/>
        <item h="1" x="20"/>
        <item m="1" x="23"/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x="21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3">
    <i>
      <x v="23"/>
    </i>
    <i>
      <x v="32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27">
    <format dxfId="390">
      <pivotArea dataOnly="0" labelOnly="1" fieldPosition="0">
        <references count="1">
          <reference field="16" count="1">
            <x v="15"/>
          </reference>
        </references>
      </pivotArea>
    </format>
    <format dxfId="389">
      <pivotArea type="all" dataOnly="0" outline="0" fieldPosition="0"/>
    </format>
    <format dxfId="388">
      <pivotArea outline="0" collapsedLevelsAreSubtotals="1" fieldPosition="0"/>
    </format>
    <format dxfId="387">
      <pivotArea field="16" type="button" dataOnly="0" labelOnly="1" outline="0" axis="axisRow" fieldPosition="0"/>
    </format>
    <format dxfId="386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385">
      <pivotArea dataOnly="0" labelOnly="1" grandRow="1" outline="0" fieldPosition="0"/>
    </format>
    <format dxfId="384">
      <pivotArea dataOnly="0" labelOnly="1" outline="0" axis="axisValues" fieldPosition="0"/>
    </format>
    <format dxfId="383">
      <pivotArea collapsedLevelsAreSubtotals="1" fieldPosition="0">
        <references count="1">
          <reference field="16" count="12">
            <x v="0"/>
            <x v="1"/>
            <x v="2"/>
            <x v="8"/>
            <x v="10"/>
            <x v="12"/>
            <x v="13"/>
            <x v="14"/>
            <x v="15"/>
            <x v="16"/>
            <x v="17"/>
            <x v="18"/>
          </reference>
        </references>
      </pivotArea>
    </format>
    <format dxfId="382">
      <pivotArea dataOnly="0" labelOnly="1" fieldPosition="0">
        <references count="1">
          <reference field="16" count="1">
            <x v="14"/>
          </reference>
        </references>
      </pivotArea>
    </format>
    <format dxfId="381">
      <pivotArea dataOnly="0" labelOnly="1" fieldPosition="0">
        <references count="1">
          <reference field="16" count="1">
            <x v="12"/>
          </reference>
        </references>
      </pivotArea>
    </format>
    <format dxfId="380">
      <pivotArea grandRow="1" outline="0" collapsedLevelsAreSubtotals="1" fieldPosition="0"/>
    </format>
    <format dxfId="379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  <format dxfId="378">
      <pivotArea dataOnly="0" labelOnly="1" fieldPosition="0">
        <references count="1">
          <reference field="16" count="1">
            <x v="22"/>
          </reference>
        </references>
      </pivotArea>
    </format>
    <format dxfId="377">
      <pivotArea dataOnly="0" labelOnly="1" fieldPosition="0">
        <references count="1">
          <reference field="16" count="1">
            <x v="22"/>
          </reference>
        </references>
      </pivotArea>
    </format>
    <format dxfId="376">
      <pivotArea dataOnly="0" labelOnly="1" fieldPosition="0">
        <references count="1">
          <reference field="16" count="1">
            <x v="22"/>
          </reference>
        </references>
      </pivotArea>
    </format>
    <format dxfId="375">
      <pivotArea dataOnly="0" labelOnly="1" fieldPosition="0">
        <references count="1">
          <reference field="16" count="1">
            <x v="30"/>
          </reference>
        </references>
      </pivotArea>
    </format>
    <format dxfId="374">
      <pivotArea outline="0" collapsedLevelsAreSubtotals="1" fieldPosition="0"/>
    </format>
    <format dxfId="373">
      <pivotArea dataOnly="0" labelOnly="1" fieldPosition="0">
        <references count="1">
          <reference field="16" count="1">
            <x v="24"/>
          </reference>
        </references>
      </pivotArea>
    </format>
    <format dxfId="372">
      <pivotArea dataOnly="0" labelOnly="1" fieldPosition="0">
        <references count="1">
          <reference field="16" count="1">
            <x v="21"/>
          </reference>
        </references>
      </pivotArea>
    </format>
    <format dxfId="371">
      <pivotArea collapsedLevelsAreSubtotals="1" fieldPosition="0">
        <references count="3">
          <reference field="4294967294" count="1" selected="0">
            <x v="1"/>
          </reference>
          <reference field="13" count="1" selected="0">
            <x v="1"/>
          </reference>
          <reference field="16" count="1">
            <x v="22"/>
          </reference>
        </references>
      </pivotArea>
    </format>
    <format dxfId="370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2"/>
          </reference>
        </references>
      </pivotArea>
    </format>
    <format dxfId="369">
      <pivotArea dataOnly="0" labelOnly="1" fieldPosition="0">
        <references count="1">
          <reference field="16" count="1">
            <x v="22"/>
          </reference>
        </references>
      </pivotArea>
    </format>
    <format dxfId="368">
      <pivotArea dataOnly="0" labelOnly="1" fieldPosition="0">
        <references count="1">
          <reference field="16" count="1">
            <x v="30"/>
          </reference>
        </references>
      </pivotArea>
    </format>
    <format dxfId="367">
      <pivotArea collapsedLevelsAreSubtotals="1" fieldPosition="0">
        <references count="1">
          <reference field="16" count="1">
            <x v="22"/>
          </reference>
        </references>
      </pivotArea>
    </format>
    <format dxfId="366">
      <pivotArea dataOnly="0" labelOnly="1" fieldPosition="0">
        <references count="1">
          <reference field="16" count="1">
            <x v="22"/>
          </reference>
        </references>
      </pivotArea>
    </format>
    <format dxfId="365">
      <pivotArea collapsedLevelsAreSubtotals="1" fieldPosition="0">
        <references count="1">
          <reference field="16" count="2">
            <x v="33"/>
            <x v="34"/>
          </reference>
        </references>
      </pivotArea>
    </format>
    <format dxfId="364">
      <pivotArea dataOnly="0" labelOnly="1" fieldPosition="0">
        <references count="1">
          <reference field="16" count="2">
            <x v="33"/>
            <x v="34"/>
          </reference>
        </references>
      </pivotArea>
    </format>
  </formats>
  <conditionalFormats count="3">
    <conditionalFormat priority="1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3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3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31"/>
            </reference>
          </references>
        </pivotArea>
      </pivotAreas>
    </conditionalFormat>
    <conditionalFormat priority="2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5">
              <x v="25"/>
              <x v="26"/>
              <x v="27"/>
              <x v="28"/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5">
              <x v="25"/>
              <x v="26"/>
              <x v="27"/>
              <x v="28"/>
              <x v="2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5"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25">
      <pivotAreas count="6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8">
              <x v="0"/>
              <x v="1"/>
              <x v="2"/>
              <x v="3"/>
              <x v="4"/>
              <x v="5"/>
              <x v="8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8">
              <x v="0"/>
              <x v="1"/>
              <x v="2"/>
              <x v="3"/>
              <x v="4"/>
              <x v="5"/>
              <x v="8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8">
              <x v="0"/>
              <x v="1"/>
              <x v="2"/>
              <x v="3"/>
              <x v="4"/>
              <x v="5"/>
              <x v="8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0ADE3-E3CE-4777-8440-F60A75C640A3}" name="PivotTable8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0:D54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41">
        <item m="1" x="8"/>
        <item m="1" x="9"/>
        <item m="1" x="7"/>
        <item m="1" x="27"/>
        <item m="1" x="28"/>
        <item m="1" x="25"/>
        <item x="2"/>
        <item m="1" x="37"/>
        <item m="1" x="12"/>
        <item m="1" x="38"/>
        <item m="1" x="11"/>
        <item m="1" x="39"/>
        <item m="1" x="4"/>
        <item m="1" x="6"/>
        <item m="1" x="5"/>
        <item m="1" x="10"/>
        <item m="1" x="13"/>
        <item m="1" x="14"/>
        <item m="1" x="15"/>
        <item m="1" x="16"/>
        <item m="1" x="17"/>
        <item m="1" x="18"/>
        <item m="1" x="19"/>
        <item x="0"/>
        <item m="1" x="20"/>
        <item m="1" x="21"/>
        <item m="1" x="22"/>
        <item m="1" x="23"/>
        <item m="1" x="24"/>
        <item m="1" x="26"/>
        <item m="1" x="29"/>
        <item m="1" x="30"/>
        <item x="1"/>
        <item m="1" x="31"/>
        <item m="1" x="32"/>
        <item m="1" x="33"/>
        <item m="1" x="35"/>
        <item m="1" x="34"/>
        <item m="1" x="36"/>
        <item x="3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axis="axisRow" showAll="0">
      <items count="11">
        <item m="1" x="3"/>
        <item m="1" x="4"/>
        <item x="2"/>
        <item m="1" x="5"/>
        <item m="1" x="6"/>
        <item m="1" x="7"/>
        <item m="1" x="8"/>
        <item m="1" x="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h="1" sd="0" x="1"/>
        <item sd="0" x="2"/>
        <item sd="0" x="3"/>
        <item sd="0" x="4"/>
        <item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sd="0" x="14"/>
        <item sd="0" x="15"/>
        <item sd="0" x="16"/>
        <item sd="0" x="17"/>
        <item sd="0" x="18"/>
        <item h="1" sd="0" x="19"/>
        <item h="1" sd="0" x="20"/>
        <item h="1" sd="0" x="21"/>
        <item h="1" sd="0" x="22"/>
        <item h="1" sd="0" x="23"/>
        <item h="1" sd="0" x="24"/>
        <item h="1" x="0"/>
        <item h="1"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 v="8"/>
    </i>
    <i>
      <x v="9"/>
    </i>
    <i t="grand">
      <x/>
    </i>
  </rowItems>
  <colFields count="1">
    <field x="16"/>
  </colFields>
  <colItems count="3">
    <i>
      <x v="23"/>
    </i>
    <i>
      <x v="32"/>
    </i>
    <i t="grand">
      <x/>
    </i>
  </colItems>
  <pageFields count="1">
    <pageField fld="29" hier="-1"/>
  </pageFields>
  <dataFields count="1">
    <dataField name="Sum of Profit" fld="12" baseField="0" baseItem="0"/>
  </dataFields>
  <formats count="40">
    <format dxfId="430">
      <pivotArea dataOnly="0" labelOnly="1" fieldPosition="0">
        <references count="1">
          <reference field="16" count="1">
            <x v="15"/>
          </reference>
        </references>
      </pivotArea>
    </format>
    <format dxfId="429">
      <pivotArea type="all" dataOnly="0" outline="0" fieldPosition="0"/>
    </format>
    <format dxfId="428">
      <pivotArea outline="0" collapsedLevelsAreSubtotals="1" fieldPosition="0"/>
    </format>
    <format dxfId="427">
      <pivotArea type="origin" dataOnly="0" labelOnly="1" outline="0" fieldPosition="0"/>
    </format>
    <format dxfId="426">
      <pivotArea field="16" type="button" dataOnly="0" labelOnly="1" outline="0" axis="axisCol" fieldPosition="0"/>
    </format>
    <format dxfId="425">
      <pivotArea type="topRight" dataOnly="0" labelOnly="1" outline="0" fieldPosition="0"/>
    </format>
    <format dxfId="424">
      <pivotArea field="20" type="button" dataOnly="0" labelOnly="1" outline="0" axis="axisRow" fieldPosition="0"/>
    </format>
    <format dxfId="423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422">
      <pivotArea dataOnly="0" labelOnly="1" grandRow="1" outline="0" fieldPosition="0"/>
    </format>
    <format dxfId="421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420">
      <pivotArea dataOnly="0" labelOnly="1" grandCol="1" outline="0" fieldPosition="0"/>
    </format>
    <format dxfId="419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418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417">
      <pivotArea dataOnly="0" labelOnly="1" fieldPosition="0">
        <references count="1">
          <reference field="16" count="1">
            <x v="12"/>
          </reference>
        </references>
      </pivotArea>
    </format>
    <format dxfId="416">
      <pivotArea dataOnly="0" labelOnly="1" fieldPosition="0">
        <references count="1">
          <reference field="16" count="1">
            <x v="12"/>
          </reference>
        </references>
      </pivotArea>
    </format>
    <format dxfId="415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414">
      <pivotArea outline="0" collapsedLevelsAreSubtotals="1" fieldPosition="0"/>
    </format>
    <format dxfId="413">
      <pivotArea dataOnly="0" labelOnly="1" fieldPosition="0">
        <references count="1">
          <reference field="16" count="9">
            <x v="0"/>
            <x v="1"/>
            <x v="2"/>
            <x v="8"/>
            <x v="10"/>
            <x v="12"/>
            <x v="13"/>
            <x v="14"/>
            <x v="15"/>
          </reference>
        </references>
      </pivotArea>
    </format>
    <format dxfId="412">
      <pivotArea dataOnly="0" labelOnly="1" grandCol="1" outline="0" fieldPosition="0"/>
    </format>
    <format dxfId="411">
      <pivotArea dataOnly="0" labelOnly="1" fieldPosition="0">
        <references count="1">
          <reference field="16" count="1">
            <x v="12"/>
          </reference>
        </references>
      </pivotArea>
    </format>
    <format dxfId="410">
      <pivotArea dataOnly="0" labelOnly="1" fieldPosition="0">
        <references count="1">
          <reference field="16" count="12">
            <x v="0"/>
            <x v="1"/>
            <x v="2"/>
            <x v="8"/>
            <x v="10"/>
            <x v="12"/>
            <x v="13"/>
            <x v="14"/>
            <x v="15"/>
            <x v="16"/>
            <x v="17"/>
            <x v="18"/>
          </reference>
        </references>
      </pivotArea>
    </format>
    <format dxfId="409">
      <pivotArea dataOnly="0" labelOnly="1" grandCol="1" outline="0" fieldPosition="0"/>
    </format>
    <format dxfId="408">
      <pivotArea type="all" dataOnly="0" outline="0" fieldPosition="0"/>
    </format>
    <format dxfId="407">
      <pivotArea outline="0" collapsedLevelsAreSubtotals="1" fieldPosition="0"/>
    </format>
    <format dxfId="406">
      <pivotArea type="origin" dataOnly="0" labelOnly="1" outline="0" fieldPosition="0"/>
    </format>
    <format dxfId="405">
      <pivotArea field="20" type="button" dataOnly="0" labelOnly="1" outline="0" axis="axisRow" fieldPosition="0"/>
    </format>
    <format dxfId="404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403">
      <pivotArea dataOnly="0" labelOnly="1" grandRow="1" outline="0" fieldPosition="0"/>
    </format>
    <format dxfId="402">
      <pivotArea dataOnly="0" labelOnly="1" fieldPosition="0">
        <references count="1">
          <reference field="16" count="12">
            <x v="0"/>
            <x v="1"/>
            <x v="2"/>
            <x v="8"/>
            <x v="10"/>
            <x v="12"/>
            <x v="13"/>
            <x v="14"/>
            <x v="15"/>
            <x v="16"/>
            <x v="17"/>
            <x v="18"/>
          </reference>
        </references>
      </pivotArea>
    </format>
    <format dxfId="401">
      <pivotArea dataOnly="0" labelOnly="1" grandCol="1" outline="0" fieldPosition="0"/>
    </format>
    <format dxfId="400">
      <pivotArea outline="0" collapsedLevelsAreSubtotals="1" fieldPosition="0">
        <references count="1">
          <reference field="16" count="7" selected="0">
            <x v="0"/>
            <x v="1"/>
            <x v="2"/>
            <x v="3"/>
            <x v="4"/>
            <x v="5"/>
            <x v="8"/>
          </reference>
        </references>
      </pivotArea>
    </format>
    <format dxfId="399">
      <pivotArea dataOnly="0" labelOnly="1" outline="0" fieldPosition="0">
        <references count="1">
          <reference field="29" count="0"/>
        </references>
      </pivotArea>
    </format>
    <format dxfId="398">
      <pivotArea field="16" type="button" dataOnly="0" labelOnly="1" outline="0" axis="axisCol" fieldPosition="0"/>
    </format>
    <format dxfId="397">
      <pivotArea type="topRight" dataOnly="0" labelOnly="1" outline="0" fieldPosition="0"/>
    </format>
    <format dxfId="396">
      <pivotArea dataOnly="0" labelOnly="1" fieldPosition="0">
        <references count="1">
          <reference field="16" count="7">
            <x v="0"/>
            <x v="1"/>
            <x v="2"/>
            <x v="3"/>
            <x v="4"/>
            <x v="5"/>
            <x v="8"/>
          </reference>
        </references>
      </pivotArea>
    </format>
    <format dxfId="395">
      <pivotArea outline="0" collapsedLevelsAreSubtotals="1" fieldPosition="0">
        <references count="1">
          <reference field="16" count="7" selected="0">
            <x v="0"/>
            <x v="1"/>
            <x v="2"/>
            <x v="3"/>
            <x v="4"/>
            <x v="5"/>
            <x v="8"/>
          </reference>
        </references>
      </pivotArea>
    </format>
    <format dxfId="394">
      <pivotArea dataOnly="0" labelOnly="1" outline="0" fieldPosition="0">
        <references count="1">
          <reference field="29" count="0"/>
        </references>
      </pivotArea>
    </format>
    <format dxfId="393">
      <pivotArea field="16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fieldPosition="0">
        <references count="1">
          <reference field="16" count="7">
            <x v="0"/>
            <x v="1"/>
            <x v="2"/>
            <x v="3"/>
            <x v="4"/>
            <x v="5"/>
            <x v="8"/>
          </reference>
        </references>
      </pivotArea>
    </format>
  </formats>
  <conditionalFormats count="4">
    <conditionalFormat priority="4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4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3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3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D611C7-46EE-4A75-A6A6-58C380B1E311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C10:AI15" firstHeaderRow="1" firstDataRow="3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m="1" x="3"/>
        <item x="0"/>
        <item x="1"/>
        <item x="2"/>
        <item t="default"/>
      </items>
    </pivotField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axis="axisRow" showAll="0">
      <items count="11">
        <item m="1" x="3"/>
        <item m="1" x="4"/>
        <item m="1" x="5"/>
        <item m="1" x="6"/>
        <item m="1" x="7"/>
        <item m="1" x="8"/>
        <item x="2"/>
        <item m="1" x="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h="1" sd="0" x="1"/>
        <item sd="0" x="2"/>
        <item sd="0" x="3"/>
        <item sd="0" x="4"/>
        <item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sd="0" x="14"/>
        <item sd="0" x="15"/>
        <item sd="0" x="16"/>
        <item sd="0" x="17"/>
        <item sd="0" x="18"/>
        <item h="1" sd="0" x="19"/>
        <item h="1" sd="0" x="20"/>
        <item h="1" sd="0" x="21"/>
        <item h="1" sd="0" x="22"/>
        <item h="1" sd="0" x="23"/>
        <item h="1" sd="0" x="24"/>
        <item h="1" x="0"/>
        <item h="1"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 v="8"/>
    </i>
    <i>
      <x v="9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2">
    <pageField fld="16" item="38" hier="-1"/>
    <pageField fld="29" hier="-1"/>
  </pageFields>
  <dataFields count="2">
    <dataField name="Count of WL" fld="13" subtotal="count" baseField="0" baseItem="0"/>
    <dataField name="Sum of Profit" fld="12" baseField="0" baseItem="0"/>
  </dataFields>
  <formats count="2">
    <format dxfId="323">
      <pivotArea field="13" dataOnly="0" labelOnly="1" grandCol="1" outline="0" offset="IV256" axis="axisCol" fieldPosition="0">
        <references count="1">
          <reference field="4294967294" count="1" selected="0">
            <x v="0"/>
          </reference>
        </references>
      </pivotArea>
    </format>
    <format dxfId="322">
      <pivotArea field="13" dataOnly="0" labelOnly="1" grandCol="1" outline="0" offset="IV256" axis="axisCol" fieldPosition="0">
        <references count="1">
          <reference field="4294967294" count="1" selected="0">
            <x v="1"/>
          </reference>
        </references>
      </pivotArea>
    </format>
  </formats>
  <conditionalFormats count="6">
    <conditionalFormat priority="10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2">
              <x v="7"/>
              <x v="8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2">
              <x v="7"/>
              <x v="8"/>
            </reference>
          </references>
        </pivotArea>
      </pivotAreas>
    </conditionalFormat>
    <conditionalFormat priority="12">
      <pivotAreas count="1">
        <pivotArea type="data" grandCol="1" collapsedLevelsAreSubtotals="1" fieldPosition="0">
          <references count="2">
            <reference field="4294967294" count="1" selected="0">
              <x v="1"/>
            </reference>
            <reference field="20" count="2">
              <x v="7"/>
              <x v="8"/>
            </reference>
          </references>
        </pivotArea>
      </pivotAreas>
    </conditionalFormat>
    <conditionalFormat priority="13">
      <pivotAreas count="1">
        <pivotArea type="data" grandCol="1" collapsedLevelsAreSubtotals="1" fieldPosition="0">
          <references count="2">
            <reference field="4294967294" count="1" selected="0">
              <x v="1"/>
            </reference>
            <reference field="20" count="2">
              <x v="7"/>
              <x v="8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2">
              <x v="7"/>
              <x v="8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2">
              <x v="7"/>
              <x v="8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3C4C7-6143-463B-9758-F5EE25AEEDAC}" name="PivotTable10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21:B58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axis="axisRow"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h="1" sd="0" x="1"/>
        <item sd="0" x="2"/>
        <item sd="0" x="3"/>
        <item sd="0" x="4"/>
        <item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sd="0" x="14"/>
        <item sd="0" x="15"/>
        <item sd="0" x="16"/>
        <item sd="0" x="17"/>
        <item sd="0" x="18"/>
        <item h="1" sd="0" x="19"/>
        <item h="1" sd="0" x="20"/>
        <item h="1" sd="0" x="21"/>
        <item h="1" sd="0" x="22"/>
        <item h="1" sd="0" x="23"/>
        <item h="1" sd="0" x="24"/>
        <item h="1" x="0"/>
        <item h="1"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37">
    <i>
      <x v="3162"/>
    </i>
    <i>
      <x v="3164"/>
    </i>
    <i>
      <x v="3167"/>
    </i>
    <i>
      <x v="3169"/>
    </i>
    <i>
      <x v="3172"/>
    </i>
    <i>
      <x v="3173"/>
    </i>
    <i>
      <x v="3175"/>
    </i>
    <i>
      <x v="3177"/>
    </i>
    <i>
      <x v="3179"/>
    </i>
    <i>
      <x v="3181"/>
    </i>
    <i>
      <x v="3185"/>
    </i>
    <i>
      <x v="3187"/>
    </i>
    <i>
      <x v="3189"/>
    </i>
    <i>
      <x v="3190"/>
    </i>
    <i>
      <x v="3192"/>
    </i>
    <i>
      <x v="3194"/>
    </i>
    <i>
      <x v="3195"/>
    </i>
    <i>
      <x v="3198"/>
    </i>
    <i>
      <x v="3200"/>
    </i>
    <i>
      <x v="3225"/>
    </i>
    <i>
      <x v="3227"/>
    </i>
    <i>
      <x v="3229"/>
    </i>
    <i>
      <x v="3230"/>
    </i>
    <i>
      <x v="3231"/>
    </i>
    <i>
      <x v="3233"/>
    </i>
    <i>
      <x v="3234"/>
    </i>
    <i>
      <x v="3235"/>
    </i>
    <i>
      <x v="3237"/>
    </i>
    <i>
      <x v="3239"/>
    </i>
    <i>
      <x v="3240"/>
    </i>
    <i>
      <x v="3241"/>
    </i>
    <i>
      <x v="3243"/>
    </i>
    <i>
      <x v="3244"/>
    </i>
    <i>
      <x v="3246"/>
    </i>
    <i>
      <x v="3248"/>
    </i>
    <i>
      <x v="3249"/>
    </i>
    <i t="grand">
      <x/>
    </i>
  </rowItems>
  <colItems count="1">
    <i/>
  </colItems>
  <pageFields count="2">
    <pageField fld="16" item="38" hier="-1"/>
    <pageField fld="29" hier="-1"/>
  </pageFields>
  <dataFields count="1">
    <dataField name="Sum of Profit" fld="12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19">
              <x v="3162"/>
              <x v="3164"/>
              <x v="3167"/>
              <x v="3169"/>
              <x v="3172"/>
              <x v="3173"/>
              <x v="3175"/>
              <x v="3177"/>
              <x v="3179"/>
              <x v="3181"/>
              <x v="3185"/>
              <x v="3187"/>
              <x v="3189"/>
              <x v="3190"/>
              <x v="3192"/>
              <x v="3194"/>
              <x v="3195"/>
              <x v="3198"/>
              <x v="320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BCBCF-6358-4424-91E8-F4F8B9318143}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1:O24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axis="axisRow" showAll="0">
      <items count="11">
        <item m="1" x="3"/>
        <item m="1" x="4"/>
        <item x="2"/>
        <item m="1" x="5"/>
        <item m="1" x="6"/>
        <item m="1" x="7"/>
        <item m="1" x="8"/>
        <item m="1" x="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h="1" sd="0" x="1"/>
        <item sd="0" x="2"/>
        <item sd="0" x="3"/>
        <item sd="0" x="4"/>
        <item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sd="0" x="14"/>
        <item sd="0" x="15"/>
        <item sd="0" x="16"/>
        <item sd="0" x="17"/>
        <item sd="0" x="18"/>
        <item h="1" sd="0" x="19"/>
        <item h="1" sd="0" x="20"/>
        <item h="1" sd="0" x="21"/>
        <item h="1" sd="0" x="22"/>
        <item h="1" sd="0" x="23"/>
        <item h="1" sd="0" x="24"/>
        <item h="1" x="0"/>
        <item h="1"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 v="8"/>
    </i>
    <i>
      <x v="9"/>
    </i>
    <i t="grand">
      <x/>
    </i>
  </rowItems>
  <colItems count="1">
    <i/>
  </colItems>
  <pageFields count="2">
    <pageField fld="16" item="38" hier="-1"/>
    <pageField fld="29" hier="-1"/>
  </pageFields>
  <dataFields count="1">
    <dataField name="Sum of Profit" fld="12" baseField="0" baseItem="0"/>
  </dataFields>
  <formats count="6">
    <format dxfId="329">
      <pivotArea outline="0" collapsedLevelsAreSubtotals="1" fieldPosition="0"/>
    </format>
    <format dxfId="328">
      <pivotArea dataOnly="0" labelOnly="1" outline="0" fieldPosition="0">
        <references count="1">
          <reference field="16" count="1">
            <x v="19"/>
          </reference>
        </references>
      </pivotArea>
    </format>
    <format dxfId="327">
      <pivotArea dataOnly="0" labelOnly="1" outline="0" axis="axisValues" fieldPosition="0"/>
    </format>
    <format dxfId="326">
      <pivotArea outline="0" collapsedLevelsAreSubtotals="1" fieldPosition="0"/>
    </format>
    <format dxfId="325">
      <pivotArea dataOnly="0" labelOnly="1" outline="0" fieldPosition="0">
        <references count="1">
          <reference field="16" count="1">
            <x v="19"/>
          </reference>
        </references>
      </pivotArea>
    </format>
    <format dxfId="3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B1253-C797-4301-8FDB-188ED0BCAF60}" name="PivotTable6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21:W24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showAll="0"/>
    <pivotField axis="axisRow" showAll="0">
      <items count="8">
        <item m="1" x="3"/>
        <item x="0"/>
        <item x="2"/>
        <item x="1"/>
        <item m="1" x="4"/>
        <item m="1" x="5"/>
        <item m="1" x="6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h="1" sd="0" x="1"/>
        <item sd="0" x="2"/>
        <item sd="0" x="3"/>
        <item sd="0" x="4"/>
        <item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sd="0" x="14"/>
        <item sd="0" x="15"/>
        <item sd="0" x="16"/>
        <item sd="0" x="17"/>
        <item sd="0" x="18"/>
        <item h="1" sd="0" x="19"/>
        <item h="1" sd="0" x="20"/>
        <item h="1" sd="0" x="21"/>
        <item h="1" sd="0" x="22"/>
        <item h="1" sd="0" x="23"/>
        <item h="1" sd="0" x="24"/>
        <item h="1" x="0"/>
        <item h="1"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1"/>
    </i>
    <i>
      <x v="3"/>
    </i>
    <i t="grand">
      <x/>
    </i>
  </rowItems>
  <colItems count="1">
    <i/>
  </colItems>
  <pageFields count="2">
    <pageField fld="16" item="38" hier="-1"/>
    <pageField fld="29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877A5-E436-4943-B83C-148ECAEC844A}" name="PivotTable7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8:W6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axis="axisRow" showAll="0" sortType="ascending">
      <items count="25">
        <item x="13"/>
        <item x="14"/>
        <item x="15"/>
        <item x="16"/>
        <item x="17"/>
        <item m="1" x="22"/>
        <item x="18"/>
        <item x="19"/>
        <item x="20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21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2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3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437F5-881C-4D1F-9CFC-E86055682395}" name="PivotTable7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8:W6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axis="axisRow" showAll="0" sortType="ascending">
      <items count="25">
        <item x="13"/>
        <item x="14"/>
        <item x="15"/>
        <item x="16"/>
        <item x="17"/>
        <item m="1" x="22"/>
        <item x="18"/>
        <item x="19"/>
        <item x="20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21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2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3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7B77A2-DE01-4FA7-8F74-8A15CE8FD050}" name="PivotTable6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21:W24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showAll="0"/>
    <pivotField axis="axisRow" showAll="0">
      <items count="8">
        <item m="1" x="3"/>
        <item x="0"/>
        <item x="2"/>
        <item x="1"/>
        <item m="1" x="4"/>
        <item m="1" x="5"/>
        <item m="1" x="6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1"/>
    </i>
    <i>
      <x v="3"/>
    </i>
    <i t="grand">
      <x/>
    </i>
  </rowItems>
  <colItems count="1">
    <i/>
  </colItems>
  <pageFields count="2">
    <pageField fld="16" item="31" hier="-1"/>
    <pageField fld="29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5756A9-5A95-4321-9FD4-BF1E2CA7DBAA}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1:O24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axis="axisRow" showAll="0">
      <items count="11">
        <item m="1" x="3"/>
        <item m="1" x="4"/>
        <item x="2"/>
        <item m="1" x="5"/>
        <item m="1" x="6"/>
        <item m="1" x="7"/>
        <item m="1" x="8"/>
        <item m="1" x="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 v="8"/>
    </i>
    <i>
      <x v="9"/>
    </i>
    <i t="grand">
      <x/>
    </i>
  </rowItems>
  <colItems count="1">
    <i/>
  </colItems>
  <pageFields count="2">
    <pageField fld="16" item="31" hier="-1"/>
    <pageField fld="29" hier="-1"/>
  </pageFields>
  <dataFields count="1">
    <dataField name="Sum of Profit" fld="12" baseField="0" baseItem="0"/>
  </dataFields>
  <formats count="6">
    <format dxfId="296">
      <pivotArea outline="0" collapsedLevelsAreSubtotals="1" fieldPosition="0"/>
    </format>
    <format dxfId="295">
      <pivotArea dataOnly="0" labelOnly="1" outline="0" fieldPosition="0">
        <references count="1">
          <reference field="16" count="1">
            <x v="19"/>
          </reference>
        </references>
      </pivotArea>
    </format>
    <format dxfId="294">
      <pivotArea dataOnly="0" labelOnly="1" outline="0" axis="axisValues" fieldPosition="0"/>
    </format>
    <format dxfId="293">
      <pivotArea outline="0" collapsedLevelsAreSubtotals="1" fieldPosition="0"/>
    </format>
    <format dxfId="292">
      <pivotArea dataOnly="0" labelOnly="1" outline="0" fieldPosition="0">
        <references count="1">
          <reference field="16" count="1">
            <x v="19"/>
          </reference>
        </references>
      </pivotArea>
    </format>
    <format dxfId="29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98C8-93C3-41F7-B348-3C5C44F0869A}" name="PivotTable10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21:B79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axis="axisRow"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58">
    <i>
      <x v="3163"/>
    </i>
    <i>
      <x v="3165"/>
    </i>
    <i>
      <x v="3166"/>
    </i>
    <i>
      <x v="3168"/>
    </i>
    <i>
      <x v="3170"/>
    </i>
    <i>
      <x v="3171"/>
    </i>
    <i>
      <x v="3174"/>
    </i>
    <i>
      <x v="3176"/>
    </i>
    <i>
      <x v="3178"/>
    </i>
    <i>
      <x v="3180"/>
    </i>
    <i>
      <x v="3182"/>
    </i>
    <i>
      <x v="3183"/>
    </i>
    <i>
      <x v="3184"/>
    </i>
    <i>
      <x v="3186"/>
    </i>
    <i>
      <x v="3188"/>
    </i>
    <i>
      <x v="3191"/>
    </i>
    <i>
      <x v="3193"/>
    </i>
    <i>
      <x v="3196"/>
    </i>
    <i>
      <x v="3197"/>
    </i>
    <i>
      <x v="3199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7"/>
    </i>
    <i>
      <x v="3220"/>
    </i>
    <i>
      <x v="3224"/>
    </i>
    <i>
      <x v="3226"/>
    </i>
    <i>
      <x v="3228"/>
    </i>
    <i>
      <x v="3232"/>
    </i>
    <i>
      <x v="3236"/>
    </i>
    <i>
      <x v="3238"/>
    </i>
    <i>
      <x v="3242"/>
    </i>
    <i>
      <x v="3245"/>
    </i>
    <i>
      <x v="3247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 t="grand">
      <x/>
    </i>
  </rowItems>
  <colItems count="1">
    <i/>
  </colItems>
  <pageFields count="2">
    <pageField fld="16" item="31" hier="-1"/>
    <pageField fld="29" hier="-1"/>
  </pageFields>
  <dataFields count="1">
    <dataField name="Sum of Profit" fld="12" baseField="0" baseItem="0"/>
  </dataFields>
  <formats count="2">
    <format dxfId="298">
      <pivotArea outline="0" collapsedLevelsAreSubtotals="1" fieldPosition="0"/>
    </format>
    <format dxfId="297">
      <pivotArea dataOnly="0" labelOnly="1" outline="0" axis="axisValues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23">
              <x v="3163"/>
              <x v="3165"/>
              <x v="3166"/>
              <x v="3168"/>
              <x v="3170"/>
              <x v="3171"/>
              <x v="3174"/>
              <x v="3176"/>
              <x v="3178"/>
              <x v="3180"/>
              <x v="3182"/>
              <x v="3183"/>
              <x v="3184"/>
              <x v="3186"/>
              <x v="3188"/>
              <x v="3191"/>
              <x v="3193"/>
              <x v="3196"/>
              <x v="3197"/>
              <x v="3199"/>
              <x v="3201"/>
              <x v="3202"/>
              <x v="320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0C1BD-5413-4417-ACA0-7DC76D9ECBDC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C10:AI15" firstHeaderRow="1" firstDataRow="3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m="1" x="3"/>
        <item x="0"/>
        <item x="1"/>
        <item x="2"/>
        <item t="default"/>
      </items>
    </pivotField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axis="axisRow" showAll="0">
      <items count="11">
        <item m="1" x="3"/>
        <item m="1" x="4"/>
        <item m="1" x="5"/>
        <item m="1" x="6"/>
        <item m="1" x="7"/>
        <item m="1" x="8"/>
        <item x="2"/>
        <item m="1" x="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h="1" sd="0" x="1"/>
        <item sd="0" x="2"/>
        <item sd="0" x="3"/>
        <item sd="0" x="4"/>
        <item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sd="0" x="14"/>
        <item sd="0" x="15"/>
        <item sd="0" x="16"/>
        <item sd="0" x="17"/>
        <item sd="0" x="18"/>
        <item h="1" sd="0" x="19"/>
        <item h="1" sd="0" x="20"/>
        <item h="1" sd="0" x="21"/>
        <item h="1" sd="0" x="22"/>
        <item h="1" sd="0" x="23"/>
        <item h="1" sd="0" x="24"/>
        <item h="1" x="0"/>
        <item h="1"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 v="8"/>
    </i>
    <i>
      <x v="9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2">
    <pageField fld="16" item="38" hier="-1"/>
    <pageField fld="29" hier="-1"/>
  </pageFields>
  <dataFields count="2">
    <dataField name="Count of WL" fld="13" subtotal="count" baseField="0" baseItem="0"/>
    <dataField name="Sum of Profit" fld="12" baseField="0" baseItem="0"/>
  </dataFields>
  <formats count="2">
    <format dxfId="300">
      <pivotArea field="13" dataOnly="0" labelOnly="1" grandCol="1" outline="0" offset="IV256" axis="axisCol" fieldPosition="0">
        <references count="1">
          <reference field="4294967294" count="1" selected="0">
            <x v="0"/>
          </reference>
        </references>
      </pivotArea>
    </format>
    <format dxfId="299">
      <pivotArea field="13" dataOnly="0" labelOnly="1" grandCol="1" outline="0" offset="IV256" axis="axisCol" fieldPosition="0">
        <references count="1">
          <reference field="4294967294" count="1" selected="0">
            <x v="1"/>
          </reference>
        </references>
      </pivotArea>
    </format>
  </formats>
  <conditionalFormats count="6">
    <conditionalFormat priority="5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2">
              <x v="7"/>
              <x v="8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2">
              <x v="7"/>
              <x v="8"/>
            </reference>
          </references>
        </pivotArea>
      </pivotAreas>
    </conditionalFormat>
    <conditionalFormat priority="7">
      <pivotAreas count="1">
        <pivotArea type="data" grandCol="1" collapsedLevelsAreSubtotals="1" fieldPosition="0">
          <references count="2">
            <reference field="4294967294" count="1" selected="0">
              <x v="1"/>
            </reference>
            <reference field="20" count="2">
              <x v="7"/>
              <x v="8"/>
            </reference>
          </references>
        </pivotArea>
      </pivotAreas>
    </conditionalFormat>
    <conditionalFormat priority="8">
      <pivotAreas count="1">
        <pivotArea type="data" grandCol="1" collapsedLevelsAreSubtotals="1" fieldPosition="0">
          <references count="2">
            <reference field="4294967294" count="1" selected="0">
              <x v="1"/>
            </reference>
            <reference field="20" count="2">
              <x v="7"/>
              <x v="8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2">
              <x v="7"/>
              <x v="8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2">
              <x v="7"/>
              <x v="8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0"/>
        <item x="1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79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axis="axisRow"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axis="axisPage" showAll="0">
      <items count="25">
        <item x="13"/>
        <item x="14"/>
        <item x="15"/>
        <item x="16"/>
        <item x="17"/>
        <item m="1" x="22"/>
        <item x="18"/>
        <item x="19"/>
        <item x="20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21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58">
    <i>
      <x v="3163"/>
    </i>
    <i>
      <x v="3165"/>
    </i>
    <i>
      <x v="3166"/>
    </i>
    <i>
      <x v="3168"/>
    </i>
    <i>
      <x v="3170"/>
    </i>
    <i>
      <x v="3171"/>
    </i>
    <i>
      <x v="3174"/>
    </i>
    <i>
      <x v="3176"/>
    </i>
    <i>
      <x v="3178"/>
    </i>
    <i>
      <x v="3180"/>
    </i>
    <i>
      <x v="3182"/>
    </i>
    <i>
      <x v="3183"/>
    </i>
    <i>
      <x v="3184"/>
    </i>
    <i>
      <x v="3186"/>
    </i>
    <i>
      <x v="3188"/>
    </i>
    <i>
      <x v="3191"/>
    </i>
    <i>
      <x v="3193"/>
    </i>
    <i>
      <x v="3196"/>
    </i>
    <i>
      <x v="3197"/>
    </i>
    <i>
      <x v="3199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7"/>
    </i>
    <i>
      <x v="3220"/>
    </i>
    <i>
      <x v="3224"/>
    </i>
    <i>
      <x v="3226"/>
    </i>
    <i>
      <x v="3228"/>
    </i>
    <i>
      <x v="3232"/>
    </i>
    <i>
      <x v="3236"/>
    </i>
    <i>
      <x v="3238"/>
    </i>
    <i>
      <x v="3242"/>
    </i>
    <i>
      <x v="3245"/>
    </i>
    <i>
      <x v="3247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 t="grand">
      <x/>
    </i>
  </rowItems>
  <colItems count="1">
    <i/>
  </colItems>
  <pageFields count="2">
    <pageField fld="16" item="31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A2BC3-D526-4F0C-AA84-C0C91141C2E8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30:AC34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1"/>
  </dataFields>
  <formats count="2">
    <format dxfId="262">
      <pivotArea grandCol="1" outline="0" collapsedLevelsAreSubtotals="1" fieldPosition="0"/>
    </format>
    <format dxfId="26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08B07-0E28-4E78-99C1-307A99F1673D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18:AB22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Streak" fld="1" subtotal="count" baseField="0" baseItem="0"/>
  </dataFields>
  <formats count="2">
    <format dxfId="264">
      <pivotArea grandCol="1" outline="0" collapsedLevelsAreSubtotals="1" fieldPosition="0"/>
    </format>
    <format dxfId="26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58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1">
        <item m="1" x="37"/>
        <item m="1" x="38"/>
        <item m="1" x="39"/>
        <item m="1" x="4"/>
        <item m="1" x="6"/>
        <item m="1" x="5"/>
        <item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4"/>
        <item m="1" x="23"/>
        <item m="1" x="25"/>
        <item m="1" x="26"/>
        <item m="1" x="27"/>
        <item m="1" x="28"/>
        <item m="1" x="29"/>
        <item m="1" x="30"/>
        <item x="1"/>
        <item m="1" x="31"/>
        <item m="1" x="32"/>
        <item m="1" x="33"/>
        <item m="1" x="34"/>
        <item m="1" x="35"/>
        <item m="1" x="36"/>
        <item x="0"/>
        <item x="2"/>
        <item t="default"/>
      </items>
    </pivotField>
    <pivotField showAll="0"/>
    <pivotField showAll="0"/>
    <pivotField axis="axisRow" showAll="0">
      <items count="3262"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x="99"/>
        <item m="1" x="3257"/>
        <item m="1" x="3258"/>
        <item m="1" x="3259"/>
        <item m="1" x="3260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3"/>
        <item m="1" x="634"/>
        <item m="1" x="636"/>
        <item m="1" x="637"/>
        <item m="1" x="638"/>
        <item m="1" x="639"/>
        <item m="1" x="642"/>
        <item m="1" x="631"/>
        <item m="1" x="632"/>
        <item m="1" x="635"/>
        <item m="1" x="640"/>
        <item m="1" x="6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91"/>
        <item m="1" x="688"/>
        <item m="1" x="689"/>
        <item m="1" x="690"/>
        <item m="1" x="692"/>
        <item m="1" x="693"/>
        <item m="1" x="696"/>
        <item m="1" x="694"/>
        <item m="1" x="695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4"/>
        <item m="1" x="875"/>
        <item m="1" x="876"/>
        <item m="1" x="877"/>
        <item m="1" x="878"/>
        <item m="1" x="879"/>
        <item m="1" x="880"/>
        <item m="1" x="862"/>
        <item m="1" x="863"/>
        <item m="1" x="873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9"/>
        <item m="1" x="920"/>
        <item m="1" x="921"/>
        <item m="1" x="922"/>
        <item m="1" x="928"/>
        <item m="1" x="929"/>
        <item m="1" x="918"/>
        <item m="1" x="923"/>
        <item m="1" x="924"/>
        <item m="1" x="925"/>
        <item m="1" x="926"/>
        <item m="1" x="927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2"/>
        <item m="1" x="1143"/>
        <item m="1" x="1140"/>
        <item m="1" x="1141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2"/>
        <item m="1" x="1223"/>
        <item m="1" x="1224"/>
        <item m="1" x="1226"/>
        <item m="1" x="1220"/>
        <item m="1" x="1221"/>
        <item m="1" x="1225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2"/>
        <item m="1" x="1333"/>
        <item m="1" x="1334"/>
        <item m="1" x="1330"/>
        <item m="1" x="1331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7"/>
        <item m="1" x="1738"/>
        <item m="1" x="1734"/>
        <item m="1" x="1735"/>
        <item m="1" x="1736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3"/>
        <item m="1" x="2014"/>
        <item m="1" x="2015"/>
        <item m="1" x="2012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36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16"/>
        <item m="1" x="2365"/>
        <item m="1" x="2409"/>
        <item m="1" x="2410"/>
        <item m="1" x="2411"/>
        <item m="1" x="2412"/>
        <item m="1" x="2413"/>
        <item m="1" x="2414"/>
        <item m="1" x="2415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8"/>
        <item m="1" x="2500"/>
        <item m="1" x="2501"/>
        <item m="1" x="2470"/>
        <item m="1" x="2497"/>
        <item m="1" x="2499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22"/>
        <item m="1" x="2623"/>
        <item m="1" x="2624"/>
        <item m="1" x="2619"/>
        <item m="1" x="2620"/>
        <item m="1" x="2621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10"/>
        <item m="1" x="2911"/>
        <item m="1" x="2912"/>
        <item m="1" x="2914"/>
        <item m="1" x="2915"/>
        <item m="1" x="2916"/>
        <item m="1" x="2917"/>
        <item m="1" x="2918"/>
        <item m="1" x="2924"/>
        <item m="1" x="2909"/>
        <item m="1" x="2913"/>
        <item m="1" x="2919"/>
        <item m="1" x="2920"/>
        <item m="1" x="2921"/>
        <item m="1" x="2922"/>
        <item m="1" x="2923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3"/>
        <item m="1" x="2964"/>
        <item m="1" x="2950"/>
        <item m="1" x="2962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axis="axisPage" multipleItemSelectionAllowed="1" showAll="0">
      <items count="25">
        <item h="1" x="13"/>
        <item x="14"/>
        <item x="15"/>
        <item x="16"/>
        <item x="17"/>
        <item h="1" m="1" x="22"/>
        <item h="1" x="18"/>
        <item h="1" x="19"/>
        <item h="1" x="20"/>
        <item m="1" x="23"/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21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37">
    <i>
      <x v="3162"/>
    </i>
    <i>
      <x v="3164"/>
    </i>
    <i>
      <x v="3167"/>
    </i>
    <i>
      <x v="3169"/>
    </i>
    <i>
      <x v="3172"/>
    </i>
    <i>
      <x v="3173"/>
    </i>
    <i>
      <x v="3175"/>
    </i>
    <i>
      <x v="3177"/>
    </i>
    <i>
      <x v="3179"/>
    </i>
    <i>
      <x v="3181"/>
    </i>
    <i>
      <x v="3185"/>
    </i>
    <i>
      <x v="3187"/>
    </i>
    <i>
      <x v="3189"/>
    </i>
    <i>
      <x v="3190"/>
    </i>
    <i>
      <x v="3192"/>
    </i>
    <i>
      <x v="3194"/>
    </i>
    <i>
      <x v="3195"/>
    </i>
    <i>
      <x v="3198"/>
    </i>
    <i>
      <x v="3200"/>
    </i>
    <i>
      <x v="3225"/>
    </i>
    <i>
      <x v="3227"/>
    </i>
    <i>
      <x v="3229"/>
    </i>
    <i>
      <x v="3230"/>
    </i>
    <i>
      <x v="3231"/>
    </i>
    <i>
      <x v="3233"/>
    </i>
    <i>
      <x v="3234"/>
    </i>
    <i>
      <x v="3235"/>
    </i>
    <i>
      <x v="3237"/>
    </i>
    <i>
      <x v="3239"/>
    </i>
    <i>
      <x v="3240"/>
    </i>
    <i>
      <x v="3241"/>
    </i>
    <i>
      <x v="3243"/>
    </i>
    <i>
      <x v="3244"/>
    </i>
    <i>
      <x v="3246"/>
    </i>
    <i>
      <x v="3248"/>
    </i>
    <i>
      <x v="3249"/>
    </i>
    <i t="grand">
      <x/>
    </i>
  </rowItems>
  <colItems count="1">
    <i/>
  </colItems>
  <pageFields count="2">
    <pageField fld="16" item="38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19.xml"/><Relationship Id="rId4" Type="http://schemas.openxmlformats.org/officeDocument/2006/relationships/pivotTable" Target="../pivotTables/pivotTable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2.xml"/><Relationship Id="rId2" Type="http://schemas.openxmlformats.org/officeDocument/2006/relationships/pivotTable" Target="../pivotTables/pivotTable21.xml"/><Relationship Id="rId1" Type="http://schemas.openxmlformats.org/officeDocument/2006/relationships/pivotTable" Target="../pivotTables/pivotTable20.xml"/><Relationship Id="rId5" Type="http://schemas.openxmlformats.org/officeDocument/2006/relationships/pivotTable" Target="../pivotTables/pivotTable24.xml"/><Relationship Id="rId4" Type="http://schemas.openxmlformats.org/officeDocument/2006/relationships/pivotTable" Target="../pivotTables/pivotTable2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GV115"/>
  <sheetViews>
    <sheetView showGridLines="0" workbookViewId="0">
      <selection activeCell="D23" sqref="D23"/>
    </sheetView>
  </sheetViews>
  <sheetFormatPr defaultRowHeight="15" zeroHeight="1" x14ac:dyDescent="0.25"/>
  <cols>
    <col min="1" max="1" width="19.42578125" bestFit="1" customWidth="1"/>
    <col min="2" max="2" width="16.85546875" style="29" bestFit="1" customWidth="1"/>
    <col min="3" max="3" width="11.28515625" style="29" bestFit="1" customWidth="1"/>
    <col min="4" max="4" width="10.7109375" style="29" bestFit="1" customWidth="1"/>
    <col min="5" max="5" width="11.28515625" style="29" bestFit="1" customWidth="1"/>
    <col min="6" max="6" width="15.140625" style="29" bestFit="1" customWidth="1"/>
    <col min="7" max="7" width="15.7109375" style="29" bestFit="1" customWidth="1"/>
    <col min="8" max="8" width="15.85546875" style="29" bestFit="1" customWidth="1"/>
    <col min="9" max="9" width="11.140625" bestFit="1" customWidth="1"/>
    <col min="10" max="10" width="10.28515625" bestFit="1" customWidth="1"/>
    <col min="11" max="11" width="11.140625" bestFit="1" customWidth="1"/>
    <col min="12" max="12" width="19.42578125" bestFit="1" customWidth="1"/>
    <col min="13" max="13" width="16" bestFit="1" customWidth="1"/>
    <col min="14" max="14" width="11.28515625" bestFit="1" customWidth="1"/>
    <col min="15" max="15" width="10.7109375" bestFit="1" customWidth="1"/>
    <col min="16" max="16" width="11.28515625" bestFit="1" customWidth="1"/>
    <col min="17" max="17" width="15.140625" bestFit="1" customWidth="1"/>
    <col min="18" max="18" width="15.7109375" bestFit="1" customWidth="1"/>
    <col min="19" max="20" width="15.85546875" bestFit="1" customWidth="1"/>
    <col min="21" max="21" width="19.42578125" bestFit="1" customWidth="1"/>
    <col min="22" max="22" width="16" bestFit="1" customWidth="1"/>
    <col min="23" max="23" width="11.28515625" bestFit="1" customWidth="1"/>
    <col min="24" max="24" width="10.7109375" bestFit="1" customWidth="1"/>
    <col min="25" max="25" width="11.28515625" bestFit="1" customWidth="1"/>
    <col min="26" max="26" width="15.140625" bestFit="1" customWidth="1"/>
    <col min="27" max="27" width="15.7109375" bestFit="1" customWidth="1"/>
    <col min="28" max="33" width="12.5703125" bestFit="1" customWidth="1"/>
    <col min="34" max="34" width="12" bestFit="1" customWidth="1"/>
    <col min="35" max="35" width="14.5703125" bestFit="1" customWidth="1"/>
    <col min="36" max="36" width="12.5703125" bestFit="1" customWidth="1"/>
    <col min="37" max="37" width="10" bestFit="1" customWidth="1"/>
    <col min="38" max="38" width="16.140625" bestFit="1" customWidth="1"/>
    <col min="39" max="39" width="14.28515625" bestFit="1" customWidth="1"/>
    <col min="40" max="40" width="14.7109375" bestFit="1" customWidth="1"/>
    <col min="41" max="41" width="11.28515625" bestFit="1" customWidth="1"/>
    <col min="42" max="42" width="10.7109375" bestFit="1" customWidth="1"/>
    <col min="43" max="43" width="11.28515625" bestFit="1" customWidth="1"/>
    <col min="44" max="44" width="15.140625" bestFit="1" customWidth="1"/>
    <col min="45" max="45" width="15.7109375" bestFit="1" customWidth="1"/>
    <col min="46" max="58" width="15.85546875" bestFit="1" customWidth="1"/>
    <col min="59" max="68" width="12.5703125" bestFit="1" customWidth="1"/>
    <col min="69" max="69" width="10" bestFit="1" customWidth="1"/>
    <col min="70" max="70" width="10.7109375" bestFit="1" customWidth="1"/>
    <col min="71" max="71" width="11.28515625" bestFit="1" customWidth="1"/>
    <col min="72" max="72" width="26.42578125" bestFit="1" customWidth="1"/>
    <col min="73" max="73" width="27" bestFit="1" customWidth="1"/>
    <col min="74" max="74" width="17.7109375" bestFit="1" customWidth="1"/>
    <col min="75" max="75" width="11.28515625" bestFit="1" customWidth="1"/>
    <col min="76" max="76" width="10.7109375" bestFit="1" customWidth="1"/>
    <col min="77" max="77" width="11.28515625" bestFit="1" customWidth="1"/>
    <col min="78" max="78" width="26.42578125" bestFit="1" customWidth="1"/>
    <col min="79" max="79" width="27" bestFit="1" customWidth="1"/>
    <col min="80" max="80" width="17.7109375" bestFit="1" customWidth="1"/>
    <col min="81" max="81" width="11.28515625" bestFit="1" customWidth="1"/>
    <col min="82" max="82" width="10.7109375" bestFit="1" customWidth="1"/>
    <col min="83" max="83" width="11.28515625" bestFit="1" customWidth="1"/>
    <col min="84" max="84" width="10.7109375" bestFit="1" customWidth="1"/>
    <col min="85" max="85" width="11.28515625" bestFit="1" customWidth="1"/>
    <col min="86" max="86" width="26.42578125" bestFit="1" customWidth="1"/>
    <col min="87" max="87" width="27" bestFit="1" customWidth="1"/>
    <col min="88" max="88" width="17.7109375" bestFit="1" customWidth="1"/>
    <col min="89" max="89" width="11.28515625" bestFit="1" customWidth="1"/>
    <col min="90" max="90" width="10.7109375" bestFit="1" customWidth="1"/>
    <col min="91" max="91" width="11.28515625" bestFit="1" customWidth="1"/>
    <col min="92" max="92" width="26.42578125" bestFit="1" customWidth="1"/>
    <col min="93" max="93" width="27" bestFit="1" customWidth="1"/>
    <col min="94" max="94" width="17.7109375" bestFit="1" customWidth="1"/>
    <col min="95" max="95" width="11.28515625" bestFit="1" customWidth="1"/>
    <col min="96" max="96" width="10.7109375" bestFit="1" customWidth="1"/>
    <col min="97" max="97" width="11.28515625" bestFit="1" customWidth="1"/>
    <col min="98" max="98" width="10.7109375" bestFit="1" customWidth="1"/>
    <col min="99" max="99" width="11.28515625" bestFit="1" customWidth="1"/>
    <col min="100" max="100" width="26.42578125" bestFit="1" customWidth="1"/>
    <col min="101" max="101" width="27" bestFit="1" customWidth="1"/>
    <col min="102" max="102" width="17.7109375" bestFit="1" customWidth="1"/>
    <col min="103" max="103" width="11.28515625" bestFit="1" customWidth="1"/>
    <col min="104" max="104" width="10.7109375" bestFit="1" customWidth="1"/>
    <col min="105" max="105" width="11.28515625" bestFit="1" customWidth="1"/>
    <col min="106" max="106" width="26.42578125" bestFit="1" customWidth="1"/>
    <col min="107" max="107" width="27" bestFit="1" customWidth="1"/>
    <col min="108" max="108" width="17.7109375" bestFit="1" customWidth="1"/>
    <col min="109" max="109" width="11.28515625" bestFit="1" customWidth="1"/>
    <col min="110" max="110" width="10.7109375" bestFit="1" customWidth="1"/>
    <col min="111" max="111" width="11.28515625" bestFit="1" customWidth="1"/>
    <col min="112" max="112" width="26.42578125" bestFit="1" customWidth="1"/>
    <col min="113" max="113" width="27" bestFit="1" customWidth="1"/>
    <col min="114" max="114" width="17.7109375" bestFit="1" customWidth="1"/>
    <col min="115" max="115" width="11.28515625" bestFit="1" customWidth="1"/>
    <col min="116" max="116" width="10.7109375" bestFit="1" customWidth="1"/>
    <col min="117" max="117" width="11.28515625" bestFit="1" customWidth="1"/>
    <col min="118" max="118" width="26.42578125" bestFit="1" customWidth="1"/>
    <col min="119" max="119" width="27" bestFit="1" customWidth="1"/>
    <col min="120" max="120" width="17.7109375" bestFit="1" customWidth="1"/>
    <col min="121" max="121" width="11.28515625" bestFit="1" customWidth="1"/>
    <col min="122" max="122" width="10.7109375" bestFit="1" customWidth="1"/>
    <col min="123" max="123" width="11.28515625" bestFit="1" customWidth="1"/>
    <col min="124" max="124" width="26.42578125" bestFit="1" customWidth="1"/>
    <col min="125" max="125" width="27" bestFit="1" customWidth="1"/>
    <col min="126" max="126" width="17.7109375" bestFit="1" customWidth="1"/>
    <col min="127" max="127" width="11.28515625" bestFit="1" customWidth="1"/>
    <col min="128" max="128" width="10.7109375" bestFit="1" customWidth="1"/>
    <col min="129" max="129" width="11.28515625" bestFit="1" customWidth="1"/>
    <col min="130" max="130" width="26.42578125" bestFit="1" customWidth="1"/>
    <col min="131" max="131" width="27" bestFit="1" customWidth="1"/>
    <col min="132" max="132" width="17.7109375" bestFit="1" customWidth="1"/>
    <col min="133" max="133" width="11.28515625" bestFit="1" customWidth="1"/>
    <col min="134" max="134" width="10.7109375" bestFit="1" customWidth="1"/>
    <col min="135" max="135" width="11.28515625" bestFit="1" customWidth="1"/>
    <col min="136" max="136" width="26.42578125" bestFit="1" customWidth="1"/>
    <col min="137" max="137" width="27" bestFit="1" customWidth="1"/>
    <col min="138" max="138" width="17.7109375" bestFit="1" customWidth="1"/>
    <col min="139" max="139" width="11.28515625" bestFit="1" customWidth="1"/>
    <col min="140" max="140" width="10.7109375" bestFit="1" customWidth="1"/>
    <col min="141" max="141" width="11.28515625" bestFit="1" customWidth="1"/>
    <col min="142" max="142" width="26.42578125" bestFit="1" customWidth="1"/>
    <col min="143" max="143" width="27" bestFit="1" customWidth="1"/>
    <col min="144" max="144" width="17.7109375" bestFit="1" customWidth="1"/>
    <col min="145" max="145" width="11.28515625" bestFit="1" customWidth="1"/>
    <col min="146" max="146" width="10.7109375" bestFit="1" customWidth="1"/>
    <col min="147" max="147" width="11.28515625" bestFit="1" customWidth="1"/>
    <col min="148" max="148" width="26.42578125" bestFit="1" customWidth="1"/>
    <col min="149" max="149" width="27" bestFit="1" customWidth="1"/>
    <col min="150" max="150" width="17.7109375" bestFit="1" customWidth="1"/>
    <col min="151" max="151" width="11.28515625" bestFit="1" customWidth="1"/>
    <col min="152" max="152" width="10.7109375" bestFit="1" customWidth="1"/>
    <col min="153" max="153" width="11.28515625" bestFit="1" customWidth="1"/>
    <col min="154" max="154" width="26.42578125" bestFit="1" customWidth="1"/>
    <col min="155" max="155" width="27" bestFit="1" customWidth="1"/>
    <col min="156" max="156" width="17.7109375" bestFit="1" customWidth="1"/>
    <col min="157" max="157" width="11.28515625" bestFit="1" customWidth="1"/>
    <col min="158" max="158" width="10.7109375" bestFit="1" customWidth="1"/>
    <col min="159" max="159" width="11.28515625" bestFit="1" customWidth="1"/>
    <col min="160" max="160" width="26.42578125" bestFit="1" customWidth="1"/>
    <col min="161" max="161" width="27" bestFit="1" customWidth="1"/>
    <col min="162" max="162" width="17.7109375" bestFit="1" customWidth="1"/>
    <col min="163" max="163" width="11.28515625" bestFit="1" customWidth="1"/>
    <col min="164" max="164" width="10.7109375" bestFit="1" customWidth="1"/>
    <col min="165" max="165" width="11.28515625" bestFit="1" customWidth="1"/>
    <col min="166" max="166" width="26.42578125" bestFit="1" customWidth="1"/>
    <col min="167" max="167" width="27" bestFit="1" customWidth="1"/>
    <col min="168" max="168" width="17.7109375" bestFit="1" customWidth="1"/>
    <col min="169" max="169" width="11.28515625" bestFit="1" customWidth="1"/>
    <col min="170" max="170" width="10.7109375" bestFit="1" customWidth="1"/>
    <col min="171" max="171" width="11.28515625" bestFit="1" customWidth="1"/>
    <col min="172" max="172" width="26.42578125" bestFit="1" customWidth="1"/>
    <col min="173" max="173" width="27" bestFit="1" customWidth="1"/>
    <col min="174" max="174" width="17.7109375" bestFit="1" customWidth="1"/>
    <col min="175" max="175" width="11.28515625" bestFit="1" customWidth="1"/>
    <col min="176" max="176" width="10.7109375" bestFit="1" customWidth="1"/>
    <col min="177" max="177" width="11.28515625" bestFit="1" customWidth="1"/>
    <col min="178" max="178" width="26.42578125" bestFit="1" customWidth="1"/>
    <col min="179" max="179" width="27" bestFit="1" customWidth="1"/>
    <col min="180" max="180" width="14.42578125" bestFit="1" customWidth="1"/>
    <col min="181" max="181" width="11.28515625" bestFit="1" customWidth="1"/>
    <col min="182" max="182" width="10.7109375" bestFit="1" customWidth="1"/>
    <col min="183" max="183" width="11.28515625" bestFit="1" customWidth="1"/>
    <col min="184" max="184" width="23.140625" bestFit="1" customWidth="1"/>
    <col min="185" max="185" width="23.7109375" bestFit="1" customWidth="1"/>
    <col min="186" max="186" width="14.42578125" bestFit="1" customWidth="1"/>
    <col min="187" max="187" width="11.28515625" bestFit="1" customWidth="1"/>
    <col min="188" max="188" width="10.7109375" bestFit="1" customWidth="1"/>
    <col min="189" max="189" width="11.28515625" bestFit="1" customWidth="1"/>
    <col min="190" max="190" width="23.140625" bestFit="1" customWidth="1"/>
    <col min="191" max="191" width="23.7109375" bestFit="1" customWidth="1"/>
    <col min="192" max="192" width="14.42578125" bestFit="1" customWidth="1"/>
    <col min="193" max="193" width="11.28515625" bestFit="1" customWidth="1"/>
    <col min="194" max="194" width="10.7109375" bestFit="1" customWidth="1"/>
    <col min="195" max="195" width="11.28515625" bestFit="1" customWidth="1"/>
    <col min="196" max="196" width="23.140625" bestFit="1" customWidth="1"/>
    <col min="197" max="197" width="23.7109375" bestFit="1" customWidth="1"/>
    <col min="198" max="198" width="15.140625" bestFit="1" customWidth="1"/>
    <col min="199" max="199" width="15.7109375" bestFit="1" customWidth="1"/>
  </cols>
  <sheetData>
    <row r="1" spans="1:64" ht="18.75" x14ac:dyDescent="0.25">
      <c r="A1" s="26" t="s">
        <v>55</v>
      </c>
      <c r="C1" s="60">
        <v>29</v>
      </c>
      <c r="H1" s="29" t="s">
        <v>131</v>
      </c>
      <c r="I1" s="86">
        <f>SUMIFS(G:G,A:A,"&lt;&gt;Grand Total",G:G,"&gt;0.0")</f>
        <v>0.22000000000000003</v>
      </c>
    </row>
    <row r="2" spans="1:64" x14ac:dyDescent="0.25">
      <c r="H2" s="29" t="s">
        <v>130</v>
      </c>
      <c r="I2" s="86">
        <f>SUMIFS(G:G,A:A,"&lt;&gt;Grand Total",G:G,"&lt;0.0")</f>
        <v>-8.2100000000000062</v>
      </c>
    </row>
    <row r="3" spans="1:64" x14ac:dyDescent="0.25">
      <c r="H3" s="87" t="s">
        <v>129</v>
      </c>
      <c r="I3" s="86">
        <f>I1/I2</f>
        <v>-2.6796589524969532E-2</v>
      </c>
    </row>
    <row r="4" spans="1:64" x14ac:dyDescent="0.25">
      <c r="P4" s="29"/>
      <c r="Q4" s="29"/>
    </row>
    <row r="5" spans="1:64" x14ac:dyDescent="0.25">
      <c r="A5" s="51" t="s">
        <v>88</v>
      </c>
      <c r="L5" t="s">
        <v>83</v>
      </c>
      <c r="U5" t="s">
        <v>92</v>
      </c>
    </row>
    <row r="6" spans="1:64" x14ac:dyDescent="0.25">
      <c r="A6" s="34" t="s">
        <v>34</v>
      </c>
      <c r="B6" s="52" t="s">
        <v>70</v>
      </c>
      <c r="L6" s="34" t="s">
        <v>34</v>
      </c>
      <c r="M6" s="35" t="s">
        <v>80</v>
      </c>
      <c r="R6" s="29"/>
      <c r="S6" s="29"/>
      <c r="U6" s="34" t="s">
        <v>34</v>
      </c>
      <c r="V6" s="35" t="s">
        <v>80</v>
      </c>
      <c r="AA6" s="29"/>
      <c r="AB6" s="29"/>
    </row>
    <row r="7" spans="1:64" ht="17.100000000000001" customHeight="1" x14ac:dyDescent="0.25">
      <c r="A7" s="26" t="s">
        <v>71</v>
      </c>
      <c r="L7" s="26" t="s">
        <v>71</v>
      </c>
      <c r="U7" s="26" t="s">
        <v>71</v>
      </c>
    </row>
    <row r="8" spans="1:64" x14ac:dyDescent="0.25">
      <c r="A8" s="35"/>
      <c r="B8" s="66" t="s">
        <v>74</v>
      </c>
      <c r="C8" s="52"/>
      <c r="D8" s="52"/>
      <c r="E8" s="52"/>
      <c r="F8" s="52"/>
      <c r="G8" s="52"/>
      <c r="H8" s="37"/>
      <c r="L8" s="35"/>
      <c r="M8" s="34" t="s">
        <v>74</v>
      </c>
      <c r="N8" s="35"/>
      <c r="O8" s="35"/>
      <c r="P8" s="35"/>
      <c r="Q8" s="35"/>
      <c r="R8" s="35"/>
      <c r="S8" s="37"/>
      <c r="U8" s="35"/>
      <c r="V8" s="34" t="s">
        <v>74</v>
      </c>
      <c r="W8" s="35"/>
      <c r="X8" s="35"/>
      <c r="Y8" s="35"/>
      <c r="Z8" s="35"/>
      <c r="AA8" s="35"/>
      <c r="AB8" s="37"/>
    </row>
    <row r="9" spans="1:64" x14ac:dyDescent="0.25">
      <c r="A9" s="35"/>
      <c r="B9" s="52" t="s">
        <v>67</v>
      </c>
      <c r="C9" s="52"/>
      <c r="D9" s="52" t="s">
        <v>66</v>
      </c>
      <c r="E9" s="52"/>
      <c r="F9" s="52" t="s">
        <v>84</v>
      </c>
      <c r="G9" s="52" t="s">
        <v>85</v>
      </c>
      <c r="H9" s="37"/>
      <c r="L9" s="35"/>
      <c r="M9" s="35" t="s">
        <v>67</v>
      </c>
      <c r="N9" s="35"/>
      <c r="O9" s="35" t="s">
        <v>66</v>
      </c>
      <c r="P9" s="35"/>
      <c r="Q9" s="35" t="s">
        <v>84</v>
      </c>
      <c r="R9" s="35" t="s">
        <v>85</v>
      </c>
      <c r="S9" s="37"/>
      <c r="U9" s="35"/>
      <c r="V9" s="35" t="s">
        <v>67</v>
      </c>
      <c r="W9" s="35"/>
      <c r="X9" s="35" t="s">
        <v>66</v>
      </c>
      <c r="Y9" s="35"/>
      <c r="Z9" s="35" t="s">
        <v>84</v>
      </c>
      <c r="AA9" s="35" t="s">
        <v>85</v>
      </c>
      <c r="AB9" s="37"/>
    </row>
    <row r="10" spans="1:64" x14ac:dyDescent="0.25">
      <c r="A10" s="34" t="s">
        <v>50</v>
      </c>
      <c r="B10" s="52" t="s">
        <v>86</v>
      </c>
      <c r="C10" s="52" t="s">
        <v>52</v>
      </c>
      <c r="D10" s="52" t="s">
        <v>86</v>
      </c>
      <c r="E10" s="52" t="s">
        <v>52</v>
      </c>
      <c r="F10" s="52"/>
      <c r="G10" s="52"/>
      <c r="H10" s="37" t="s">
        <v>68</v>
      </c>
      <c r="L10" s="34" t="s">
        <v>50</v>
      </c>
      <c r="M10" s="35" t="s">
        <v>86</v>
      </c>
      <c r="N10" s="35" t="s">
        <v>52</v>
      </c>
      <c r="O10" s="35" t="s">
        <v>86</v>
      </c>
      <c r="P10" s="35" t="s">
        <v>52</v>
      </c>
      <c r="Q10" s="35"/>
      <c r="R10" s="35"/>
      <c r="S10" s="37" t="s">
        <v>68</v>
      </c>
      <c r="U10" s="34" t="s">
        <v>50</v>
      </c>
      <c r="V10" s="35" t="s">
        <v>86</v>
      </c>
      <c r="W10" s="35" t="s">
        <v>52</v>
      </c>
      <c r="X10" s="35" t="s">
        <v>86</v>
      </c>
      <c r="Y10" s="35" t="s">
        <v>52</v>
      </c>
      <c r="Z10" s="35"/>
      <c r="AA10" s="35"/>
      <c r="AB10" s="37" t="s">
        <v>68</v>
      </c>
      <c r="AH10" s="26" t="s">
        <v>72</v>
      </c>
      <c r="BA10" s="53" t="s">
        <v>90</v>
      </c>
      <c r="BJ10" s="53" t="s">
        <v>90</v>
      </c>
      <c r="BL10" s="53" t="s">
        <v>90</v>
      </c>
    </row>
    <row r="11" spans="1:64" x14ac:dyDescent="0.25">
      <c r="A11" s="36" t="s">
        <v>239</v>
      </c>
      <c r="B11" s="101">
        <v>3</v>
      </c>
      <c r="C11" s="101">
        <v>-0.55000000000000004</v>
      </c>
      <c r="D11" s="101">
        <v>3</v>
      </c>
      <c r="E11" s="101">
        <v>0.77</v>
      </c>
      <c r="F11" s="101">
        <v>6</v>
      </c>
      <c r="G11" s="101">
        <v>0.22000000000000003</v>
      </c>
      <c r="H11" s="38">
        <f>IFERROR(D11/F11,"")</f>
        <v>0.5</v>
      </c>
      <c r="I11" s="38"/>
      <c r="J11" s="38"/>
      <c r="K11" s="53" t="s">
        <v>90</v>
      </c>
      <c r="L11" s="98" t="s">
        <v>93</v>
      </c>
      <c r="M11" s="97">
        <v>18</v>
      </c>
      <c r="N11" s="97">
        <v>-5.49</v>
      </c>
      <c r="O11" s="97">
        <v>11</v>
      </c>
      <c r="P11" s="97">
        <v>3.7899999999999996</v>
      </c>
      <c r="Q11" s="97">
        <v>29</v>
      </c>
      <c r="R11" s="97">
        <v>-1.7000000000000011</v>
      </c>
      <c r="S11" s="73">
        <f>IFERROR(O11/Q11,"")</f>
        <v>0.37931034482758619</v>
      </c>
      <c r="U11" s="36" t="s">
        <v>239</v>
      </c>
      <c r="V11" s="96">
        <v>3</v>
      </c>
      <c r="W11" s="96">
        <v>-0.55000000000000004</v>
      </c>
      <c r="X11" s="96">
        <v>3</v>
      </c>
      <c r="Y11" s="96">
        <v>0.77</v>
      </c>
      <c r="Z11" s="96">
        <v>6</v>
      </c>
      <c r="AA11" s="96">
        <v>0.22000000000000003</v>
      </c>
      <c r="AB11" s="38">
        <f>IFERROR(X11/Z11,"")</f>
        <v>0.5</v>
      </c>
      <c r="AH11" s="34" t="s">
        <v>52</v>
      </c>
      <c r="AI11" s="34" t="s">
        <v>74</v>
      </c>
      <c r="AJ11" s="35"/>
      <c r="AK11" s="35"/>
    </row>
    <row r="12" spans="1:64" x14ac:dyDescent="0.25">
      <c r="A12" s="98" t="s">
        <v>93</v>
      </c>
      <c r="B12" s="101">
        <v>36</v>
      </c>
      <c r="C12" s="101">
        <v>-11.110000000000005</v>
      </c>
      <c r="D12" s="101">
        <v>21</v>
      </c>
      <c r="E12" s="101">
        <v>7.2099999999999991</v>
      </c>
      <c r="F12" s="101">
        <v>57</v>
      </c>
      <c r="G12" s="101">
        <v>-3.900000000000007</v>
      </c>
      <c r="H12" s="38">
        <f t="shared" ref="H12:H44" si="0">IFERROR(D12/F12,"")</f>
        <v>0.36842105263157893</v>
      </c>
      <c r="I12" s="53" t="s">
        <v>90</v>
      </c>
      <c r="J12" s="38"/>
      <c r="L12" s="36" t="s">
        <v>118</v>
      </c>
      <c r="M12" s="96">
        <v>27</v>
      </c>
      <c r="N12" s="96">
        <v>-8.2199999999999989</v>
      </c>
      <c r="O12" s="96">
        <v>9</v>
      </c>
      <c r="P12" s="96">
        <v>3.9099999999999997</v>
      </c>
      <c r="Q12" s="96">
        <v>36</v>
      </c>
      <c r="R12" s="96">
        <v>-4.3099999999999987</v>
      </c>
      <c r="S12" s="73">
        <f t="shared" ref="S12:S44" si="1">IFERROR(O12/Q12,"")</f>
        <v>0.25</v>
      </c>
      <c r="U12" s="65" t="s">
        <v>93</v>
      </c>
      <c r="V12" s="100">
        <v>24</v>
      </c>
      <c r="W12" s="100">
        <v>-7.419999999999999</v>
      </c>
      <c r="X12" s="100">
        <v>13</v>
      </c>
      <c r="Y12" s="100">
        <v>4.3500000000000005</v>
      </c>
      <c r="Z12" s="100">
        <v>37</v>
      </c>
      <c r="AA12" s="100">
        <v>-3.0699999999999994</v>
      </c>
      <c r="AB12" s="38">
        <f t="shared" ref="AB12:AB42" si="2">IFERROR(X12/Z12,"")</f>
        <v>0.35135135135135137</v>
      </c>
      <c r="AH12" s="39" t="s">
        <v>50</v>
      </c>
      <c r="AI12" s="35" t="s">
        <v>118</v>
      </c>
      <c r="AJ12" s="35" t="s">
        <v>93</v>
      </c>
      <c r="AK12" s="40" t="s">
        <v>51</v>
      </c>
    </row>
    <row r="13" spans="1:64" x14ac:dyDescent="0.25">
      <c r="A13" s="36" t="s">
        <v>118</v>
      </c>
      <c r="B13" s="101">
        <v>27</v>
      </c>
      <c r="C13" s="101">
        <v>-8.2199999999999989</v>
      </c>
      <c r="D13" s="101">
        <v>9</v>
      </c>
      <c r="E13" s="101">
        <v>3.9099999999999997</v>
      </c>
      <c r="F13" s="101">
        <v>36</v>
      </c>
      <c r="G13" s="101">
        <v>-4.3099999999999987</v>
      </c>
      <c r="H13" s="38">
        <f t="shared" si="0"/>
        <v>0.25</v>
      </c>
      <c r="I13" s="38"/>
      <c r="J13" s="38"/>
      <c r="L13" s="36" t="s">
        <v>51</v>
      </c>
      <c r="M13" s="96">
        <v>45</v>
      </c>
      <c r="N13" s="96">
        <v>-13.710000000000003</v>
      </c>
      <c r="O13" s="96">
        <v>20</v>
      </c>
      <c r="P13" s="96">
        <v>7.7000000000000011</v>
      </c>
      <c r="Q13" s="96">
        <v>65</v>
      </c>
      <c r="R13" s="96">
        <v>-6.01</v>
      </c>
      <c r="S13" s="73">
        <f t="shared" si="1"/>
        <v>0.30769230769230771</v>
      </c>
      <c r="U13" s="36" t="s">
        <v>118</v>
      </c>
      <c r="V13" s="96">
        <v>16</v>
      </c>
      <c r="W13" s="96">
        <v>-4.8599999999999994</v>
      </c>
      <c r="X13" s="96">
        <v>4</v>
      </c>
      <c r="Y13" s="96">
        <v>1.52</v>
      </c>
      <c r="Z13" s="96">
        <v>20</v>
      </c>
      <c r="AA13" s="96">
        <v>-3.3399999999999994</v>
      </c>
      <c r="AB13" s="38">
        <f t="shared" si="2"/>
        <v>0.2</v>
      </c>
      <c r="AH13" s="41" t="s">
        <v>73</v>
      </c>
      <c r="AI13" s="40">
        <v>-0.62</v>
      </c>
      <c r="AJ13" s="40">
        <v>-6.9999999999999979E-2</v>
      </c>
      <c r="AK13" s="40">
        <v>-0.69</v>
      </c>
    </row>
    <row r="14" spans="1:64" x14ac:dyDescent="0.25">
      <c r="A14" s="98" t="s">
        <v>51</v>
      </c>
      <c r="B14" s="101">
        <v>66</v>
      </c>
      <c r="C14" s="101">
        <v>-19.88000000000001</v>
      </c>
      <c r="D14" s="101">
        <v>33</v>
      </c>
      <c r="E14" s="101">
        <v>11.889999999999997</v>
      </c>
      <c r="F14" s="101">
        <v>99</v>
      </c>
      <c r="G14" s="101">
        <v>-7.9900000000000064</v>
      </c>
      <c r="H14" s="38">
        <f t="shared" si="0"/>
        <v>0.33333333333333331</v>
      </c>
      <c r="I14" s="38"/>
      <c r="J14" s="38"/>
      <c r="S14" s="73" t="str">
        <f t="shared" si="1"/>
        <v/>
      </c>
      <c r="U14" s="36" t="s">
        <v>51</v>
      </c>
      <c r="V14" s="96">
        <v>43</v>
      </c>
      <c r="W14" s="96">
        <v>-12.830000000000004</v>
      </c>
      <c r="X14" s="96">
        <v>20</v>
      </c>
      <c r="Y14" s="96">
        <v>6.6400000000000006</v>
      </c>
      <c r="Z14" s="96">
        <v>63</v>
      </c>
      <c r="AA14" s="96">
        <v>-6.1899999999999986</v>
      </c>
      <c r="AB14" s="38">
        <f t="shared" si="2"/>
        <v>0.31746031746031744</v>
      </c>
      <c r="AH14" s="36" t="s">
        <v>76</v>
      </c>
      <c r="AI14" s="40">
        <v>-0.3</v>
      </c>
      <c r="AJ14" s="40">
        <v>-0.6</v>
      </c>
      <c r="AK14" s="40">
        <v>-0.89999999999999991</v>
      </c>
    </row>
    <row r="15" spans="1:64" x14ac:dyDescent="0.25">
      <c r="B15"/>
      <c r="C15"/>
      <c r="D15"/>
      <c r="E15"/>
      <c r="F15"/>
      <c r="G15"/>
      <c r="H15" s="38" t="str">
        <f t="shared" si="0"/>
        <v/>
      </c>
      <c r="I15" s="38"/>
      <c r="J15" s="38"/>
      <c r="S15" s="73" t="str">
        <f t="shared" si="1"/>
        <v/>
      </c>
      <c r="AB15" s="38" t="str">
        <f t="shared" si="2"/>
        <v/>
      </c>
      <c r="AH15" s="36" t="s">
        <v>77</v>
      </c>
      <c r="AI15" s="40">
        <v>0.38999999999999996</v>
      </c>
      <c r="AJ15" s="40">
        <v>4.9999999999999989E-2</v>
      </c>
      <c r="AK15" s="40">
        <v>0.43999999999999995</v>
      </c>
    </row>
    <row r="16" spans="1:64" x14ac:dyDescent="0.25">
      <c r="B16"/>
      <c r="C16"/>
      <c r="D16"/>
      <c r="E16"/>
      <c r="F16"/>
      <c r="G16"/>
      <c r="H16" s="38" t="str">
        <f t="shared" si="0"/>
        <v/>
      </c>
      <c r="I16" s="38"/>
      <c r="J16" s="38"/>
      <c r="S16" s="73" t="str">
        <f t="shared" si="1"/>
        <v/>
      </c>
      <c r="AB16" s="38" t="str">
        <f t="shared" si="2"/>
        <v/>
      </c>
      <c r="AH16" s="36" t="s">
        <v>78</v>
      </c>
      <c r="AI16" s="40">
        <v>-0.31</v>
      </c>
      <c r="AJ16" s="40">
        <v>-0.32</v>
      </c>
      <c r="AK16" s="40">
        <v>-0.63</v>
      </c>
    </row>
    <row r="17" spans="2:37" x14ac:dyDescent="0.25">
      <c r="B17"/>
      <c r="C17"/>
      <c r="D17"/>
      <c r="E17"/>
      <c r="F17"/>
      <c r="G17"/>
      <c r="H17" s="38" t="str">
        <f t="shared" si="0"/>
        <v/>
      </c>
      <c r="I17" s="38"/>
      <c r="J17" s="38"/>
      <c r="S17" s="73" t="str">
        <f t="shared" si="1"/>
        <v/>
      </c>
      <c r="AB17" s="38" t="str">
        <f t="shared" si="2"/>
        <v/>
      </c>
      <c r="AH17" s="41" t="s">
        <v>51</v>
      </c>
      <c r="AI17" s="40">
        <v>-0.84000000000000008</v>
      </c>
      <c r="AJ17" s="40">
        <v>-0.94</v>
      </c>
      <c r="AK17" s="40">
        <v>-1.7799999999999998</v>
      </c>
    </row>
    <row r="18" spans="2:37" x14ac:dyDescent="0.25">
      <c r="B18"/>
      <c r="C18"/>
      <c r="D18"/>
      <c r="E18"/>
      <c r="F18"/>
      <c r="G18"/>
      <c r="H18" s="38" t="str">
        <f t="shared" si="0"/>
        <v/>
      </c>
      <c r="I18" s="38"/>
      <c r="J18" s="38"/>
      <c r="S18" s="73" t="str">
        <f t="shared" si="1"/>
        <v/>
      </c>
      <c r="AB18" s="38" t="str">
        <f t="shared" si="2"/>
        <v/>
      </c>
    </row>
    <row r="19" spans="2:37" x14ac:dyDescent="0.25">
      <c r="B19"/>
      <c r="C19"/>
      <c r="D19"/>
      <c r="E19"/>
      <c r="F19"/>
      <c r="G19"/>
      <c r="H19" s="38" t="str">
        <f t="shared" si="0"/>
        <v/>
      </c>
      <c r="I19" s="38"/>
      <c r="J19" s="38"/>
      <c r="S19" s="73" t="str">
        <f t="shared" si="1"/>
        <v/>
      </c>
      <c r="AB19" s="38" t="str">
        <f t="shared" si="2"/>
        <v/>
      </c>
    </row>
    <row r="20" spans="2:37" x14ac:dyDescent="0.25">
      <c r="B20"/>
      <c r="C20"/>
      <c r="D20"/>
      <c r="E20"/>
      <c r="F20"/>
      <c r="G20"/>
      <c r="H20" s="38" t="str">
        <f t="shared" si="0"/>
        <v/>
      </c>
      <c r="I20" s="38"/>
      <c r="J20" s="38"/>
      <c r="S20" s="73" t="str">
        <f t="shared" si="1"/>
        <v/>
      </c>
      <c r="AB20" s="38" t="str">
        <f t="shared" si="2"/>
        <v/>
      </c>
    </row>
    <row r="21" spans="2:37" x14ac:dyDescent="0.25">
      <c r="B21"/>
      <c r="C21"/>
      <c r="D21"/>
      <c r="E21"/>
      <c r="F21"/>
      <c r="G21"/>
      <c r="H21" s="38" t="str">
        <f t="shared" si="0"/>
        <v/>
      </c>
      <c r="I21" s="38"/>
      <c r="J21" s="38"/>
      <c r="S21" s="73" t="str">
        <f t="shared" si="1"/>
        <v/>
      </c>
      <c r="AB21" s="38" t="str">
        <f t="shared" si="2"/>
        <v/>
      </c>
    </row>
    <row r="22" spans="2:37" x14ac:dyDescent="0.25">
      <c r="B22"/>
      <c r="C22"/>
      <c r="D22"/>
      <c r="E22"/>
      <c r="F22"/>
      <c r="G22"/>
      <c r="H22" s="38" t="str">
        <f t="shared" si="0"/>
        <v/>
      </c>
      <c r="I22" s="38"/>
      <c r="J22" s="38"/>
      <c r="K22" s="53"/>
      <c r="S22" s="73" t="str">
        <f t="shared" si="1"/>
        <v/>
      </c>
      <c r="AB22" s="38" t="str">
        <f t="shared" si="2"/>
        <v/>
      </c>
    </row>
    <row r="23" spans="2:37" x14ac:dyDescent="0.25">
      <c r="B23"/>
      <c r="C23"/>
      <c r="D23"/>
      <c r="E23"/>
      <c r="F23"/>
      <c r="G23"/>
      <c r="H23" s="38" t="str">
        <f t="shared" si="0"/>
        <v/>
      </c>
      <c r="I23" s="38"/>
      <c r="J23" s="38"/>
      <c r="S23" s="73" t="str">
        <f t="shared" si="1"/>
        <v/>
      </c>
      <c r="AB23" s="38" t="str">
        <f t="shared" si="2"/>
        <v/>
      </c>
    </row>
    <row r="24" spans="2:37" x14ac:dyDescent="0.25">
      <c r="B24"/>
      <c r="C24"/>
      <c r="D24"/>
      <c r="E24"/>
      <c r="F24"/>
      <c r="G24"/>
      <c r="H24" s="38" t="str">
        <f t="shared" si="0"/>
        <v/>
      </c>
      <c r="I24" s="38"/>
      <c r="J24" s="38"/>
      <c r="K24" s="53"/>
      <c r="S24" s="73" t="str">
        <f t="shared" si="1"/>
        <v/>
      </c>
      <c r="AB24" s="38" t="str">
        <f t="shared" si="2"/>
        <v/>
      </c>
    </row>
    <row r="25" spans="2:37" x14ac:dyDescent="0.25">
      <c r="B25"/>
      <c r="C25"/>
      <c r="D25"/>
      <c r="E25"/>
      <c r="F25"/>
      <c r="G25"/>
      <c r="H25" s="38" t="str">
        <f t="shared" si="0"/>
        <v/>
      </c>
      <c r="I25" s="38"/>
      <c r="J25" s="38"/>
      <c r="S25" s="73" t="str">
        <f t="shared" si="1"/>
        <v/>
      </c>
      <c r="AB25" s="38" t="str">
        <f t="shared" si="2"/>
        <v/>
      </c>
    </row>
    <row r="26" spans="2:37" x14ac:dyDescent="0.25">
      <c r="B26"/>
      <c r="C26"/>
      <c r="D26"/>
      <c r="E26"/>
      <c r="F26"/>
      <c r="G26"/>
      <c r="H26" s="38" t="str">
        <f t="shared" si="0"/>
        <v/>
      </c>
      <c r="I26" s="38"/>
      <c r="J26" s="38"/>
      <c r="S26" s="73" t="str">
        <f t="shared" si="1"/>
        <v/>
      </c>
      <c r="AB26" s="38" t="str">
        <f t="shared" si="2"/>
        <v/>
      </c>
    </row>
    <row r="27" spans="2:37" x14ac:dyDescent="0.25">
      <c r="B27"/>
      <c r="C27"/>
      <c r="D27"/>
      <c r="E27"/>
      <c r="F27"/>
      <c r="G27"/>
      <c r="H27" s="38" t="str">
        <f t="shared" si="0"/>
        <v/>
      </c>
      <c r="I27" s="38"/>
      <c r="J27" s="38"/>
      <c r="S27" s="73" t="str">
        <f t="shared" si="1"/>
        <v/>
      </c>
      <c r="AB27" s="38" t="str">
        <f t="shared" si="2"/>
        <v/>
      </c>
    </row>
    <row r="28" spans="2:37" x14ac:dyDescent="0.25">
      <c r="B28"/>
      <c r="C28"/>
      <c r="D28"/>
      <c r="E28"/>
      <c r="F28"/>
      <c r="G28"/>
      <c r="H28" s="38" t="str">
        <f t="shared" si="0"/>
        <v/>
      </c>
      <c r="I28" s="38"/>
      <c r="J28" s="38"/>
      <c r="S28" s="73" t="str">
        <f t="shared" si="1"/>
        <v/>
      </c>
      <c r="AB28" s="38" t="str">
        <f t="shared" si="2"/>
        <v/>
      </c>
    </row>
    <row r="29" spans="2:37" x14ac:dyDescent="0.25">
      <c r="B29"/>
      <c r="C29"/>
      <c r="D29"/>
      <c r="E29"/>
      <c r="F29"/>
      <c r="G29"/>
      <c r="H29" s="38" t="str">
        <f t="shared" si="0"/>
        <v/>
      </c>
      <c r="I29" s="38"/>
      <c r="J29" s="38"/>
      <c r="S29" s="73" t="str">
        <f t="shared" si="1"/>
        <v/>
      </c>
      <c r="AB29" s="38" t="str">
        <f t="shared" si="2"/>
        <v/>
      </c>
    </row>
    <row r="30" spans="2:37" x14ac:dyDescent="0.25">
      <c r="B30"/>
      <c r="C30"/>
      <c r="D30"/>
      <c r="E30"/>
      <c r="F30"/>
      <c r="G30"/>
      <c r="H30" s="38" t="str">
        <f t="shared" si="0"/>
        <v/>
      </c>
      <c r="I30" s="38"/>
      <c r="J30" s="38"/>
      <c r="S30" s="73" t="str">
        <f t="shared" si="1"/>
        <v/>
      </c>
      <c r="AB30" s="38" t="str">
        <f t="shared" si="2"/>
        <v/>
      </c>
    </row>
    <row r="31" spans="2:37" x14ac:dyDescent="0.25">
      <c r="B31"/>
      <c r="C31"/>
      <c r="D31"/>
      <c r="E31"/>
      <c r="F31"/>
      <c r="G31"/>
      <c r="H31" s="38" t="str">
        <f t="shared" si="0"/>
        <v/>
      </c>
      <c r="I31" s="38"/>
      <c r="J31" s="38"/>
      <c r="S31" s="73" t="str">
        <f t="shared" si="1"/>
        <v/>
      </c>
      <c r="AB31" s="38" t="str">
        <f t="shared" si="2"/>
        <v/>
      </c>
    </row>
    <row r="32" spans="2:37" x14ac:dyDescent="0.25">
      <c r="B32"/>
      <c r="C32"/>
      <c r="D32"/>
      <c r="E32"/>
      <c r="F32"/>
      <c r="G32"/>
      <c r="H32" s="38" t="str">
        <f t="shared" si="0"/>
        <v/>
      </c>
      <c r="I32" s="38"/>
      <c r="J32" s="38"/>
      <c r="S32" s="73" t="str">
        <f t="shared" si="1"/>
        <v/>
      </c>
      <c r="AB32" s="38" t="str">
        <f t="shared" si="2"/>
        <v/>
      </c>
    </row>
    <row r="33" spans="1:69" x14ac:dyDescent="0.25">
      <c r="B33"/>
      <c r="C33"/>
      <c r="D33"/>
      <c r="E33"/>
      <c r="F33"/>
      <c r="G33"/>
      <c r="H33" s="38" t="str">
        <f t="shared" si="0"/>
        <v/>
      </c>
      <c r="I33" s="38"/>
      <c r="J33" s="38"/>
      <c r="S33" s="73" t="str">
        <f t="shared" si="1"/>
        <v/>
      </c>
      <c r="AB33" s="38" t="str">
        <f t="shared" si="2"/>
        <v/>
      </c>
    </row>
    <row r="34" spans="1:69" x14ac:dyDescent="0.25">
      <c r="B34"/>
      <c r="C34"/>
      <c r="D34"/>
      <c r="E34"/>
      <c r="F34"/>
      <c r="G34"/>
      <c r="H34" s="38" t="str">
        <f t="shared" si="0"/>
        <v/>
      </c>
      <c r="I34" s="38"/>
      <c r="J34" s="38"/>
      <c r="S34" s="73" t="str">
        <f t="shared" si="1"/>
        <v/>
      </c>
      <c r="AB34" s="38" t="str">
        <f t="shared" si="2"/>
        <v/>
      </c>
    </row>
    <row r="35" spans="1:69" x14ac:dyDescent="0.25">
      <c r="B35"/>
      <c r="C35"/>
      <c r="D35"/>
      <c r="E35"/>
      <c r="F35"/>
      <c r="G35"/>
      <c r="H35" s="38" t="str">
        <f t="shared" si="0"/>
        <v/>
      </c>
      <c r="I35" s="71"/>
      <c r="J35" s="71"/>
      <c r="K35" s="72"/>
      <c r="S35" s="73" t="str">
        <f t="shared" si="1"/>
        <v/>
      </c>
      <c r="T35" s="26"/>
      <c r="AB35" s="38" t="str">
        <f t="shared" si="2"/>
        <v/>
      </c>
      <c r="AC35" s="26"/>
    </row>
    <row r="36" spans="1:69" x14ac:dyDescent="0.25">
      <c r="B36"/>
      <c r="C36"/>
      <c r="D36"/>
      <c r="E36"/>
      <c r="F36"/>
      <c r="G36"/>
      <c r="H36" s="38" t="str">
        <f t="shared" si="0"/>
        <v/>
      </c>
      <c r="I36" s="38"/>
      <c r="J36" s="38"/>
      <c r="K36" s="53"/>
      <c r="S36" s="73" t="str">
        <f t="shared" si="1"/>
        <v/>
      </c>
      <c r="AB36" s="38" t="str">
        <f t="shared" si="2"/>
        <v/>
      </c>
    </row>
    <row r="37" spans="1:69" x14ac:dyDescent="0.25">
      <c r="B37"/>
      <c r="C37"/>
      <c r="D37"/>
      <c r="E37"/>
      <c r="F37"/>
      <c r="G37"/>
      <c r="H37" s="38" t="str">
        <f t="shared" si="0"/>
        <v/>
      </c>
      <c r="I37" s="38"/>
      <c r="J37" s="38"/>
      <c r="K37" s="53"/>
      <c r="S37" s="73" t="str">
        <f t="shared" si="1"/>
        <v/>
      </c>
      <c r="AB37" s="38" t="str">
        <f t="shared" si="2"/>
        <v/>
      </c>
      <c r="AH37" s="41" t="s">
        <v>66</v>
      </c>
      <c r="AI37" s="40">
        <f>COUNTIF(AI13:AI35,"&gt;0.0")</f>
        <v>1</v>
      </c>
      <c r="AJ37" s="40">
        <f t="shared" ref="AJ37:AU37" si="3">COUNTIF(AJ13:AJ35,"&gt;0.0")</f>
        <v>1</v>
      </c>
      <c r="AK37" s="40">
        <f t="shared" si="3"/>
        <v>1</v>
      </c>
      <c r="AL37" s="40">
        <f t="shared" si="3"/>
        <v>0</v>
      </c>
      <c r="AM37" s="40">
        <f t="shared" si="3"/>
        <v>0</v>
      </c>
      <c r="AN37" s="40">
        <f t="shared" si="3"/>
        <v>0</v>
      </c>
      <c r="AO37" s="40">
        <f t="shared" si="3"/>
        <v>0</v>
      </c>
      <c r="AP37" s="40">
        <f t="shared" si="3"/>
        <v>0</v>
      </c>
      <c r="AQ37" s="40">
        <f t="shared" si="3"/>
        <v>0</v>
      </c>
      <c r="AR37" s="40">
        <f t="shared" si="3"/>
        <v>0</v>
      </c>
      <c r="AS37" s="40">
        <f t="shared" si="3"/>
        <v>0</v>
      </c>
      <c r="AT37" s="40">
        <f t="shared" si="3"/>
        <v>0</v>
      </c>
      <c r="AU37" s="40">
        <f t="shared" si="3"/>
        <v>0</v>
      </c>
      <c r="AV37" s="40">
        <f t="shared" ref="AV37:AX37" si="4">COUNTIF(AV13:AV35,"&gt;0.0")</f>
        <v>0</v>
      </c>
      <c r="AW37" s="40">
        <f t="shared" si="4"/>
        <v>0</v>
      </c>
      <c r="AX37" s="40">
        <f t="shared" si="4"/>
        <v>0</v>
      </c>
      <c r="AY37" s="40">
        <f t="shared" ref="AY37:AZ37" si="5">COUNTIF(AY13:AY35,"&gt;0.0")</f>
        <v>0</v>
      </c>
      <c r="AZ37" s="40">
        <f t="shared" si="5"/>
        <v>0</v>
      </c>
      <c r="BA37" s="40">
        <f t="shared" ref="BA37:BC37" si="6">COUNTIF(BA13:BA35,"&gt;0.0")</f>
        <v>0</v>
      </c>
      <c r="BB37" s="40">
        <f t="shared" si="6"/>
        <v>0</v>
      </c>
      <c r="BC37" s="40">
        <f t="shared" si="6"/>
        <v>0</v>
      </c>
      <c r="BD37" s="40">
        <f t="shared" ref="BD37:BH37" si="7">COUNTIF(BD13:BD35,"&gt;0.0")</f>
        <v>0</v>
      </c>
      <c r="BE37" s="40">
        <f t="shared" si="7"/>
        <v>0</v>
      </c>
      <c r="BF37" s="40">
        <f t="shared" si="7"/>
        <v>0</v>
      </c>
      <c r="BG37" s="40">
        <f>COUNTIF(BG13:BG35,"&gt;0.0")</f>
        <v>0</v>
      </c>
      <c r="BH37" s="40">
        <f t="shared" si="7"/>
        <v>0</v>
      </c>
      <c r="BI37" s="40">
        <f t="shared" ref="BI37:BJ37" si="8">COUNTIF(BI13:BI35,"&gt;0.0")</f>
        <v>0</v>
      </c>
      <c r="BJ37" s="40">
        <f t="shared" si="8"/>
        <v>0</v>
      </c>
      <c r="BK37" s="40">
        <f t="shared" ref="BK37:BM37" si="9">COUNTIF(BK13:BK35,"&gt;0.0")</f>
        <v>0</v>
      </c>
      <c r="BL37" s="40">
        <f t="shared" si="9"/>
        <v>0</v>
      </c>
      <c r="BM37" s="40">
        <f t="shared" si="9"/>
        <v>0</v>
      </c>
      <c r="BN37" s="40">
        <f t="shared" ref="BN37:BQ37" si="10">COUNTIF(BN13:BN35,"&gt;0.0")</f>
        <v>0</v>
      </c>
      <c r="BO37" s="40">
        <f t="shared" si="10"/>
        <v>0</v>
      </c>
      <c r="BP37" s="40">
        <f t="shared" si="10"/>
        <v>0</v>
      </c>
      <c r="BQ37" s="40">
        <f t="shared" si="10"/>
        <v>0</v>
      </c>
    </row>
    <row r="38" spans="1:69" x14ac:dyDescent="0.25">
      <c r="B38"/>
      <c r="C38"/>
      <c r="D38"/>
      <c r="E38"/>
      <c r="F38"/>
      <c r="G38"/>
      <c r="H38" s="38" t="str">
        <f t="shared" si="0"/>
        <v/>
      </c>
      <c r="I38" s="38"/>
      <c r="J38" s="38"/>
      <c r="S38" s="73" t="str">
        <f t="shared" si="1"/>
        <v/>
      </c>
      <c r="T38" s="24"/>
      <c r="AB38" s="38" t="str">
        <f t="shared" si="2"/>
        <v/>
      </c>
      <c r="AC38" s="24"/>
      <c r="AD38" s="24"/>
      <c r="AE38" s="24"/>
      <c r="AF38" s="24"/>
      <c r="AH38" s="41" t="s">
        <v>67</v>
      </c>
      <c r="AI38" s="40">
        <f>COUNTIF(AI13:AI35,"&lt;0.0")</f>
        <v>4</v>
      </c>
      <c r="AJ38" s="40">
        <f t="shared" ref="AJ38:AU38" si="11">COUNTIF(AJ13:AJ35,"&lt;0.0")</f>
        <v>4</v>
      </c>
      <c r="AK38" s="40">
        <f t="shared" si="11"/>
        <v>4</v>
      </c>
      <c r="AL38" s="40">
        <f t="shared" si="11"/>
        <v>0</v>
      </c>
      <c r="AM38" s="40">
        <f t="shared" si="11"/>
        <v>0</v>
      </c>
      <c r="AN38" s="40">
        <f t="shared" si="11"/>
        <v>0</v>
      </c>
      <c r="AO38" s="40">
        <f t="shared" si="11"/>
        <v>0</v>
      </c>
      <c r="AP38" s="40">
        <f t="shared" si="11"/>
        <v>0</v>
      </c>
      <c r="AQ38" s="40">
        <f t="shared" si="11"/>
        <v>0</v>
      </c>
      <c r="AR38" s="40">
        <f t="shared" si="11"/>
        <v>0</v>
      </c>
      <c r="AS38" s="40">
        <f t="shared" si="11"/>
        <v>0</v>
      </c>
      <c r="AT38" s="40">
        <f t="shared" si="11"/>
        <v>0</v>
      </c>
      <c r="AU38" s="40">
        <f t="shared" si="11"/>
        <v>0</v>
      </c>
      <c r="AV38" s="40">
        <f t="shared" ref="AV38:AX38" si="12">COUNTIF(AV13:AV35,"&lt;0.0")</f>
        <v>0</v>
      </c>
      <c r="AW38" s="40">
        <f t="shared" si="12"/>
        <v>0</v>
      </c>
      <c r="AX38" s="40">
        <f t="shared" si="12"/>
        <v>0</v>
      </c>
      <c r="AY38" s="40">
        <f t="shared" ref="AY38:AZ38" si="13">COUNTIF(AY13:AY35,"&lt;0.0")</f>
        <v>0</v>
      </c>
      <c r="AZ38" s="40">
        <f t="shared" si="13"/>
        <v>0</v>
      </c>
      <c r="BA38" s="40">
        <f t="shared" ref="BA38:BC38" si="14">COUNTIF(BA13:BA35,"&lt;0.0")</f>
        <v>0</v>
      </c>
      <c r="BB38" s="40">
        <f t="shared" si="14"/>
        <v>0</v>
      </c>
      <c r="BC38" s="40">
        <f t="shared" si="14"/>
        <v>0</v>
      </c>
      <c r="BD38" s="40">
        <f t="shared" ref="BD38:BH38" si="15">COUNTIF(BD13:BD35,"&lt;0.0")</f>
        <v>0</v>
      </c>
      <c r="BE38" s="40">
        <f t="shared" si="15"/>
        <v>0</v>
      </c>
      <c r="BF38" s="40">
        <f t="shared" si="15"/>
        <v>0</v>
      </c>
      <c r="BG38" s="40">
        <f t="shared" si="15"/>
        <v>0</v>
      </c>
      <c r="BH38" s="40">
        <f t="shared" si="15"/>
        <v>0</v>
      </c>
      <c r="BI38" s="40">
        <f t="shared" ref="BI38:BJ38" si="16">COUNTIF(BI13:BI35,"&lt;0.0")</f>
        <v>0</v>
      </c>
      <c r="BJ38" s="40">
        <f t="shared" si="16"/>
        <v>0</v>
      </c>
      <c r="BK38" s="40">
        <f t="shared" ref="BK38:BM38" si="17">COUNTIF(BK13:BK35,"&lt;0.0")</f>
        <v>0</v>
      </c>
      <c r="BL38" s="40">
        <f t="shared" si="17"/>
        <v>0</v>
      </c>
      <c r="BM38" s="40">
        <f t="shared" si="17"/>
        <v>0</v>
      </c>
      <c r="BN38" s="40">
        <f t="shared" ref="BN38:BQ38" si="18">COUNTIF(BN13:BN35,"&lt;0.0")</f>
        <v>0</v>
      </c>
      <c r="BO38" s="40">
        <f t="shared" si="18"/>
        <v>0</v>
      </c>
      <c r="BP38" s="40">
        <f t="shared" si="18"/>
        <v>0</v>
      </c>
      <c r="BQ38" s="40">
        <f t="shared" si="18"/>
        <v>0</v>
      </c>
    </row>
    <row r="39" spans="1:69" x14ac:dyDescent="0.25">
      <c r="B39"/>
      <c r="C39"/>
      <c r="D39"/>
      <c r="E39"/>
      <c r="F39"/>
      <c r="G39"/>
      <c r="H39" s="38" t="str">
        <f t="shared" si="0"/>
        <v/>
      </c>
      <c r="S39" s="73" t="str">
        <f t="shared" si="1"/>
        <v/>
      </c>
      <c r="AB39" s="38" t="str">
        <f t="shared" si="2"/>
        <v/>
      </c>
      <c r="AH39" s="43" t="s">
        <v>59</v>
      </c>
      <c r="AI39" s="44">
        <f>AI37/(AI37+AI38)</f>
        <v>0.2</v>
      </c>
      <c r="AJ39" s="44">
        <f t="shared" ref="AJ39:AU39" si="19">AJ37/(AJ37+AJ38)</f>
        <v>0.2</v>
      </c>
      <c r="AK39" s="44">
        <f t="shared" si="19"/>
        <v>0.2</v>
      </c>
      <c r="AL39" s="44" t="e">
        <f t="shared" si="19"/>
        <v>#DIV/0!</v>
      </c>
      <c r="AM39" s="44" t="e">
        <f t="shared" si="19"/>
        <v>#DIV/0!</v>
      </c>
      <c r="AN39" s="44" t="e">
        <f t="shared" si="19"/>
        <v>#DIV/0!</v>
      </c>
      <c r="AO39" s="44" t="e">
        <f t="shared" si="19"/>
        <v>#DIV/0!</v>
      </c>
      <c r="AP39" s="44" t="e">
        <f t="shared" si="19"/>
        <v>#DIV/0!</v>
      </c>
      <c r="AQ39" s="44" t="e">
        <f t="shared" si="19"/>
        <v>#DIV/0!</v>
      </c>
      <c r="AR39" s="44" t="e">
        <f t="shared" si="19"/>
        <v>#DIV/0!</v>
      </c>
      <c r="AS39" s="44" t="e">
        <f t="shared" si="19"/>
        <v>#DIV/0!</v>
      </c>
      <c r="AT39" s="44" t="e">
        <f t="shared" si="19"/>
        <v>#DIV/0!</v>
      </c>
      <c r="AU39" s="44" t="e">
        <f t="shared" si="19"/>
        <v>#DIV/0!</v>
      </c>
      <c r="AV39" s="44" t="e">
        <f t="shared" ref="AV39:AX39" si="20">AV37/(AV37+AV38)</f>
        <v>#DIV/0!</v>
      </c>
      <c r="AW39" s="44" t="e">
        <f t="shared" si="20"/>
        <v>#DIV/0!</v>
      </c>
      <c r="AX39" s="44" t="e">
        <f t="shared" si="20"/>
        <v>#DIV/0!</v>
      </c>
      <c r="AY39" s="44" t="e">
        <f t="shared" ref="AY39:AZ39" si="21">AY37/(AY37+AY38)</f>
        <v>#DIV/0!</v>
      </c>
      <c r="AZ39" s="44" t="e">
        <f t="shared" si="21"/>
        <v>#DIV/0!</v>
      </c>
      <c r="BA39" s="44" t="e">
        <f t="shared" ref="BA39:BC39" si="22">BA37/(BA37+BA38)</f>
        <v>#DIV/0!</v>
      </c>
      <c r="BB39" s="44" t="e">
        <f t="shared" si="22"/>
        <v>#DIV/0!</v>
      </c>
      <c r="BC39" s="44" t="e">
        <f t="shared" si="22"/>
        <v>#DIV/0!</v>
      </c>
      <c r="BD39" s="44" t="e">
        <f t="shared" ref="BD39:BH39" si="23">BD37/(BD37+BD38)</f>
        <v>#DIV/0!</v>
      </c>
      <c r="BE39" s="44" t="e">
        <f t="shared" si="23"/>
        <v>#DIV/0!</v>
      </c>
      <c r="BF39" s="44" t="e">
        <f t="shared" si="23"/>
        <v>#DIV/0!</v>
      </c>
      <c r="BG39" s="44" t="e">
        <f t="shared" si="23"/>
        <v>#DIV/0!</v>
      </c>
      <c r="BH39" s="44" t="e">
        <f t="shared" si="23"/>
        <v>#DIV/0!</v>
      </c>
      <c r="BI39" s="44" t="e">
        <f t="shared" ref="BI39:BJ39" si="24">BI37/(BI37+BI38)</f>
        <v>#DIV/0!</v>
      </c>
      <c r="BJ39" s="44" t="e">
        <f t="shared" si="24"/>
        <v>#DIV/0!</v>
      </c>
      <c r="BK39" s="44" t="e">
        <f t="shared" ref="BK39:BM39" si="25">BK37/(BK37+BK38)</f>
        <v>#DIV/0!</v>
      </c>
      <c r="BL39" s="44" t="e">
        <f t="shared" si="25"/>
        <v>#DIV/0!</v>
      </c>
      <c r="BM39" s="44" t="e">
        <f t="shared" si="25"/>
        <v>#DIV/0!</v>
      </c>
      <c r="BN39" s="44" t="e">
        <f t="shared" ref="BN39:BQ39" si="26">BN37/(BN37+BN38)</f>
        <v>#DIV/0!</v>
      </c>
      <c r="BO39" s="44" t="e">
        <f t="shared" si="26"/>
        <v>#DIV/0!</v>
      </c>
      <c r="BP39" s="44" t="e">
        <f t="shared" si="26"/>
        <v>#DIV/0!</v>
      </c>
      <c r="BQ39" s="44" t="e">
        <f t="shared" si="26"/>
        <v>#DIV/0!</v>
      </c>
    </row>
    <row r="40" spans="1:69" x14ac:dyDescent="0.25">
      <c r="B40"/>
      <c r="C40"/>
      <c r="D40"/>
      <c r="E40"/>
      <c r="F40"/>
      <c r="G40"/>
      <c r="H40" s="38" t="str">
        <f t="shared" si="0"/>
        <v/>
      </c>
      <c r="S40" s="73" t="str">
        <f t="shared" si="1"/>
        <v/>
      </c>
      <c r="AB40" s="38" t="str">
        <f t="shared" si="2"/>
        <v/>
      </c>
      <c r="BA40" s="53"/>
    </row>
    <row r="41" spans="1:69" x14ac:dyDescent="0.25">
      <c r="B41"/>
      <c r="C41"/>
      <c r="D41"/>
      <c r="E41"/>
      <c r="F41"/>
      <c r="G41"/>
      <c r="H41" s="38" t="str">
        <f t="shared" si="0"/>
        <v/>
      </c>
      <c r="S41" s="73" t="str">
        <f t="shared" si="1"/>
        <v/>
      </c>
      <c r="AB41" s="38" t="str">
        <f t="shared" si="2"/>
        <v/>
      </c>
    </row>
    <row r="42" spans="1:69" x14ac:dyDescent="0.25">
      <c r="B42"/>
      <c r="C42"/>
      <c r="D42"/>
      <c r="E42"/>
      <c r="F42"/>
      <c r="G42"/>
      <c r="H42" s="38" t="str">
        <f t="shared" si="0"/>
        <v/>
      </c>
      <c r="S42" s="73" t="str">
        <f t="shared" si="1"/>
        <v/>
      </c>
      <c r="AB42" s="38" t="str">
        <f t="shared" si="2"/>
        <v/>
      </c>
    </row>
    <row r="43" spans="1:69" x14ac:dyDescent="0.25">
      <c r="B43"/>
      <c r="C43"/>
      <c r="D43"/>
      <c r="E43"/>
      <c r="F43"/>
      <c r="G43"/>
      <c r="H43" s="38" t="str">
        <f t="shared" si="0"/>
        <v/>
      </c>
      <c r="S43" s="73" t="str">
        <f t="shared" si="1"/>
        <v/>
      </c>
    </row>
    <row r="44" spans="1:69" x14ac:dyDescent="0.25">
      <c r="B44"/>
      <c r="C44"/>
      <c r="D44"/>
      <c r="E44"/>
      <c r="F44"/>
      <c r="G44"/>
      <c r="H44" s="38" t="str">
        <f t="shared" si="0"/>
        <v/>
      </c>
      <c r="S44" s="73" t="str">
        <f t="shared" si="1"/>
        <v/>
      </c>
    </row>
    <row r="45" spans="1:69" x14ac:dyDescent="0.25">
      <c r="B45"/>
      <c r="C45"/>
      <c r="D45"/>
      <c r="E45"/>
      <c r="F45"/>
      <c r="G45"/>
    </row>
    <row r="46" spans="1:69" x14ac:dyDescent="0.25">
      <c r="A46" s="36"/>
      <c r="B46" s="52"/>
      <c r="C46" s="52"/>
      <c r="D46" s="52"/>
      <c r="E46" s="52"/>
      <c r="F46" s="52"/>
      <c r="G46" s="52"/>
      <c r="L46" s="36"/>
      <c r="M46" s="70"/>
      <c r="N46" s="70"/>
      <c r="O46" s="70"/>
      <c r="P46" s="70"/>
      <c r="Q46" s="70"/>
      <c r="R46" s="70"/>
      <c r="U46" s="36"/>
      <c r="V46" s="70"/>
      <c r="W46" s="70"/>
      <c r="X46" s="70"/>
      <c r="Y46" s="70"/>
      <c r="Z46" s="70"/>
      <c r="AA46" s="70"/>
    </row>
    <row r="47" spans="1:69" x14ac:dyDescent="0.25">
      <c r="A47" s="36"/>
      <c r="B47" s="52"/>
      <c r="C47" s="52"/>
      <c r="D47" s="52"/>
      <c r="E47" s="52"/>
      <c r="F47" s="52"/>
      <c r="G47" s="52"/>
      <c r="L47" s="36"/>
      <c r="M47" s="70"/>
      <c r="N47" s="70"/>
      <c r="O47" s="70"/>
      <c r="P47" s="70"/>
      <c r="Q47" s="70"/>
      <c r="R47" s="70"/>
      <c r="U47" s="36"/>
      <c r="V47" s="70"/>
      <c r="W47" s="70"/>
      <c r="X47" s="70"/>
      <c r="Y47" s="70"/>
      <c r="Z47" s="70"/>
      <c r="AA47" s="70"/>
    </row>
    <row r="48" spans="1:69" x14ac:dyDescent="0.25">
      <c r="A48" s="36"/>
      <c r="B48" s="52"/>
      <c r="C48" s="52"/>
      <c r="D48" s="52"/>
      <c r="E48" s="52"/>
      <c r="F48" s="52"/>
      <c r="G48" s="52"/>
      <c r="L48" s="36"/>
      <c r="M48" s="70"/>
      <c r="N48" s="70"/>
      <c r="O48" s="70"/>
      <c r="P48" s="70"/>
      <c r="Q48" s="70"/>
      <c r="R48" s="70"/>
      <c r="U48" s="36"/>
      <c r="V48" s="70"/>
      <c r="W48" s="70"/>
      <c r="X48" s="70"/>
      <c r="Y48" s="70"/>
      <c r="Z48" s="70"/>
      <c r="AA48" s="70"/>
    </row>
    <row r="49" spans="1:204" x14ac:dyDescent="0.25">
      <c r="A49" s="36"/>
      <c r="B49" s="52"/>
      <c r="C49" s="52"/>
      <c r="D49" s="52"/>
      <c r="E49" s="52"/>
      <c r="F49" s="52"/>
      <c r="G49" s="52"/>
      <c r="L49" s="36"/>
      <c r="M49" s="70"/>
      <c r="N49" s="70"/>
      <c r="O49" s="70"/>
      <c r="P49" s="70"/>
      <c r="Q49" s="70"/>
      <c r="R49" s="70"/>
      <c r="U49" s="36"/>
      <c r="V49" s="70"/>
      <c r="W49" s="70"/>
      <c r="X49" s="70"/>
      <c r="Y49" s="70"/>
      <c r="Z49" s="70"/>
      <c r="AA49" s="70"/>
    </row>
    <row r="50" spans="1:204" x14ac:dyDescent="0.25">
      <c r="A50" s="36"/>
      <c r="B50" s="52"/>
      <c r="C50" s="52"/>
      <c r="D50" s="52"/>
      <c r="E50" s="52"/>
      <c r="F50" s="52"/>
      <c r="G50" s="52"/>
      <c r="L50" s="36"/>
      <c r="M50" s="70"/>
      <c r="N50" s="70"/>
      <c r="O50" s="70"/>
      <c r="P50" s="70"/>
      <c r="Q50" s="70"/>
      <c r="R50" s="70"/>
      <c r="U50" s="36"/>
      <c r="V50" s="70"/>
      <c r="W50" s="70"/>
      <c r="X50" s="70"/>
      <c r="Y50" s="70"/>
      <c r="Z50" s="70"/>
      <c r="AA50" s="70"/>
    </row>
    <row r="51" spans="1:204" x14ac:dyDescent="0.25">
      <c r="A51" s="36"/>
      <c r="B51" s="52"/>
      <c r="C51" s="52"/>
      <c r="D51" s="52"/>
      <c r="E51" s="52"/>
      <c r="F51" s="52"/>
      <c r="G51" s="52"/>
      <c r="L51" s="36"/>
      <c r="M51" s="70"/>
      <c r="N51" s="70"/>
      <c r="O51" s="70"/>
      <c r="P51" s="70"/>
      <c r="Q51" s="70"/>
      <c r="R51" s="70"/>
      <c r="U51" s="36"/>
      <c r="V51" s="70"/>
      <c r="W51" s="70"/>
      <c r="X51" s="70"/>
      <c r="Y51" s="70"/>
      <c r="Z51" s="70"/>
      <c r="AA51" s="70"/>
    </row>
    <row r="52" spans="1:204" x14ac:dyDescent="0.25">
      <c r="A52" s="36"/>
      <c r="B52" s="52"/>
      <c r="C52" s="52"/>
      <c r="D52" s="52"/>
      <c r="E52" s="52"/>
      <c r="F52" s="52"/>
      <c r="G52" s="52"/>
      <c r="L52" s="36"/>
      <c r="M52" s="70"/>
      <c r="N52" s="70"/>
      <c r="O52" s="70"/>
      <c r="P52" s="70"/>
      <c r="Q52" s="70"/>
      <c r="R52" s="70"/>
      <c r="U52" s="36"/>
      <c r="V52" s="70"/>
      <c r="W52" s="70"/>
      <c r="X52" s="70"/>
      <c r="Y52" s="70"/>
      <c r="Z52" s="70"/>
      <c r="AA52" s="70"/>
    </row>
    <row r="53" spans="1:204" x14ac:dyDescent="0.25"/>
    <row r="54" spans="1:204" ht="23.25" x14ac:dyDescent="0.35">
      <c r="A54" s="54" t="s">
        <v>91</v>
      </c>
    </row>
    <row r="55" spans="1:204" x14ac:dyDescent="0.25">
      <c r="A55" s="46" t="s">
        <v>79</v>
      </c>
      <c r="B55" s="52" t="s">
        <v>70</v>
      </c>
    </row>
    <row r="56" spans="1:204" x14ac:dyDescent="0.25">
      <c r="A56" s="26" t="s">
        <v>75</v>
      </c>
      <c r="M56" s="53" t="s">
        <v>90</v>
      </c>
      <c r="T56" s="53" t="s">
        <v>90</v>
      </c>
      <c r="Z56" s="53" t="s">
        <v>90</v>
      </c>
      <c r="AA56" s="53" t="s">
        <v>90</v>
      </c>
      <c r="AB56" s="53" t="s">
        <v>90</v>
      </c>
      <c r="AM56" s="34" t="s">
        <v>29</v>
      </c>
      <c r="AN56" s="35" t="s">
        <v>93</v>
      </c>
    </row>
    <row r="57" spans="1:204" s="28" customFormat="1" x14ac:dyDescent="0.25">
      <c r="A57" s="46" t="s">
        <v>52</v>
      </c>
      <c r="B57" s="66" t="s">
        <v>74</v>
      </c>
      <c r="C57" s="52"/>
      <c r="D57" s="52"/>
      <c r="E57" s="52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 s="52"/>
      <c r="AL57" s="52"/>
      <c r="AM57" s="26" t="s">
        <v>72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 s="53" t="s">
        <v>90</v>
      </c>
      <c r="BD57"/>
      <c r="BE57"/>
      <c r="BF57"/>
      <c r="BG57"/>
      <c r="BH57"/>
      <c r="BI57"/>
      <c r="BJ57"/>
      <c r="BK57"/>
      <c r="BL57"/>
    </row>
    <row r="58" spans="1:204" s="28" customFormat="1" x14ac:dyDescent="0.25">
      <c r="A58" s="46" t="s">
        <v>50</v>
      </c>
      <c r="B58" s="42" t="s">
        <v>239</v>
      </c>
      <c r="C58" s="42" t="s">
        <v>118</v>
      </c>
      <c r="D58" s="42" t="s">
        <v>93</v>
      </c>
      <c r="E58" s="45" t="s">
        <v>51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 s="42"/>
      <c r="AL58" s="42"/>
      <c r="AM58" s="35"/>
      <c r="AN58" s="34" t="s">
        <v>74</v>
      </c>
      <c r="AO58" s="35"/>
      <c r="AP58" s="35"/>
      <c r="AQ58" s="35"/>
      <c r="AR58" s="35"/>
      <c r="AS58" s="35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</row>
    <row r="59" spans="1:204" s="28" customFormat="1" x14ac:dyDescent="0.25">
      <c r="A59" s="47" t="s">
        <v>96</v>
      </c>
      <c r="B59" s="99">
        <v>0.68</v>
      </c>
      <c r="C59" s="99">
        <v>-1.8900000000000003</v>
      </c>
      <c r="D59" s="99">
        <v>-2.21</v>
      </c>
      <c r="E59" s="99">
        <v>-3.4200000000000004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 s="52"/>
      <c r="AL59" s="52"/>
      <c r="AM59" s="35"/>
      <c r="AN59" s="35" t="s">
        <v>67</v>
      </c>
      <c r="AO59" s="35"/>
      <c r="AP59" s="35" t="s">
        <v>66</v>
      </c>
      <c r="AQ59" s="35"/>
      <c r="AR59" s="40" t="s">
        <v>84</v>
      </c>
      <c r="AS59" s="40" t="s">
        <v>85</v>
      </c>
      <c r="AT59" s="67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</row>
    <row r="60" spans="1:204" s="28" customFormat="1" x14ac:dyDescent="0.25">
      <c r="A60" s="47" t="s">
        <v>248</v>
      </c>
      <c r="B60" s="99">
        <v>-0.45999999999999996</v>
      </c>
      <c r="C60" s="99">
        <v>-2.42</v>
      </c>
      <c r="D60" s="99">
        <v>-1.69</v>
      </c>
      <c r="E60" s="99">
        <v>-4.57</v>
      </c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 s="52"/>
      <c r="AL60" s="52"/>
      <c r="AM60" s="39" t="s">
        <v>50</v>
      </c>
      <c r="AN60" s="35" t="s">
        <v>86</v>
      </c>
      <c r="AO60" s="35" t="s">
        <v>52</v>
      </c>
      <c r="AP60" s="35" t="s">
        <v>86</v>
      </c>
      <c r="AQ60" s="35" t="s">
        <v>52</v>
      </c>
      <c r="AR60" s="40"/>
      <c r="AS60" s="40"/>
      <c r="AT60" s="67" t="s">
        <v>59</v>
      </c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</row>
    <row r="61" spans="1:204" s="28" customFormat="1" x14ac:dyDescent="0.25">
      <c r="A61" s="47" t="s">
        <v>51</v>
      </c>
      <c r="B61" s="99">
        <v>0.22000000000000008</v>
      </c>
      <c r="C61" s="99">
        <v>-4.3100000000000005</v>
      </c>
      <c r="D61" s="99">
        <v>-3.9</v>
      </c>
      <c r="E61" s="99">
        <v>-7.99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 s="52"/>
      <c r="AL61" s="52"/>
      <c r="AM61" s="41" t="s">
        <v>73</v>
      </c>
      <c r="AN61" s="40">
        <v>1</v>
      </c>
      <c r="AO61" s="85">
        <v>-0.3</v>
      </c>
      <c r="AP61" s="40">
        <v>1</v>
      </c>
      <c r="AQ61" s="85">
        <v>0.23</v>
      </c>
      <c r="AR61" s="40">
        <v>2</v>
      </c>
      <c r="AS61" s="85">
        <v>-6.9999999999999979E-2</v>
      </c>
      <c r="AT61" s="69">
        <f>AP61/AR61</f>
        <v>0.5</v>
      </c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</row>
    <row r="62" spans="1:204" x14ac:dyDescent="0.25">
      <c r="B62"/>
      <c r="C62"/>
      <c r="D62"/>
      <c r="E62"/>
      <c r="F62"/>
      <c r="G62"/>
      <c r="H62"/>
      <c r="AK62" s="52"/>
      <c r="AL62" s="52"/>
      <c r="AM62" s="36" t="s">
        <v>76</v>
      </c>
      <c r="AN62" s="40">
        <v>2</v>
      </c>
      <c r="AO62" s="85">
        <v>-0.6</v>
      </c>
      <c r="AP62" s="40"/>
      <c r="AQ62" s="85"/>
      <c r="AR62" s="40">
        <v>2</v>
      </c>
      <c r="AS62" s="85">
        <v>-0.6</v>
      </c>
      <c r="AT62" s="69">
        <f t="shared" ref="AT62:AT84" si="27">AP62/AR62</f>
        <v>0</v>
      </c>
    </row>
    <row r="63" spans="1:204" x14ac:dyDescent="0.25">
      <c r="B63"/>
      <c r="C63"/>
      <c r="D63"/>
      <c r="E63"/>
      <c r="F63"/>
      <c r="G63"/>
      <c r="H63"/>
      <c r="AK63" s="52"/>
      <c r="AL63" s="52"/>
      <c r="AM63" s="36" t="s">
        <v>77</v>
      </c>
      <c r="AN63" s="40">
        <v>1</v>
      </c>
      <c r="AO63" s="85">
        <v>-0.3</v>
      </c>
      <c r="AP63" s="40">
        <v>1</v>
      </c>
      <c r="AQ63" s="85">
        <v>0.35</v>
      </c>
      <c r="AR63" s="40">
        <v>2</v>
      </c>
      <c r="AS63" s="85">
        <v>4.9999999999999989E-2</v>
      </c>
      <c r="AT63" s="69">
        <f t="shared" si="27"/>
        <v>0.5</v>
      </c>
    </row>
    <row r="64" spans="1:204" x14ac:dyDescent="0.25">
      <c r="B64"/>
      <c r="C64"/>
      <c r="D64"/>
      <c r="E64"/>
      <c r="F64"/>
      <c r="G64"/>
      <c r="H64"/>
      <c r="AK64" s="52"/>
      <c r="AL64" s="52"/>
      <c r="AM64" s="36" t="s">
        <v>78</v>
      </c>
      <c r="AN64" s="40">
        <v>1</v>
      </c>
      <c r="AO64" s="85">
        <v>-0.32</v>
      </c>
      <c r="AP64" s="40"/>
      <c r="AQ64" s="85"/>
      <c r="AR64" s="40">
        <v>1</v>
      </c>
      <c r="AS64" s="85">
        <v>-0.32</v>
      </c>
      <c r="AT64" s="69">
        <f t="shared" si="27"/>
        <v>0</v>
      </c>
    </row>
    <row r="65" spans="2:46" x14ac:dyDescent="0.25">
      <c r="B65"/>
      <c r="C65"/>
      <c r="D65"/>
      <c r="E65"/>
      <c r="F65"/>
      <c r="G65"/>
      <c r="H65"/>
      <c r="AK65" s="52"/>
      <c r="AL65" s="52"/>
      <c r="AM65" s="41" t="s">
        <v>51</v>
      </c>
      <c r="AN65" s="40">
        <v>5</v>
      </c>
      <c r="AO65" s="40">
        <v>-1.52</v>
      </c>
      <c r="AP65" s="40">
        <v>2</v>
      </c>
      <c r="AQ65" s="40">
        <v>0.57999999999999996</v>
      </c>
      <c r="AR65" s="40">
        <v>7</v>
      </c>
      <c r="AS65" s="40">
        <v>-0.94</v>
      </c>
      <c r="AT65" s="69">
        <f t="shared" si="27"/>
        <v>0.2857142857142857</v>
      </c>
    </row>
    <row r="66" spans="2:46" x14ac:dyDescent="0.25">
      <c r="B66"/>
      <c r="C66"/>
      <c r="D66"/>
      <c r="E66"/>
      <c r="F66"/>
      <c r="G66"/>
      <c r="H66"/>
      <c r="AK66" s="52"/>
      <c r="AL66" s="52"/>
      <c r="AT66" s="69" t="e">
        <f t="shared" si="27"/>
        <v>#DIV/0!</v>
      </c>
    </row>
    <row r="67" spans="2:46" x14ac:dyDescent="0.25">
      <c r="B67"/>
      <c r="C67"/>
      <c r="D67"/>
      <c r="E67"/>
      <c r="F67"/>
      <c r="G67"/>
      <c r="H67"/>
      <c r="AT67" s="69" t="e">
        <f t="shared" si="27"/>
        <v>#DIV/0!</v>
      </c>
    </row>
    <row r="68" spans="2:46" x14ac:dyDescent="0.25">
      <c r="AT68" s="69" t="e">
        <f t="shared" si="27"/>
        <v>#DIV/0!</v>
      </c>
    </row>
    <row r="69" spans="2:46" x14ac:dyDescent="0.25">
      <c r="AT69" s="69" t="e">
        <f t="shared" si="27"/>
        <v>#DIV/0!</v>
      </c>
    </row>
    <row r="70" spans="2:46" x14ac:dyDescent="0.25">
      <c r="AT70" s="69" t="e">
        <f t="shared" si="27"/>
        <v>#DIV/0!</v>
      </c>
    </row>
    <row r="71" spans="2:46" x14ac:dyDescent="0.25">
      <c r="AT71" s="69" t="e">
        <f t="shared" si="27"/>
        <v>#DIV/0!</v>
      </c>
    </row>
    <row r="72" spans="2:46" x14ac:dyDescent="0.25">
      <c r="AT72" s="69" t="e">
        <f t="shared" si="27"/>
        <v>#DIV/0!</v>
      </c>
    </row>
    <row r="73" spans="2:46" x14ac:dyDescent="0.25">
      <c r="AT73" s="69" t="e">
        <f t="shared" si="27"/>
        <v>#DIV/0!</v>
      </c>
    </row>
    <row r="74" spans="2:46" x14ac:dyDescent="0.25">
      <c r="AT74" s="69" t="e">
        <f t="shared" si="27"/>
        <v>#DIV/0!</v>
      </c>
    </row>
    <row r="75" spans="2:46" x14ac:dyDescent="0.25">
      <c r="AT75" s="69" t="e">
        <f t="shared" si="27"/>
        <v>#DIV/0!</v>
      </c>
    </row>
    <row r="76" spans="2:46" x14ac:dyDescent="0.25">
      <c r="AT76" s="69" t="e">
        <f t="shared" si="27"/>
        <v>#DIV/0!</v>
      </c>
    </row>
    <row r="77" spans="2:46" x14ac:dyDescent="0.25">
      <c r="AT77" s="69" t="e">
        <f t="shared" si="27"/>
        <v>#DIV/0!</v>
      </c>
    </row>
    <row r="78" spans="2:46" x14ac:dyDescent="0.25">
      <c r="AT78" s="69" t="e">
        <f t="shared" si="27"/>
        <v>#DIV/0!</v>
      </c>
    </row>
    <row r="79" spans="2:46" x14ac:dyDescent="0.25">
      <c r="AT79" s="69" t="e">
        <f t="shared" si="27"/>
        <v>#DIV/0!</v>
      </c>
    </row>
    <row r="80" spans="2:46" x14ac:dyDescent="0.25">
      <c r="AT80" s="69" t="e">
        <f t="shared" si="27"/>
        <v>#DIV/0!</v>
      </c>
    </row>
    <row r="81" spans="46:46" x14ac:dyDescent="0.25">
      <c r="AT81" s="69" t="e">
        <f t="shared" si="27"/>
        <v>#DIV/0!</v>
      </c>
    </row>
    <row r="82" spans="46:46" x14ac:dyDescent="0.25">
      <c r="AT82" s="69" t="e">
        <f t="shared" si="27"/>
        <v>#DIV/0!</v>
      </c>
    </row>
    <row r="83" spans="46:46" x14ac:dyDescent="0.25">
      <c r="AT83" s="69" t="e">
        <f t="shared" si="27"/>
        <v>#DIV/0!</v>
      </c>
    </row>
    <row r="84" spans="46:46" x14ac:dyDescent="0.25">
      <c r="AT84" s="68" t="e">
        <f t="shared" si="27"/>
        <v>#DIV/0!</v>
      </c>
    </row>
    <row r="85" spans="46:46" x14ac:dyDescent="0.25"/>
    <row r="86" spans="46:46" x14ac:dyDescent="0.25"/>
    <row r="87" spans="46:46" x14ac:dyDescent="0.25"/>
    <row r="88" spans="46:46" x14ac:dyDescent="0.25"/>
    <row r="89" spans="46:46" x14ac:dyDescent="0.25"/>
    <row r="90" spans="46:46" x14ac:dyDescent="0.25"/>
    <row r="91" spans="46:46" x14ac:dyDescent="0.25"/>
    <row r="92" spans="46:46" x14ac:dyDescent="0.25"/>
    <row r="93" spans="46:46" x14ac:dyDescent="0.25"/>
    <row r="94" spans="46:46" x14ac:dyDescent="0.25"/>
    <row r="95" spans="46:46" x14ac:dyDescent="0.25"/>
    <row r="96" spans="46:46" x14ac:dyDescent="0.25"/>
    <row r="97" spans="2:8" x14ac:dyDescent="0.25"/>
    <row r="98" spans="2:8" x14ac:dyDescent="0.25"/>
    <row r="99" spans="2:8" x14ac:dyDescent="0.25"/>
    <row r="100" spans="2:8" x14ac:dyDescent="0.25"/>
    <row r="101" spans="2:8" x14ac:dyDescent="0.25"/>
    <row r="102" spans="2:8" x14ac:dyDescent="0.25"/>
    <row r="103" spans="2:8" x14ac:dyDescent="0.25"/>
    <row r="104" spans="2:8" x14ac:dyDescent="0.25"/>
    <row r="105" spans="2:8" x14ac:dyDescent="0.25">
      <c r="B105"/>
      <c r="C105"/>
      <c r="D105"/>
      <c r="E105"/>
      <c r="F105"/>
      <c r="G105"/>
      <c r="H105" s="38"/>
    </row>
    <row r="106" spans="2:8" x14ac:dyDescent="0.25">
      <c r="B106"/>
      <c r="C106"/>
      <c r="D106"/>
      <c r="E106"/>
      <c r="F106"/>
      <c r="G106"/>
      <c r="H106" s="24"/>
    </row>
    <row r="107" spans="2:8" x14ac:dyDescent="0.25"/>
    <row r="108" spans="2:8" x14ac:dyDescent="0.25"/>
    <row r="109" spans="2:8" x14ac:dyDescent="0.25"/>
    <row r="110" spans="2:8" x14ac:dyDescent="0.25"/>
    <row r="111" spans="2:8" x14ac:dyDescent="0.25"/>
    <row r="112" spans="2:8" x14ac:dyDescent="0.25"/>
    <row r="113" x14ac:dyDescent="0.25"/>
    <row r="114" x14ac:dyDescent="0.25"/>
    <row r="115" x14ac:dyDescent="0.25"/>
  </sheetData>
  <conditionalFormatting pivot="1">
    <cfRule type="cellIs" dxfId="709" priority="108" operator="lessThan">
      <formula>0</formula>
    </cfRule>
    <cfRule type="cellIs" dxfId="708" priority="109" operator="greaterThan">
      <formula>0</formula>
    </cfRule>
  </conditionalFormatting>
  <conditionalFormatting pivot="1">
    <cfRule type="cellIs" dxfId="707" priority="105" operator="greaterThan">
      <formula>0</formula>
    </cfRule>
  </conditionalFormatting>
  <conditionalFormatting pivot="1">
    <cfRule type="cellIs" dxfId="706" priority="104" operator="lessThan">
      <formula>0</formula>
    </cfRule>
  </conditionalFormatting>
  <conditionalFormatting pivot="1">
    <cfRule type="cellIs" dxfId="705" priority="103" operator="greaterThan">
      <formula>0</formula>
    </cfRule>
  </conditionalFormatting>
  <conditionalFormatting pivot="1">
    <cfRule type="cellIs" dxfId="704" priority="102" operator="lessThan">
      <formula>0</formula>
    </cfRule>
  </conditionalFormatting>
  <conditionalFormatting pivot="1">
    <cfRule type="cellIs" dxfId="703" priority="100" operator="lessThan">
      <formula>0</formula>
    </cfRule>
    <cfRule type="cellIs" dxfId="702" priority="101" operator="greaterThan">
      <formula>0</formula>
    </cfRule>
  </conditionalFormatting>
  <conditionalFormatting pivot="1">
    <cfRule type="cellIs" dxfId="701" priority="94" operator="lessThan">
      <formula>0</formula>
    </cfRule>
    <cfRule type="cellIs" dxfId="700" priority="95" operator="greaterThan">
      <formula>0</formula>
    </cfRule>
  </conditionalFormatting>
  <conditionalFormatting pivot="1">
    <cfRule type="cellIs" dxfId="699" priority="92" operator="lessThan">
      <formula>0</formula>
    </cfRule>
    <cfRule type="cellIs" dxfId="698" priority="93" operator="greaterThan">
      <formula>0</formula>
    </cfRule>
  </conditionalFormatting>
  <conditionalFormatting sqref="AI39:BG39">
    <cfRule type="cellIs" dxfId="697" priority="87" operator="greaterThanOrEqual">
      <formula>0.75</formula>
    </cfRule>
  </conditionalFormatting>
  <conditionalFormatting sqref="P9:P10 E9:H9 F10:G10 I11:J11 I13:J38 J12">
    <cfRule type="cellIs" dxfId="696" priority="85" operator="greaterThanOrEqual">
      <formula>0.7</formula>
    </cfRule>
    <cfRule type="cellIs" dxfId="695" priority="86" operator="greaterThanOrEqual">
      <formula>0.75</formula>
    </cfRule>
  </conditionalFormatting>
  <conditionalFormatting sqref="H11:H44">
    <cfRule type="cellIs" dxfId="694" priority="81" operator="greaterThanOrEqual">
      <formula>0.7</formula>
    </cfRule>
    <cfRule type="cellIs" dxfId="693" priority="82" operator="greaterThanOrEqual">
      <formula>0.75</formula>
    </cfRule>
  </conditionalFormatting>
  <conditionalFormatting sqref="AI39:BQ39">
    <cfRule type="cellIs" dxfId="692" priority="5" operator="greaterThan">
      <formula>0.6499</formula>
    </cfRule>
    <cfRule type="cellIs" dxfId="691" priority="80" operator="greaterThan">
      <formula>0.6999</formula>
    </cfRule>
  </conditionalFormatting>
  <conditionalFormatting sqref="S11:S44">
    <cfRule type="cellIs" dxfId="690" priority="72" operator="greaterThanOrEqual">
      <formula>0.7</formula>
    </cfRule>
    <cfRule type="cellIs" dxfId="689" priority="73" operator="greaterThanOrEqual">
      <formula>0.75</formula>
    </cfRule>
  </conditionalFormatting>
  <conditionalFormatting sqref="H105">
    <cfRule type="cellIs" dxfId="688" priority="60" operator="greaterThanOrEqual">
      <formula>0.7</formula>
    </cfRule>
    <cfRule type="cellIs" dxfId="687" priority="61" operator="greaterThanOrEqual">
      <formula>0.75</formula>
    </cfRule>
  </conditionalFormatting>
  <conditionalFormatting sqref="Y9:Y10">
    <cfRule type="cellIs" dxfId="686" priority="52" operator="greaterThanOrEqual">
      <formula>0.7</formula>
    </cfRule>
    <cfRule type="cellIs" dxfId="685" priority="53" operator="greaterThanOrEqual">
      <formula>0.75</formula>
    </cfRule>
  </conditionalFormatting>
  <conditionalFormatting sqref="AB11:AB42">
    <cfRule type="cellIs" dxfId="684" priority="48" operator="greaterThanOrEqual">
      <formula>0.7</formula>
    </cfRule>
    <cfRule type="cellIs" dxfId="683" priority="49" operator="greaterThanOrEqual">
      <formula>0.75</formula>
    </cfRule>
  </conditionalFormatting>
  <conditionalFormatting sqref="AB29">
    <cfRule type="cellIs" dxfId="682" priority="42" operator="greaterThanOrEqual">
      <formula>0.7</formula>
    </cfRule>
    <cfRule type="cellIs" dxfId="681" priority="43" operator="greaterThanOrEqual">
      <formula>0.75</formula>
    </cfRule>
  </conditionalFormatting>
  <conditionalFormatting sqref="S29">
    <cfRule type="cellIs" dxfId="680" priority="40" operator="greaterThanOrEqual">
      <formula>0.7</formula>
    </cfRule>
    <cfRule type="cellIs" dxfId="679" priority="41" operator="greaterThanOrEqual">
      <formula>0.75</formula>
    </cfRule>
  </conditionalFormatting>
  <conditionalFormatting pivot="1">
    <cfRule type="cellIs" dxfId="678" priority="37" operator="greaterThan">
      <formula>0</formula>
    </cfRule>
  </conditionalFormatting>
  <conditionalFormatting pivot="1">
    <cfRule type="cellIs" dxfId="677" priority="36" operator="lessThan">
      <formula>0</formula>
    </cfRule>
  </conditionalFormatting>
  <conditionalFormatting pivot="1">
    <cfRule type="cellIs" dxfId="676" priority="35" operator="greaterThan">
      <formula>0</formula>
    </cfRule>
  </conditionalFormatting>
  <conditionalFormatting pivot="1">
    <cfRule type="cellIs" dxfId="675" priority="34" operator="lessThan">
      <formula>0</formula>
    </cfRule>
  </conditionalFormatting>
  <conditionalFormatting pivot="1" sqref="AO61:AO64">
    <cfRule type="cellIs" dxfId="674" priority="30" operator="lessThan">
      <formula>0</formula>
    </cfRule>
    <cfRule type="cellIs" dxfId="673" priority="31" operator="greaterThan">
      <formula>0</formula>
    </cfRule>
  </conditionalFormatting>
  <conditionalFormatting pivot="1" sqref="AQ61:AQ64">
    <cfRule type="cellIs" dxfId="672" priority="28" operator="lessThan">
      <formula>0</formula>
    </cfRule>
    <cfRule type="cellIs" dxfId="671" priority="29" operator="greaterThan">
      <formula>0</formula>
    </cfRule>
  </conditionalFormatting>
  <conditionalFormatting pivot="1" sqref="AS61:AS64">
    <cfRule type="cellIs" dxfId="670" priority="26" operator="lessThan">
      <formula>0</formula>
    </cfRule>
    <cfRule type="cellIs" dxfId="669" priority="27" operator="greaterThan">
      <formula>0</formula>
    </cfRule>
  </conditionalFormatting>
  <conditionalFormatting sqref="AT61:AT83">
    <cfRule type="cellIs" dxfId="668" priority="24" operator="greaterThanOrEqual">
      <formula>0.7</formula>
    </cfRule>
    <cfRule type="cellIs" dxfId="667" priority="25" operator="greaterThanOrEqual">
      <formula>0.75</formula>
    </cfRule>
  </conditionalFormatting>
  <conditionalFormatting pivot="1" sqref="W12 Y12 AA12">
    <cfRule type="cellIs" dxfId="666" priority="10" operator="lessThan">
      <formula>0</formula>
    </cfRule>
    <cfRule type="cellIs" dxfId="665" priority="11" operator="greaterThan">
      <formula>0</formula>
    </cfRule>
  </conditionalFormatting>
  <conditionalFormatting pivot="1" sqref="C12 E12 G12">
    <cfRule type="cellIs" dxfId="664" priority="6" operator="lessThan">
      <formula>0</formula>
    </cfRule>
    <cfRule type="cellIs" dxfId="663" priority="7" operator="greaterThan">
      <formula>0</formula>
    </cfRule>
  </conditionalFormatting>
  <conditionalFormatting pivot="1" sqref="N11 P11 R11">
    <cfRule type="cellIs" dxfId="662" priority="3" operator="lessThan">
      <formula>0</formula>
    </cfRule>
    <cfRule type="cellIs" dxfId="661" priority="4" operator="greaterThan">
      <formula>0</formula>
    </cfRule>
  </conditionalFormatting>
  <conditionalFormatting pivot="1" sqref="AI13:AK16">
    <cfRule type="cellIs" dxfId="660" priority="2" operator="greaterThan">
      <formula>0</formula>
    </cfRule>
  </conditionalFormatting>
  <conditionalFormatting pivot="1" sqref="AI13:AK16">
    <cfRule type="cellIs" dxfId="659" priority="1" operator="lessThan">
      <formula>0</formula>
    </cfRule>
  </conditionalFormatting>
  <pageMargins left="0.7" right="0.7" top="0.75" bottom="0.75" header="0.3" footer="0.3"/>
  <pageSetup orientation="portrait" r:id="rId7"/>
  <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0C1B6-8175-464E-9BEC-70FA9170AFAB}">
  <sheetPr codeName="Sheet8"/>
  <dimension ref="A1:AX108"/>
  <sheetViews>
    <sheetView showGridLines="0" workbookViewId="0">
      <selection activeCell="E19" sqref="A19:E24"/>
    </sheetView>
  </sheetViews>
  <sheetFormatPr defaultRowHeight="15" customHeight="1" zeroHeight="1" x14ac:dyDescent="0.25"/>
  <cols>
    <col min="1" max="1" width="29.85546875" bestFit="1" customWidth="1"/>
    <col min="2" max="2" width="18.28515625" style="29" bestFit="1" customWidth="1"/>
    <col min="3" max="3" width="12.5703125" style="29" bestFit="1" customWidth="1"/>
    <col min="4" max="4" width="10" style="29" bestFit="1" customWidth="1"/>
    <col min="5" max="5" width="10.7109375" style="29" bestFit="1" customWidth="1"/>
    <col min="6" max="6" width="11.28515625" style="29" bestFit="1" customWidth="1"/>
    <col min="7" max="7" width="15.140625" style="29" bestFit="1" customWidth="1"/>
    <col min="8" max="8" width="15.7109375" style="29" bestFit="1" customWidth="1"/>
    <col min="9" max="9" width="11.140625" bestFit="1" customWidth="1"/>
    <col min="10" max="10" width="10.28515625" bestFit="1" customWidth="1"/>
    <col min="11" max="11" width="11.140625" bestFit="1" customWidth="1"/>
    <col min="12" max="12" width="12" bestFit="1" customWidth="1"/>
    <col min="13" max="13" width="14.5703125" bestFit="1" customWidth="1"/>
    <col min="14" max="14" width="12.5703125" bestFit="1" customWidth="1"/>
    <col min="15" max="15" width="10" bestFit="1" customWidth="1"/>
    <col min="16" max="25" width="15.85546875" bestFit="1" customWidth="1"/>
    <col min="26" max="35" width="12.5703125" bestFit="1" customWidth="1"/>
    <col min="36" max="36" width="10" bestFit="1" customWidth="1"/>
    <col min="37" max="46" width="12.5703125" bestFit="1" customWidth="1"/>
    <col min="47" max="47" width="10" bestFit="1" customWidth="1"/>
    <col min="48" max="48" width="12.5703125" bestFit="1" customWidth="1"/>
    <col min="49" max="49" width="10" bestFit="1" customWidth="1"/>
  </cols>
  <sheetData>
    <row r="1" spans="1:31" ht="18.75" x14ac:dyDescent="0.25">
      <c r="A1" s="26" t="s">
        <v>55</v>
      </c>
      <c r="C1" s="60">
        <v>29</v>
      </c>
    </row>
    <row r="2" spans="1:31" x14ac:dyDescent="0.25"/>
    <row r="3" spans="1:31" x14ac:dyDescent="0.25"/>
    <row r="4" spans="1:31" x14ac:dyDescent="0.25">
      <c r="P4" s="29"/>
      <c r="Q4" s="29"/>
    </row>
    <row r="5" spans="1:31" x14ac:dyDescent="0.25">
      <c r="B5" t="s">
        <v>83</v>
      </c>
      <c r="C5"/>
      <c r="D5"/>
      <c r="E5"/>
      <c r="F5"/>
      <c r="G5"/>
      <c r="H5"/>
    </row>
    <row r="6" spans="1:31" x14ac:dyDescent="0.25">
      <c r="B6" s="34" t="s">
        <v>34</v>
      </c>
      <c r="C6" s="35" t="s">
        <v>80</v>
      </c>
      <c r="D6"/>
      <c r="E6"/>
      <c r="F6"/>
      <c r="G6"/>
      <c r="I6" s="29"/>
    </row>
    <row r="7" spans="1:31" ht="17.100000000000001" customHeight="1" x14ac:dyDescent="0.25">
      <c r="B7" s="26" t="s">
        <v>71</v>
      </c>
      <c r="C7"/>
      <c r="D7"/>
      <c r="E7"/>
      <c r="F7"/>
      <c r="G7"/>
      <c r="H7"/>
    </row>
    <row r="8" spans="1:31" x14ac:dyDescent="0.25">
      <c r="B8" s="35"/>
      <c r="C8" s="34" t="s">
        <v>74</v>
      </c>
      <c r="D8" s="35"/>
      <c r="E8" s="35"/>
      <c r="F8" s="35"/>
      <c r="G8" s="35"/>
      <c r="H8" s="35"/>
      <c r="I8" s="37"/>
    </row>
    <row r="9" spans="1:31" x14ac:dyDescent="0.25">
      <c r="B9" s="35"/>
      <c r="C9" s="35" t="s">
        <v>67</v>
      </c>
      <c r="D9" s="35"/>
      <c r="E9" s="35" t="s">
        <v>66</v>
      </c>
      <c r="F9" s="35"/>
      <c r="G9" s="35" t="s">
        <v>84</v>
      </c>
      <c r="H9" s="35" t="s">
        <v>85</v>
      </c>
      <c r="I9" s="37"/>
    </row>
    <row r="10" spans="1:31" x14ac:dyDescent="0.25">
      <c r="B10" s="34" t="s">
        <v>50</v>
      </c>
      <c r="C10" s="35" t="s">
        <v>86</v>
      </c>
      <c r="D10" s="35" t="s">
        <v>52</v>
      </c>
      <c r="E10" s="35" t="s">
        <v>86</v>
      </c>
      <c r="F10" s="35" t="s">
        <v>52</v>
      </c>
      <c r="G10" s="35"/>
      <c r="H10" s="35"/>
      <c r="I10" s="37" t="s">
        <v>68</v>
      </c>
      <c r="L10" s="26" t="s">
        <v>72</v>
      </c>
      <c r="AE10" s="53" t="s">
        <v>90</v>
      </c>
    </row>
    <row r="11" spans="1:31" x14ac:dyDescent="0.25">
      <c r="B11" s="36" t="s">
        <v>118</v>
      </c>
      <c r="C11" s="96">
        <v>27</v>
      </c>
      <c r="D11" s="96">
        <v>-8.2199999999999989</v>
      </c>
      <c r="E11" s="96">
        <v>9</v>
      </c>
      <c r="F11" s="96">
        <v>3.9099999999999997</v>
      </c>
      <c r="G11" s="96">
        <v>36</v>
      </c>
      <c r="H11" s="96">
        <v>-4.3099999999999987</v>
      </c>
      <c r="I11" s="38">
        <f>E11/G11</f>
        <v>0.25</v>
      </c>
      <c r="L11" s="34" t="s">
        <v>52</v>
      </c>
      <c r="M11" s="34" t="s">
        <v>74</v>
      </c>
      <c r="N11" s="35"/>
      <c r="O11" s="35"/>
    </row>
    <row r="12" spans="1:31" x14ac:dyDescent="0.25">
      <c r="B12" s="36" t="s">
        <v>93</v>
      </c>
      <c r="C12" s="96">
        <v>18</v>
      </c>
      <c r="D12" s="96">
        <v>-5.49</v>
      </c>
      <c r="E12" s="96">
        <v>11</v>
      </c>
      <c r="F12" s="96">
        <v>3.7899999999999996</v>
      </c>
      <c r="G12" s="96">
        <v>29</v>
      </c>
      <c r="H12" s="96">
        <v>-1.7000000000000011</v>
      </c>
      <c r="I12" s="38">
        <f t="shared" ref="I12:I44" si="0">E12/G12</f>
        <v>0.37931034482758619</v>
      </c>
      <c r="L12" s="39" t="s">
        <v>50</v>
      </c>
      <c r="M12" s="35" t="s">
        <v>118</v>
      </c>
      <c r="N12" s="35" t="s">
        <v>93</v>
      </c>
      <c r="O12" s="40" t="s">
        <v>51</v>
      </c>
    </row>
    <row r="13" spans="1:31" x14ac:dyDescent="0.25">
      <c r="B13" s="36" t="s">
        <v>51</v>
      </c>
      <c r="C13" s="96">
        <v>45</v>
      </c>
      <c r="D13" s="96">
        <v>-13.710000000000008</v>
      </c>
      <c r="E13" s="96">
        <v>20</v>
      </c>
      <c r="F13" s="96">
        <v>7.6999999999999984</v>
      </c>
      <c r="G13" s="96">
        <v>65</v>
      </c>
      <c r="H13" s="96">
        <v>-6.01</v>
      </c>
      <c r="I13" s="38">
        <f t="shared" si="0"/>
        <v>0.30769230769230771</v>
      </c>
      <c r="L13" s="41" t="s">
        <v>73</v>
      </c>
      <c r="M13" s="40">
        <v>-0.62</v>
      </c>
      <c r="N13" s="40">
        <v>-6.9999999999999979E-2</v>
      </c>
      <c r="O13" s="40">
        <v>-0.69</v>
      </c>
    </row>
    <row r="14" spans="1:31" x14ac:dyDescent="0.25">
      <c r="B14"/>
      <c r="C14"/>
      <c r="D14"/>
      <c r="E14"/>
      <c r="F14"/>
      <c r="G14"/>
      <c r="H14"/>
      <c r="I14" s="38" t="e">
        <f t="shared" si="0"/>
        <v>#DIV/0!</v>
      </c>
      <c r="L14" s="36" t="s">
        <v>76</v>
      </c>
      <c r="M14" s="40">
        <v>-0.3</v>
      </c>
      <c r="N14" s="40">
        <v>-0.6</v>
      </c>
      <c r="O14" s="40">
        <v>-0.89999999999999991</v>
      </c>
    </row>
    <row r="15" spans="1:31" x14ac:dyDescent="0.25">
      <c r="B15"/>
      <c r="C15"/>
      <c r="D15"/>
      <c r="E15"/>
      <c r="F15"/>
      <c r="G15"/>
      <c r="H15"/>
      <c r="I15" s="38" t="e">
        <f t="shared" si="0"/>
        <v>#DIV/0!</v>
      </c>
      <c r="L15" s="36" t="s">
        <v>77</v>
      </c>
      <c r="M15" s="40">
        <v>0.38999999999999996</v>
      </c>
      <c r="N15" s="40">
        <v>4.9999999999999989E-2</v>
      </c>
      <c r="O15" s="40">
        <v>0.43999999999999995</v>
      </c>
    </row>
    <row r="16" spans="1:31" x14ac:dyDescent="0.25">
      <c r="B16"/>
      <c r="C16"/>
      <c r="D16"/>
      <c r="E16"/>
      <c r="F16"/>
      <c r="G16"/>
      <c r="H16"/>
      <c r="I16" s="38" t="e">
        <f t="shared" si="0"/>
        <v>#DIV/0!</v>
      </c>
      <c r="L16" s="36" t="s">
        <v>78</v>
      </c>
      <c r="M16" s="40">
        <v>-0.31</v>
      </c>
      <c r="N16" s="40">
        <v>-0.32</v>
      </c>
      <c r="O16" s="40">
        <v>-0.63</v>
      </c>
    </row>
    <row r="17" spans="1:43" x14ac:dyDescent="0.25">
      <c r="B17"/>
      <c r="C17"/>
      <c r="D17"/>
      <c r="E17"/>
      <c r="F17"/>
      <c r="G17"/>
      <c r="H17"/>
      <c r="I17" s="38" t="e">
        <f t="shared" si="0"/>
        <v>#DIV/0!</v>
      </c>
      <c r="L17" s="41" t="s">
        <v>51</v>
      </c>
      <c r="M17" s="40">
        <v>-0.84000000000000008</v>
      </c>
      <c r="N17" s="40">
        <v>-0.94</v>
      </c>
      <c r="O17" s="40">
        <v>-1.7799999999999998</v>
      </c>
    </row>
    <row r="18" spans="1:43" x14ac:dyDescent="0.25">
      <c r="B18"/>
      <c r="C18"/>
      <c r="D18"/>
      <c r="E18"/>
      <c r="F18"/>
      <c r="G18"/>
      <c r="H18"/>
      <c r="I18" s="38" t="e">
        <f t="shared" si="0"/>
        <v>#DIV/0!</v>
      </c>
    </row>
    <row r="19" spans="1:43" x14ac:dyDescent="0.25">
      <c r="B19"/>
      <c r="C19"/>
      <c r="D19"/>
      <c r="E19"/>
      <c r="F19"/>
      <c r="G19"/>
      <c r="H19"/>
      <c r="I19" s="38" t="e">
        <f t="shared" si="0"/>
        <v>#DIV/0!</v>
      </c>
    </row>
    <row r="20" spans="1:43" x14ac:dyDescent="0.25">
      <c r="B20"/>
      <c r="C20"/>
      <c r="D20"/>
      <c r="E20"/>
      <c r="F20"/>
      <c r="G20"/>
      <c r="H20"/>
      <c r="I20" s="38" t="e">
        <f t="shared" si="0"/>
        <v>#DIV/0!</v>
      </c>
    </row>
    <row r="21" spans="1:43" x14ac:dyDescent="0.25">
      <c r="B21"/>
      <c r="C21"/>
      <c r="D21"/>
      <c r="E21"/>
      <c r="F21"/>
      <c r="G21"/>
      <c r="H21"/>
      <c r="I21" s="38" t="e">
        <f t="shared" si="0"/>
        <v>#DIV/0!</v>
      </c>
    </row>
    <row r="22" spans="1:43" x14ac:dyDescent="0.25">
      <c r="A22" s="53"/>
      <c r="B22"/>
      <c r="C22"/>
      <c r="D22"/>
      <c r="E22"/>
      <c r="F22"/>
      <c r="G22"/>
      <c r="H22"/>
      <c r="I22" s="38" t="e">
        <f t="shared" si="0"/>
        <v>#DIV/0!</v>
      </c>
    </row>
    <row r="23" spans="1:43" x14ac:dyDescent="0.25">
      <c r="B23"/>
      <c r="C23"/>
      <c r="D23"/>
      <c r="E23"/>
      <c r="F23"/>
      <c r="G23"/>
      <c r="H23"/>
      <c r="I23" s="38" t="e">
        <f t="shared" si="0"/>
        <v>#DIV/0!</v>
      </c>
    </row>
    <row r="24" spans="1:43" x14ac:dyDescent="0.25">
      <c r="A24" s="53"/>
      <c r="B24"/>
      <c r="C24"/>
      <c r="D24"/>
      <c r="E24"/>
      <c r="F24"/>
      <c r="G24"/>
      <c r="H24"/>
      <c r="I24" s="38" t="e">
        <f t="shared" si="0"/>
        <v>#DIV/0!</v>
      </c>
    </row>
    <row r="25" spans="1:43" x14ac:dyDescent="0.25">
      <c r="B25"/>
      <c r="C25"/>
      <c r="D25"/>
      <c r="E25"/>
      <c r="F25"/>
      <c r="G25"/>
      <c r="H25"/>
      <c r="I25" s="38" t="e">
        <f t="shared" si="0"/>
        <v>#DIV/0!</v>
      </c>
    </row>
    <row r="26" spans="1:43" x14ac:dyDescent="0.25">
      <c r="B26"/>
      <c r="C26"/>
      <c r="D26"/>
      <c r="E26"/>
      <c r="F26"/>
      <c r="G26"/>
      <c r="H26"/>
      <c r="I26" s="38" t="e">
        <f t="shared" si="0"/>
        <v>#DIV/0!</v>
      </c>
    </row>
    <row r="27" spans="1:43" x14ac:dyDescent="0.25">
      <c r="B27"/>
      <c r="C27"/>
      <c r="D27"/>
      <c r="E27"/>
      <c r="F27"/>
      <c r="G27"/>
      <c r="H27"/>
      <c r="I27" s="38" t="e">
        <f t="shared" si="0"/>
        <v>#DIV/0!</v>
      </c>
      <c r="L27" s="41" t="s">
        <v>66</v>
      </c>
      <c r="M27" s="40">
        <f>COUNTIF(M13:M25,"&gt;0.0")</f>
        <v>1</v>
      </c>
      <c r="N27" s="40">
        <f t="shared" ref="N27:AN27" si="1">COUNTIF(N13:N25,"&gt;0.0")</f>
        <v>1</v>
      </c>
      <c r="O27" s="40">
        <f t="shared" si="1"/>
        <v>1</v>
      </c>
      <c r="P27" s="40">
        <f t="shared" si="1"/>
        <v>0</v>
      </c>
      <c r="Q27" s="40">
        <f t="shared" si="1"/>
        <v>0</v>
      </c>
      <c r="R27" s="40">
        <f t="shared" si="1"/>
        <v>0</v>
      </c>
      <c r="S27" s="40">
        <f t="shared" si="1"/>
        <v>0</v>
      </c>
      <c r="T27" s="40">
        <f t="shared" si="1"/>
        <v>0</v>
      </c>
      <c r="U27" s="40">
        <f t="shared" si="1"/>
        <v>0</v>
      </c>
      <c r="V27" s="40">
        <f t="shared" si="1"/>
        <v>0</v>
      </c>
      <c r="W27" s="40">
        <f t="shared" si="1"/>
        <v>0</v>
      </c>
      <c r="X27" s="40">
        <f t="shared" si="1"/>
        <v>0</v>
      </c>
      <c r="Y27" s="40">
        <f t="shared" si="1"/>
        <v>0</v>
      </c>
      <c r="Z27" s="40">
        <f t="shared" si="1"/>
        <v>0</v>
      </c>
      <c r="AA27" s="40">
        <f t="shared" si="1"/>
        <v>0</v>
      </c>
      <c r="AB27" s="40">
        <f t="shared" si="1"/>
        <v>0</v>
      </c>
      <c r="AC27" s="40">
        <f t="shared" si="1"/>
        <v>0</v>
      </c>
      <c r="AD27" s="40">
        <f t="shared" si="1"/>
        <v>0</v>
      </c>
      <c r="AE27" s="40">
        <f t="shared" si="1"/>
        <v>0</v>
      </c>
      <c r="AF27" s="40">
        <f t="shared" si="1"/>
        <v>0</v>
      </c>
      <c r="AG27" s="40">
        <f t="shared" si="1"/>
        <v>0</v>
      </c>
      <c r="AH27" s="40">
        <f t="shared" si="1"/>
        <v>0</v>
      </c>
      <c r="AI27" s="40">
        <f t="shared" si="1"/>
        <v>0</v>
      </c>
      <c r="AJ27" s="40">
        <f t="shared" si="1"/>
        <v>0</v>
      </c>
      <c r="AK27" s="40">
        <f t="shared" si="1"/>
        <v>0</v>
      </c>
      <c r="AL27" s="40">
        <f t="shared" si="1"/>
        <v>0</v>
      </c>
      <c r="AM27" s="40">
        <f t="shared" si="1"/>
        <v>0</v>
      </c>
      <c r="AN27" s="40">
        <f t="shared" si="1"/>
        <v>0</v>
      </c>
      <c r="AO27" s="40">
        <f t="shared" ref="AO27:AQ27" si="2">COUNTIF(AO13:AO25,"&gt;0.0")</f>
        <v>0</v>
      </c>
      <c r="AP27" s="40">
        <f t="shared" si="2"/>
        <v>0</v>
      </c>
      <c r="AQ27" s="40">
        <f t="shared" si="2"/>
        <v>0</v>
      </c>
    </row>
    <row r="28" spans="1:43" x14ac:dyDescent="0.25">
      <c r="B28"/>
      <c r="C28"/>
      <c r="D28"/>
      <c r="E28"/>
      <c r="F28"/>
      <c r="G28"/>
      <c r="H28"/>
      <c r="I28" s="38" t="e">
        <f t="shared" si="0"/>
        <v>#DIV/0!</v>
      </c>
      <c r="L28" s="41" t="s">
        <v>67</v>
      </c>
      <c r="M28" s="40">
        <f>COUNTIF(M13:M25,"&lt;0.0")</f>
        <v>4</v>
      </c>
      <c r="N28" s="40">
        <f t="shared" ref="N28:AN28" si="3">COUNTIF(N13:N25,"&lt;0.0")</f>
        <v>4</v>
      </c>
      <c r="O28" s="40">
        <f t="shared" si="3"/>
        <v>4</v>
      </c>
      <c r="P28" s="40">
        <f t="shared" si="3"/>
        <v>0</v>
      </c>
      <c r="Q28" s="40">
        <f t="shared" si="3"/>
        <v>0</v>
      </c>
      <c r="R28" s="40">
        <f t="shared" si="3"/>
        <v>0</v>
      </c>
      <c r="S28" s="40">
        <f t="shared" si="3"/>
        <v>0</v>
      </c>
      <c r="T28" s="40">
        <f t="shared" si="3"/>
        <v>0</v>
      </c>
      <c r="U28" s="40">
        <f t="shared" si="3"/>
        <v>0</v>
      </c>
      <c r="V28" s="40">
        <f t="shared" si="3"/>
        <v>0</v>
      </c>
      <c r="W28" s="40">
        <f t="shared" si="3"/>
        <v>0</v>
      </c>
      <c r="X28" s="40">
        <f t="shared" si="3"/>
        <v>0</v>
      </c>
      <c r="Y28" s="40">
        <f t="shared" si="3"/>
        <v>0</v>
      </c>
      <c r="Z28" s="40">
        <f t="shared" si="3"/>
        <v>0</v>
      </c>
      <c r="AA28" s="40">
        <f t="shared" si="3"/>
        <v>0</v>
      </c>
      <c r="AB28" s="40">
        <f t="shared" si="3"/>
        <v>0</v>
      </c>
      <c r="AC28" s="40">
        <f t="shared" si="3"/>
        <v>0</v>
      </c>
      <c r="AD28" s="40">
        <f t="shared" si="3"/>
        <v>0</v>
      </c>
      <c r="AE28" s="40">
        <f t="shared" si="3"/>
        <v>0</v>
      </c>
      <c r="AF28" s="40">
        <f t="shared" si="3"/>
        <v>0</v>
      </c>
      <c r="AG28" s="40">
        <f t="shared" si="3"/>
        <v>0</v>
      </c>
      <c r="AH28" s="40">
        <f t="shared" si="3"/>
        <v>0</v>
      </c>
      <c r="AI28" s="40">
        <f t="shared" si="3"/>
        <v>0</v>
      </c>
      <c r="AJ28" s="40">
        <f t="shared" si="3"/>
        <v>0</v>
      </c>
      <c r="AK28" s="40">
        <f t="shared" si="3"/>
        <v>0</v>
      </c>
      <c r="AL28" s="40">
        <f t="shared" si="3"/>
        <v>0</v>
      </c>
      <c r="AM28" s="40">
        <f t="shared" si="3"/>
        <v>0</v>
      </c>
      <c r="AN28" s="40">
        <f t="shared" si="3"/>
        <v>0</v>
      </c>
      <c r="AO28" s="40">
        <f t="shared" ref="AO28:AQ28" si="4">COUNTIF(AO13:AO25,"&lt;0.0")</f>
        <v>0</v>
      </c>
      <c r="AP28" s="40">
        <f t="shared" si="4"/>
        <v>0</v>
      </c>
      <c r="AQ28" s="40">
        <f t="shared" si="4"/>
        <v>0</v>
      </c>
    </row>
    <row r="29" spans="1:43" x14ac:dyDescent="0.25">
      <c r="A29" s="53" t="s">
        <v>90</v>
      </c>
      <c r="B29"/>
      <c r="C29"/>
      <c r="D29"/>
      <c r="E29"/>
      <c r="F29"/>
      <c r="G29"/>
      <c r="H29"/>
      <c r="I29" s="64" t="e">
        <f t="shared" si="0"/>
        <v>#DIV/0!</v>
      </c>
      <c r="L29" s="43" t="s">
        <v>59</v>
      </c>
      <c r="M29" s="44">
        <f t="shared" ref="M29:AN29" si="5">M27/(M27+M28)</f>
        <v>0.2</v>
      </c>
      <c r="N29" s="44">
        <f t="shared" si="5"/>
        <v>0.2</v>
      </c>
      <c r="O29" s="44">
        <f t="shared" si="5"/>
        <v>0.2</v>
      </c>
      <c r="P29" s="44" t="e">
        <f t="shared" si="5"/>
        <v>#DIV/0!</v>
      </c>
      <c r="Q29" s="44" t="e">
        <f t="shared" si="5"/>
        <v>#DIV/0!</v>
      </c>
      <c r="R29" s="44" t="e">
        <f t="shared" si="5"/>
        <v>#DIV/0!</v>
      </c>
      <c r="S29" s="44" t="e">
        <f t="shared" si="5"/>
        <v>#DIV/0!</v>
      </c>
      <c r="T29" s="44" t="e">
        <f t="shared" si="5"/>
        <v>#DIV/0!</v>
      </c>
      <c r="U29" s="44" t="e">
        <f t="shared" si="5"/>
        <v>#DIV/0!</v>
      </c>
      <c r="V29" s="44" t="e">
        <f t="shared" si="5"/>
        <v>#DIV/0!</v>
      </c>
      <c r="W29" s="44" t="e">
        <f t="shared" si="5"/>
        <v>#DIV/0!</v>
      </c>
      <c r="X29" s="44" t="e">
        <f t="shared" si="5"/>
        <v>#DIV/0!</v>
      </c>
      <c r="Y29" s="44" t="e">
        <f t="shared" si="5"/>
        <v>#DIV/0!</v>
      </c>
      <c r="Z29" s="44" t="e">
        <f t="shared" si="5"/>
        <v>#DIV/0!</v>
      </c>
      <c r="AA29" s="44" t="e">
        <f t="shared" si="5"/>
        <v>#DIV/0!</v>
      </c>
      <c r="AB29" s="44" t="e">
        <f t="shared" si="5"/>
        <v>#DIV/0!</v>
      </c>
      <c r="AC29" s="44" t="e">
        <f t="shared" si="5"/>
        <v>#DIV/0!</v>
      </c>
      <c r="AD29" s="44" t="e">
        <f t="shared" si="5"/>
        <v>#DIV/0!</v>
      </c>
      <c r="AE29" s="44" t="e">
        <f t="shared" si="5"/>
        <v>#DIV/0!</v>
      </c>
      <c r="AF29" s="44" t="e">
        <f t="shared" si="5"/>
        <v>#DIV/0!</v>
      </c>
      <c r="AG29" s="44" t="e">
        <f t="shared" si="5"/>
        <v>#DIV/0!</v>
      </c>
      <c r="AH29" s="44" t="e">
        <f t="shared" si="5"/>
        <v>#DIV/0!</v>
      </c>
      <c r="AI29" s="44" t="e">
        <f t="shared" si="5"/>
        <v>#DIV/0!</v>
      </c>
      <c r="AJ29" s="44" t="e">
        <f t="shared" si="5"/>
        <v>#DIV/0!</v>
      </c>
      <c r="AK29" s="44" t="e">
        <f t="shared" si="5"/>
        <v>#DIV/0!</v>
      </c>
      <c r="AL29" s="44" t="e">
        <f t="shared" si="5"/>
        <v>#DIV/0!</v>
      </c>
      <c r="AM29" s="44" t="e">
        <f t="shared" si="5"/>
        <v>#DIV/0!</v>
      </c>
      <c r="AN29" s="44" t="e">
        <f t="shared" si="5"/>
        <v>#DIV/0!</v>
      </c>
      <c r="AO29" s="44" t="e">
        <f t="shared" ref="AO29" si="6">AO27/(AO27+AO28)</f>
        <v>#DIV/0!</v>
      </c>
      <c r="AP29" s="44" t="e">
        <f t="shared" ref="AP29" si="7">AP27/(AP27+AP28)</f>
        <v>#DIV/0!</v>
      </c>
      <c r="AQ29" s="44" t="e">
        <f t="shared" ref="AQ29" si="8">AQ27/(AQ27+AQ28)</f>
        <v>#DIV/0!</v>
      </c>
    </row>
    <row r="30" spans="1:43" x14ac:dyDescent="0.25">
      <c r="B30"/>
      <c r="C30"/>
      <c r="D30"/>
      <c r="E30"/>
      <c r="F30"/>
      <c r="G30"/>
      <c r="H30"/>
      <c r="I30" s="38" t="e">
        <f t="shared" si="0"/>
        <v>#DIV/0!</v>
      </c>
    </row>
    <row r="31" spans="1:43" x14ac:dyDescent="0.25">
      <c r="B31"/>
      <c r="C31"/>
      <c r="D31"/>
      <c r="E31"/>
      <c r="F31"/>
      <c r="G31"/>
      <c r="H31"/>
      <c r="I31" s="38" t="e">
        <f t="shared" si="0"/>
        <v>#DIV/0!</v>
      </c>
    </row>
    <row r="32" spans="1:43" x14ac:dyDescent="0.25">
      <c r="B32"/>
      <c r="C32"/>
      <c r="D32"/>
      <c r="E32"/>
      <c r="F32"/>
      <c r="G32"/>
      <c r="H32"/>
      <c r="I32" s="38" t="e">
        <f t="shared" si="0"/>
        <v>#DIV/0!</v>
      </c>
    </row>
    <row r="33" spans="1:50" x14ac:dyDescent="0.25">
      <c r="B33"/>
      <c r="C33"/>
      <c r="D33"/>
      <c r="E33"/>
      <c r="F33"/>
      <c r="G33"/>
      <c r="H33"/>
      <c r="I33" s="38" t="e">
        <f t="shared" si="0"/>
        <v>#DIV/0!</v>
      </c>
    </row>
    <row r="34" spans="1:50" x14ac:dyDescent="0.25">
      <c r="B34"/>
      <c r="C34"/>
      <c r="D34"/>
      <c r="E34"/>
      <c r="F34"/>
      <c r="G34"/>
      <c r="H34"/>
      <c r="I34" s="38" t="e">
        <f t="shared" si="0"/>
        <v>#DIV/0!</v>
      </c>
    </row>
    <row r="35" spans="1:50" x14ac:dyDescent="0.25">
      <c r="A35" s="53"/>
      <c r="B35"/>
      <c r="C35"/>
      <c r="D35"/>
      <c r="E35"/>
      <c r="F35"/>
      <c r="G35"/>
      <c r="H35"/>
      <c r="I35" s="38" t="e">
        <f t="shared" si="0"/>
        <v>#DIV/0!</v>
      </c>
    </row>
    <row r="36" spans="1:50" x14ac:dyDescent="0.25">
      <c r="A36" s="53"/>
      <c r="B36"/>
      <c r="C36"/>
      <c r="D36"/>
      <c r="E36"/>
      <c r="F36"/>
      <c r="G36"/>
      <c r="H36"/>
      <c r="I36" s="38" t="e">
        <f t="shared" si="0"/>
        <v>#DIV/0!</v>
      </c>
    </row>
    <row r="37" spans="1:50" x14ac:dyDescent="0.25">
      <c r="A37" s="53"/>
      <c r="B37"/>
      <c r="C37"/>
      <c r="D37"/>
      <c r="E37"/>
      <c r="F37"/>
      <c r="G37"/>
      <c r="H37"/>
      <c r="I37" s="38" t="e">
        <f t="shared" si="0"/>
        <v>#DIV/0!</v>
      </c>
    </row>
    <row r="38" spans="1:50" x14ac:dyDescent="0.25">
      <c r="B38"/>
      <c r="C38"/>
      <c r="D38"/>
      <c r="E38"/>
      <c r="F38"/>
      <c r="G38"/>
      <c r="H38"/>
      <c r="I38" s="38" t="e">
        <f t="shared" si="0"/>
        <v>#DIV/0!</v>
      </c>
    </row>
    <row r="39" spans="1:50" x14ac:dyDescent="0.25">
      <c r="B39"/>
      <c r="C39"/>
      <c r="D39"/>
      <c r="E39"/>
      <c r="F39"/>
      <c r="G39"/>
      <c r="H39"/>
      <c r="I39" s="38" t="e">
        <f t="shared" si="0"/>
        <v>#DIV/0!</v>
      </c>
    </row>
    <row r="40" spans="1:50" x14ac:dyDescent="0.25">
      <c r="B40"/>
      <c r="C40"/>
      <c r="D40"/>
      <c r="E40"/>
      <c r="F40"/>
      <c r="G40"/>
      <c r="H40"/>
      <c r="I40" s="38" t="e">
        <f t="shared" si="0"/>
        <v>#DIV/0!</v>
      </c>
      <c r="AX40" s="53" t="s">
        <v>90</v>
      </c>
    </row>
    <row r="41" spans="1:50" x14ac:dyDescent="0.25">
      <c r="B41"/>
      <c r="C41"/>
      <c r="D41"/>
      <c r="E41"/>
      <c r="F41"/>
      <c r="G41"/>
      <c r="H41"/>
      <c r="I41" s="38" t="e">
        <f t="shared" si="0"/>
        <v>#DIV/0!</v>
      </c>
    </row>
    <row r="42" spans="1:50" x14ac:dyDescent="0.25">
      <c r="B42"/>
      <c r="C42"/>
      <c r="D42"/>
      <c r="E42"/>
      <c r="F42"/>
      <c r="G42"/>
      <c r="H42"/>
      <c r="I42" s="38" t="e">
        <f t="shared" si="0"/>
        <v>#DIV/0!</v>
      </c>
    </row>
    <row r="43" spans="1:50" x14ac:dyDescent="0.25">
      <c r="B43"/>
      <c r="C43"/>
      <c r="D43"/>
      <c r="E43"/>
      <c r="F43"/>
      <c r="G43"/>
      <c r="H43"/>
      <c r="I43" s="38" t="e">
        <f t="shared" si="0"/>
        <v>#DIV/0!</v>
      </c>
    </row>
    <row r="44" spans="1:50" x14ac:dyDescent="0.25">
      <c r="B44"/>
      <c r="C44"/>
      <c r="D44"/>
      <c r="E44"/>
      <c r="F44"/>
      <c r="G44"/>
      <c r="H44"/>
      <c r="I44" s="38" t="e">
        <f t="shared" si="0"/>
        <v>#DIV/0!</v>
      </c>
    </row>
    <row r="45" spans="1:50" x14ac:dyDescent="0.25">
      <c r="B45"/>
      <c r="C45"/>
      <c r="D45"/>
      <c r="E45"/>
      <c r="F45"/>
      <c r="G45"/>
      <c r="H45"/>
    </row>
    <row r="46" spans="1:50" x14ac:dyDescent="0.25"/>
    <row r="47" spans="1:50" ht="23.25" x14ac:dyDescent="0.35">
      <c r="A47" s="54" t="s">
        <v>83</v>
      </c>
    </row>
    <row r="48" spans="1:50" x14ac:dyDescent="0.25">
      <c r="A48" s="46" t="s">
        <v>79</v>
      </c>
      <c r="B48" s="52" t="s">
        <v>80</v>
      </c>
    </row>
    <row r="49" spans="1:36" x14ac:dyDescent="0.25">
      <c r="A49" s="26" t="s">
        <v>75</v>
      </c>
      <c r="M49" s="53" t="s">
        <v>90</v>
      </c>
      <c r="T49" s="53" t="s">
        <v>90</v>
      </c>
      <c r="Z49" s="53" t="s">
        <v>90</v>
      </c>
      <c r="AA49" s="53" t="s">
        <v>90</v>
      </c>
      <c r="AB49" s="53" t="s">
        <v>90</v>
      </c>
    </row>
    <row r="50" spans="1:36" s="28" customFormat="1" x14ac:dyDescent="0.25">
      <c r="A50" s="46" t="s">
        <v>52</v>
      </c>
      <c r="B50" s="66" t="s">
        <v>74</v>
      </c>
      <c r="C50" s="52"/>
      <c r="D50" s="5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s="28" customFormat="1" x14ac:dyDescent="0.25">
      <c r="A51" s="46" t="s">
        <v>50</v>
      </c>
      <c r="B51" s="42" t="s">
        <v>118</v>
      </c>
      <c r="C51" s="42" t="s">
        <v>93</v>
      </c>
      <c r="D51" s="45" t="s">
        <v>51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s="28" customFormat="1" x14ac:dyDescent="0.25">
      <c r="A52" s="47" t="s">
        <v>96</v>
      </c>
      <c r="B52" s="99">
        <v>-1.8900000000000003</v>
      </c>
      <c r="C52" s="99">
        <v>-0.94000000000000017</v>
      </c>
      <c r="D52" s="99">
        <v>-2.8300000000000005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s="28" customFormat="1" x14ac:dyDescent="0.25">
      <c r="A53" s="47" t="s">
        <v>248</v>
      </c>
      <c r="B53" s="99">
        <v>-2.42</v>
      </c>
      <c r="C53" s="99">
        <v>-0.7599999999999999</v>
      </c>
      <c r="D53" s="99">
        <v>-3.1799999999999997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s="28" customFormat="1" x14ac:dyDescent="0.25">
      <c r="A54" s="47" t="s">
        <v>51</v>
      </c>
      <c r="B54" s="99">
        <v>-4.3100000000000005</v>
      </c>
      <c r="C54" s="99">
        <v>-1.7000000000000002</v>
      </c>
      <c r="D54" s="99">
        <v>-6.01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x14ac:dyDescent="0.25">
      <c r="B55"/>
      <c r="C55"/>
      <c r="D55"/>
      <c r="E55"/>
      <c r="F55"/>
      <c r="G55"/>
      <c r="H55"/>
    </row>
    <row r="56" spans="1:36" x14ac:dyDescent="0.25">
      <c r="B56"/>
      <c r="C56"/>
      <c r="D56"/>
      <c r="E56"/>
      <c r="F56"/>
      <c r="G56"/>
      <c r="H56"/>
    </row>
    <row r="57" spans="1:36" x14ac:dyDescent="0.25">
      <c r="B57"/>
      <c r="C57"/>
      <c r="D57"/>
      <c r="E57"/>
      <c r="F57"/>
      <c r="G57"/>
      <c r="H57"/>
    </row>
    <row r="58" spans="1:36" x14ac:dyDescent="0.25">
      <c r="B58"/>
      <c r="C58"/>
      <c r="D58"/>
      <c r="E58"/>
      <c r="F58"/>
      <c r="G58"/>
      <c r="H58"/>
    </row>
    <row r="59" spans="1:36" x14ac:dyDescent="0.25">
      <c r="B59"/>
      <c r="C59"/>
      <c r="D59"/>
      <c r="E59"/>
      <c r="F59"/>
      <c r="G59"/>
      <c r="H59"/>
    </row>
    <row r="60" spans="1:36" x14ac:dyDescent="0.25"/>
    <row r="61" spans="1:36" x14ac:dyDescent="0.25"/>
    <row r="62" spans="1:36" x14ac:dyDescent="0.25"/>
    <row r="63" spans="1:36" x14ac:dyDescent="0.25"/>
    <row r="64" spans="1:36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spans="2:8" x14ac:dyDescent="0.25"/>
    <row r="98" spans="2:8" x14ac:dyDescent="0.25">
      <c r="B98"/>
      <c r="C98"/>
      <c r="D98"/>
      <c r="E98"/>
      <c r="F98"/>
      <c r="G98"/>
      <c r="H98" s="38"/>
    </row>
    <row r="99" spans="2:8" x14ac:dyDescent="0.25">
      <c r="B99"/>
      <c r="C99"/>
      <c r="D99"/>
      <c r="E99"/>
      <c r="F99"/>
      <c r="G99"/>
      <c r="H99" s="24"/>
    </row>
    <row r="100" spans="2:8" x14ac:dyDescent="0.25"/>
    <row r="101" spans="2:8" x14ac:dyDescent="0.25"/>
    <row r="102" spans="2:8" x14ac:dyDescent="0.25"/>
    <row r="103" spans="2:8" x14ac:dyDescent="0.25"/>
    <row r="104" spans="2:8" x14ac:dyDescent="0.25"/>
    <row r="105" spans="2:8" x14ac:dyDescent="0.25"/>
    <row r="106" spans="2:8" x14ac:dyDescent="0.25"/>
    <row r="107" spans="2:8" x14ac:dyDescent="0.25"/>
    <row r="108" spans="2:8" x14ac:dyDescent="0.25"/>
  </sheetData>
  <conditionalFormatting pivot="1">
    <cfRule type="cellIs" dxfId="458" priority="49" operator="lessThan">
      <formula>0</formula>
    </cfRule>
    <cfRule type="cellIs" dxfId="457" priority="50" operator="greaterThan">
      <formula>0</formula>
    </cfRule>
  </conditionalFormatting>
  <conditionalFormatting pivot="1">
    <cfRule type="cellIs" dxfId="456" priority="46" operator="greaterThan">
      <formula>0</formula>
    </cfRule>
  </conditionalFormatting>
  <conditionalFormatting pivot="1">
    <cfRule type="cellIs" dxfId="455" priority="45" operator="lessThan">
      <formula>0</formula>
    </cfRule>
  </conditionalFormatting>
  <conditionalFormatting pivot="1">
    <cfRule type="cellIs" dxfId="454" priority="44" operator="greaterThan">
      <formula>0</formula>
    </cfRule>
  </conditionalFormatting>
  <conditionalFormatting pivot="1">
    <cfRule type="cellIs" dxfId="453" priority="43" operator="lessThan">
      <formula>0</formula>
    </cfRule>
  </conditionalFormatting>
  <conditionalFormatting pivot="1">
    <cfRule type="cellIs" dxfId="452" priority="41" operator="lessThan">
      <formula>0</formula>
    </cfRule>
    <cfRule type="cellIs" dxfId="451" priority="42" operator="greaterThan">
      <formula>0</formula>
    </cfRule>
  </conditionalFormatting>
  <conditionalFormatting pivot="1">
    <cfRule type="cellIs" dxfId="450" priority="39" operator="lessThan">
      <formula>0</formula>
    </cfRule>
    <cfRule type="cellIs" dxfId="449" priority="40" operator="greaterThan">
      <formula>0</formula>
    </cfRule>
  </conditionalFormatting>
  <conditionalFormatting pivot="1">
    <cfRule type="cellIs" dxfId="448" priority="37" operator="lessThan">
      <formula>0</formula>
    </cfRule>
    <cfRule type="cellIs" dxfId="447" priority="38" operator="greaterThan">
      <formula>0</formula>
    </cfRule>
  </conditionalFormatting>
  <conditionalFormatting sqref="M29:AK29">
    <cfRule type="cellIs" dxfId="446" priority="36" operator="greaterThanOrEqual">
      <formula>0.75</formula>
    </cfRule>
  </conditionalFormatting>
  <conditionalFormatting sqref="F9:F10">
    <cfRule type="cellIs" dxfId="445" priority="34" operator="greaterThanOrEqual">
      <formula>0.7</formula>
    </cfRule>
    <cfRule type="cellIs" dxfId="444" priority="35" operator="greaterThanOrEqual">
      <formula>0.75</formula>
    </cfRule>
  </conditionalFormatting>
  <conditionalFormatting sqref="M29:AQ29">
    <cfRule type="cellIs" dxfId="443" priority="31" operator="greaterThan">
      <formula>0.6999</formula>
    </cfRule>
  </conditionalFormatting>
  <conditionalFormatting pivot="1">
    <cfRule type="cellIs" dxfId="442" priority="25" operator="lessThan">
      <formula>0</formula>
    </cfRule>
    <cfRule type="cellIs" dxfId="441" priority="26" operator="greaterThan">
      <formula>0</formula>
    </cfRule>
  </conditionalFormatting>
  <conditionalFormatting sqref="I11:I28 I30:I44">
    <cfRule type="cellIs" dxfId="440" priority="23" operator="greaterThanOrEqual">
      <formula>0.7</formula>
    </cfRule>
    <cfRule type="cellIs" dxfId="439" priority="24" operator="greaterThanOrEqual">
      <formula>0.75</formula>
    </cfRule>
  </conditionalFormatting>
  <conditionalFormatting pivot="1">
    <cfRule type="cellIs" dxfId="438" priority="21" operator="lessThan">
      <formula>0</formula>
    </cfRule>
    <cfRule type="cellIs" dxfId="437" priority="22" operator="greaterThan">
      <formula>0</formula>
    </cfRule>
  </conditionalFormatting>
  <conditionalFormatting pivot="1">
    <cfRule type="cellIs" dxfId="436" priority="19" operator="lessThan">
      <formula>0</formula>
    </cfRule>
    <cfRule type="cellIs" dxfId="435" priority="20" operator="greaterThan">
      <formula>0</formula>
    </cfRule>
  </conditionalFormatting>
  <conditionalFormatting sqref="H98">
    <cfRule type="cellIs" dxfId="434" priority="17" operator="greaterThanOrEqual">
      <formula>0.7</formula>
    </cfRule>
    <cfRule type="cellIs" dxfId="433" priority="18" operator="greaterThanOrEqual">
      <formula>0.75</formula>
    </cfRule>
  </conditionalFormatting>
  <conditionalFormatting sqref="I29">
    <cfRule type="cellIs" dxfId="432" priority="3" operator="greaterThanOrEqual">
      <formula>0.7</formula>
    </cfRule>
    <cfRule type="cellIs" dxfId="431" priority="4" operator="greaterThanOrEqual">
      <formula>0.75</formula>
    </cfRule>
  </conditionalFormatting>
  <pageMargins left="0.7" right="0.7" top="0.75" bottom="0.75" header="0.3" footer="0.3"/>
  <pageSetup orientation="portrait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3A90F-D60C-4BF9-8174-DD156E24668E}">
  <sheetPr codeName="Sheet13"/>
  <dimension ref="A1:AN327"/>
  <sheetViews>
    <sheetView showGridLines="0" tabSelected="1" topLeftCell="A22" workbookViewId="0">
      <selection activeCell="E46" sqref="E46"/>
    </sheetView>
  </sheetViews>
  <sheetFormatPr defaultRowHeight="15" x14ac:dyDescent="0.25"/>
  <cols>
    <col min="1" max="1" width="33.5703125" bestFit="1" customWidth="1"/>
    <col min="2" max="2" width="17.85546875" bestFit="1" customWidth="1"/>
    <col min="3" max="3" width="16.28515625" bestFit="1" customWidth="1"/>
    <col min="4" max="4" width="16.7109375" style="24" bestFit="1" customWidth="1"/>
    <col min="5" max="5" width="26.28515625" style="24" bestFit="1" customWidth="1"/>
    <col min="6" max="6" width="18.140625" style="24" bestFit="1" customWidth="1"/>
    <col min="7" max="7" width="14.7109375" style="24" customWidth="1"/>
    <col min="8" max="8" width="18.140625" style="24" bestFit="1" customWidth="1"/>
    <col min="9" max="9" width="26.85546875" style="24" bestFit="1" customWidth="1"/>
    <col min="10" max="11" width="14.7109375" style="24" customWidth="1"/>
    <col min="12" max="12" width="16.28515625" style="24" bestFit="1" customWidth="1"/>
    <col min="13" max="13" width="3" bestFit="1" customWidth="1"/>
    <col min="14" max="14" width="33.5703125" bestFit="1" customWidth="1"/>
    <col min="15" max="15" width="17.85546875" bestFit="1" customWidth="1"/>
    <col min="16" max="16" width="16.28515625" style="29" bestFit="1" customWidth="1"/>
    <col min="17" max="17" width="16.7109375" style="29" bestFit="1" customWidth="1"/>
    <col min="18" max="18" width="2" style="29" bestFit="1" customWidth="1"/>
    <col min="19" max="19" width="8.42578125" style="29" bestFit="1" customWidth="1"/>
    <col min="20" max="20" width="2" bestFit="1" customWidth="1"/>
    <col min="21" max="21" width="3" bestFit="1" customWidth="1"/>
    <col min="22" max="22" width="13.140625" bestFit="1" customWidth="1"/>
    <col min="23" max="24" width="16.28515625" bestFit="1" customWidth="1"/>
    <col min="25" max="26" width="2" bestFit="1" customWidth="1"/>
    <col min="27" max="27" width="11.28515625" bestFit="1" customWidth="1"/>
    <col min="28" max="28" width="3.85546875" customWidth="1"/>
    <col min="29" max="29" width="33.5703125" bestFit="1" customWidth="1"/>
    <col min="30" max="30" width="17.85546875" bestFit="1" customWidth="1"/>
    <col min="31" max="31" width="12.5703125" bestFit="1" customWidth="1"/>
    <col min="32" max="32" width="11.85546875" bestFit="1" customWidth="1"/>
    <col min="33" max="33" width="12.5703125" bestFit="1" customWidth="1"/>
    <col min="34" max="34" width="16.85546875" bestFit="1" customWidth="1"/>
    <col min="35" max="35" width="17.7109375" bestFit="1" customWidth="1"/>
    <col min="36" max="36" width="12.28515625" style="29" bestFit="1" customWidth="1"/>
  </cols>
  <sheetData>
    <row r="1" spans="1:40" ht="18.75" x14ac:dyDescent="0.25">
      <c r="D1" s="29"/>
      <c r="J1" s="1"/>
      <c r="Q1" s="29" t="s">
        <v>55</v>
      </c>
      <c r="S1" s="60">
        <v>29</v>
      </c>
    </row>
    <row r="2" spans="1:40" x14ac:dyDescent="0.25">
      <c r="D2" s="29"/>
      <c r="J2" s="1"/>
    </row>
    <row r="3" spans="1:40" x14ac:dyDescent="0.25">
      <c r="D3" s="87"/>
      <c r="J3" s="1"/>
    </row>
    <row r="4" spans="1:40" x14ac:dyDescent="0.25">
      <c r="B4" s="27" t="s">
        <v>57</v>
      </c>
      <c r="C4" s="28"/>
      <c r="D4" s="29"/>
      <c r="G4" s="29"/>
      <c r="J4" s="88"/>
      <c r="K4" s="29"/>
      <c r="O4" s="48"/>
    </row>
    <row r="5" spans="1:40" x14ac:dyDescent="0.25">
      <c r="B5" s="30" t="s">
        <v>58</v>
      </c>
      <c r="C5" s="31">
        <f>MEDIAN(B22:B61)</f>
        <v>-0.3</v>
      </c>
      <c r="E5" s="30" t="s">
        <v>131</v>
      </c>
      <c r="F5" s="89">
        <f>SUMIFS(B:B,A:A,"&lt;&gt;Grand Total",B:B,"&gt;0.0")</f>
        <v>3.9099999999999997</v>
      </c>
      <c r="H5" s="1"/>
      <c r="J5" s="1"/>
      <c r="O5" s="48"/>
    </row>
    <row r="6" spans="1:40" x14ac:dyDescent="0.25">
      <c r="B6" s="30" t="s">
        <v>60</v>
      </c>
      <c r="C6" s="31">
        <f>AVERAGE(B22:B61)</f>
        <v>-0.23297297297297295</v>
      </c>
      <c r="D6" s="29"/>
      <c r="E6" s="30" t="s">
        <v>130</v>
      </c>
      <c r="F6" s="89">
        <f>SUMIFS(B:B,A:A,"&lt;&gt;Grand Total",B:B,"&lt;0.0")</f>
        <v>-8.2199999999999989</v>
      </c>
      <c r="H6" s="1"/>
      <c r="J6" s="1"/>
      <c r="O6" s="48"/>
    </row>
    <row r="7" spans="1:40" x14ac:dyDescent="0.25">
      <c r="B7" s="30" t="s">
        <v>61</v>
      </c>
      <c r="C7" s="31">
        <f>MIN(B22:B61)</f>
        <v>-4.3099999999999996</v>
      </c>
      <c r="D7" s="29"/>
      <c r="E7" s="75" t="s">
        <v>129</v>
      </c>
      <c r="F7" s="89">
        <f>F5/F6</f>
        <v>-0.47566909975669103</v>
      </c>
      <c r="H7" s="1"/>
      <c r="J7" s="1"/>
      <c r="O7" s="48"/>
      <c r="AC7" s="21" t="s">
        <v>29</v>
      </c>
      <c r="AD7" t="s">
        <v>118</v>
      </c>
    </row>
    <row r="8" spans="1:40" x14ac:dyDescent="0.25">
      <c r="B8" s="30" t="s">
        <v>62</v>
      </c>
      <c r="C8" s="31">
        <f>MAX(B22:B61)</f>
        <v>0.69</v>
      </c>
      <c r="D8" s="29"/>
      <c r="E8" s="90" t="s">
        <v>134</v>
      </c>
      <c r="F8" s="32">
        <f>AVERAGE(J:J)</f>
        <v>-3.1600243279810303E-3</v>
      </c>
      <c r="H8" s="1"/>
      <c r="J8" s="1"/>
      <c r="O8" s="48"/>
      <c r="AC8" s="21" t="s">
        <v>79</v>
      </c>
      <c r="AD8" t="s">
        <v>80</v>
      </c>
    </row>
    <row r="9" spans="1:40" x14ac:dyDescent="0.25">
      <c r="B9" s="30" t="s">
        <v>59</v>
      </c>
      <c r="C9" s="32">
        <f>COUNTIF(D:D,"W")/(COUNTIF(D:D,"W")+COUNTIF(D:D,"L"))</f>
        <v>0.25</v>
      </c>
      <c r="D9" s="29"/>
      <c r="E9" s="90" t="s">
        <v>135</v>
      </c>
      <c r="F9" s="32">
        <f>_xlfn.STDEV.S(J:J)</f>
        <v>1.3225904087713423E-2</v>
      </c>
      <c r="O9" s="48"/>
    </row>
    <row r="10" spans="1:40" x14ac:dyDescent="0.25">
      <c r="B10" s="30" t="s">
        <v>101</v>
      </c>
      <c r="C10" s="31">
        <f>MIN(G:G)</f>
        <v>-4.25</v>
      </c>
      <c r="D10" s="29"/>
      <c r="E10" s="91" t="s">
        <v>136</v>
      </c>
      <c r="F10" s="32">
        <f>F8/F9</f>
        <v>-0.23892690488483309</v>
      </c>
      <c r="G10" s="29"/>
      <c r="H10" s="29"/>
      <c r="I10" s="29"/>
      <c r="J10" s="29"/>
      <c r="K10" s="29"/>
      <c r="O10" s="48"/>
      <c r="AD10" s="21" t="s">
        <v>74</v>
      </c>
      <c r="AJ10" s="59"/>
      <c r="AK10" s="58"/>
    </row>
    <row r="11" spans="1:40" x14ac:dyDescent="0.25">
      <c r="B11" s="75" t="s">
        <v>102</v>
      </c>
      <c r="C11" s="76">
        <f>MIN(H:H)</f>
        <v>-7.3351743182602736E-2</v>
      </c>
      <c r="O11" s="48"/>
      <c r="AD11" t="s">
        <v>67</v>
      </c>
      <c r="AF11" t="s">
        <v>66</v>
      </c>
      <c r="AH11" t="s">
        <v>84</v>
      </c>
      <c r="AI11" t="s">
        <v>85</v>
      </c>
      <c r="AJ11" s="59"/>
      <c r="AK11" s="58"/>
    </row>
    <row r="12" spans="1:40" x14ac:dyDescent="0.25">
      <c r="B12" s="30" t="s">
        <v>100</v>
      </c>
      <c r="C12" s="31">
        <f>MAX(F:F)</f>
        <v>57.94</v>
      </c>
      <c r="O12" s="48"/>
      <c r="AC12" s="21" t="s">
        <v>50</v>
      </c>
      <c r="AD12" t="s">
        <v>86</v>
      </c>
      <c r="AE12" t="s">
        <v>52</v>
      </c>
      <c r="AF12" t="s">
        <v>86</v>
      </c>
      <c r="AG12" t="s">
        <v>52</v>
      </c>
      <c r="AH12" s="58"/>
      <c r="AI12" s="58"/>
      <c r="AJ12" s="59" t="s">
        <v>68</v>
      </c>
      <c r="AK12" s="58" t="s">
        <v>89</v>
      </c>
      <c r="AL12" s="24" t="s">
        <v>97</v>
      </c>
      <c r="AM12" s="24" t="s">
        <v>98</v>
      </c>
      <c r="AN12" s="74" t="s">
        <v>99</v>
      </c>
    </row>
    <row r="13" spans="1:40" x14ac:dyDescent="0.25">
      <c r="B13" s="27"/>
      <c r="AC13" s="1" t="s">
        <v>96</v>
      </c>
      <c r="AD13" s="95">
        <v>14</v>
      </c>
      <c r="AE13" s="95">
        <v>-4.2799999999999985</v>
      </c>
      <c r="AF13" s="95">
        <v>5</v>
      </c>
      <c r="AG13" s="95">
        <v>2.3899999999999997</v>
      </c>
      <c r="AH13" s="95">
        <v>19</v>
      </c>
      <c r="AI13" s="95">
        <v>-1.8899999999999988</v>
      </c>
      <c r="AJ13" s="57">
        <f>AF13/AH13</f>
        <v>0.26315789473684209</v>
      </c>
      <c r="AK13" s="25">
        <f>S1+AI13</f>
        <v>27.11</v>
      </c>
      <c r="AL13" s="24"/>
      <c r="AM13" s="24"/>
      <c r="AN13" s="57"/>
    </row>
    <row r="14" spans="1:40" x14ac:dyDescent="0.25">
      <c r="B14" s="27"/>
      <c r="AC14" s="1" t="s">
        <v>248</v>
      </c>
      <c r="AD14" s="95">
        <v>13</v>
      </c>
      <c r="AE14" s="95">
        <v>-3.9399999999999995</v>
      </c>
      <c r="AF14" s="95">
        <v>4</v>
      </c>
      <c r="AG14" s="95">
        <v>1.52</v>
      </c>
      <c r="AH14" s="95">
        <v>17</v>
      </c>
      <c r="AI14" s="95">
        <v>-2.4199999999999995</v>
      </c>
      <c r="AJ14" s="57">
        <f t="shared" ref="AJ14:AJ17" si="0">AF14/AH14</f>
        <v>0.23529411764705882</v>
      </c>
      <c r="AK14" s="25">
        <f>IF(OR(AC14="Grand Total",AC14=""),"",AI14+AK13)</f>
        <v>24.69</v>
      </c>
      <c r="AL14" s="24"/>
      <c r="AM14" s="24"/>
      <c r="AN14" s="57"/>
    </row>
    <row r="15" spans="1:40" x14ac:dyDescent="0.25">
      <c r="B15" s="27"/>
      <c r="E15" s="29"/>
      <c r="F15" s="29"/>
      <c r="G15" s="29"/>
      <c r="H15" s="29"/>
      <c r="I15" s="29"/>
      <c r="J15" s="29"/>
      <c r="K15" s="29"/>
      <c r="AC15" s="1" t="s">
        <v>51</v>
      </c>
      <c r="AD15" s="95">
        <v>27</v>
      </c>
      <c r="AE15" s="95">
        <v>-8.2199999999999971</v>
      </c>
      <c r="AF15" s="95">
        <v>9</v>
      </c>
      <c r="AG15" s="95">
        <v>3.9099999999999997</v>
      </c>
      <c r="AH15" s="95">
        <v>36</v>
      </c>
      <c r="AI15" s="95">
        <v>-4.3099999999999987</v>
      </c>
      <c r="AJ15" s="57">
        <f t="shared" si="0"/>
        <v>0.25</v>
      </c>
      <c r="AK15" s="25" t="str">
        <f t="shared" ref="AJ15:AK30" si="1">IF(OR(AC15="Grand Total",AC15=""),"",AI15+AK14)</f>
        <v/>
      </c>
    </row>
    <row r="16" spans="1:40" x14ac:dyDescent="0.25">
      <c r="A16" s="26" t="s">
        <v>56</v>
      </c>
      <c r="B16" s="27"/>
      <c r="E16" s="29"/>
      <c r="F16" s="29"/>
      <c r="G16" s="29"/>
      <c r="H16" s="29"/>
      <c r="I16" s="29"/>
      <c r="J16" s="29"/>
      <c r="K16" s="29"/>
      <c r="AJ16" s="57" t="e">
        <f t="shared" si="0"/>
        <v>#DIV/0!</v>
      </c>
      <c r="AK16" s="25" t="str">
        <f t="shared" si="1"/>
        <v/>
      </c>
    </row>
    <row r="17" spans="1:37" x14ac:dyDescent="0.25">
      <c r="AJ17" s="57" t="e">
        <f t="shared" si="0"/>
        <v>#DIV/0!</v>
      </c>
      <c r="AK17" s="25" t="str">
        <f t="shared" si="1"/>
        <v/>
      </c>
    </row>
    <row r="18" spans="1:37" x14ac:dyDescent="0.25">
      <c r="A18" s="21" t="s">
        <v>29</v>
      </c>
      <c r="B18" t="s">
        <v>118</v>
      </c>
      <c r="C18" s="24"/>
      <c r="L18"/>
      <c r="N18" s="21" t="s">
        <v>29</v>
      </c>
      <c r="O18" t="s">
        <v>118</v>
      </c>
      <c r="S18"/>
      <c r="V18" s="21" t="s">
        <v>29</v>
      </c>
      <c r="W18" t="s">
        <v>118</v>
      </c>
      <c r="AJ18" s="57" t="e">
        <f t="shared" ref="AJ18:AJ19" si="2">AF18/AH18</f>
        <v>#DIV/0!</v>
      </c>
      <c r="AK18" s="25" t="str">
        <f t="shared" ref="AK18:AK19" si="3">IF(OR(AC18="Grand Total",AC18=""),"",AI18+AK17)</f>
        <v/>
      </c>
    </row>
    <row r="19" spans="1:37" x14ac:dyDescent="0.25">
      <c r="A19" s="21" t="s">
        <v>79</v>
      </c>
      <c r="B19" t="s">
        <v>80</v>
      </c>
      <c r="C19" s="24"/>
      <c r="L19"/>
      <c r="N19" s="21" t="s">
        <v>79</v>
      </c>
      <c r="O19" t="s">
        <v>80</v>
      </c>
      <c r="S19"/>
      <c r="V19" s="21" t="s">
        <v>79</v>
      </c>
      <c r="W19" t="s">
        <v>80</v>
      </c>
      <c r="AJ19" s="57" t="e">
        <f t="shared" si="2"/>
        <v>#DIV/0!</v>
      </c>
      <c r="AK19" s="25" t="str">
        <f t="shared" si="3"/>
        <v/>
      </c>
    </row>
    <row r="20" spans="1:37" x14ac:dyDescent="0.25">
      <c r="C20" s="24"/>
      <c r="L20"/>
      <c r="O20" s="29"/>
      <c r="S20"/>
      <c r="AI20" s="57"/>
      <c r="AJ20" s="25" t="str">
        <f t="shared" si="1"/>
        <v/>
      </c>
    </row>
    <row r="21" spans="1:37" x14ac:dyDescent="0.25">
      <c r="A21" s="21" t="s">
        <v>50</v>
      </c>
      <c r="B21" t="s">
        <v>52</v>
      </c>
      <c r="C21" s="55" t="s">
        <v>53</v>
      </c>
      <c r="D21" s="55" t="s">
        <v>26</v>
      </c>
      <c r="E21" s="55" t="s">
        <v>54</v>
      </c>
      <c r="F21" s="24" t="s">
        <v>137</v>
      </c>
      <c r="G21" s="24" t="s">
        <v>98</v>
      </c>
      <c r="H21" s="74" t="s">
        <v>99</v>
      </c>
      <c r="I21" s="74" t="s">
        <v>132</v>
      </c>
      <c r="J21" s="74" t="s">
        <v>133</v>
      </c>
      <c r="K21" s="74"/>
      <c r="L21"/>
      <c r="N21" s="21" t="s">
        <v>50</v>
      </c>
      <c r="O21" s="29" t="s">
        <v>52</v>
      </c>
      <c r="P21" s="61" t="s">
        <v>53</v>
      </c>
      <c r="Q21" s="29" t="s">
        <v>26</v>
      </c>
      <c r="R21" s="29" t="s">
        <v>54</v>
      </c>
      <c r="S21"/>
      <c r="V21" s="21" t="s">
        <v>50</v>
      </c>
      <c r="W21" t="s">
        <v>52</v>
      </c>
      <c r="AI21" s="57"/>
      <c r="AJ21" s="25" t="str">
        <f t="shared" si="1"/>
        <v/>
      </c>
    </row>
    <row r="22" spans="1:37" x14ac:dyDescent="0.25">
      <c r="A22" s="22">
        <v>45925.475798611114</v>
      </c>
      <c r="B22" s="95">
        <v>-0.31</v>
      </c>
      <c r="C22" s="56">
        <f>$S$1+B22</f>
        <v>28.69</v>
      </c>
      <c r="D22" s="24" t="str">
        <f>IF(OR(B22="",A22="Grand Total"),"",IF(B22&lt;0,"L","W"))</f>
        <v>L</v>
      </c>
      <c r="E22" s="24">
        <v>1</v>
      </c>
      <c r="F22" s="24">
        <f>C22</f>
        <v>28.69</v>
      </c>
      <c r="G22" s="24">
        <f>(C22+$S$1)-F22</f>
        <v>28.999999999999996</v>
      </c>
      <c r="H22" s="57">
        <f>(C22)/F22-1</f>
        <v>0</v>
      </c>
      <c r="I22" s="57" t="str">
        <f>IFERROR((C22-C21)/C21,"")</f>
        <v/>
      </c>
      <c r="J22" s="57" t="str">
        <f>IFERROR(I22-0.0001,"")</f>
        <v/>
      </c>
      <c r="K22" s="57"/>
      <c r="L22"/>
      <c r="N22" s="1" t="s">
        <v>96</v>
      </c>
      <c r="O22" s="103">
        <v>-1.8900000000000003</v>
      </c>
      <c r="P22" s="62">
        <f>$S$1+O22</f>
        <v>27.11</v>
      </c>
      <c r="Q22" s="29" t="str">
        <f>IF(OR(O22="",N22="Grand Total"),"",IF(O22&lt;0,"L","W"))</f>
        <v>L</v>
      </c>
      <c r="R22" s="29">
        <v>1</v>
      </c>
      <c r="S22"/>
      <c r="V22" s="1" t="s">
        <v>69</v>
      </c>
      <c r="W22" s="95">
        <v>-1.8900000000000003</v>
      </c>
      <c r="AI22" s="57"/>
      <c r="AJ22" s="25" t="str">
        <f t="shared" si="1"/>
        <v/>
      </c>
    </row>
    <row r="23" spans="1:37" x14ac:dyDescent="0.25">
      <c r="A23" s="22">
        <v>45925.496747685182</v>
      </c>
      <c r="B23" s="95">
        <v>-0.31</v>
      </c>
      <c r="C23" s="56">
        <f t="shared" ref="C23:C24" si="4">IF(OR(A23="Grand Total",A23=""),"",C22+B23)</f>
        <v>28.380000000000003</v>
      </c>
      <c r="D23" s="24" t="str">
        <f t="shared" ref="D23:D24" si="5">IF(OR(B23="",A23="Grand Total"),"",IF(B23&lt;0,"L","W"))</f>
        <v>L</v>
      </c>
      <c r="E23" s="24">
        <f>IF(D23="","",IF(D23=D22,E22+1,1))</f>
        <v>2</v>
      </c>
      <c r="F23" s="24">
        <f>IFERROR(MAX(F22,S$1+C23),"")</f>
        <v>57.38</v>
      </c>
      <c r="G23" s="24">
        <f>IFERROR((S$1+C23)-F23,0)</f>
        <v>0</v>
      </c>
      <c r="H23" s="57">
        <f>IFERROR((S$1+C23)/F23-1,"")</f>
        <v>0</v>
      </c>
      <c r="I23" s="57">
        <f t="shared" ref="I23:I40" si="6">IFERROR((C23-C22)/C22,"")</f>
        <v>-1.0805158591843804E-2</v>
      </c>
      <c r="J23" s="57">
        <f t="shared" ref="J23:J40" si="7">IFERROR(I23-0.0001,"")</f>
        <v>-1.0905158591843803E-2</v>
      </c>
      <c r="K23" s="57"/>
      <c r="L23"/>
      <c r="N23" s="1" t="s">
        <v>248</v>
      </c>
      <c r="O23" s="103">
        <v>-2.42</v>
      </c>
      <c r="P23" s="62">
        <f t="shared" ref="P23:P62" si="8">IF(OR(N23="Grand Total",N23=""),"",P22+O23)</f>
        <v>24.689999999999998</v>
      </c>
      <c r="Q23" s="29" t="str">
        <f t="shared" ref="Q23:Q62" si="9">IF(OR(O23="",N23="Grand Total"),"",IF(O23&lt;0,"L","W"))</f>
        <v>L</v>
      </c>
      <c r="R23" s="29">
        <f>IF(Q23="","",IF(Q23=Q22,R22+1,1))</f>
        <v>2</v>
      </c>
      <c r="S23"/>
      <c r="V23" s="1" t="s">
        <v>249</v>
      </c>
      <c r="W23" s="95">
        <v>-2.42</v>
      </c>
      <c r="AI23" s="57"/>
      <c r="AJ23" s="25" t="str">
        <f t="shared" si="1"/>
        <v/>
      </c>
    </row>
    <row r="24" spans="1:37" x14ac:dyDescent="0.25">
      <c r="A24" s="22">
        <v>45925.525787037041</v>
      </c>
      <c r="B24" s="95">
        <v>-0.3</v>
      </c>
      <c r="C24" s="56">
        <f t="shared" si="4"/>
        <v>28.080000000000002</v>
      </c>
      <c r="D24" s="24" t="str">
        <f t="shared" si="5"/>
        <v>L</v>
      </c>
      <c r="E24" s="24">
        <f t="shared" ref="E24" si="10">IF(D24="","",IF(D24=D23,E23+1,1))</f>
        <v>3</v>
      </c>
      <c r="F24" s="24">
        <f t="shared" ref="F24:F87" si="11">IFERROR(MAX(F23,S$1+C24),"")</f>
        <v>57.38</v>
      </c>
      <c r="G24" s="24">
        <f t="shared" ref="G24:G87" si="12">IFERROR((S$1+C24)-F24,0)</f>
        <v>-0.30000000000000426</v>
      </c>
      <c r="H24" s="57">
        <f t="shared" ref="H24:H87" si="13">IFERROR((S$1+C24)/F24-1,"")</f>
        <v>-5.2283025444406217E-3</v>
      </c>
      <c r="I24" s="57">
        <f t="shared" si="6"/>
        <v>-1.0570824524312921E-2</v>
      </c>
      <c r="J24" s="57">
        <f t="shared" si="7"/>
        <v>-1.067082452431292E-2</v>
      </c>
      <c r="K24" s="57"/>
      <c r="L24"/>
      <c r="N24" s="1" t="s">
        <v>51</v>
      </c>
      <c r="O24" s="103">
        <v>-4.3100000000000005</v>
      </c>
      <c r="P24" s="62" t="str">
        <f t="shared" si="8"/>
        <v/>
      </c>
      <c r="Q24" s="29" t="str">
        <f t="shared" si="9"/>
        <v/>
      </c>
      <c r="R24" s="29" t="str">
        <f t="shared" ref="R24:R62" si="14">IF(Q24="","",IF(Q24=Q23,R23+1,1))</f>
        <v/>
      </c>
      <c r="S24"/>
      <c r="V24" s="1" t="s">
        <v>51</v>
      </c>
      <c r="W24" s="95">
        <v>-4.3100000000000005</v>
      </c>
      <c r="AI24" s="57"/>
      <c r="AJ24" s="25" t="str">
        <f t="shared" si="1"/>
        <v/>
      </c>
    </row>
    <row r="25" spans="1:37" x14ac:dyDescent="0.25">
      <c r="A25" s="22">
        <v>45925.547083333331</v>
      </c>
      <c r="B25" s="95">
        <v>-0.3</v>
      </c>
      <c r="C25" s="56">
        <f t="shared" ref="C25:C88" si="15">IF(OR(A25="Grand Total",A25=""),"",C24+B25)</f>
        <v>27.78</v>
      </c>
      <c r="D25" s="24" t="str">
        <f t="shared" ref="D25:D88" si="16">IF(OR(B25="",A25="Grand Total"),"",IF(B25&lt;0,"L","W"))</f>
        <v>L</v>
      </c>
      <c r="E25" s="24">
        <f t="shared" ref="E25:E88" si="17">IF(D25="","",IF(D25=D24,E24+1,1))</f>
        <v>4</v>
      </c>
      <c r="F25" s="24">
        <f t="shared" si="11"/>
        <v>57.38</v>
      </c>
      <c r="G25" s="24">
        <f t="shared" si="12"/>
        <v>-0.60000000000000142</v>
      </c>
      <c r="H25" s="57">
        <f t="shared" si="13"/>
        <v>-1.0456605088881132E-2</v>
      </c>
      <c r="I25" s="57">
        <f t="shared" si="6"/>
        <v>-1.0683760683760708E-2</v>
      </c>
      <c r="J25" s="57">
        <f t="shared" si="7"/>
        <v>-1.0783760683760708E-2</v>
      </c>
      <c r="K25" s="57"/>
      <c r="L25"/>
      <c r="P25" s="62" t="str">
        <f t="shared" si="8"/>
        <v/>
      </c>
      <c r="Q25" s="29" t="str">
        <f t="shared" si="9"/>
        <v/>
      </c>
      <c r="R25" s="29" t="str">
        <f t="shared" si="14"/>
        <v/>
      </c>
      <c r="S25"/>
      <c r="AI25" s="57"/>
      <c r="AJ25" s="25" t="str">
        <f t="shared" si="1"/>
        <v/>
      </c>
    </row>
    <row r="26" spans="1:37" x14ac:dyDescent="0.25">
      <c r="A26" s="22">
        <v>45925.569537037038</v>
      </c>
      <c r="B26" s="95">
        <v>0.69</v>
      </c>
      <c r="C26" s="56">
        <f t="shared" si="15"/>
        <v>28.470000000000002</v>
      </c>
      <c r="D26" s="24" t="str">
        <f t="shared" si="16"/>
        <v>W</v>
      </c>
      <c r="E26" s="24">
        <f t="shared" si="17"/>
        <v>1</v>
      </c>
      <c r="F26" s="24">
        <f t="shared" si="11"/>
        <v>57.47</v>
      </c>
      <c r="G26" s="24">
        <f t="shared" si="12"/>
        <v>0</v>
      </c>
      <c r="H26" s="57">
        <f t="shared" si="13"/>
        <v>0</v>
      </c>
      <c r="I26" s="57">
        <f t="shared" si="6"/>
        <v>2.4838012958963328E-2</v>
      </c>
      <c r="J26" s="57">
        <f t="shared" si="7"/>
        <v>2.4738012958963329E-2</v>
      </c>
      <c r="K26" s="57"/>
      <c r="L26"/>
      <c r="P26" s="62" t="str">
        <f t="shared" si="8"/>
        <v/>
      </c>
      <c r="Q26" s="29" t="str">
        <f t="shared" si="9"/>
        <v/>
      </c>
      <c r="R26" s="29" t="str">
        <f t="shared" si="14"/>
        <v/>
      </c>
      <c r="S26"/>
      <c r="AI26" s="57"/>
      <c r="AJ26" s="25" t="str">
        <f t="shared" si="1"/>
        <v/>
      </c>
    </row>
    <row r="27" spans="1:37" x14ac:dyDescent="0.25">
      <c r="A27" s="22">
        <v>45925.592800925922</v>
      </c>
      <c r="B27" s="95">
        <v>-0.31</v>
      </c>
      <c r="C27" s="56">
        <f t="shared" si="15"/>
        <v>28.160000000000004</v>
      </c>
      <c r="D27" s="24" t="str">
        <f t="shared" si="16"/>
        <v>L</v>
      </c>
      <c r="E27" s="24">
        <f t="shared" si="17"/>
        <v>1</v>
      </c>
      <c r="F27" s="24">
        <f t="shared" si="11"/>
        <v>57.47</v>
      </c>
      <c r="G27" s="24">
        <f t="shared" si="12"/>
        <v>-0.30999999999999517</v>
      </c>
      <c r="H27" s="57">
        <f t="shared" si="13"/>
        <v>-5.3941186706106814E-3</v>
      </c>
      <c r="I27" s="57">
        <f t="shared" si="6"/>
        <v>-1.0888654724271116E-2</v>
      </c>
      <c r="J27" s="57">
        <f t="shared" si="7"/>
        <v>-1.0988654724271116E-2</v>
      </c>
      <c r="K27" s="57"/>
      <c r="L27"/>
      <c r="P27" s="62" t="str">
        <f t="shared" si="8"/>
        <v/>
      </c>
      <c r="Q27" s="29" t="str">
        <f t="shared" si="9"/>
        <v/>
      </c>
      <c r="R27" s="29" t="str">
        <f t="shared" si="14"/>
        <v/>
      </c>
      <c r="S27"/>
      <c r="AI27" s="57"/>
      <c r="AJ27" s="25" t="str">
        <f t="shared" si="1"/>
        <v/>
      </c>
    </row>
    <row r="28" spans="1:37" x14ac:dyDescent="0.25">
      <c r="A28" s="22">
        <v>45925.613055555557</v>
      </c>
      <c r="B28" s="95">
        <v>-0.3</v>
      </c>
      <c r="C28" s="56">
        <f t="shared" si="15"/>
        <v>27.860000000000003</v>
      </c>
      <c r="D28" s="24" t="str">
        <f t="shared" si="16"/>
        <v>L</v>
      </c>
      <c r="E28" s="24">
        <f t="shared" si="17"/>
        <v>2</v>
      </c>
      <c r="F28" s="24">
        <f t="shared" si="11"/>
        <v>57.47</v>
      </c>
      <c r="G28" s="24">
        <f t="shared" si="12"/>
        <v>-0.60999999999999943</v>
      </c>
      <c r="H28" s="57">
        <f t="shared" si="13"/>
        <v>-1.0614233513137283E-2</v>
      </c>
      <c r="I28" s="57">
        <f t="shared" si="6"/>
        <v>-1.0653409090909114E-2</v>
      </c>
      <c r="J28" s="57">
        <f t="shared" si="7"/>
        <v>-1.0753409090909114E-2</v>
      </c>
      <c r="K28" s="57"/>
      <c r="L28"/>
      <c r="P28" s="62" t="str">
        <f t="shared" si="8"/>
        <v/>
      </c>
      <c r="Q28" s="29" t="str">
        <f t="shared" si="9"/>
        <v/>
      </c>
      <c r="R28" s="29" t="str">
        <f t="shared" si="14"/>
        <v/>
      </c>
      <c r="S28"/>
      <c r="AI28" s="57"/>
      <c r="AJ28" s="25" t="str">
        <f t="shared" si="1"/>
        <v/>
      </c>
    </row>
    <row r="29" spans="1:37" x14ac:dyDescent="0.25">
      <c r="A29" s="22">
        <v>45925.63689814815</v>
      </c>
      <c r="B29" s="95">
        <v>0.61</v>
      </c>
      <c r="C29" s="56">
        <f t="shared" si="15"/>
        <v>28.470000000000002</v>
      </c>
      <c r="D29" s="24" t="str">
        <f t="shared" si="16"/>
        <v>W</v>
      </c>
      <c r="E29" s="24">
        <f t="shared" si="17"/>
        <v>1</v>
      </c>
      <c r="F29" s="24">
        <f t="shared" si="11"/>
        <v>57.47</v>
      </c>
      <c r="G29" s="24">
        <f t="shared" si="12"/>
        <v>0</v>
      </c>
      <c r="H29" s="57">
        <f t="shared" si="13"/>
        <v>0</v>
      </c>
      <c r="I29" s="57">
        <f t="shared" si="6"/>
        <v>2.1895190236898756E-2</v>
      </c>
      <c r="J29" s="57">
        <f t="shared" si="7"/>
        <v>2.1795190236898757E-2</v>
      </c>
      <c r="K29" s="57"/>
      <c r="L29"/>
      <c r="O29" s="29"/>
      <c r="P29" s="62" t="str">
        <f t="shared" si="8"/>
        <v/>
      </c>
      <c r="Q29" s="29" t="str">
        <f t="shared" si="9"/>
        <v/>
      </c>
      <c r="R29" s="29" t="str">
        <f t="shared" si="14"/>
        <v/>
      </c>
      <c r="S29"/>
      <c r="AI29" s="57"/>
      <c r="AJ29" s="25" t="str">
        <f t="shared" si="1"/>
        <v/>
      </c>
    </row>
    <row r="30" spans="1:37" x14ac:dyDescent="0.25">
      <c r="A30" s="22">
        <v>45925.652986111112</v>
      </c>
      <c r="B30" s="95">
        <v>0.23</v>
      </c>
      <c r="C30" s="56">
        <f t="shared" si="15"/>
        <v>28.700000000000003</v>
      </c>
      <c r="D30" s="24" t="str">
        <f t="shared" si="16"/>
        <v>W</v>
      </c>
      <c r="E30" s="24">
        <f t="shared" si="17"/>
        <v>2</v>
      </c>
      <c r="F30" s="24">
        <f t="shared" si="11"/>
        <v>57.7</v>
      </c>
      <c r="G30" s="24">
        <f t="shared" si="12"/>
        <v>0</v>
      </c>
      <c r="H30" s="57">
        <f t="shared" si="13"/>
        <v>0</v>
      </c>
      <c r="I30" s="57">
        <f t="shared" si="6"/>
        <v>8.078679311556038E-3</v>
      </c>
      <c r="J30" s="57">
        <f t="shared" si="7"/>
        <v>7.9786793115560386E-3</v>
      </c>
      <c r="K30" s="57"/>
      <c r="L30"/>
      <c r="O30" s="63"/>
      <c r="P30" s="62" t="str">
        <f t="shared" si="8"/>
        <v/>
      </c>
      <c r="Q30" s="29" t="str">
        <f t="shared" si="9"/>
        <v/>
      </c>
      <c r="R30" s="29" t="str">
        <f t="shared" si="14"/>
        <v/>
      </c>
      <c r="S30"/>
      <c r="AI30" s="57"/>
      <c r="AJ30" s="25" t="str">
        <f t="shared" si="1"/>
        <v/>
      </c>
    </row>
    <row r="31" spans="1:37" x14ac:dyDescent="0.25">
      <c r="A31" s="22">
        <v>45925.657962962963</v>
      </c>
      <c r="B31" s="95">
        <v>-0.32</v>
      </c>
      <c r="C31" s="56">
        <f t="shared" si="15"/>
        <v>28.380000000000003</v>
      </c>
      <c r="D31" s="24" t="str">
        <f t="shared" si="16"/>
        <v>L</v>
      </c>
      <c r="E31" s="24">
        <f t="shared" si="17"/>
        <v>1</v>
      </c>
      <c r="F31" s="24">
        <f t="shared" si="11"/>
        <v>57.7</v>
      </c>
      <c r="G31" s="24">
        <f t="shared" si="12"/>
        <v>-0.32000000000000028</v>
      </c>
      <c r="H31" s="57">
        <f t="shared" si="13"/>
        <v>-5.5459272097053702E-3</v>
      </c>
      <c r="I31" s="57">
        <f t="shared" si="6"/>
        <v>-1.1149825783972134E-2</v>
      </c>
      <c r="J31" s="57">
        <f t="shared" si="7"/>
        <v>-1.1249825783972133E-2</v>
      </c>
      <c r="K31" s="57"/>
      <c r="L31"/>
      <c r="O31" s="29"/>
      <c r="P31" s="62" t="str">
        <f t="shared" si="8"/>
        <v/>
      </c>
      <c r="Q31" s="29" t="str">
        <f t="shared" si="9"/>
        <v/>
      </c>
      <c r="R31" s="29" t="str">
        <f t="shared" si="14"/>
        <v/>
      </c>
      <c r="S31"/>
      <c r="AI31" s="57"/>
      <c r="AJ31" s="25" t="str">
        <f t="shared" ref="AJ31:AJ35" si="18">IF(OR(AB31="Grand Total",AB31=""),"",AH31+AJ30)</f>
        <v/>
      </c>
    </row>
    <row r="32" spans="1:37" x14ac:dyDescent="0.25">
      <c r="A32" s="22">
        <v>45925.670925925922</v>
      </c>
      <c r="B32" s="95">
        <v>0.5</v>
      </c>
      <c r="C32" s="56">
        <f t="shared" si="15"/>
        <v>28.880000000000003</v>
      </c>
      <c r="D32" s="24" t="str">
        <f t="shared" si="16"/>
        <v>W</v>
      </c>
      <c r="E32" s="24">
        <f t="shared" si="17"/>
        <v>1</v>
      </c>
      <c r="F32" s="24">
        <f t="shared" si="11"/>
        <v>57.88</v>
      </c>
      <c r="G32" s="24">
        <f t="shared" si="12"/>
        <v>0</v>
      </c>
      <c r="H32" s="57">
        <f t="shared" si="13"/>
        <v>0</v>
      </c>
      <c r="I32" s="57">
        <f t="shared" si="6"/>
        <v>1.7618040873854827E-2</v>
      </c>
      <c r="J32" s="57">
        <f t="shared" si="7"/>
        <v>1.7518040873854827E-2</v>
      </c>
      <c r="K32" s="57"/>
      <c r="L32"/>
      <c r="O32" s="29"/>
      <c r="P32" s="62" t="str">
        <f t="shared" si="8"/>
        <v/>
      </c>
      <c r="Q32" s="29" t="str">
        <f t="shared" si="9"/>
        <v/>
      </c>
      <c r="R32" s="29" t="str">
        <f t="shared" si="14"/>
        <v/>
      </c>
      <c r="S32"/>
      <c r="AI32" s="29"/>
      <c r="AJ32" s="25" t="str">
        <f t="shared" si="18"/>
        <v/>
      </c>
    </row>
    <row r="33" spans="1:36" x14ac:dyDescent="0.25">
      <c r="A33" s="22">
        <v>45925.679837962962</v>
      </c>
      <c r="B33" s="95">
        <v>-0.3</v>
      </c>
      <c r="C33" s="56">
        <f t="shared" si="15"/>
        <v>28.580000000000002</v>
      </c>
      <c r="D33" s="24" t="str">
        <f t="shared" si="16"/>
        <v>L</v>
      </c>
      <c r="E33" s="24">
        <f t="shared" si="17"/>
        <v>1</v>
      </c>
      <c r="F33" s="24">
        <f t="shared" si="11"/>
        <v>57.88</v>
      </c>
      <c r="G33" s="24">
        <f t="shared" si="12"/>
        <v>-0.30000000000000426</v>
      </c>
      <c r="H33" s="57">
        <f t="shared" si="13"/>
        <v>-5.1831375259158152E-3</v>
      </c>
      <c r="I33" s="57">
        <f t="shared" si="6"/>
        <v>-1.0387811634349054E-2</v>
      </c>
      <c r="J33" s="57">
        <f t="shared" si="7"/>
        <v>-1.0487811634349054E-2</v>
      </c>
      <c r="K33" s="57"/>
      <c r="L33"/>
      <c r="O33" s="29"/>
      <c r="P33" s="62" t="str">
        <f t="shared" si="8"/>
        <v/>
      </c>
      <c r="Q33" s="29" t="str">
        <f t="shared" si="9"/>
        <v/>
      </c>
      <c r="R33" s="29" t="str">
        <f t="shared" si="14"/>
        <v/>
      </c>
      <c r="S33"/>
      <c r="AI33" s="29"/>
      <c r="AJ33" s="25" t="str">
        <f t="shared" si="18"/>
        <v/>
      </c>
    </row>
    <row r="34" spans="1:36" x14ac:dyDescent="0.25">
      <c r="A34" s="22">
        <v>45925.687245370369</v>
      </c>
      <c r="B34" s="95">
        <v>0.36</v>
      </c>
      <c r="C34" s="56">
        <f t="shared" si="15"/>
        <v>28.94</v>
      </c>
      <c r="D34" s="24" t="str">
        <f t="shared" si="16"/>
        <v>W</v>
      </c>
      <c r="E34" s="24">
        <f t="shared" si="17"/>
        <v>1</v>
      </c>
      <c r="F34" s="24">
        <f t="shared" si="11"/>
        <v>57.94</v>
      </c>
      <c r="G34" s="24">
        <f t="shared" si="12"/>
        <v>0</v>
      </c>
      <c r="H34" s="57">
        <f t="shared" si="13"/>
        <v>0</v>
      </c>
      <c r="I34" s="57">
        <f t="shared" si="6"/>
        <v>1.2596221133659881E-2</v>
      </c>
      <c r="J34" s="57">
        <f t="shared" si="7"/>
        <v>1.2496221133659882E-2</v>
      </c>
      <c r="K34" s="57"/>
      <c r="L34"/>
      <c r="O34" s="29"/>
      <c r="P34" s="62" t="str">
        <f t="shared" si="8"/>
        <v/>
      </c>
      <c r="Q34" s="29" t="str">
        <f t="shared" si="9"/>
        <v/>
      </c>
      <c r="R34" s="29" t="str">
        <f t="shared" si="14"/>
        <v/>
      </c>
      <c r="S34"/>
      <c r="AI34" s="29"/>
      <c r="AJ34" s="25" t="str">
        <f t="shared" si="18"/>
        <v/>
      </c>
    </row>
    <row r="35" spans="1:36" x14ac:dyDescent="0.25">
      <c r="A35" s="22">
        <v>45925.691990740743</v>
      </c>
      <c r="B35" s="95">
        <v>-0.3</v>
      </c>
      <c r="C35" s="56">
        <f t="shared" si="15"/>
        <v>28.64</v>
      </c>
      <c r="D35" s="24" t="str">
        <f t="shared" si="16"/>
        <v>L</v>
      </c>
      <c r="E35" s="24">
        <f t="shared" si="17"/>
        <v>1</v>
      </c>
      <c r="F35" s="24">
        <f t="shared" si="11"/>
        <v>57.94</v>
      </c>
      <c r="G35" s="24">
        <f t="shared" si="12"/>
        <v>-0.29999999999999716</v>
      </c>
      <c r="H35" s="57">
        <f t="shared" si="13"/>
        <v>-5.1777701070071513E-3</v>
      </c>
      <c r="I35" s="57">
        <f t="shared" si="6"/>
        <v>-1.03662750518314E-2</v>
      </c>
      <c r="J35" s="57">
        <f t="shared" si="7"/>
        <v>-1.0466275051831399E-2</v>
      </c>
      <c r="K35" s="57"/>
      <c r="L35"/>
      <c r="O35" s="29"/>
      <c r="P35" s="62" t="str">
        <f t="shared" si="8"/>
        <v/>
      </c>
      <c r="Q35" s="29" t="str">
        <f t="shared" si="9"/>
        <v/>
      </c>
      <c r="R35" s="29" t="str">
        <f t="shared" si="14"/>
        <v/>
      </c>
      <c r="S35"/>
      <c r="V35" s="26" t="s">
        <v>64</v>
      </c>
      <c r="AI35" s="29"/>
      <c r="AJ35" s="25" t="str">
        <f t="shared" si="18"/>
        <v/>
      </c>
    </row>
    <row r="36" spans="1:36" x14ac:dyDescent="0.25">
      <c r="A36" s="22">
        <v>45925.705300925925</v>
      </c>
      <c r="B36" s="95">
        <v>-0.32</v>
      </c>
      <c r="C36" s="56">
        <f t="shared" si="15"/>
        <v>28.32</v>
      </c>
      <c r="D36" s="24" t="str">
        <f t="shared" si="16"/>
        <v>L</v>
      </c>
      <c r="E36" s="24">
        <f t="shared" si="17"/>
        <v>2</v>
      </c>
      <c r="F36" s="24">
        <f t="shared" si="11"/>
        <v>57.94</v>
      </c>
      <c r="G36" s="24">
        <f t="shared" si="12"/>
        <v>-0.61999999999999744</v>
      </c>
      <c r="H36" s="57">
        <f t="shared" si="13"/>
        <v>-1.0700724887814927E-2</v>
      </c>
      <c r="I36" s="57">
        <f t="shared" si="6"/>
        <v>-1.1173184357541908E-2</v>
      </c>
      <c r="J36" s="57">
        <f t="shared" si="7"/>
        <v>-1.1273184357541908E-2</v>
      </c>
      <c r="K36" s="57"/>
      <c r="L36"/>
      <c r="O36" s="29"/>
      <c r="P36" s="62" t="str">
        <f t="shared" si="8"/>
        <v/>
      </c>
      <c r="Q36" s="29" t="str">
        <f t="shared" si="9"/>
        <v/>
      </c>
      <c r="R36" s="29" t="str">
        <f t="shared" si="14"/>
        <v/>
      </c>
      <c r="S36"/>
      <c r="V36" s="21" t="s">
        <v>29</v>
      </c>
      <c r="W36" t="s">
        <v>93</v>
      </c>
      <c r="AI36" s="29"/>
      <c r="AJ36"/>
    </row>
    <row r="37" spans="1:36" x14ac:dyDescent="0.25">
      <c r="A37" s="22">
        <v>45925.71398148148</v>
      </c>
      <c r="B37" s="95">
        <v>-0.3</v>
      </c>
      <c r="C37" s="56">
        <f t="shared" si="15"/>
        <v>28.02</v>
      </c>
      <c r="D37" s="24" t="str">
        <f t="shared" si="16"/>
        <v>L</v>
      </c>
      <c r="E37" s="24">
        <f t="shared" si="17"/>
        <v>3</v>
      </c>
      <c r="F37" s="24">
        <f t="shared" si="11"/>
        <v>57.94</v>
      </c>
      <c r="G37" s="24">
        <f t="shared" si="12"/>
        <v>-0.92000000000000171</v>
      </c>
      <c r="H37" s="57">
        <f t="shared" si="13"/>
        <v>-1.5878494994822301E-2</v>
      </c>
      <c r="I37" s="57">
        <f t="shared" si="6"/>
        <v>-1.0593220338983076E-2</v>
      </c>
      <c r="J37" s="57">
        <f t="shared" si="7"/>
        <v>-1.0693220338983076E-2</v>
      </c>
      <c r="K37" s="57"/>
      <c r="L37"/>
      <c r="O37" s="29"/>
      <c r="P37" s="62" t="str">
        <f t="shared" si="8"/>
        <v/>
      </c>
      <c r="Q37" s="29" t="str">
        <f t="shared" si="9"/>
        <v/>
      </c>
      <c r="R37" s="29" t="str">
        <f t="shared" si="14"/>
        <v/>
      </c>
      <c r="S37"/>
      <c r="AI37" s="29"/>
      <c r="AJ37"/>
    </row>
    <row r="38" spans="1:36" x14ac:dyDescent="0.25">
      <c r="A38" s="22">
        <v>45925.724398148152</v>
      </c>
      <c r="B38" s="95">
        <v>-0.3</v>
      </c>
      <c r="C38" s="56">
        <f t="shared" si="15"/>
        <v>27.72</v>
      </c>
      <c r="D38" s="24" t="str">
        <f t="shared" si="16"/>
        <v>L</v>
      </c>
      <c r="E38" s="24">
        <f t="shared" si="17"/>
        <v>4</v>
      </c>
      <c r="F38" s="24">
        <f t="shared" si="11"/>
        <v>57.94</v>
      </c>
      <c r="G38" s="24">
        <f t="shared" si="12"/>
        <v>-1.2199999999999989</v>
      </c>
      <c r="H38" s="57">
        <f t="shared" si="13"/>
        <v>-2.1056265101829452E-2</v>
      </c>
      <c r="I38" s="57">
        <f t="shared" si="6"/>
        <v>-1.0706638115631717E-2</v>
      </c>
      <c r="J38" s="57">
        <f t="shared" si="7"/>
        <v>-1.0806638115631716E-2</v>
      </c>
      <c r="K38" s="57"/>
      <c r="L38"/>
      <c r="O38" s="29"/>
      <c r="P38" s="62" t="str">
        <f t="shared" si="8"/>
        <v/>
      </c>
      <c r="Q38" s="29" t="str">
        <f t="shared" si="9"/>
        <v/>
      </c>
      <c r="R38" s="29" t="str">
        <f t="shared" si="14"/>
        <v/>
      </c>
      <c r="S38"/>
      <c r="V38" s="21" t="s">
        <v>50</v>
      </c>
      <c r="W38" t="s">
        <v>52</v>
      </c>
      <c r="AI38" s="29"/>
      <c r="AJ38"/>
    </row>
    <row r="39" spans="1:36" x14ac:dyDescent="0.25">
      <c r="A39" s="22">
        <v>45925.741759259261</v>
      </c>
      <c r="B39" s="95">
        <v>-0.28999999999999998</v>
      </c>
      <c r="C39" s="56">
        <f t="shared" si="15"/>
        <v>27.43</v>
      </c>
      <c r="D39" s="24" t="str">
        <f t="shared" si="16"/>
        <v>L</v>
      </c>
      <c r="E39" s="24">
        <f t="shared" si="17"/>
        <v>5</v>
      </c>
      <c r="F39" s="24">
        <f t="shared" si="11"/>
        <v>57.94</v>
      </c>
      <c r="G39" s="24">
        <f t="shared" si="12"/>
        <v>-1.509999999999998</v>
      </c>
      <c r="H39" s="57">
        <f t="shared" si="13"/>
        <v>-2.6061442871936458E-2</v>
      </c>
      <c r="I39" s="57">
        <f t="shared" si="6"/>
        <v>-1.0461760461760431E-2</v>
      </c>
      <c r="J39" s="57">
        <f t="shared" si="7"/>
        <v>-1.056176046176043E-2</v>
      </c>
      <c r="K39" s="57"/>
      <c r="L39"/>
      <c r="O39" s="29"/>
      <c r="P39" s="62" t="str">
        <f t="shared" si="8"/>
        <v/>
      </c>
      <c r="Q39" s="29" t="str">
        <f t="shared" si="9"/>
        <v/>
      </c>
      <c r="R39" s="29" t="str">
        <f t="shared" si="14"/>
        <v/>
      </c>
      <c r="S39"/>
      <c r="V39" s="1" t="s">
        <v>250</v>
      </c>
      <c r="W39" s="95">
        <v>1.0000000000000009E-2</v>
      </c>
      <c r="AI39" s="29"/>
      <c r="AJ39"/>
    </row>
    <row r="40" spans="1:36" x14ac:dyDescent="0.25">
      <c r="A40" s="22">
        <v>45925.74962962963</v>
      </c>
      <c r="B40" s="95">
        <v>-0.32</v>
      </c>
      <c r="C40" s="56">
        <f t="shared" si="15"/>
        <v>27.11</v>
      </c>
      <c r="D40" s="24" t="str">
        <f t="shared" si="16"/>
        <v>L</v>
      </c>
      <c r="E40" s="24">
        <f t="shared" si="17"/>
        <v>6</v>
      </c>
      <c r="F40" s="24">
        <f t="shared" si="11"/>
        <v>57.94</v>
      </c>
      <c r="G40" s="24">
        <f t="shared" si="12"/>
        <v>-1.8299999999999983</v>
      </c>
      <c r="H40" s="57">
        <f t="shared" si="13"/>
        <v>-3.1584397652744234E-2</v>
      </c>
      <c r="I40" s="57">
        <f t="shared" si="6"/>
        <v>-1.1666059059423998E-2</v>
      </c>
      <c r="J40" s="57">
        <f t="shared" si="7"/>
        <v>-1.1766059059423998E-2</v>
      </c>
      <c r="K40" s="57"/>
      <c r="L40"/>
      <c r="O40" s="29"/>
      <c r="P40" s="62" t="str">
        <f t="shared" si="8"/>
        <v/>
      </c>
      <c r="Q40" s="29" t="str">
        <f t="shared" si="9"/>
        <v/>
      </c>
      <c r="R40" s="29" t="str">
        <f t="shared" si="14"/>
        <v/>
      </c>
      <c r="S40"/>
      <c r="V40" s="1" t="s">
        <v>251</v>
      </c>
      <c r="W40" s="95">
        <v>7.999999999999996E-2</v>
      </c>
      <c r="AI40" s="29"/>
      <c r="AJ40"/>
    </row>
    <row r="41" spans="1:36" x14ac:dyDescent="0.25">
      <c r="A41" s="22">
        <v>45926.04451388889</v>
      </c>
      <c r="B41" s="95">
        <v>-0.34</v>
      </c>
      <c r="C41" s="56">
        <f t="shared" si="15"/>
        <v>26.77</v>
      </c>
      <c r="D41" s="24" t="str">
        <f t="shared" si="16"/>
        <v>L</v>
      </c>
      <c r="E41" s="24">
        <f t="shared" si="17"/>
        <v>7</v>
      </c>
      <c r="F41" s="24">
        <f t="shared" si="11"/>
        <v>57.94</v>
      </c>
      <c r="G41" s="24">
        <f t="shared" si="12"/>
        <v>-2.1700000000000017</v>
      </c>
      <c r="H41" s="57">
        <f t="shared" si="13"/>
        <v>-3.7452537107352413E-2</v>
      </c>
      <c r="I41" s="57"/>
      <c r="J41" s="57"/>
      <c r="K41" s="57"/>
      <c r="L41"/>
      <c r="O41" s="29"/>
      <c r="P41" s="62" t="str">
        <f t="shared" si="8"/>
        <v/>
      </c>
      <c r="Q41" s="29" t="str">
        <f t="shared" si="9"/>
        <v/>
      </c>
      <c r="R41" s="29" t="str">
        <f t="shared" si="14"/>
        <v/>
      </c>
      <c r="S41"/>
      <c r="V41" s="1" t="s">
        <v>320</v>
      </c>
      <c r="W41" s="95">
        <v>-0.25</v>
      </c>
      <c r="AI41" s="29"/>
      <c r="AJ41"/>
    </row>
    <row r="42" spans="1:36" x14ac:dyDescent="0.25">
      <c r="A42" s="22">
        <v>45926.054583333331</v>
      </c>
      <c r="B42" s="95">
        <v>-0.3</v>
      </c>
      <c r="C42" s="56">
        <f t="shared" si="15"/>
        <v>26.47</v>
      </c>
      <c r="D42" s="24" t="str">
        <f t="shared" si="16"/>
        <v>L</v>
      </c>
      <c r="E42" s="24">
        <f t="shared" si="17"/>
        <v>8</v>
      </c>
      <c r="F42" s="24">
        <f t="shared" si="11"/>
        <v>57.94</v>
      </c>
      <c r="G42" s="24">
        <f t="shared" si="12"/>
        <v>-2.4699999999999989</v>
      </c>
      <c r="H42" s="57">
        <f t="shared" si="13"/>
        <v>-4.2630307214359675E-2</v>
      </c>
      <c r="I42" s="57"/>
      <c r="J42" s="57"/>
      <c r="K42" s="57"/>
      <c r="L42"/>
      <c r="O42" s="29"/>
      <c r="P42" s="62" t="str">
        <f t="shared" si="8"/>
        <v/>
      </c>
      <c r="Q42" s="29" t="str">
        <f t="shared" si="9"/>
        <v/>
      </c>
      <c r="R42" s="29" t="str">
        <f t="shared" si="14"/>
        <v/>
      </c>
      <c r="S42"/>
      <c r="V42" s="1" t="s">
        <v>321</v>
      </c>
      <c r="W42" s="95">
        <v>-0.28000000000000003</v>
      </c>
      <c r="AI42" s="29"/>
      <c r="AJ42"/>
    </row>
    <row r="43" spans="1:36" x14ac:dyDescent="0.25">
      <c r="A43" s="22">
        <v>45926.063958333332</v>
      </c>
      <c r="B43" s="95">
        <v>-0.32</v>
      </c>
      <c r="C43" s="56">
        <f t="shared" si="15"/>
        <v>26.15</v>
      </c>
      <c r="D43" s="24" t="str">
        <f t="shared" si="16"/>
        <v>L</v>
      </c>
      <c r="E43" s="24">
        <f t="shared" si="17"/>
        <v>9</v>
      </c>
      <c r="F43" s="24">
        <f t="shared" si="11"/>
        <v>57.94</v>
      </c>
      <c r="G43" s="24">
        <f t="shared" si="12"/>
        <v>-2.7899999999999991</v>
      </c>
      <c r="H43" s="57">
        <f t="shared" si="13"/>
        <v>-4.8153261995167451E-2</v>
      </c>
      <c r="I43" s="57"/>
      <c r="J43" s="57"/>
      <c r="K43" s="57"/>
      <c r="L43"/>
      <c r="O43" s="29"/>
      <c r="P43" s="62" t="str">
        <f t="shared" si="8"/>
        <v/>
      </c>
      <c r="Q43" s="29" t="str">
        <f t="shared" si="9"/>
        <v/>
      </c>
      <c r="R43" s="29" t="str">
        <f t="shared" si="14"/>
        <v/>
      </c>
      <c r="S43"/>
      <c r="V43" s="1" t="s">
        <v>322</v>
      </c>
      <c r="W43" s="95">
        <v>-0.31</v>
      </c>
      <c r="AI43" s="29"/>
      <c r="AJ43"/>
    </row>
    <row r="44" spans="1:36" x14ac:dyDescent="0.25">
      <c r="A44" s="22">
        <v>45926.066041666665</v>
      </c>
      <c r="B44" s="95">
        <v>-0.27</v>
      </c>
      <c r="C44" s="56">
        <f t="shared" si="15"/>
        <v>25.88</v>
      </c>
      <c r="D44" s="24" t="str">
        <f t="shared" si="16"/>
        <v>L</v>
      </c>
      <c r="E44" s="24">
        <f t="shared" si="17"/>
        <v>10</v>
      </c>
      <c r="F44" s="24">
        <f t="shared" si="11"/>
        <v>57.94</v>
      </c>
      <c r="G44" s="24">
        <f t="shared" si="12"/>
        <v>-3.0600000000000023</v>
      </c>
      <c r="H44" s="57">
        <f t="shared" si="13"/>
        <v>-5.2813255091473943E-2</v>
      </c>
      <c r="I44" s="57"/>
      <c r="J44" s="57"/>
      <c r="K44" s="57"/>
      <c r="L44"/>
      <c r="O44" s="29"/>
      <c r="P44" s="62" t="str">
        <f t="shared" si="8"/>
        <v/>
      </c>
      <c r="Q44" s="29" t="str">
        <f t="shared" si="9"/>
        <v/>
      </c>
      <c r="R44" s="29" t="str">
        <f t="shared" si="14"/>
        <v/>
      </c>
      <c r="S44"/>
      <c r="V44" s="1" t="s">
        <v>323</v>
      </c>
      <c r="W44" s="95">
        <v>-0.1</v>
      </c>
      <c r="AI44" s="29"/>
      <c r="AJ44"/>
    </row>
    <row r="45" spans="1:36" x14ac:dyDescent="0.25">
      <c r="A45" s="22">
        <v>45926.082708333335</v>
      </c>
      <c r="B45" s="95">
        <v>-0.3</v>
      </c>
      <c r="C45" s="56">
        <f t="shared" si="15"/>
        <v>25.58</v>
      </c>
      <c r="D45" s="24" t="str">
        <f t="shared" si="16"/>
        <v>L</v>
      </c>
      <c r="E45" s="24">
        <f t="shared" si="17"/>
        <v>11</v>
      </c>
      <c r="F45" s="24">
        <f t="shared" si="11"/>
        <v>57.94</v>
      </c>
      <c r="G45" s="24">
        <f t="shared" si="12"/>
        <v>-3.3599999999999994</v>
      </c>
      <c r="H45" s="57">
        <f t="shared" si="13"/>
        <v>-5.7991025198481205E-2</v>
      </c>
      <c r="I45" s="57"/>
      <c r="J45" s="57"/>
      <c r="K45" s="57"/>
      <c r="L45"/>
      <c r="O45" s="29"/>
      <c r="P45" s="62" t="str">
        <f t="shared" si="8"/>
        <v/>
      </c>
      <c r="Q45" s="29" t="str">
        <f t="shared" si="9"/>
        <v/>
      </c>
      <c r="R45" s="29" t="str">
        <f t="shared" si="14"/>
        <v/>
      </c>
      <c r="S45"/>
      <c r="V45" s="1" t="s">
        <v>324</v>
      </c>
      <c r="W45" s="95">
        <v>-0.56999999999999995</v>
      </c>
      <c r="AI45" s="29"/>
      <c r="AJ45"/>
    </row>
    <row r="46" spans="1:36" x14ac:dyDescent="0.25">
      <c r="A46" s="22">
        <v>45926.092083333337</v>
      </c>
      <c r="B46" s="95">
        <v>-0.28999999999999998</v>
      </c>
      <c r="C46" s="56">
        <f t="shared" si="15"/>
        <v>25.29</v>
      </c>
      <c r="D46" s="24" t="str">
        <f t="shared" si="16"/>
        <v>L</v>
      </c>
      <c r="E46" s="24">
        <f t="shared" si="17"/>
        <v>12</v>
      </c>
      <c r="F46" s="24">
        <f t="shared" si="11"/>
        <v>57.94</v>
      </c>
      <c r="G46" s="24">
        <f t="shared" si="12"/>
        <v>-3.6499999999999986</v>
      </c>
      <c r="H46" s="57">
        <f t="shared" si="13"/>
        <v>-6.2996202968588211E-2</v>
      </c>
      <c r="I46" s="57"/>
      <c r="J46" s="57"/>
      <c r="K46" s="57"/>
      <c r="L46"/>
      <c r="O46" s="29"/>
      <c r="P46" s="62" t="str">
        <f t="shared" si="8"/>
        <v/>
      </c>
      <c r="Q46" s="29" t="str">
        <f t="shared" si="9"/>
        <v/>
      </c>
      <c r="R46" s="29" t="str">
        <f t="shared" si="14"/>
        <v/>
      </c>
      <c r="S46"/>
      <c r="V46" s="1" t="s">
        <v>325</v>
      </c>
      <c r="W46" s="95">
        <v>-0.27</v>
      </c>
      <c r="AI46" s="29"/>
      <c r="AJ46"/>
    </row>
    <row r="47" spans="1:36" x14ac:dyDescent="0.25">
      <c r="A47" s="22">
        <v>45926.102268518516</v>
      </c>
      <c r="B47" s="95">
        <v>0.27</v>
      </c>
      <c r="C47" s="56">
        <f t="shared" si="15"/>
        <v>25.56</v>
      </c>
      <c r="D47" s="24" t="str">
        <f t="shared" si="16"/>
        <v>W</v>
      </c>
      <c r="E47" s="24">
        <f t="shared" si="17"/>
        <v>1</v>
      </c>
      <c r="F47" s="24">
        <f t="shared" si="11"/>
        <v>57.94</v>
      </c>
      <c r="G47" s="24">
        <f t="shared" si="12"/>
        <v>-3.3799999999999955</v>
      </c>
      <c r="H47" s="57">
        <f t="shared" si="13"/>
        <v>-5.8336209872281608E-2</v>
      </c>
      <c r="I47" s="57"/>
      <c r="J47" s="57"/>
      <c r="K47" s="57"/>
      <c r="L47"/>
      <c r="O47" s="29"/>
      <c r="P47" s="62" t="str">
        <f t="shared" si="8"/>
        <v/>
      </c>
      <c r="Q47" s="29" t="str">
        <f t="shared" si="9"/>
        <v/>
      </c>
      <c r="R47" s="29" t="str">
        <f t="shared" si="14"/>
        <v/>
      </c>
      <c r="S47"/>
      <c r="V47" s="1" t="s">
        <v>73</v>
      </c>
      <c r="W47" s="95">
        <v>-6.9999999999999979E-2</v>
      </c>
      <c r="AI47" s="29"/>
      <c r="AJ47"/>
    </row>
    <row r="48" spans="1:36" x14ac:dyDescent="0.25">
      <c r="A48" s="22">
        <v>45926.104467592595</v>
      </c>
      <c r="B48" s="95">
        <v>0.66</v>
      </c>
      <c r="C48" s="56">
        <f t="shared" si="15"/>
        <v>26.22</v>
      </c>
      <c r="D48" s="24" t="str">
        <f t="shared" si="16"/>
        <v>W</v>
      </c>
      <c r="E48" s="24">
        <f t="shared" si="17"/>
        <v>2</v>
      </c>
      <c r="F48" s="24">
        <f t="shared" si="11"/>
        <v>57.94</v>
      </c>
      <c r="G48" s="24">
        <f t="shared" si="12"/>
        <v>-2.7199999999999989</v>
      </c>
      <c r="H48" s="57">
        <f t="shared" si="13"/>
        <v>-4.6945115636865653E-2</v>
      </c>
      <c r="I48" s="57"/>
      <c r="J48" s="57"/>
      <c r="K48" s="57"/>
      <c r="L48"/>
      <c r="O48" s="29"/>
      <c r="P48" s="62" t="str">
        <f t="shared" si="8"/>
        <v/>
      </c>
      <c r="Q48" s="29" t="str">
        <f t="shared" si="9"/>
        <v/>
      </c>
      <c r="R48" s="29" t="str">
        <f t="shared" si="14"/>
        <v/>
      </c>
      <c r="S48"/>
      <c r="V48" s="1" t="s">
        <v>76</v>
      </c>
      <c r="W48" s="95">
        <v>-0.6</v>
      </c>
      <c r="AI48" s="29"/>
      <c r="AJ48"/>
    </row>
    <row r="49" spans="1:36" x14ac:dyDescent="0.25">
      <c r="A49" s="22">
        <v>45926.112569444442</v>
      </c>
      <c r="B49" s="95">
        <v>-0.31</v>
      </c>
      <c r="C49" s="56">
        <f t="shared" si="15"/>
        <v>25.91</v>
      </c>
      <c r="D49" s="24" t="str">
        <f t="shared" si="16"/>
        <v>L</v>
      </c>
      <c r="E49" s="24">
        <f t="shared" si="17"/>
        <v>1</v>
      </c>
      <c r="F49" s="24">
        <f t="shared" si="11"/>
        <v>57.94</v>
      </c>
      <c r="G49" s="24">
        <f t="shared" si="12"/>
        <v>-3.0300000000000011</v>
      </c>
      <c r="H49" s="57">
        <f t="shared" si="13"/>
        <v>-5.2295478080773283E-2</v>
      </c>
      <c r="I49" s="57"/>
      <c r="J49" s="57"/>
      <c r="K49" s="57"/>
      <c r="L49"/>
      <c r="O49" s="29"/>
      <c r="P49" s="62" t="str">
        <f t="shared" si="8"/>
        <v/>
      </c>
      <c r="Q49" s="29" t="str">
        <f t="shared" si="9"/>
        <v/>
      </c>
      <c r="R49" s="29" t="str">
        <f t="shared" si="14"/>
        <v/>
      </c>
      <c r="S49"/>
      <c r="V49" s="1" t="s">
        <v>77</v>
      </c>
      <c r="W49" s="95">
        <v>4.9999999999999989E-2</v>
      </c>
      <c r="AI49" s="29"/>
      <c r="AJ49"/>
    </row>
    <row r="50" spans="1:36" x14ac:dyDescent="0.25">
      <c r="A50" s="22">
        <v>45926.12703703704</v>
      </c>
      <c r="B50" s="95">
        <v>-0.28999999999999998</v>
      </c>
      <c r="C50" s="56">
        <f t="shared" si="15"/>
        <v>25.62</v>
      </c>
      <c r="D50" s="24" t="str">
        <f t="shared" si="16"/>
        <v>L</v>
      </c>
      <c r="E50" s="24">
        <f t="shared" si="17"/>
        <v>2</v>
      </c>
      <c r="F50" s="24">
        <f t="shared" si="11"/>
        <v>57.94</v>
      </c>
      <c r="G50" s="24">
        <f t="shared" si="12"/>
        <v>-3.3199999999999932</v>
      </c>
      <c r="H50" s="57">
        <f t="shared" si="13"/>
        <v>-5.7300655850880067E-2</v>
      </c>
      <c r="I50" s="57"/>
      <c r="J50" s="57"/>
      <c r="K50" s="57"/>
      <c r="L50"/>
      <c r="O50" s="29"/>
      <c r="P50" s="62" t="str">
        <f t="shared" si="8"/>
        <v/>
      </c>
      <c r="Q50" s="29" t="str">
        <f t="shared" si="9"/>
        <v/>
      </c>
      <c r="R50" s="29" t="str">
        <f t="shared" si="14"/>
        <v/>
      </c>
      <c r="S50"/>
      <c r="V50" s="1" t="s">
        <v>78</v>
      </c>
      <c r="W50" s="95">
        <v>-0.62</v>
      </c>
      <c r="AI50" s="29"/>
      <c r="AJ50"/>
    </row>
    <row r="51" spans="1:36" x14ac:dyDescent="0.25">
      <c r="A51" s="22">
        <v>45926.132013888891</v>
      </c>
      <c r="B51" s="95">
        <v>-0.3</v>
      </c>
      <c r="C51" s="56">
        <f t="shared" si="15"/>
        <v>25.32</v>
      </c>
      <c r="D51" s="24" t="str">
        <f t="shared" si="16"/>
        <v>L</v>
      </c>
      <c r="E51" s="24">
        <f t="shared" si="17"/>
        <v>3</v>
      </c>
      <c r="F51" s="24">
        <f t="shared" si="11"/>
        <v>57.94</v>
      </c>
      <c r="G51" s="24">
        <f t="shared" si="12"/>
        <v>-3.6199999999999974</v>
      </c>
      <c r="H51" s="57">
        <f t="shared" si="13"/>
        <v>-6.247842595788744E-2</v>
      </c>
      <c r="I51" s="57"/>
      <c r="J51" s="57"/>
      <c r="K51" s="57"/>
      <c r="L51"/>
      <c r="O51" s="29"/>
      <c r="P51" s="62" t="str">
        <f t="shared" si="8"/>
        <v/>
      </c>
      <c r="Q51" s="29" t="str">
        <f t="shared" si="9"/>
        <v/>
      </c>
      <c r="R51" s="29" t="str">
        <f t="shared" si="14"/>
        <v/>
      </c>
      <c r="S51"/>
      <c r="V51" s="1" t="s">
        <v>162</v>
      </c>
      <c r="W51" s="95">
        <v>0.76</v>
      </c>
      <c r="AI51" s="29"/>
      <c r="AJ51"/>
    </row>
    <row r="52" spans="1:36" x14ac:dyDescent="0.25">
      <c r="A52" s="22">
        <v>45926.141041666669</v>
      </c>
      <c r="B52" s="95">
        <v>0.25</v>
      </c>
      <c r="C52" s="56">
        <f t="shared" si="15"/>
        <v>25.57</v>
      </c>
      <c r="D52" s="24" t="str">
        <f t="shared" si="16"/>
        <v>W</v>
      </c>
      <c r="E52" s="24">
        <f t="shared" si="17"/>
        <v>1</v>
      </c>
      <c r="F52" s="24">
        <f t="shared" si="11"/>
        <v>57.94</v>
      </c>
      <c r="G52" s="24">
        <f t="shared" si="12"/>
        <v>-3.3699999999999974</v>
      </c>
      <c r="H52" s="57">
        <f t="shared" si="13"/>
        <v>-5.8163617535381351E-2</v>
      </c>
      <c r="I52" s="57"/>
      <c r="J52" s="57"/>
      <c r="K52" s="57"/>
      <c r="L52"/>
      <c r="O52" s="29"/>
      <c r="P52" s="62" t="str">
        <f t="shared" si="8"/>
        <v/>
      </c>
      <c r="Q52" s="29" t="str">
        <f t="shared" si="9"/>
        <v/>
      </c>
      <c r="R52" s="29" t="str">
        <f t="shared" si="14"/>
        <v/>
      </c>
      <c r="S52"/>
      <c r="V52" s="1" t="s">
        <v>163</v>
      </c>
      <c r="W52" s="95">
        <v>-0.21000000000000002</v>
      </c>
      <c r="AI52" s="29"/>
      <c r="AJ52"/>
    </row>
    <row r="53" spans="1:36" x14ac:dyDescent="0.25">
      <c r="A53" s="22">
        <v>45926.148449074077</v>
      </c>
      <c r="B53" s="95">
        <v>0.34</v>
      </c>
      <c r="C53" s="56">
        <f t="shared" si="15"/>
        <v>25.91</v>
      </c>
      <c r="D53" s="24" t="str">
        <f t="shared" si="16"/>
        <v>W</v>
      </c>
      <c r="E53" s="24">
        <f t="shared" si="17"/>
        <v>2</v>
      </c>
      <c r="F53" s="24">
        <f t="shared" si="11"/>
        <v>57.94</v>
      </c>
      <c r="G53" s="24">
        <f t="shared" si="12"/>
        <v>-3.0300000000000011</v>
      </c>
      <c r="H53" s="57">
        <f t="shared" si="13"/>
        <v>-5.2295478080773283E-2</v>
      </c>
      <c r="I53" s="57"/>
      <c r="J53" s="57"/>
      <c r="K53" s="57"/>
      <c r="L53"/>
      <c r="O53" s="29"/>
      <c r="P53" s="62" t="str">
        <f t="shared" si="8"/>
        <v/>
      </c>
      <c r="Q53" s="29" t="str">
        <f t="shared" si="9"/>
        <v/>
      </c>
      <c r="R53" s="29" t="str">
        <f t="shared" si="14"/>
        <v/>
      </c>
      <c r="S53"/>
      <c r="V53" s="1" t="s">
        <v>198</v>
      </c>
      <c r="W53" s="95">
        <v>-0.25</v>
      </c>
      <c r="AI53" s="29"/>
      <c r="AJ53"/>
    </row>
    <row r="54" spans="1:36" x14ac:dyDescent="0.25">
      <c r="A54" s="22">
        <v>45926.154583333337</v>
      </c>
      <c r="B54" s="95">
        <v>-0.31</v>
      </c>
      <c r="C54" s="56">
        <f t="shared" si="15"/>
        <v>25.6</v>
      </c>
      <c r="D54" s="24" t="str">
        <f t="shared" si="16"/>
        <v>L</v>
      </c>
      <c r="E54" s="24">
        <f t="shared" si="17"/>
        <v>1</v>
      </c>
      <c r="F54" s="24">
        <f t="shared" si="11"/>
        <v>57.94</v>
      </c>
      <c r="G54" s="24">
        <f t="shared" si="12"/>
        <v>-3.3399999999999963</v>
      </c>
      <c r="H54" s="57">
        <f t="shared" si="13"/>
        <v>-5.7645840524680692E-2</v>
      </c>
      <c r="I54" s="57"/>
      <c r="J54" s="57"/>
      <c r="K54" s="57"/>
      <c r="L54"/>
      <c r="O54" s="29"/>
      <c r="P54" s="62" t="str">
        <f t="shared" si="8"/>
        <v/>
      </c>
      <c r="Q54" s="29" t="str">
        <f t="shared" si="9"/>
        <v/>
      </c>
      <c r="R54" s="29" t="str">
        <f t="shared" si="14"/>
        <v/>
      </c>
      <c r="S54"/>
      <c r="V54" s="1" t="s">
        <v>199</v>
      </c>
      <c r="W54" s="95">
        <v>-0.31</v>
      </c>
      <c r="AI54" s="29"/>
      <c r="AJ54"/>
    </row>
    <row r="55" spans="1:36" x14ac:dyDescent="0.25">
      <c r="A55" s="22">
        <v>45926.159259259257</v>
      </c>
      <c r="B55" s="95">
        <v>-0.3</v>
      </c>
      <c r="C55" s="56">
        <f t="shared" si="15"/>
        <v>25.3</v>
      </c>
      <c r="D55" s="24" t="str">
        <f t="shared" si="16"/>
        <v>L</v>
      </c>
      <c r="E55" s="24">
        <f t="shared" si="17"/>
        <v>2</v>
      </c>
      <c r="F55" s="24">
        <f t="shared" si="11"/>
        <v>57.94</v>
      </c>
      <c r="G55" s="24">
        <f t="shared" si="12"/>
        <v>-3.6400000000000006</v>
      </c>
      <c r="H55" s="57">
        <f t="shared" si="13"/>
        <v>-6.2823610631687954E-2</v>
      </c>
      <c r="I55" s="57"/>
      <c r="J55" s="57"/>
      <c r="K55" s="57"/>
      <c r="L55"/>
      <c r="O55" s="29"/>
      <c r="P55" s="62" t="str">
        <f t="shared" si="8"/>
        <v/>
      </c>
      <c r="Q55" s="29" t="str">
        <f t="shared" si="9"/>
        <v/>
      </c>
      <c r="R55" s="29" t="str">
        <f t="shared" si="14"/>
        <v/>
      </c>
      <c r="S55"/>
      <c r="V55" s="1" t="s">
        <v>200</v>
      </c>
      <c r="W55" s="95">
        <v>-0.25</v>
      </c>
      <c r="AI55" s="29"/>
      <c r="AJ55"/>
    </row>
    <row r="56" spans="1:36" x14ac:dyDescent="0.25">
      <c r="A56" s="22">
        <v>45926.163310185184</v>
      </c>
      <c r="B56" s="95">
        <v>-0.31</v>
      </c>
      <c r="C56" s="56">
        <f t="shared" si="15"/>
        <v>24.990000000000002</v>
      </c>
      <c r="D56" s="24" t="str">
        <f t="shared" si="16"/>
        <v>L</v>
      </c>
      <c r="E56" s="24">
        <f t="shared" si="17"/>
        <v>3</v>
      </c>
      <c r="F56" s="24">
        <f t="shared" si="11"/>
        <v>57.94</v>
      </c>
      <c r="G56" s="24">
        <f t="shared" si="12"/>
        <v>-3.9499999999999957</v>
      </c>
      <c r="H56" s="57">
        <f t="shared" si="13"/>
        <v>-6.8173973075595362E-2</v>
      </c>
      <c r="I56" s="57"/>
      <c r="J56" s="57"/>
      <c r="K56" s="57"/>
      <c r="L56"/>
      <c r="O56" s="29"/>
      <c r="P56" s="62" t="str">
        <f t="shared" si="8"/>
        <v/>
      </c>
      <c r="Q56" s="29" t="str">
        <f t="shared" si="9"/>
        <v/>
      </c>
      <c r="R56" s="29" t="str">
        <f t="shared" si="14"/>
        <v/>
      </c>
      <c r="S56"/>
      <c r="V56" s="1" t="s">
        <v>223</v>
      </c>
      <c r="W56" s="95">
        <v>0.2</v>
      </c>
      <c r="AI56" s="29"/>
      <c r="AJ56"/>
    </row>
    <row r="57" spans="1:36" x14ac:dyDescent="0.25">
      <c r="A57" s="22">
        <v>45926.17800925926</v>
      </c>
      <c r="B57" s="95">
        <v>-0.3</v>
      </c>
      <c r="C57" s="56">
        <f t="shared" si="15"/>
        <v>24.69</v>
      </c>
      <c r="D57" s="24" t="str">
        <f t="shared" si="16"/>
        <v>L</v>
      </c>
      <c r="E57" s="24">
        <f t="shared" si="17"/>
        <v>4</v>
      </c>
      <c r="F57" s="24">
        <f t="shared" si="11"/>
        <v>57.94</v>
      </c>
      <c r="G57" s="24">
        <f t="shared" si="12"/>
        <v>-4.25</v>
      </c>
      <c r="H57" s="57">
        <f t="shared" si="13"/>
        <v>-7.3351743182602736E-2</v>
      </c>
      <c r="I57" s="57"/>
      <c r="J57" s="57"/>
      <c r="K57" s="57"/>
      <c r="L57"/>
      <c r="O57" s="29"/>
      <c r="P57" s="62" t="str">
        <f t="shared" si="8"/>
        <v/>
      </c>
      <c r="Q57" s="29" t="str">
        <f t="shared" si="9"/>
        <v/>
      </c>
      <c r="R57" s="29" t="str">
        <f t="shared" si="14"/>
        <v/>
      </c>
      <c r="S57"/>
      <c r="V57" s="1" t="s">
        <v>224</v>
      </c>
      <c r="W57" s="95">
        <v>-0.61</v>
      </c>
      <c r="AI57" s="29"/>
      <c r="AJ57"/>
    </row>
    <row r="58" spans="1:36" x14ac:dyDescent="0.25">
      <c r="A58" s="1" t="s">
        <v>51</v>
      </c>
      <c r="B58" s="95">
        <v>-4.3099999999999996</v>
      </c>
      <c r="C58" s="56" t="str">
        <f t="shared" si="15"/>
        <v/>
      </c>
      <c r="D58" s="24" t="str">
        <f t="shared" si="16"/>
        <v/>
      </c>
      <c r="E58" s="24" t="str">
        <f t="shared" si="17"/>
        <v/>
      </c>
      <c r="F58" s="24" t="str">
        <f t="shared" si="11"/>
        <v/>
      </c>
      <c r="G58" s="24">
        <f t="shared" si="12"/>
        <v>0</v>
      </c>
      <c r="H58" s="57" t="str">
        <f t="shared" si="13"/>
        <v/>
      </c>
      <c r="I58" s="57"/>
      <c r="J58" s="57"/>
      <c r="K58" s="57"/>
      <c r="L58"/>
      <c r="O58" s="29"/>
      <c r="P58" s="62" t="str">
        <f t="shared" si="8"/>
        <v/>
      </c>
      <c r="Q58" s="29" t="str">
        <f t="shared" si="9"/>
        <v/>
      </c>
      <c r="R58" s="29" t="str">
        <f t="shared" si="14"/>
        <v/>
      </c>
      <c r="S58"/>
      <c r="V58" s="1" t="s">
        <v>225</v>
      </c>
      <c r="W58" s="95">
        <v>-0.35</v>
      </c>
      <c r="AI58" s="29"/>
      <c r="AJ58"/>
    </row>
    <row r="59" spans="1:36" x14ac:dyDescent="0.25">
      <c r="C59" s="56" t="str">
        <f t="shared" si="15"/>
        <v/>
      </c>
      <c r="D59" s="24" t="str">
        <f t="shared" si="16"/>
        <v/>
      </c>
      <c r="E59" s="24" t="str">
        <f t="shared" si="17"/>
        <v/>
      </c>
      <c r="F59" s="24" t="str">
        <f t="shared" si="11"/>
        <v/>
      </c>
      <c r="G59" s="24">
        <f t="shared" si="12"/>
        <v>0</v>
      </c>
      <c r="H59" s="57" t="str">
        <f t="shared" si="13"/>
        <v/>
      </c>
      <c r="I59" s="57"/>
      <c r="J59" s="57"/>
      <c r="K59" s="57"/>
      <c r="L59"/>
      <c r="O59" s="29"/>
      <c r="P59" s="62" t="str">
        <f t="shared" si="8"/>
        <v/>
      </c>
      <c r="Q59" s="29" t="str">
        <f t="shared" si="9"/>
        <v/>
      </c>
      <c r="R59" s="29" t="str">
        <f t="shared" si="14"/>
        <v/>
      </c>
      <c r="S59"/>
      <c r="V59" s="1" t="s">
        <v>252</v>
      </c>
      <c r="W59" s="95">
        <v>4.9999999999999989E-2</v>
      </c>
      <c r="AI59" s="29"/>
      <c r="AJ59"/>
    </row>
    <row r="60" spans="1:36" x14ac:dyDescent="0.25">
      <c r="C60" s="56" t="str">
        <f t="shared" si="15"/>
        <v/>
      </c>
      <c r="D60" s="24" t="str">
        <f t="shared" si="16"/>
        <v/>
      </c>
      <c r="E60" s="24" t="str">
        <f t="shared" si="17"/>
        <v/>
      </c>
      <c r="F60" s="24" t="str">
        <f t="shared" si="11"/>
        <v/>
      </c>
      <c r="G60" s="24">
        <f t="shared" si="12"/>
        <v>0</v>
      </c>
      <c r="H60" s="57" t="str">
        <f t="shared" si="13"/>
        <v/>
      </c>
      <c r="I60" s="57"/>
      <c r="J60" s="57"/>
      <c r="K60" s="57"/>
      <c r="L60"/>
      <c r="O60" s="29"/>
      <c r="P60" s="62" t="str">
        <f t="shared" si="8"/>
        <v/>
      </c>
      <c r="Q60" s="29" t="str">
        <f t="shared" si="9"/>
        <v/>
      </c>
      <c r="R60" s="29" t="str">
        <f t="shared" si="14"/>
        <v/>
      </c>
      <c r="S60"/>
      <c r="V60" s="1" t="s">
        <v>51</v>
      </c>
      <c r="W60" s="95">
        <v>-3.9</v>
      </c>
      <c r="AI60" s="29"/>
      <c r="AJ60"/>
    </row>
    <row r="61" spans="1:36" x14ac:dyDescent="0.25">
      <c r="C61" s="56" t="str">
        <f t="shared" si="15"/>
        <v/>
      </c>
      <c r="D61" s="24" t="str">
        <f t="shared" si="16"/>
        <v/>
      </c>
      <c r="E61" s="24" t="str">
        <f t="shared" si="17"/>
        <v/>
      </c>
      <c r="F61" s="24" t="str">
        <f t="shared" si="11"/>
        <v/>
      </c>
      <c r="G61" s="24">
        <f t="shared" si="12"/>
        <v>0</v>
      </c>
      <c r="H61" s="57" t="str">
        <f t="shared" si="13"/>
        <v/>
      </c>
      <c r="I61" s="57"/>
      <c r="J61" s="57"/>
      <c r="K61" s="57"/>
      <c r="L61"/>
      <c r="O61" s="29"/>
      <c r="P61" s="62" t="str">
        <f t="shared" si="8"/>
        <v/>
      </c>
      <c r="Q61" s="29" t="str">
        <f t="shared" si="9"/>
        <v/>
      </c>
      <c r="R61" s="29" t="str">
        <f t="shared" si="14"/>
        <v/>
      </c>
      <c r="S61"/>
      <c r="AI61" s="29"/>
      <c r="AJ61"/>
    </row>
    <row r="62" spans="1:36" x14ac:dyDescent="0.25">
      <c r="C62" s="56" t="str">
        <f t="shared" si="15"/>
        <v/>
      </c>
      <c r="D62" s="24" t="str">
        <f t="shared" si="16"/>
        <v/>
      </c>
      <c r="E62" s="24" t="str">
        <f t="shared" si="17"/>
        <v/>
      </c>
      <c r="F62" s="24" t="str">
        <f t="shared" si="11"/>
        <v/>
      </c>
      <c r="G62" s="24">
        <f t="shared" si="12"/>
        <v>0</v>
      </c>
      <c r="H62" s="57" t="str">
        <f t="shared" si="13"/>
        <v/>
      </c>
      <c r="I62" s="57"/>
      <c r="J62" s="57"/>
      <c r="K62" s="57"/>
      <c r="L62"/>
      <c r="O62" s="29"/>
      <c r="P62" s="62" t="str">
        <f t="shared" si="8"/>
        <v/>
      </c>
      <c r="Q62" s="29" t="str">
        <f t="shared" si="9"/>
        <v/>
      </c>
      <c r="R62" s="29" t="str">
        <f t="shared" si="14"/>
        <v/>
      </c>
      <c r="S62"/>
      <c r="AI62" s="29"/>
      <c r="AJ62"/>
    </row>
    <row r="63" spans="1:36" x14ac:dyDescent="0.25">
      <c r="C63" s="56" t="str">
        <f t="shared" si="15"/>
        <v/>
      </c>
      <c r="D63" s="24" t="str">
        <f t="shared" si="16"/>
        <v/>
      </c>
      <c r="E63" s="24" t="str">
        <f t="shared" si="17"/>
        <v/>
      </c>
      <c r="F63" s="24" t="str">
        <f t="shared" si="11"/>
        <v/>
      </c>
      <c r="G63" s="24">
        <f t="shared" si="12"/>
        <v>0</v>
      </c>
      <c r="H63" s="57" t="str">
        <f t="shared" si="13"/>
        <v/>
      </c>
      <c r="I63" s="57"/>
      <c r="J63" s="57"/>
      <c r="K63" s="57"/>
      <c r="L63"/>
      <c r="O63" s="29"/>
      <c r="S63"/>
      <c r="AI63" s="29"/>
      <c r="AJ63"/>
    </row>
    <row r="64" spans="1:36" x14ac:dyDescent="0.25">
      <c r="C64" s="56" t="str">
        <f t="shared" si="15"/>
        <v/>
      </c>
      <c r="D64" s="24" t="str">
        <f t="shared" si="16"/>
        <v/>
      </c>
      <c r="E64" s="24" t="str">
        <f t="shared" si="17"/>
        <v/>
      </c>
      <c r="F64" s="24" t="str">
        <f t="shared" si="11"/>
        <v/>
      </c>
      <c r="G64" s="24">
        <f t="shared" si="12"/>
        <v>0</v>
      </c>
      <c r="H64" s="57" t="str">
        <f t="shared" si="13"/>
        <v/>
      </c>
      <c r="I64" s="57"/>
      <c r="J64" s="57"/>
      <c r="K64" s="57"/>
      <c r="L64"/>
      <c r="O64" s="29"/>
      <c r="S64"/>
      <c r="AI64" s="29"/>
      <c r="AJ64"/>
    </row>
    <row r="65" spans="3:36" x14ac:dyDescent="0.25">
      <c r="C65" s="56" t="str">
        <f t="shared" si="15"/>
        <v/>
      </c>
      <c r="D65" s="24" t="str">
        <f t="shared" si="16"/>
        <v/>
      </c>
      <c r="E65" s="24" t="str">
        <f t="shared" si="17"/>
        <v/>
      </c>
      <c r="F65" s="24" t="str">
        <f t="shared" si="11"/>
        <v/>
      </c>
      <c r="G65" s="24">
        <f t="shared" si="12"/>
        <v>0</v>
      </c>
      <c r="H65" s="57" t="str">
        <f t="shared" si="13"/>
        <v/>
      </c>
      <c r="I65" s="57"/>
      <c r="J65" s="57"/>
      <c r="K65" s="57"/>
      <c r="L65"/>
      <c r="O65" s="29"/>
      <c r="S65"/>
      <c r="AI65" s="29"/>
      <c r="AJ65"/>
    </row>
    <row r="66" spans="3:36" x14ac:dyDescent="0.25">
      <c r="C66" s="56" t="str">
        <f t="shared" si="15"/>
        <v/>
      </c>
      <c r="D66" s="24" t="str">
        <f t="shared" si="16"/>
        <v/>
      </c>
      <c r="E66" s="24" t="str">
        <f t="shared" si="17"/>
        <v/>
      </c>
      <c r="F66" s="24" t="str">
        <f t="shared" si="11"/>
        <v/>
      </c>
      <c r="G66" s="24">
        <f t="shared" si="12"/>
        <v>0</v>
      </c>
      <c r="H66" s="57" t="str">
        <f t="shared" si="13"/>
        <v/>
      </c>
      <c r="I66" s="57"/>
      <c r="J66" s="57"/>
      <c r="K66" s="57"/>
      <c r="L66"/>
      <c r="O66" s="29"/>
      <c r="S66"/>
      <c r="AI66" s="29"/>
      <c r="AJ66"/>
    </row>
    <row r="67" spans="3:36" x14ac:dyDescent="0.25">
      <c r="C67" s="56" t="str">
        <f t="shared" si="15"/>
        <v/>
      </c>
      <c r="D67" s="24" t="str">
        <f t="shared" si="16"/>
        <v/>
      </c>
      <c r="E67" s="24" t="str">
        <f t="shared" si="17"/>
        <v/>
      </c>
      <c r="F67" s="24" t="str">
        <f t="shared" si="11"/>
        <v/>
      </c>
      <c r="G67" s="24">
        <f t="shared" si="12"/>
        <v>0</v>
      </c>
      <c r="H67" s="57" t="str">
        <f t="shared" si="13"/>
        <v/>
      </c>
      <c r="I67" s="57"/>
      <c r="J67" s="57"/>
      <c r="K67" s="57"/>
      <c r="L67"/>
      <c r="O67" s="29"/>
      <c r="S67"/>
      <c r="AI67" s="29"/>
      <c r="AJ67"/>
    </row>
    <row r="68" spans="3:36" x14ac:dyDescent="0.25">
      <c r="C68" s="56" t="str">
        <f t="shared" si="15"/>
        <v/>
      </c>
      <c r="D68" s="24" t="str">
        <f t="shared" si="16"/>
        <v/>
      </c>
      <c r="E68" s="24" t="str">
        <f t="shared" si="17"/>
        <v/>
      </c>
      <c r="F68" s="24" t="str">
        <f t="shared" si="11"/>
        <v/>
      </c>
      <c r="G68" s="24">
        <f t="shared" si="12"/>
        <v>0</v>
      </c>
      <c r="H68" s="57" t="str">
        <f t="shared" si="13"/>
        <v/>
      </c>
      <c r="I68" s="57"/>
      <c r="J68" s="57"/>
      <c r="K68" s="57"/>
      <c r="L68"/>
      <c r="O68" s="29"/>
      <c r="S68"/>
      <c r="AI68" s="29"/>
      <c r="AJ68"/>
    </row>
    <row r="69" spans="3:36" x14ac:dyDescent="0.25">
      <c r="C69" s="56" t="str">
        <f t="shared" si="15"/>
        <v/>
      </c>
      <c r="D69" s="24" t="str">
        <f t="shared" si="16"/>
        <v/>
      </c>
      <c r="E69" s="24" t="str">
        <f t="shared" si="17"/>
        <v/>
      </c>
      <c r="F69" s="24" t="str">
        <f t="shared" si="11"/>
        <v/>
      </c>
      <c r="G69" s="24">
        <f t="shared" si="12"/>
        <v>0</v>
      </c>
      <c r="H69" s="57" t="str">
        <f t="shared" si="13"/>
        <v/>
      </c>
      <c r="I69" s="57"/>
      <c r="J69" s="57"/>
      <c r="K69" s="57"/>
      <c r="L69"/>
      <c r="O69" s="29"/>
      <c r="S69"/>
      <c r="AI69" s="29"/>
      <c r="AJ69"/>
    </row>
    <row r="70" spans="3:36" x14ac:dyDescent="0.25">
      <c r="C70" s="56" t="str">
        <f t="shared" si="15"/>
        <v/>
      </c>
      <c r="D70" s="24" t="str">
        <f t="shared" si="16"/>
        <v/>
      </c>
      <c r="E70" s="24" t="str">
        <f t="shared" si="17"/>
        <v/>
      </c>
      <c r="F70" s="24" t="str">
        <f t="shared" si="11"/>
        <v/>
      </c>
      <c r="G70" s="24">
        <f t="shared" si="12"/>
        <v>0</v>
      </c>
      <c r="H70" s="57" t="str">
        <f t="shared" si="13"/>
        <v/>
      </c>
      <c r="I70" s="57"/>
      <c r="J70" s="57"/>
      <c r="K70" s="57"/>
      <c r="L70"/>
      <c r="O70" s="29"/>
      <c r="S70"/>
      <c r="AI70" s="29"/>
      <c r="AJ70"/>
    </row>
    <row r="71" spans="3:36" x14ac:dyDescent="0.25">
      <c r="C71" s="56" t="str">
        <f t="shared" si="15"/>
        <v/>
      </c>
      <c r="D71" s="24" t="str">
        <f t="shared" si="16"/>
        <v/>
      </c>
      <c r="E71" s="24" t="str">
        <f t="shared" si="17"/>
        <v/>
      </c>
      <c r="F71" s="24" t="str">
        <f t="shared" si="11"/>
        <v/>
      </c>
      <c r="G71" s="24">
        <f t="shared" si="12"/>
        <v>0</v>
      </c>
      <c r="H71" s="57" t="str">
        <f t="shared" si="13"/>
        <v/>
      </c>
      <c r="I71" s="57"/>
      <c r="J71" s="57"/>
      <c r="K71" s="57"/>
      <c r="L71"/>
      <c r="O71" s="29"/>
      <c r="S71"/>
      <c r="AI71" s="29"/>
      <c r="AJ71"/>
    </row>
    <row r="72" spans="3:36" x14ac:dyDescent="0.25">
      <c r="C72" s="56" t="str">
        <f t="shared" si="15"/>
        <v/>
      </c>
      <c r="D72" s="24" t="str">
        <f t="shared" si="16"/>
        <v/>
      </c>
      <c r="E72" s="24" t="str">
        <f t="shared" si="17"/>
        <v/>
      </c>
      <c r="F72" s="24" t="str">
        <f t="shared" si="11"/>
        <v/>
      </c>
      <c r="G72" s="24">
        <f t="shared" si="12"/>
        <v>0</v>
      </c>
      <c r="H72" s="57" t="str">
        <f t="shared" si="13"/>
        <v/>
      </c>
      <c r="I72" s="57"/>
      <c r="J72" s="57"/>
      <c r="K72" s="57"/>
      <c r="L72"/>
      <c r="O72" s="29"/>
      <c r="S72"/>
      <c r="AI72" s="29"/>
      <c r="AJ72"/>
    </row>
    <row r="73" spans="3:36" x14ac:dyDescent="0.25">
      <c r="C73" s="56" t="str">
        <f t="shared" si="15"/>
        <v/>
      </c>
      <c r="D73" s="24" t="str">
        <f t="shared" si="16"/>
        <v/>
      </c>
      <c r="E73" s="24" t="str">
        <f t="shared" si="17"/>
        <v/>
      </c>
      <c r="F73" s="24" t="str">
        <f t="shared" si="11"/>
        <v/>
      </c>
      <c r="G73" s="24">
        <f t="shared" si="12"/>
        <v>0</v>
      </c>
      <c r="H73" s="57" t="str">
        <f t="shared" si="13"/>
        <v/>
      </c>
      <c r="I73" s="57"/>
      <c r="J73" s="57"/>
      <c r="K73" s="57"/>
      <c r="L73"/>
      <c r="O73" s="29"/>
      <c r="S73"/>
      <c r="AI73" s="29"/>
      <c r="AJ73"/>
    </row>
    <row r="74" spans="3:36" x14ac:dyDescent="0.25">
      <c r="C74" s="56" t="str">
        <f t="shared" si="15"/>
        <v/>
      </c>
      <c r="D74" s="24" t="str">
        <f t="shared" si="16"/>
        <v/>
      </c>
      <c r="E74" s="24" t="str">
        <f t="shared" si="17"/>
        <v/>
      </c>
      <c r="F74" s="24" t="str">
        <f t="shared" si="11"/>
        <v/>
      </c>
      <c r="G74" s="24">
        <f t="shared" si="12"/>
        <v>0</v>
      </c>
      <c r="H74" s="57" t="str">
        <f t="shared" si="13"/>
        <v/>
      </c>
      <c r="I74" s="57"/>
      <c r="J74" s="57"/>
      <c r="K74" s="57"/>
      <c r="L74"/>
      <c r="O74" s="29"/>
      <c r="S74"/>
      <c r="AI74" s="29"/>
      <c r="AJ74"/>
    </row>
    <row r="75" spans="3:36" x14ac:dyDescent="0.25">
      <c r="C75" s="56" t="str">
        <f t="shared" si="15"/>
        <v/>
      </c>
      <c r="D75" s="24" t="str">
        <f t="shared" si="16"/>
        <v/>
      </c>
      <c r="E75" s="24" t="str">
        <f t="shared" si="17"/>
        <v/>
      </c>
      <c r="F75" s="24" t="str">
        <f t="shared" si="11"/>
        <v/>
      </c>
      <c r="G75" s="24">
        <f t="shared" si="12"/>
        <v>0</v>
      </c>
      <c r="H75" s="57" t="str">
        <f t="shared" si="13"/>
        <v/>
      </c>
      <c r="I75" s="57"/>
      <c r="J75" s="57"/>
      <c r="K75" s="57"/>
      <c r="L75"/>
      <c r="O75" s="29"/>
      <c r="S75"/>
      <c r="AI75" s="29"/>
      <c r="AJ75"/>
    </row>
    <row r="76" spans="3:36" x14ac:dyDescent="0.25">
      <c r="C76" s="56" t="str">
        <f t="shared" si="15"/>
        <v/>
      </c>
      <c r="D76" s="24" t="str">
        <f t="shared" si="16"/>
        <v/>
      </c>
      <c r="E76" s="24" t="str">
        <f t="shared" si="17"/>
        <v/>
      </c>
      <c r="F76" s="24" t="str">
        <f t="shared" si="11"/>
        <v/>
      </c>
      <c r="G76" s="24">
        <f t="shared" si="12"/>
        <v>0</v>
      </c>
      <c r="H76" s="57" t="str">
        <f t="shared" si="13"/>
        <v/>
      </c>
      <c r="I76" s="57"/>
      <c r="J76" s="57"/>
      <c r="K76" s="57"/>
      <c r="L76"/>
      <c r="O76" s="29"/>
      <c r="S76"/>
      <c r="AI76" s="29"/>
      <c r="AJ76"/>
    </row>
    <row r="77" spans="3:36" x14ac:dyDescent="0.25">
      <c r="C77" s="56" t="str">
        <f t="shared" si="15"/>
        <v/>
      </c>
      <c r="D77" s="24" t="str">
        <f t="shared" si="16"/>
        <v/>
      </c>
      <c r="E77" s="24" t="str">
        <f t="shared" si="17"/>
        <v/>
      </c>
      <c r="F77" s="24" t="str">
        <f t="shared" si="11"/>
        <v/>
      </c>
      <c r="G77" s="24">
        <f t="shared" si="12"/>
        <v>0</v>
      </c>
      <c r="H77" s="57" t="str">
        <f t="shared" si="13"/>
        <v/>
      </c>
      <c r="I77" s="57"/>
      <c r="J77" s="57"/>
      <c r="K77" s="57"/>
      <c r="L77"/>
      <c r="O77" s="29"/>
      <c r="S77"/>
      <c r="AI77" s="29"/>
      <c r="AJ77"/>
    </row>
    <row r="78" spans="3:36" x14ac:dyDescent="0.25">
      <c r="C78" s="56" t="str">
        <f t="shared" si="15"/>
        <v/>
      </c>
      <c r="D78" s="24" t="str">
        <f t="shared" si="16"/>
        <v/>
      </c>
      <c r="E78" s="24" t="str">
        <f t="shared" si="17"/>
        <v/>
      </c>
      <c r="F78" s="24" t="str">
        <f t="shared" si="11"/>
        <v/>
      </c>
      <c r="G78" s="24">
        <f t="shared" si="12"/>
        <v>0</v>
      </c>
      <c r="H78" s="57" t="str">
        <f t="shared" si="13"/>
        <v/>
      </c>
      <c r="I78" s="57"/>
      <c r="J78" s="57"/>
      <c r="K78" s="57"/>
      <c r="L78"/>
      <c r="O78" s="29"/>
      <c r="S78"/>
      <c r="AI78" s="29"/>
      <c r="AJ78"/>
    </row>
    <row r="79" spans="3:36" x14ac:dyDescent="0.25">
      <c r="C79" s="56" t="str">
        <f t="shared" si="15"/>
        <v/>
      </c>
      <c r="D79" s="24" t="str">
        <f t="shared" si="16"/>
        <v/>
      </c>
      <c r="E79" s="24" t="str">
        <f t="shared" si="17"/>
        <v/>
      </c>
      <c r="F79" s="24" t="str">
        <f t="shared" si="11"/>
        <v/>
      </c>
      <c r="G79" s="24">
        <f t="shared" si="12"/>
        <v>0</v>
      </c>
      <c r="H79" s="57" t="str">
        <f t="shared" si="13"/>
        <v/>
      </c>
      <c r="I79" s="57"/>
      <c r="J79" s="57"/>
      <c r="K79" s="57"/>
      <c r="L79"/>
      <c r="O79" s="29"/>
      <c r="S79"/>
      <c r="AI79" s="29"/>
      <c r="AJ79"/>
    </row>
    <row r="80" spans="3:36" x14ac:dyDescent="0.25">
      <c r="C80" s="56" t="str">
        <f t="shared" si="15"/>
        <v/>
      </c>
      <c r="D80" s="24" t="str">
        <f t="shared" si="16"/>
        <v/>
      </c>
      <c r="E80" s="24" t="str">
        <f t="shared" si="17"/>
        <v/>
      </c>
      <c r="F80" s="24" t="str">
        <f t="shared" si="11"/>
        <v/>
      </c>
      <c r="G80" s="24">
        <f t="shared" si="12"/>
        <v>0</v>
      </c>
      <c r="H80" s="57" t="str">
        <f t="shared" si="13"/>
        <v/>
      </c>
      <c r="I80" s="57"/>
      <c r="J80" s="57"/>
      <c r="K80" s="57"/>
      <c r="L80"/>
      <c r="O80" s="29"/>
      <c r="S80"/>
      <c r="AI80" s="29"/>
      <c r="AJ80"/>
    </row>
    <row r="81" spans="3:36" x14ac:dyDescent="0.25">
      <c r="C81" s="56" t="str">
        <f t="shared" si="15"/>
        <v/>
      </c>
      <c r="D81" s="24" t="str">
        <f t="shared" si="16"/>
        <v/>
      </c>
      <c r="E81" s="24" t="str">
        <f t="shared" si="17"/>
        <v/>
      </c>
      <c r="F81" s="24" t="str">
        <f t="shared" si="11"/>
        <v/>
      </c>
      <c r="G81" s="24">
        <f t="shared" si="12"/>
        <v>0</v>
      </c>
      <c r="H81" s="57" t="str">
        <f t="shared" si="13"/>
        <v/>
      </c>
      <c r="I81" s="57"/>
      <c r="J81" s="57"/>
      <c r="K81" s="57"/>
      <c r="L81"/>
      <c r="O81" s="29"/>
      <c r="S81"/>
      <c r="AI81" s="29"/>
      <c r="AJ81"/>
    </row>
    <row r="82" spans="3:36" x14ac:dyDescent="0.25">
      <c r="C82" s="56" t="str">
        <f t="shared" si="15"/>
        <v/>
      </c>
      <c r="D82" s="24" t="str">
        <f t="shared" si="16"/>
        <v/>
      </c>
      <c r="E82" s="24" t="str">
        <f t="shared" si="17"/>
        <v/>
      </c>
      <c r="F82" s="24" t="str">
        <f t="shared" si="11"/>
        <v/>
      </c>
      <c r="G82" s="24">
        <f t="shared" si="12"/>
        <v>0</v>
      </c>
      <c r="H82" s="57" t="str">
        <f t="shared" si="13"/>
        <v/>
      </c>
      <c r="I82" s="57"/>
      <c r="J82" s="57"/>
      <c r="K82" s="57"/>
      <c r="L82"/>
      <c r="O82" s="29"/>
      <c r="S82"/>
      <c r="AI82" s="29"/>
      <c r="AJ82"/>
    </row>
    <row r="83" spans="3:36" x14ac:dyDescent="0.25">
      <c r="C83" s="56" t="str">
        <f t="shared" si="15"/>
        <v/>
      </c>
      <c r="D83" s="24" t="str">
        <f t="shared" si="16"/>
        <v/>
      </c>
      <c r="E83" s="24" t="str">
        <f t="shared" si="17"/>
        <v/>
      </c>
      <c r="F83" s="24" t="str">
        <f t="shared" si="11"/>
        <v/>
      </c>
      <c r="G83" s="24">
        <f t="shared" si="12"/>
        <v>0</v>
      </c>
      <c r="H83" s="57" t="str">
        <f t="shared" si="13"/>
        <v/>
      </c>
      <c r="I83" s="57"/>
      <c r="J83" s="57"/>
      <c r="K83" s="57"/>
      <c r="L83"/>
      <c r="O83" s="29"/>
      <c r="S83"/>
      <c r="AI83" s="29"/>
      <c r="AJ83"/>
    </row>
    <row r="84" spans="3:36" x14ac:dyDescent="0.25">
      <c r="C84" s="56" t="str">
        <f t="shared" si="15"/>
        <v/>
      </c>
      <c r="D84" s="24" t="str">
        <f t="shared" si="16"/>
        <v/>
      </c>
      <c r="E84" s="24" t="str">
        <f t="shared" si="17"/>
        <v/>
      </c>
      <c r="F84" s="24" t="str">
        <f t="shared" si="11"/>
        <v/>
      </c>
      <c r="G84" s="24">
        <f t="shared" si="12"/>
        <v>0</v>
      </c>
      <c r="H84" s="57" t="str">
        <f t="shared" si="13"/>
        <v/>
      </c>
      <c r="I84" s="57"/>
      <c r="J84" s="57"/>
      <c r="K84" s="57"/>
      <c r="L84"/>
      <c r="O84" s="29"/>
      <c r="S84"/>
      <c r="AI84" s="29"/>
      <c r="AJ84"/>
    </row>
    <row r="85" spans="3:36" x14ac:dyDescent="0.25">
      <c r="C85" s="56" t="str">
        <f t="shared" si="15"/>
        <v/>
      </c>
      <c r="D85" s="24" t="str">
        <f t="shared" si="16"/>
        <v/>
      </c>
      <c r="E85" s="24" t="str">
        <f t="shared" si="17"/>
        <v/>
      </c>
      <c r="F85" s="24" t="str">
        <f t="shared" si="11"/>
        <v/>
      </c>
      <c r="G85" s="24">
        <f t="shared" si="12"/>
        <v>0</v>
      </c>
      <c r="H85" s="57" t="str">
        <f t="shared" si="13"/>
        <v/>
      </c>
      <c r="I85" s="57"/>
      <c r="J85" s="57"/>
      <c r="K85" s="57"/>
      <c r="L85"/>
      <c r="O85" s="29"/>
      <c r="S85"/>
      <c r="AI85" s="29"/>
      <c r="AJ85"/>
    </row>
    <row r="86" spans="3:36" x14ac:dyDescent="0.25">
      <c r="C86" s="56" t="str">
        <f t="shared" si="15"/>
        <v/>
      </c>
      <c r="D86" s="24" t="str">
        <f t="shared" si="16"/>
        <v/>
      </c>
      <c r="E86" s="24" t="str">
        <f t="shared" si="17"/>
        <v/>
      </c>
      <c r="F86" s="24" t="str">
        <f t="shared" si="11"/>
        <v/>
      </c>
      <c r="G86" s="24">
        <f t="shared" si="12"/>
        <v>0</v>
      </c>
      <c r="H86" s="57" t="str">
        <f t="shared" si="13"/>
        <v/>
      </c>
      <c r="I86" s="57"/>
      <c r="J86" s="57"/>
      <c r="K86" s="57"/>
      <c r="L86"/>
      <c r="O86" s="29"/>
      <c r="S86"/>
      <c r="AI86" s="29"/>
      <c r="AJ86"/>
    </row>
    <row r="87" spans="3:36" x14ac:dyDescent="0.25">
      <c r="C87" s="56" t="str">
        <f t="shared" si="15"/>
        <v/>
      </c>
      <c r="D87" s="24" t="str">
        <f t="shared" si="16"/>
        <v/>
      </c>
      <c r="E87" s="24" t="str">
        <f t="shared" si="17"/>
        <v/>
      </c>
      <c r="F87" s="24" t="str">
        <f t="shared" si="11"/>
        <v/>
      </c>
      <c r="G87" s="24">
        <f t="shared" si="12"/>
        <v>0</v>
      </c>
      <c r="H87" s="57" t="str">
        <f t="shared" si="13"/>
        <v/>
      </c>
      <c r="I87" s="57"/>
      <c r="J87" s="57"/>
      <c r="K87" s="57"/>
      <c r="L87"/>
      <c r="O87" s="29"/>
      <c r="S87"/>
      <c r="AI87" s="29"/>
      <c r="AJ87"/>
    </row>
    <row r="88" spans="3:36" x14ac:dyDescent="0.25">
      <c r="C88" s="56" t="str">
        <f t="shared" si="15"/>
        <v/>
      </c>
      <c r="D88" s="24" t="str">
        <f t="shared" si="16"/>
        <v/>
      </c>
      <c r="E88" s="24" t="str">
        <f t="shared" si="17"/>
        <v/>
      </c>
      <c r="F88" s="24" t="str">
        <f t="shared" ref="F88:F151" si="19">IFERROR(MAX(F87,S$1+C88),"")</f>
        <v/>
      </c>
      <c r="G88" s="24">
        <f t="shared" ref="G88:G151" si="20">IFERROR((S$1+C88)-F88,0)</f>
        <v>0</v>
      </c>
      <c r="H88" s="57" t="str">
        <f t="shared" ref="H88:H151" si="21">IFERROR((S$1+C88)/F88-1,"")</f>
        <v/>
      </c>
      <c r="I88" s="57"/>
      <c r="J88" s="57"/>
      <c r="K88" s="57"/>
      <c r="L88"/>
      <c r="O88" s="29"/>
      <c r="S88"/>
      <c r="AI88" s="29"/>
      <c r="AJ88"/>
    </row>
    <row r="89" spans="3:36" x14ac:dyDescent="0.25">
      <c r="C89" s="56" t="str">
        <f t="shared" ref="C89:C152" si="22">IF(OR(A89="Grand Total",A89=""),"",C88+B89)</f>
        <v/>
      </c>
      <c r="D89" s="24" t="str">
        <f t="shared" ref="D89:D152" si="23">IF(OR(B89="",A89="Grand Total"),"",IF(B89&lt;0,"L","W"))</f>
        <v/>
      </c>
      <c r="E89" s="24" t="str">
        <f t="shared" ref="E89:E152" si="24">IF(D89="","",IF(D89=D88,E88+1,1))</f>
        <v/>
      </c>
      <c r="F89" s="24" t="str">
        <f t="shared" si="19"/>
        <v/>
      </c>
      <c r="G89" s="24">
        <f t="shared" si="20"/>
        <v>0</v>
      </c>
      <c r="H89" s="57" t="str">
        <f t="shared" si="21"/>
        <v/>
      </c>
      <c r="I89" s="57"/>
      <c r="J89" s="57"/>
      <c r="K89" s="57"/>
      <c r="L89"/>
      <c r="O89" s="29"/>
      <c r="S89"/>
      <c r="AI89" s="29"/>
      <c r="AJ89"/>
    </row>
    <row r="90" spans="3:36" x14ac:dyDescent="0.25">
      <c r="C90" s="56" t="str">
        <f t="shared" si="22"/>
        <v/>
      </c>
      <c r="D90" s="24" t="str">
        <f t="shared" si="23"/>
        <v/>
      </c>
      <c r="E90" s="24" t="str">
        <f t="shared" si="24"/>
        <v/>
      </c>
      <c r="F90" s="24" t="str">
        <f t="shared" si="19"/>
        <v/>
      </c>
      <c r="G90" s="24">
        <f t="shared" si="20"/>
        <v>0</v>
      </c>
      <c r="H90" s="57" t="str">
        <f t="shared" si="21"/>
        <v/>
      </c>
      <c r="I90" s="57"/>
      <c r="J90" s="57"/>
      <c r="K90" s="57"/>
      <c r="L90"/>
      <c r="O90" s="29"/>
      <c r="S90"/>
      <c r="AI90" s="29"/>
      <c r="AJ90"/>
    </row>
    <row r="91" spans="3:36" x14ac:dyDescent="0.25">
      <c r="C91" s="56" t="str">
        <f t="shared" si="22"/>
        <v/>
      </c>
      <c r="D91" s="24" t="str">
        <f t="shared" si="23"/>
        <v/>
      </c>
      <c r="E91" s="24" t="str">
        <f t="shared" si="24"/>
        <v/>
      </c>
      <c r="F91" s="24" t="str">
        <f t="shared" si="19"/>
        <v/>
      </c>
      <c r="G91" s="24">
        <f t="shared" si="20"/>
        <v>0</v>
      </c>
      <c r="H91" s="57" t="str">
        <f t="shared" si="21"/>
        <v/>
      </c>
      <c r="I91" s="57"/>
      <c r="J91" s="57"/>
      <c r="K91" s="57"/>
      <c r="L91"/>
      <c r="O91" s="29"/>
      <c r="S91"/>
      <c r="AI91" s="29"/>
      <c r="AJ91"/>
    </row>
    <row r="92" spans="3:36" x14ac:dyDescent="0.25">
      <c r="C92" s="56" t="str">
        <f t="shared" si="22"/>
        <v/>
      </c>
      <c r="D92" s="24" t="str">
        <f t="shared" si="23"/>
        <v/>
      </c>
      <c r="E92" s="24" t="str">
        <f t="shared" si="24"/>
        <v/>
      </c>
      <c r="F92" s="24" t="str">
        <f t="shared" si="19"/>
        <v/>
      </c>
      <c r="G92" s="24">
        <f t="shared" si="20"/>
        <v>0</v>
      </c>
      <c r="H92" s="57" t="str">
        <f t="shared" si="21"/>
        <v/>
      </c>
      <c r="I92" s="57"/>
      <c r="J92" s="57"/>
      <c r="K92" s="57"/>
      <c r="L92"/>
      <c r="O92" s="29"/>
      <c r="S92"/>
      <c r="AI92" s="29"/>
      <c r="AJ92"/>
    </row>
    <row r="93" spans="3:36" x14ac:dyDescent="0.25">
      <c r="C93" s="56" t="str">
        <f t="shared" si="22"/>
        <v/>
      </c>
      <c r="D93" s="24" t="str">
        <f t="shared" si="23"/>
        <v/>
      </c>
      <c r="E93" s="24" t="str">
        <f t="shared" si="24"/>
        <v/>
      </c>
      <c r="F93" s="24" t="str">
        <f t="shared" si="19"/>
        <v/>
      </c>
      <c r="G93" s="24">
        <f t="shared" si="20"/>
        <v>0</v>
      </c>
      <c r="H93" s="57" t="str">
        <f t="shared" si="21"/>
        <v/>
      </c>
      <c r="I93" s="57"/>
      <c r="J93" s="57"/>
      <c r="K93" s="57"/>
      <c r="L93"/>
      <c r="O93" s="29"/>
      <c r="S93"/>
      <c r="AI93" s="29"/>
      <c r="AJ93"/>
    </row>
    <row r="94" spans="3:36" x14ac:dyDescent="0.25">
      <c r="C94" s="56" t="str">
        <f t="shared" si="22"/>
        <v/>
      </c>
      <c r="D94" s="24" t="str">
        <f t="shared" si="23"/>
        <v/>
      </c>
      <c r="E94" s="24" t="str">
        <f t="shared" si="24"/>
        <v/>
      </c>
      <c r="F94" s="24" t="str">
        <f t="shared" si="19"/>
        <v/>
      </c>
      <c r="G94" s="24">
        <f t="shared" si="20"/>
        <v>0</v>
      </c>
      <c r="H94" s="57" t="str">
        <f t="shared" si="21"/>
        <v/>
      </c>
      <c r="I94" s="57"/>
      <c r="J94" s="57"/>
      <c r="K94" s="57"/>
      <c r="L94"/>
      <c r="O94" s="29"/>
      <c r="S94"/>
      <c r="AI94" s="29"/>
      <c r="AJ94"/>
    </row>
    <row r="95" spans="3:36" x14ac:dyDescent="0.25">
      <c r="C95" s="56" t="str">
        <f t="shared" si="22"/>
        <v/>
      </c>
      <c r="D95" s="24" t="str">
        <f t="shared" si="23"/>
        <v/>
      </c>
      <c r="E95" s="24" t="str">
        <f t="shared" si="24"/>
        <v/>
      </c>
      <c r="F95" s="24" t="str">
        <f t="shared" si="19"/>
        <v/>
      </c>
      <c r="G95" s="24">
        <f t="shared" si="20"/>
        <v>0</v>
      </c>
      <c r="H95" s="57" t="str">
        <f t="shared" si="21"/>
        <v/>
      </c>
      <c r="I95" s="57"/>
      <c r="J95" s="57"/>
      <c r="K95" s="57"/>
      <c r="L95"/>
      <c r="O95" s="29"/>
      <c r="S95"/>
      <c r="AI95" s="29"/>
      <c r="AJ95"/>
    </row>
    <row r="96" spans="3:36" x14ac:dyDescent="0.25">
      <c r="C96" s="56" t="str">
        <f t="shared" si="22"/>
        <v/>
      </c>
      <c r="D96" s="24" t="str">
        <f t="shared" si="23"/>
        <v/>
      </c>
      <c r="E96" s="24" t="str">
        <f t="shared" si="24"/>
        <v/>
      </c>
      <c r="F96" s="24" t="str">
        <f t="shared" si="19"/>
        <v/>
      </c>
      <c r="G96" s="24">
        <f t="shared" si="20"/>
        <v>0</v>
      </c>
      <c r="H96" s="57" t="str">
        <f t="shared" si="21"/>
        <v/>
      </c>
      <c r="I96" s="57"/>
      <c r="J96" s="57"/>
      <c r="K96" s="57"/>
      <c r="L96"/>
      <c r="O96" s="29"/>
      <c r="S96"/>
      <c r="AI96" s="29"/>
      <c r="AJ96"/>
    </row>
    <row r="97" spans="3:36" x14ac:dyDescent="0.25">
      <c r="C97" s="56" t="str">
        <f t="shared" si="22"/>
        <v/>
      </c>
      <c r="D97" s="24" t="str">
        <f t="shared" si="23"/>
        <v/>
      </c>
      <c r="E97" s="24" t="str">
        <f t="shared" si="24"/>
        <v/>
      </c>
      <c r="F97" s="24" t="str">
        <f t="shared" si="19"/>
        <v/>
      </c>
      <c r="G97" s="24">
        <f t="shared" si="20"/>
        <v>0</v>
      </c>
      <c r="H97" s="57" t="str">
        <f t="shared" si="21"/>
        <v/>
      </c>
      <c r="I97" s="57"/>
      <c r="J97" s="57"/>
      <c r="K97" s="57"/>
      <c r="L97"/>
      <c r="O97" s="29"/>
      <c r="S97"/>
      <c r="AI97" s="29"/>
      <c r="AJ97"/>
    </row>
    <row r="98" spans="3:36" x14ac:dyDescent="0.25">
      <c r="C98" s="56" t="str">
        <f t="shared" si="22"/>
        <v/>
      </c>
      <c r="D98" s="24" t="str">
        <f t="shared" si="23"/>
        <v/>
      </c>
      <c r="E98" s="24" t="str">
        <f t="shared" si="24"/>
        <v/>
      </c>
      <c r="F98" s="24" t="str">
        <f t="shared" si="19"/>
        <v/>
      </c>
      <c r="G98" s="24">
        <f t="shared" si="20"/>
        <v>0</v>
      </c>
      <c r="H98" s="57" t="str">
        <f t="shared" si="21"/>
        <v/>
      </c>
      <c r="I98" s="57"/>
      <c r="J98" s="57"/>
      <c r="K98" s="57"/>
      <c r="L98"/>
      <c r="O98" s="29"/>
      <c r="S98"/>
      <c r="AI98" s="29"/>
      <c r="AJ98"/>
    </row>
    <row r="99" spans="3:36" x14ac:dyDescent="0.25">
      <c r="C99" s="56" t="str">
        <f t="shared" si="22"/>
        <v/>
      </c>
      <c r="D99" s="24" t="str">
        <f t="shared" si="23"/>
        <v/>
      </c>
      <c r="E99" s="24" t="str">
        <f t="shared" si="24"/>
        <v/>
      </c>
      <c r="F99" s="24" t="str">
        <f t="shared" si="19"/>
        <v/>
      </c>
      <c r="G99" s="24">
        <f t="shared" si="20"/>
        <v>0</v>
      </c>
      <c r="H99" s="57" t="str">
        <f t="shared" si="21"/>
        <v/>
      </c>
      <c r="I99" s="57"/>
      <c r="J99" s="57"/>
      <c r="K99" s="57"/>
      <c r="L99"/>
      <c r="O99" s="29"/>
      <c r="S99"/>
      <c r="AI99" s="29"/>
      <c r="AJ99"/>
    </row>
    <row r="100" spans="3:36" x14ac:dyDescent="0.25">
      <c r="C100" s="56" t="str">
        <f t="shared" si="22"/>
        <v/>
      </c>
      <c r="D100" s="24" t="str">
        <f t="shared" si="23"/>
        <v/>
      </c>
      <c r="E100" s="24" t="str">
        <f t="shared" si="24"/>
        <v/>
      </c>
      <c r="F100" s="24" t="str">
        <f t="shared" si="19"/>
        <v/>
      </c>
      <c r="G100" s="24">
        <f t="shared" si="20"/>
        <v>0</v>
      </c>
      <c r="H100" s="57" t="str">
        <f t="shared" si="21"/>
        <v/>
      </c>
      <c r="I100" s="57"/>
      <c r="J100" s="57"/>
      <c r="K100" s="57"/>
      <c r="L100"/>
      <c r="O100" s="29"/>
      <c r="S100"/>
      <c r="AI100" s="29"/>
      <c r="AJ100"/>
    </row>
    <row r="101" spans="3:36" x14ac:dyDescent="0.25">
      <c r="C101" s="56" t="str">
        <f t="shared" si="22"/>
        <v/>
      </c>
      <c r="D101" s="24" t="str">
        <f t="shared" si="23"/>
        <v/>
      </c>
      <c r="E101" s="24" t="str">
        <f t="shared" si="24"/>
        <v/>
      </c>
      <c r="F101" s="24" t="str">
        <f t="shared" si="19"/>
        <v/>
      </c>
      <c r="G101" s="24">
        <f t="shared" si="20"/>
        <v>0</v>
      </c>
      <c r="H101" s="57" t="str">
        <f t="shared" si="21"/>
        <v/>
      </c>
      <c r="I101" s="57"/>
      <c r="J101" s="57"/>
      <c r="K101" s="57"/>
      <c r="L101"/>
      <c r="O101" s="29"/>
      <c r="S101"/>
      <c r="AI101" s="29"/>
      <c r="AJ101"/>
    </row>
    <row r="102" spans="3:36" x14ac:dyDescent="0.25">
      <c r="C102" s="56" t="str">
        <f t="shared" si="22"/>
        <v/>
      </c>
      <c r="D102" s="24" t="str">
        <f t="shared" si="23"/>
        <v/>
      </c>
      <c r="E102" s="24" t="str">
        <f t="shared" si="24"/>
        <v/>
      </c>
      <c r="F102" s="24" t="str">
        <f t="shared" si="19"/>
        <v/>
      </c>
      <c r="G102" s="24">
        <f t="shared" si="20"/>
        <v>0</v>
      </c>
      <c r="H102" s="57" t="str">
        <f t="shared" si="21"/>
        <v/>
      </c>
      <c r="I102" s="57"/>
      <c r="J102" s="57"/>
      <c r="K102" s="57"/>
      <c r="L102"/>
      <c r="O102" s="29"/>
      <c r="S102"/>
      <c r="AI102" s="29"/>
      <c r="AJ102"/>
    </row>
    <row r="103" spans="3:36" x14ac:dyDescent="0.25">
      <c r="C103" s="56" t="str">
        <f t="shared" si="22"/>
        <v/>
      </c>
      <c r="D103" s="24" t="str">
        <f t="shared" si="23"/>
        <v/>
      </c>
      <c r="E103" s="24" t="str">
        <f t="shared" si="24"/>
        <v/>
      </c>
      <c r="F103" s="24" t="str">
        <f t="shared" si="19"/>
        <v/>
      </c>
      <c r="G103" s="24">
        <f t="shared" si="20"/>
        <v>0</v>
      </c>
      <c r="H103" s="57" t="str">
        <f t="shared" si="21"/>
        <v/>
      </c>
      <c r="I103" s="57"/>
      <c r="J103" s="57"/>
      <c r="K103" s="57"/>
      <c r="L103"/>
      <c r="O103" s="29"/>
      <c r="S103"/>
      <c r="AI103" s="29"/>
      <c r="AJ103"/>
    </row>
    <row r="104" spans="3:36" x14ac:dyDescent="0.25">
      <c r="C104" s="56" t="str">
        <f t="shared" si="22"/>
        <v/>
      </c>
      <c r="D104" s="24" t="str">
        <f t="shared" si="23"/>
        <v/>
      </c>
      <c r="E104" s="24" t="str">
        <f t="shared" si="24"/>
        <v/>
      </c>
      <c r="F104" s="24" t="str">
        <f t="shared" si="19"/>
        <v/>
      </c>
      <c r="G104" s="24">
        <f t="shared" si="20"/>
        <v>0</v>
      </c>
      <c r="H104" s="57" t="str">
        <f t="shared" si="21"/>
        <v/>
      </c>
      <c r="I104" s="57"/>
      <c r="J104" s="57"/>
      <c r="K104" s="57"/>
      <c r="L104"/>
      <c r="O104" s="29"/>
      <c r="S104"/>
      <c r="AI104" s="29"/>
      <c r="AJ104"/>
    </row>
    <row r="105" spans="3:36" x14ac:dyDescent="0.25">
      <c r="C105" s="56" t="str">
        <f t="shared" si="22"/>
        <v/>
      </c>
      <c r="D105" s="24" t="str">
        <f t="shared" si="23"/>
        <v/>
      </c>
      <c r="E105" s="24" t="str">
        <f t="shared" si="24"/>
        <v/>
      </c>
      <c r="F105" s="24" t="str">
        <f t="shared" si="19"/>
        <v/>
      </c>
      <c r="G105" s="24">
        <f t="shared" si="20"/>
        <v>0</v>
      </c>
      <c r="H105" s="57" t="str">
        <f t="shared" si="21"/>
        <v/>
      </c>
      <c r="I105" s="57"/>
      <c r="J105" s="57"/>
      <c r="K105" s="57"/>
      <c r="L105"/>
      <c r="O105" s="29"/>
      <c r="S105"/>
      <c r="AI105" s="29"/>
      <c r="AJ105"/>
    </row>
    <row r="106" spans="3:36" x14ac:dyDescent="0.25">
      <c r="C106" s="56" t="str">
        <f t="shared" si="22"/>
        <v/>
      </c>
      <c r="D106" s="24" t="str">
        <f t="shared" si="23"/>
        <v/>
      </c>
      <c r="E106" s="24" t="str">
        <f t="shared" si="24"/>
        <v/>
      </c>
      <c r="F106" s="24" t="str">
        <f t="shared" si="19"/>
        <v/>
      </c>
      <c r="G106" s="24">
        <f t="shared" si="20"/>
        <v>0</v>
      </c>
      <c r="H106" s="57" t="str">
        <f t="shared" si="21"/>
        <v/>
      </c>
      <c r="I106" s="57"/>
      <c r="J106" s="57"/>
      <c r="K106" s="57"/>
      <c r="L106"/>
      <c r="O106" s="29"/>
      <c r="S106"/>
      <c r="AI106" s="29"/>
      <c r="AJ106"/>
    </row>
    <row r="107" spans="3:36" x14ac:dyDescent="0.25">
      <c r="C107" s="56" t="str">
        <f t="shared" si="22"/>
        <v/>
      </c>
      <c r="D107" s="24" t="str">
        <f t="shared" si="23"/>
        <v/>
      </c>
      <c r="E107" s="24" t="str">
        <f t="shared" si="24"/>
        <v/>
      </c>
      <c r="F107" s="24" t="str">
        <f t="shared" si="19"/>
        <v/>
      </c>
      <c r="G107" s="24">
        <f t="shared" si="20"/>
        <v>0</v>
      </c>
      <c r="H107" s="57" t="str">
        <f t="shared" si="21"/>
        <v/>
      </c>
      <c r="I107" s="57"/>
      <c r="J107" s="57"/>
      <c r="K107" s="57"/>
      <c r="L107"/>
      <c r="O107" s="29"/>
      <c r="S107"/>
      <c r="AI107" s="29"/>
      <c r="AJ107"/>
    </row>
    <row r="108" spans="3:36" x14ac:dyDescent="0.25">
      <c r="C108" s="56" t="str">
        <f t="shared" si="22"/>
        <v/>
      </c>
      <c r="D108" s="24" t="str">
        <f t="shared" si="23"/>
        <v/>
      </c>
      <c r="E108" s="24" t="str">
        <f t="shared" si="24"/>
        <v/>
      </c>
      <c r="F108" s="24" t="str">
        <f t="shared" si="19"/>
        <v/>
      </c>
      <c r="G108" s="24">
        <f t="shared" si="20"/>
        <v>0</v>
      </c>
      <c r="H108" s="57" t="str">
        <f t="shared" si="21"/>
        <v/>
      </c>
      <c r="I108" s="57"/>
      <c r="J108" s="57"/>
      <c r="K108" s="57"/>
      <c r="L108"/>
      <c r="O108" s="29"/>
      <c r="S108"/>
      <c r="AI108" s="29"/>
      <c r="AJ108"/>
    </row>
    <row r="109" spans="3:36" x14ac:dyDescent="0.25">
      <c r="C109" s="56" t="str">
        <f t="shared" si="22"/>
        <v/>
      </c>
      <c r="D109" s="24" t="str">
        <f t="shared" si="23"/>
        <v/>
      </c>
      <c r="E109" s="24" t="str">
        <f t="shared" si="24"/>
        <v/>
      </c>
      <c r="F109" s="24" t="str">
        <f t="shared" si="19"/>
        <v/>
      </c>
      <c r="G109" s="24">
        <f t="shared" si="20"/>
        <v>0</v>
      </c>
      <c r="H109" s="57" t="str">
        <f t="shared" si="21"/>
        <v/>
      </c>
      <c r="I109" s="57"/>
      <c r="J109" s="57"/>
      <c r="K109" s="57"/>
      <c r="L109"/>
      <c r="O109" s="29"/>
      <c r="S109"/>
      <c r="AI109" s="29"/>
      <c r="AJ109"/>
    </row>
    <row r="110" spans="3:36" x14ac:dyDescent="0.25">
      <c r="C110" s="56" t="str">
        <f t="shared" si="22"/>
        <v/>
      </c>
      <c r="D110" s="24" t="str">
        <f t="shared" si="23"/>
        <v/>
      </c>
      <c r="E110" s="24" t="str">
        <f t="shared" si="24"/>
        <v/>
      </c>
      <c r="F110" s="24" t="str">
        <f t="shared" si="19"/>
        <v/>
      </c>
      <c r="G110" s="24">
        <f t="shared" si="20"/>
        <v>0</v>
      </c>
      <c r="H110" s="57" t="str">
        <f t="shared" si="21"/>
        <v/>
      </c>
      <c r="I110" s="57"/>
      <c r="J110" s="57"/>
      <c r="K110" s="57"/>
      <c r="L110"/>
      <c r="O110" s="29"/>
      <c r="S110"/>
      <c r="AI110" s="29"/>
      <c r="AJ110"/>
    </row>
    <row r="111" spans="3:36" x14ac:dyDescent="0.25">
      <c r="C111" s="56" t="str">
        <f t="shared" si="22"/>
        <v/>
      </c>
      <c r="D111" s="24" t="str">
        <f t="shared" si="23"/>
        <v/>
      </c>
      <c r="E111" s="24" t="str">
        <f t="shared" si="24"/>
        <v/>
      </c>
      <c r="F111" s="24" t="str">
        <f t="shared" si="19"/>
        <v/>
      </c>
      <c r="G111" s="24">
        <f t="shared" si="20"/>
        <v>0</v>
      </c>
      <c r="H111" s="57" t="str">
        <f t="shared" si="21"/>
        <v/>
      </c>
      <c r="I111" s="57"/>
      <c r="J111" s="57"/>
      <c r="K111" s="57"/>
      <c r="L111"/>
      <c r="O111" s="29"/>
      <c r="S111"/>
      <c r="AI111" s="29"/>
      <c r="AJ111"/>
    </row>
    <row r="112" spans="3:36" x14ac:dyDescent="0.25">
      <c r="C112" s="56" t="str">
        <f t="shared" si="22"/>
        <v/>
      </c>
      <c r="D112" s="24" t="str">
        <f t="shared" si="23"/>
        <v/>
      </c>
      <c r="E112" s="24" t="str">
        <f t="shared" si="24"/>
        <v/>
      </c>
      <c r="F112" s="24" t="str">
        <f t="shared" si="19"/>
        <v/>
      </c>
      <c r="G112" s="24">
        <f t="shared" si="20"/>
        <v>0</v>
      </c>
      <c r="H112" s="57" t="str">
        <f t="shared" si="21"/>
        <v/>
      </c>
      <c r="I112" s="57"/>
      <c r="J112" s="57"/>
      <c r="K112" s="57"/>
      <c r="L112"/>
      <c r="O112" s="29"/>
      <c r="S112"/>
      <c r="AI112" s="29"/>
      <c r="AJ112"/>
    </row>
    <row r="113" spans="3:36" x14ac:dyDescent="0.25">
      <c r="C113" s="56" t="str">
        <f t="shared" si="22"/>
        <v/>
      </c>
      <c r="D113" s="24" t="str">
        <f t="shared" si="23"/>
        <v/>
      </c>
      <c r="E113" s="24" t="str">
        <f t="shared" si="24"/>
        <v/>
      </c>
      <c r="F113" s="24" t="str">
        <f t="shared" si="19"/>
        <v/>
      </c>
      <c r="G113" s="24">
        <f t="shared" si="20"/>
        <v>0</v>
      </c>
      <c r="H113" s="57" t="str">
        <f t="shared" si="21"/>
        <v/>
      </c>
      <c r="I113" s="57"/>
      <c r="J113" s="57"/>
      <c r="K113" s="57"/>
      <c r="L113"/>
      <c r="O113" s="29"/>
      <c r="S113"/>
      <c r="AI113" s="29"/>
      <c r="AJ113"/>
    </row>
    <row r="114" spans="3:36" x14ac:dyDescent="0.25">
      <c r="C114" s="56" t="str">
        <f t="shared" si="22"/>
        <v/>
      </c>
      <c r="D114" s="24" t="str">
        <f t="shared" si="23"/>
        <v/>
      </c>
      <c r="E114" s="24" t="str">
        <f t="shared" si="24"/>
        <v/>
      </c>
      <c r="F114" s="24" t="str">
        <f t="shared" si="19"/>
        <v/>
      </c>
      <c r="G114" s="24">
        <f t="shared" si="20"/>
        <v>0</v>
      </c>
      <c r="H114" s="57" t="str">
        <f t="shared" si="21"/>
        <v/>
      </c>
      <c r="I114" s="57"/>
      <c r="J114" s="57"/>
      <c r="K114" s="57"/>
      <c r="L114"/>
      <c r="O114" s="29"/>
      <c r="S114"/>
      <c r="AI114" s="29"/>
      <c r="AJ114"/>
    </row>
    <row r="115" spans="3:36" x14ac:dyDescent="0.25">
      <c r="C115" s="56" t="str">
        <f t="shared" si="22"/>
        <v/>
      </c>
      <c r="D115" s="24" t="str">
        <f t="shared" si="23"/>
        <v/>
      </c>
      <c r="E115" s="24" t="str">
        <f t="shared" si="24"/>
        <v/>
      </c>
      <c r="F115" s="24" t="str">
        <f t="shared" si="19"/>
        <v/>
      </c>
      <c r="G115" s="24">
        <f t="shared" si="20"/>
        <v>0</v>
      </c>
      <c r="H115" s="57" t="str">
        <f t="shared" si="21"/>
        <v/>
      </c>
      <c r="I115" s="57"/>
      <c r="J115" s="57"/>
      <c r="K115" s="57"/>
      <c r="L115"/>
      <c r="O115" s="29"/>
      <c r="S115"/>
      <c r="AI115" s="29"/>
      <c r="AJ115"/>
    </row>
    <row r="116" spans="3:36" x14ac:dyDescent="0.25">
      <c r="C116" s="56" t="str">
        <f t="shared" si="22"/>
        <v/>
      </c>
      <c r="D116" s="24" t="str">
        <f t="shared" si="23"/>
        <v/>
      </c>
      <c r="E116" s="24" t="str">
        <f t="shared" si="24"/>
        <v/>
      </c>
      <c r="F116" s="24" t="str">
        <f t="shared" si="19"/>
        <v/>
      </c>
      <c r="G116" s="24">
        <f t="shared" si="20"/>
        <v>0</v>
      </c>
      <c r="H116" s="57" t="str">
        <f t="shared" si="21"/>
        <v/>
      </c>
      <c r="I116" s="57"/>
      <c r="J116" s="57"/>
      <c r="K116" s="57"/>
      <c r="L116"/>
      <c r="O116" s="29"/>
      <c r="S116"/>
      <c r="AI116" s="29"/>
      <c r="AJ116"/>
    </row>
    <row r="117" spans="3:36" x14ac:dyDescent="0.25">
      <c r="C117" s="56" t="str">
        <f t="shared" si="22"/>
        <v/>
      </c>
      <c r="D117" s="24" t="str">
        <f t="shared" si="23"/>
        <v/>
      </c>
      <c r="E117" s="24" t="str">
        <f t="shared" si="24"/>
        <v/>
      </c>
      <c r="F117" s="24" t="str">
        <f t="shared" si="19"/>
        <v/>
      </c>
      <c r="G117" s="24">
        <f t="shared" si="20"/>
        <v>0</v>
      </c>
      <c r="H117" s="57" t="str">
        <f t="shared" si="21"/>
        <v/>
      </c>
      <c r="I117" s="57"/>
      <c r="J117" s="57"/>
      <c r="K117" s="57"/>
      <c r="L117"/>
      <c r="O117" s="29"/>
      <c r="S117"/>
      <c r="AI117" s="29"/>
      <c r="AJ117"/>
    </row>
    <row r="118" spans="3:36" x14ac:dyDescent="0.25">
      <c r="C118" s="56" t="str">
        <f t="shared" si="22"/>
        <v/>
      </c>
      <c r="D118" s="24" t="str">
        <f t="shared" si="23"/>
        <v/>
      </c>
      <c r="E118" s="24" t="str">
        <f t="shared" si="24"/>
        <v/>
      </c>
      <c r="F118" s="24" t="str">
        <f t="shared" si="19"/>
        <v/>
      </c>
      <c r="G118" s="24">
        <f t="shared" si="20"/>
        <v>0</v>
      </c>
      <c r="H118" s="57" t="str">
        <f t="shared" si="21"/>
        <v/>
      </c>
      <c r="I118" s="57"/>
      <c r="J118" s="57"/>
      <c r="K118" s="57"/>
      <c r="L118"/>
      <c r="O118" s="29"/>
      <c r="S118"/>
      <c r="AI118" s="29"/>
      <c r="AJ118"/>
    </row>
    <row r="119" spans="3:36" x14ac:dyDescent="0.25">
      <c r="C119" s="56" t="str">
        <f t="shared" si="22"/>
        <v/>
      </c>
      <c r="D119" s="24" t="str">
        <f t="shared" si="23"/>
        <v/>
      </c>
      <c r="E119" s="24" t="str">
        <f t="shared" si="24"/>
        <v/>
      </c>
      <c r="F119" s="24" t="str">
        <f t="shared" si="19"/>
        <v/>
      </c>
      <c r="G119" s="24">
        <f t="shared" si="20"/>
        <v>0</v>
      </c>
      <c r="H119" s="57" t="str">
        <f t="shared" si="21"/>
        <v/>
      </c>
      <c r="I119" s="57"/>
      <c r="J119" s="57"/>
      <c r="K119" s="57"/>
      <c r="L119"/>
      <c r="O119" s="29"/>
      <c r="S119"/>
      <c r="AI119" s="29"/>
      <c r="AJ119"/>
    </row>
    <row r="120" spans="3:36" x14ac:dyDescent="0.25">
      <c r="C120" s="56" t="str">
        <f t="shared" si="22"/>
        <v/>
      </c>
      <c r="D120" s="24" t="str">
        <f t="shared" si="23"/>
        <v/>
      </c>
      <c r="E120" s="24" t="str">
        <f t="shared" si="24"/>
        <v/>
      </c>
      <c r="F120" s="24" t="str">
        <f t="shared" si="19"/>
        <v/>
      </c>
      <c r="G120" s="24">
        <f t="shared" si="20"/>
        <v>0</v>
      </c>
      <c r="H120" s="57" t="str">
        <f t="shared" si="21"/>
        <v/>
      </c>
      <c r="I120" s="57"/>
      <c r="J120" s="57"/>
      <c r="K120" s="57"/>
      <c r="L120"/>
      <c r="O120" s="29"/>
      <c r="S120"/>
      <c r="AI120" s="29"/>
      <c r="AJ120"/>
    </row>
    <row r="121" spans="3:36" x14ac:dyDescent="0.25">
      <c r="C121" s="56" t="str">
        <f t="shared" si="22"/>
        <v/>
      </c>
      <c r="D121" s="24" t="str">
        <f t="shared" si="23"/>
        <v/>
      </c>
      <c r="E121" s="24" t="str">
        <f t="shared" si="24"/>
        <v/>
      </c>
      <c r="F121" s="24" t="str">
        <f t="shared" si="19"/>
        <v/>
      </c>
      <c r="G121" s="24">
        <f t="shared" si="20"/>
        <v>0</v>
      </c>
      <c r="H121" s="57" t="str">
        <f t="shared" si="21"/>
        <v/>
      </c>
      <c r="I121" s="57"/>
      <c r="J121" s="57"/>
      <c r="K121" s="57"/>
      <c r="L121"/>
      <c r="O121" s="29"/>
      <c r="S121"/>
      <c r="AI121" s="29"/>
      <c r="AJ121"/>
    </row>
    <row r="122" spans="3:36" x14ac:dyDescent="0.25">
      <c r="C122" s="56" t="str">
        <f t="shared" si="22"/>
        <v/>
      </c>
      <c r="D122" s="24" t="str">
        <f t="shared" si="23"/>
        <v/>
      </c>
      <c r="E122" s="24" t="str">
        <f t="shared" si="24"/>
        <v/>
      </c>
      <c r="F122" s="24" t="str">
        <f t="shared" si="19"/>
        <v/>
      </c>
      <c r="G122" s="24">
        <f t="shared" si="20"/>
        <v>0</v>
      </c>
      <c r="H122" s="57" t="str">
        <f t="shared" si="21"/>
        <v/>
      </c>
      <c r="I122" s="57"/>
      <c r="J122" s="57"/>
      <c r="K122" s="57"/>
      <c r="L122"/>
      <c r="O122" s="29"/>
      <c r="S122"/>
      <c r="AI122" s="29"/>
      <c r="AJ122"/>
    </row>
    <row r="123" spans="3:36" x14ac:dyDescent="0.25">
      <c r="C123" s="56" t="str">
        <f t="shared" si="22"/>
        <v/>
      </c>
      <c r="D123" s="24" t="str">
        <f t="shared" si="23"/>
        <v/>
      </c>
      <c r="E123" s="24" t="str">
        <f t="shared" si="24"/>
        <v/>
      </c>
      <c r="F123" s="24" t="str">
        <f t="shared" si="19"/>
        <v/>
      </c>
      <c r="G123" s="24">
        <f t="shared" si="20"/>
        <v>0</v>
      </c>
      <c r="H123" s="57" t="str">
        <f t="shared" si="21"/>
        <v/>
      </c>
      <c r="I123" s="57"/>
      <c r="J123" s="57"/>
      <c r="K123" s="57"/>
      <c r="L123" s="24" t="str">
        <f>IF(E123="","",IF(E123=D122,E122+1,1))</f>
        <v/>
      </c>
    </row>
    <row r="124" spans="3:36" x14ac:dyDescent="0.25">
      <c r="C124" s="56" t="str">
        <f t="shared" si="22"/>
        <v/>
      </c>
      <c r="D124" s="24" t="str">
        <f t="shared" si="23"/>
        <v/>
      </c>
      <c r="E124" s="24" t="str">
        <f t="shared" si="24"/>
        <v/>
      </c>
      <c r="F124" s="24" t="str">
        <f t="shared" si="19"/>
        <v/>
      </c>
      <c r="G124" s="24">
        <f t="shared" si="20"/>
        <v>0</v>
      </c>
      <c r="H124" s="57" t="str">
        <f t="shared" si="21"/>
        <v/>
      </c>
      <c r="I124" s="57"/>
      <c r="J124" s="57"/>
      <c r="K124" s="57"/>
      <c r="L124" s="24" t="str">
        <f t="shared" ref="L124:L155" si="25">IF(E124="","",IF(E124=E123,L123+1,1))</f>
        <v/>
      </c>
    </row>
    <row r="125" spans="3:36" x14ac:dyDescent="0.25">
      <c r="C125" s="56" t="str">
        <f t="shared" si="22"/>
        <v/>
      </c>
      <c r="D125" s="24" t="str">
        <f t="shared" si="23"/>
        <v/>
      </c>
      <c r="E125" s="24" t="str">
        <f t="shared" si="24"/>
        <v/>
      </c>
      <c r="F125" s="24" t="str">
        <f t="shared" si="19"/>
        <v/>
      </c>
      <c r="G125" s="24">
        <f t="shared" si="20"/>
        <v>0</v>
      </c>
      <c r="H125" s="57" t="str">
        <f t="shared" si="21"/>
        <v/>
      </c>
      <c r="I125" s="57"/>
      <c r="J125" s="57"/>
      <c r="K125" s="57"/>
      <c r="L125" s="24" t="str">
        <f t="shared" si="25"/>
        <v/>
      </c>
    </row>
    <row r="126" spans="3:36" x14ac:dyDescent="0.25">
      <c r="C126" s="56" t="str">
        <f t="shared" si="22"/>
        <v/>
      </c>
      <c r="D126" s="24" t="str">
        <f t="shared" si="23"/>
        <v/>
      </c>
      <c r="E126" s="24" t="str">
        <f t="shared" si="24"/>
        <v/>
      </c>
      <c r="F126" s="24" t="str">
        <f t="shared" si="19"/>
        <v/>
      </c>
      <c r="G126" s="24">
        <f t="shared" si="20"/>
        <v>0</v>
      </c>
      <c r="H126" s="57" t="str">
        <f t="shared" si="21"/>
        <v/>
      </c>
      <c r="I126" s="57"/>
      <c r="J126" s="57"/>
      <c r="K126" s="57"/>
      <c r="L126" s="24" t="str">
        <f t="shared" si="25"/>
        <v/>
      </c>
    </row>
    <row r="127" spans="3:36" x14ac:dyDescent="0.25">
      <c r="C127" s="56" t="str">
        <f t="shared" si="22"/>
        <v/>
      </c>
      <c r="D127" s="24" t="str">
        <f t="shared" si="23"/>
        <v/>
      </c>
      <c r="E127" s="24" t="str">
        <f t="shared" si="24"/>
        <v/>
      </c>
      <c r="F127" s="24" t="str">
        <f t="shared" si="19"/>
        <v/>
      </c>
      <c r="G127" s="24">
        <f t="shared" si="20"/>
        <v>0</v>
      </c>
      <c r="H127" s="57" t="str">
        <f t="shared" si="21"/>
        <v/>
      </c>
      <c r="I127" s="57"/>
      <c r="J127" s="57"/>
      <c r="K127" s="57"/>
      <c r="L127" s="24" t="str">
        <f t="shared" si="25"/>
        <v/>
      </c>
    </row>
    <row r="128" spans="3:36" x14ac:dyDescent="0.25">
      <c r="C128" s="56" t="str">
        <f t="shared" si="22"/>
        <v/>
      </c>
      <c r="D128" s="24" t="str">
        <f t="shared" si="23"/>
        <v/>
      </c>
      <c r="E128" s="24" t="str">
        <f t="shared" si="24"/>
        <v/>
      </c>
      <c r="F128" s="24" t="str">
        <f t="shared" si="19"/>
        <v/>
      </c>
      <c r="G128" s="24">
        <f t="shared" si="20"/>
        <v>0</v>
      </c>
      <c r="H128" s="57" t="str">
        <f t="shared" si="21"/>
        <v/>
      </c>
      <c r="I128" s="57"/>
      <c r="J128" s="57"/>
      <c r="K128" s="57"/>
      <c r="L128" s="24" t="str">
        <f t="shared" si="25"/>
        <v/>
      </c>
    </row>
    <row r="129" spans="3:12" x14ac:dyDescent="0.25">
      <c r="C129" s="56" t="str">
        <f t="shared" si="22"/>
        <v/>
      </c>
      <c r="D129" s="24" t="str">
        <f t="shared" si="23"/>
        <v/>
      </c>
      <c r="E129" s="24" t="str">
        <f t="shared" si="24"/>
        <v/>
      </c>
      <c r="F129" s="24" t="str">
        <f t="shared" si="19"/>
        <v/>
      </c>
      <c r="G129" s="24">
        <f t="shared" si="20"/>
        <v>0</v>
      </c>
      <c r="H129" s="57" t="str">
        <f t="shared" si="21"/>
        <v/>
      </c>
      <c r="I129" s="57"/>
      <c r="J129" s="57"/>
      <c r="K129" s="57"/>
      <c r="L129" s="24" t="str">
        <f t="shared" si="25"/>
        <v/>
      </c>
    </row>
    <row r="130" spans="3:12" x14ac:dyDescent="0.25">
      <c r="C130" s="56" t="str">
        <f t="shared" si="22"/>
        <v/>
      </c>
      <c r="D130" s="24" t="str">
        <f t="shared" si="23"/>
        <v/>
      </c>
      <c r="E130" s="24" t="str">
        <f t="shared" si="24"/>
        <v/>
      </c>
      <c r="F130" s="24" t="str">
        <f t="shared" si="19"/>
        <v/>
      </c>
      <c r="G130" s="24">
        <f t="shared" si="20"/>
        <v>0</v>
      </c>
      <c r="H130" s="57" t="str">
        <f t="shared" si="21"/>
        <v/>
      </c>
      <c r="I130" s="57"/>
      <c r="J130" s="57"/>
      <c r="K130" s="57"/>
      <c r="L130" s="24" t="str">
        <f t="shared" si="25"/>
        <v/>
      </c>
    </row>
    <row r="131" spans="3:12" x14ac:dyDescent="0.25">
      <c r="C131" s="56" t="str">
        <f t="shared" si="22"/>
        <v/>
      </c>
      <c r="D131" s="24" t="str">
        <f t="shared" si="23"/>
        <v/>
      </c>
      <c r="E131" s="24" t="str">
        <f t="shared" si="24"/>
        <v/>
      </c>
      <c r="F131" s="24" t="str">
        <f t="shared" si="19"/>
        <v/>
      </c>
      <c r="G131" s="24">
        <f t="shared" si="20"/>
        <v>0</v>
      </c>
      <c r="H131" s="57" t="str">
        <f t="shared" si="21"/>
        <v/>
      </c>
      <c r="I131" s="57"/>
      <c r="J131" s="57"/>
      <c r="K131" s="57"/>
      <c r="L131" s="24" t="str">
        <f t="shared" si="25"/>
        <v/>
      </c>
    </row>
    <row r="132" spans="3:12" x14ac:dyDescent="0.25">
      <c r="C132" s="56" t="str">
        <f t="shared" si="22"/>
        <v/>
      </c>
      <c r="D132" s="24" t="str">
        <f t="shared" si="23"/>
        <v/>
      </c>
      <c r="E132" s="24" t="str">
        <f t="shared" si="24"/>
        <v/>
      </c>
      <c r="F132" s="24" t="str">
        <f t="shared" si="19"/>
        <v/>
      </c>
      <c r="G132" s="24">
        <f t="shared" si="20"/>
        <v>0</v>
      </c>
      <c r="H132" s="57" t="str">
        <f t="shared" si="21"/>
        <v/>
      </c>
      <c r="I132" s="57"/>
      <c r="J132" s="57"/>
      <c r="K132" s="57"/>
      <c r="L132" s="24" t="str">
        <f t="shared" si="25"/>
        <v/>
      </c>
    </row>
    <row r="133" spans="3:12" x14ac:dyDescent="0.25">
      <c r="C133" s="56" t="str">
        <f t="shared" si="22"/>
        <v/>
      </c>
      <c r="D133" s="24" t="str">
        <f t="shared" si="23"/>
        <v/>
      </c>
      <c r="E133" s="24" t="str">
        <f t="shared" si="24"/>
        <v/>
      </c>
      <c r="F133" s="24" t="str">
        <f t="shared" si="19"/>
        <v/>
      </c>
      <c r="G133" s="24">
        <f t="shared" si="20"/>
        <v>0</v>
      </c>
      <c r="H133" s="57" t="str">
        <f t="shared" si="21"/>
        <v/>
      </c>
      <c r="I133" s="57"/>
      <c r="J133" s="57"/>
      <c r="K133" s="57"/>
      <c r="L133" s="24" t="str">
        <f t="shared" si="25"/>
        <v/>
      </c>
    </row>
    <row r="134" spans="3:12" x14ac:dyDescent="0.25">
      <c r="C134" s="56" t="str">
        <f t="shared" si="22"/>
        <v/>
      </c>
      <c r="D134" s="24" t="str">
        <f t="shared" si="23"/>
        <v/>
      </c>
      <c r="E134" s="24" t="str">
        <f t="shared" si="24"/>
        <v/>
      </c>
      <c r="F134" s="24" t="str">
        <f t="shared" si="19"/>
        <v/>
      </c>
      <c r="G134" s="24">
        <f t="shared" si="20"/>
        <v>0</v>
      </c>
      <c r="H134" s="57" t="str">
        <f t="shared" si="21"/>
        <v/>
      </c>
      <c r="I134" s="57"/>
      <c r="J134" s="57"/>
      <c r="K134" s="57"/>
      <c r="L134" s="24" t="str">
        <f t="shared" si="25"/>
        <v/>
      </c>
    </row>
    <row r="135" spans="3:12" x14ac:dyDescent="0.25">
      <c r="C135" s="56" t="str">
        <f t="shared" si="22"/>
        <v/>
      </c>
      <c r="D135" s="24" t="str">
        <f t="shared" si="23"/>
        <v/>
      </c>
      <c r="E135" s="24" t="str">
        <f t="shared" si="24"/>
        <v/>
      </c>
      <c r="F135" s="24" t="str">
        <f t="shared" si="19"/>
        <v/>
      </c>
      <c r="G135" s="24">
        <f t="shared" si="20"/>
        <v>0</v>
      </c>
      <c r="H135" s="57" t="str">
        <f t="shared" si="21"/>
        <v/>
      </c>
      <c r="I135" s="57"/>
      <c r="J135" s="57"/>
      <c r="K135" s="57"/>
      <c r="L135" s="24" t="str">
        <f t="shared" si="25"/>
        <v/>
      </c>
    </row>
    <row r="136" spans="3:12" x14ac:dyDescent="0.25">
      <c r="C136" s="56" t="str">
        <f t="shared" si="22"/>
        <v/>
      </c>
      <c r="D136" s="24" t="str">
        <f t="shared" si="23"/>
        <v/>
      </c>
      <c r="E136" s="24" t="str">
        <f t="shared" si="24"/>
        <v/>
      </c>
      <c r="F136" s="24" t="str">
        <f t="shared" si="19"/>
        <v/>
      </c>
      <c r="G136" s="24">
        <f t="shared" si="20"/>
        <v>0</v>
      </c>
      <c r="H136" s="57" t="str">
        <f t="shared" si="21"/>
        <v/>
      </c>
      <c r="I136" s="57"/>
      <c r="J136" s="57"/>
      <c r="K136" s="57"/>
      <c r="L136" s="24" t="str">
        <f t="shared" si="25"/>
        <v/>
      </c>
    </row>
    <row r="137" spans="3:12" x14ac:dyDescent="0.25">
      <c r="C137" s="56" t="str">
        <f t="shared" si="22"/>
        <v/>
      </c>
      <c r="D137" s="24" t="str">
        <f t="shared" si="23"/>
        <v/>
      </c>
      <c r="E137" s="24" t="str">
        <f t="shared" si="24"/>
        <v/>
      </c>
      <c r="F137" s="24" t="str">
        <f t="shared" si="19"/>
        <v/>
      </c>
      <c r="G137" s="24">
        <f t="shared" si="20"/>
        <v>0</v>
      </c>
      <c r="H137" s="57" t="str">
        <f t="shared" si="21"/>
        <v/>
      </c>
      <c r="I137" s="57"/>
      <c r="J137" s="57"/>
      <c r="K137" s="57"/>
      <c r="L137" s="24" t="str">
        <f t="shared" si="25"/>
        <v/>
      </c>
    </row>
    <row r="138" spans="3:12" x14ac:dyDescent="0.25">
      <c r="C138" s="56" t="str">
        <f t="shared" si="22"/>
        <v/>
      </c>
      <c r="D138" s="24" t="str">
        <f t="shared" si="23"/>
        <v/>
      </c>
      <c r="E138" s="24" t="str">
        <f t="shared" si="24"/>
        <v/>
      </c>
      <c r="F138" s="24" t="str">
        <f t="shared" si="19"/>
        <v/>
      </c>
      <c r="G138" s="24">
        <f t="shared" si="20"/>
        <v>0</v>
      </c>
      <c r="H138" s="57" t="str">
        <f t="shared" si="21"/>
        <v/>
      </c>
      <c r="I138" s="57"/>
      <c r="J138" s="57"/>
      <c r="K138" s="57"/>
      <c r="L138" s="24" t="str">
        <f t="shared" si="25"/>
        <v/>
      </c>
    </row>
    <row r="139" spans="3:12" x14ac:dyDescent="0.25">
      <c r="C139" s="56" t="str">
        <f t="shared" si="22"/>
        <v/>
      </c>
      <c r="D139" s="24" t="str">
        <f t="shared" si="23"/>
        <v/>
      </c>
      <c r="E139" s="24" t="str">
        <f t="shared" si="24"/>
        <v/>
      </c>
      <c r="F139" s="24" t="str">
        <f t="shared" si="19"/>
        <v/>
      </c>
      <c r="G139" s="24">
        <f t="shared" si="20"/>
        <v>0</v>
      </c>
      <c r="H139" s="57" t="str">
        <f t="shared" si="21"/>
        <v/>
      </c>
      <c r="I139" s="57"/>
      <c r="J139" s="57"/>
      <c r="K139" s="57"/>
      <c r="L139" s="24" t="str">
        <f t="shared" si="25"/>
        <v/>
      </c>
    </row>
    <row r="140" spans="3:12" x14ac:dyDescent="0.25">
      <c r="C140" s="56" t="str">
        <f t="shared" si="22"/>
        <v/>
      </c>
      <c r="D140" s="24" t="str">
        <f t="shared" si="23"/>
        <v/>
      </c>
      <c r="E140" s="24" t="str">
        <f t="shared" si="24"/>
        <v/>
      </c>
      <c r="F140" s="24" t="str">
        <f t="shared" si="19"/>
        <v/>
      </c>
      <c r="G140" s="24">
        <f t="shared" si="20"/>
        <v>0</v>
      </c>
      <c r="H140" s="57" t="str">
        <f t="shared" si="21"/>
        <v/>
      </c>
      <c r="I140" s="57"/>
      <c r="J140" s="57"/>
      <c r="K140" s="57"/>
      <c r="L140" s="24" t="str">
        <f t="shared" si="25"/>
        <v/>
      </c>
    </row>
    <row r="141" spans="3:12" x14ac:dyDescent="0.25">
      <c r="C141" s="56" t="str">
        <f t="shared" si="22"/>
        <v/>
      </c>
      <c r="D141" s="24" t="str">
        <f t="shared" si="23"/>
        <v/>
      </c>
      <c r="E141" s="24" t="str">
        <f t="shared" si="24"/>
        <v/>
      </c>
      <c r="F141" s="24" t="str">
        <f t="shared" si="19"/>
        <v/>
      </c>
      <c r="G141" s="24">
        <f t="shared" si="20"/>
        <v>0</v>
      </c>
      <c r="H141" s="57" t="str">
        <f t="shared" si="21"/>
        <v/>
      </c>
      <c r="I141" s="57"/>
      <c r="J141" s="57"/>
      <c r="K141" s="57"/>
      <c r="L141" s="24" t="str">
        <f t="shared" si="25"/>
        <v/>
      </c>
    </row>
    <row r="142" spans="3:12" x14ac:dyDescent="0.25">
      <c r="C142" s="56" t="str">
        <f t="shared" si="22"/>
        <v/>
      </c>
      <c r="D142" s="24" t="str">
        <f t="shared" si="23"/>
        <v/>
      </c>
      <c r="E142" s="24" t="str">
        <f t="shared" si="24"/>
        <v/>
      </c>
      <c r="F142" s="24" t="str">
        <f t="shared" si="19"/>
        <v/>
      </c>
      <c r="G142" s="24">
        <f t="shared" si="20"/>
        <v>0</v>
      </c>
      <c r="H142" s="57" t="str">
        <f t="shared" si="21"/>
        <v/>
      </c>
      <c r="I142" s="57"/>
      <c r="J142" s="57"/>
      <c r="K142" s="57"/>
      <c r="L142" s="24" t="str">
        <f t="shared" si="25"/>
        <v/>
      </c>
    </row>
    <row r="143" spans="3:12" x14ac:dyDescent="0.25">
      <c r="C143" s="56" t="str">
        <f t="shared" si="22"/>
        <v/>
      </c>
      <c r="D143" s="24" t="str">
        <f t="shared" si="23"/>
        <v/>
      </c>
      <c r="E143" s="24" t="str">
        <f t="shared" si="24"/>
        <v/>
      </c>
      <c r="F143" s="24" t="str">
        <f t="shared" si="19"/>
        <v/>
      </c>
      <c r="G143" s="24">
        <f t="shared" si="20"/>
        <v>0</v>
      </c>
      <c r="H143" s="57" t="str">
        <f t="shared" si="21"/>
        <v/>
      </c>
      <c r="I143" s="57"/>
      <c r="J143" s="57"/>
      <c r="K143" s="57"/>
      <c r="L143" s="24" t="str">
        <f t="shared" si="25"/>
        <v/>
      </c>
    </row>
    <row r="144" spans="3:12" x14ac:dyDescent="0.25">
      <c r="C144" s="56" t="str">
        <f t="shared" si="22"/>
        <v/>
      </c>
      <c r="D144" s="24" t="str">
        <f t="shared" si="23"/>
        <v/>
      </c>
      <c r="E144" s="24" t="str">
        <f t="shared" si="24"/>
        <v/>
      </c>
      <c r="F144" s="24" t="str">
        <f t="shared" si="19"/>
        <v/>
      </c>
      <c r="G144" s="24">
        <f t="shared" si="20"/>
        <v>0</v>
      </c>
      <c r="H144" s="57" t="str">
        <f t="shared" si="21"/>
        <v/>
      </c>
      <c r="I144" s="57"/>
      <c r="J144" s="57"/>
      <c r="K144" s="57"/>
      <c r="L144" s="24" t="str">
        <f t="shared" si="25"/>
        <v/>
      </c>
    </row>
    <row r="145" spans="3:12" x14ac:dyDescent="0.25">
      <c r="C145" s="56" t="str">
        <f t="shared" si="22"/>
        <v/>
      </c>
      <c r="D145" s="24" t="str">
        <f t="shared" si="23"/>
        <v/>
      </c>
      <c r="E145" s="24" t="str">
        <f t="shared" si="24"/>
        <v/>
      </c>
      <c r="F145" s="24" t="str">
        <f t="shared" si="19"/>
        <v/>
      </c>
      <c r="G145" s="24">
        <f t="shared" si="20"/>
        <v>0</v>
      </c>
      <c r="H145" s="57" t="str">
        <f t="shared" si="21"/>
        <v/>
      </c>
      <c r="I145" s="57"/>
      <c r="J145" s="57"/>
      <c r="K145" s="57"/>
      <c r="L145" s="24" t="str">
        <f t="shared" si="25"/>
        <v/>
      </c>
    </row>
    <row r="146" spans="3:12" x14ac:dyDescent="0.25">
      <c r="C146" s="56" t="str">
        <f t="shared" si="22"/>
        <v/>
      </c>
      <c r="D146" s="24" t="str">
        <f t="shared" si="23"/>
        <v/>
      </c>
      <c r="E146" s="24" t="str">
        <f t="shared" si="24"/>
        <v/>
      </c>
      <c r="F146" s="24" t="str">
        <f t="shared" si="19"/>
        <v/>
      </c>
      <c r="G146" s="24">
        <f t="shared" si="20"/>
        <v>0</v>
      </c>
      <c r="H146" s="57" t="str">
        <f t="shared" si="21"/>
        <v/>
      </c>
      <c r="I146" s="57"/>
      <c r="J146" s="57"/>
      <c r="K146" s="57"/>
      <c r="L146" s="24" t="str">
        <f t="shared" si="25"/>
        <v/>
      </c>
    </row>
    <row r="147" spans="3:12" x14ac:dyDescent="0.25">
      <c r="C147" s="56" t="str">
        <f t="shared" si="22"/>
        <v/>
      </c>
      <c r="D147" s="24" t="str">
        <f t="shared" si="23"/>
        <v/>
      </c>
      <c r="E147" s="24" t="str">
        <f t="shared" si="24"/>
        <v/>
      </c>
      <c r="F147" s="24" t="str">
        <f t="shared" si="19"/>
        <v/>
      </c>
      <c r="G147" s="24">
        <f t="shared" si="20"/>
        <v>0</v>
      </c>
      <c r="H147" s="57" t="str">
        <f t="shared" si="21"/>
        <v/>
      </c>
      <c r="I147" s="57"/>
      <c r="J147" s="57"/>
      <c r="K147" s="57"/>
      <c r="L147" s="24" t="str">
        <f t="shared" si="25"/>
        <v/>
      </c>
    </row>
    <row r="148" spans="3:12" x14ac:dyDescent="0.25">
      <c r="C148" s="56" t="str">
        <f t="shared" si="22"/>
        <v/>
      </c>
      <c r="D148" s="24" t="str">
        <f t="shared" si="23"/>
        <v/>
      </c>
      <c r="E148" s="24" t="str">
        <f t="shared" si="24"/>
        <v/>
      </c>
      <c r="F148" s="24" t="str">
        <f t="shared" si="19"/>
        <v/>
      </c>
      <c r="G148" s="24">
        <f t="shared" si="20"/>
        <v>0</v>
      </c>
      <c r="H148" s="57" t="str">
        <f t="shared" si="21"/>
        <v/>
      </c>
      <c r="I148" s="57"/>
      <c r="J148" s="57"/>
      <c r="K148" s="57"/>
      <c r="L148" s="24" t="str">
        <f t="shared" si="25"/>
        <v/>
      </c>
    </row>
    <row r="149" spans="3:12" x14ac:dyDescent="0.25">
      <c r="C149" s="56" t="str">
        <f t="shared" si="22"/>
        <v/>
      </c>
      <c r="D149" s="24" t="str">
        <f t="shared" si="23"/>
        <v/>
      </c>
      <c r="E149" s="24" t="str">
        <f t="shared" si="24"/>
        <v/>
      </c>
      <c r="F149" s="24" t="str">
        <f t="shared" si="19"/>
        <v/>
      </c>
      <c r="G149" s="24">
        <f t="shared" si="20"/>
        <v>0</v>
      </c>
      <c r="H149" s="57" t="str">
        <f t="shared" si="21"/>
        <v/>
      </c>
      <c r="I149" s="57"/>
      <c r="J149" s="57"/>
      <c r="K149" s="57"/>
      <c r="L149" s="24" t="str">
        <f t="shared" si="25"/>
        <v/>
      </c>
    </row>
    <row r="150" spans="3:12" x14ac:dyDescent="0.25">
      <c r="C150" s="56" t="str">
        <f t="shared" si="22"/>
        <v/>
      </c>
      <c r="D150" s="24" t="str">
        <f t="shared" si="23"/>
        <v/>
      </c>
      <c r="E150" s="24" t="str">
        <f t="shared" si="24"/>
        <v/>
      </c>
      <c r="F150" s="24" t="str">
        <f t="shared" si="19"/>
        <v/>
      </c>
      <c r="G150" s="24">
        <f t="shared" si="20"/>
        <v>0</v>
      </c>
      <c r="H150" s="57" t="str">
        <f t="shared" si="21"/>
        <v/>
      </c>
      <c r="I150" s="57"/>
      <c r="J150" s="57"/>
      <c r="K150" s="57"/>
      <c r="L150" s="24" t="str">
        <f t="shared" si="25"/>
        <v/>
      </c>
    </row>
    <row r="151" spans="3:12" x14ac:dyDescent="0.25">
      <c r="C151" s="56" t="str">
        <f t="shared" si="22"/>
        <v/>
      </c>
      <c r="D151" s="24" t="str">
        <f t="shared" si="23"/>
        <v/>
      </c>
      <c r="E151" s="24" t="str">
        <f t="shared" si="24"/>
        <v/>
      </c>
      <c r="F151" s="24" t="str">
        <f t="shared" si="19"/>
        <v/>
      </c>
      <c r="G151" s="24">
        <f t="shared" si="20"/>
        <v>0</v>
      </c>
      <c r="H151" s="57" t="str">
        <f t="shared" si="21"/>
        <v/>
      </c>
      <c r="I151" s="57"/>
      <c r="J151" s="57"/>
      <c r="K151" s="57"/>
      <c r="L151" s="24" t="str">
        <f t="shared" si="25"/>
        <v/>
      </c>
    </row>
    <row r="152" spans="3:12" x14ac:dyDescent="0.25">
      <c r="C152" s="56" t="str">
        <f t="shared" si="22"/>
        <v/>
      </c>
      <c r="D152" s="24" t="str">
        <f t="shared" si="23"/>
        <v/>
      </c>
      <c r="E152" s="24" t="str">
        <f t="shared" si="24"/>
        <v/>
      </c>
      <c r="F152" s="24" t="str">
        <f t="shared" ref="F152:F215" si="26">IFERROR(MAX(F151,S$1+C152),"")</f>
        <v/>
      </c>
      <c r="G152" s="24">
        <f t="shared" ref="G152:G215" si="27">IFERROR((S$1+C152)-F152,0)</f>
        <v>0</v>
      </c>
      <c r="H152" s="57" t="str">
        <f t="shared" ref="H152:H215" si="28">IFERROR((S$1+C152)/F152-1,"")</f>
        <v/>
      </c>
      <c r="I152" s="57"/>
      <c r="J152" s="57"/>
      <c r="K152" s="57"/>
      <c r="L152" s="24" t="str">
        <f t="shared" si="25"/>
        <v/>
      </c>
    </row>
    <row r="153" spans="3:12" x14ac:dyDescent="0.25">
      <c r="C153" s="56" t="str">
        <f t="shared" ref="C153:C216" si="29">IF(OR(A153="Grand Total",A153=""),"",C152+B153)</f>
        <v/>
      </c>
      <c r="D153" s="24" t="str">
        <f t="shared" ref="D153:D216" si="30">IF(OR(B153="",A153="Grand Total"),"",IF(B153&lt;0,"L","W"))</f>
        <v/>
      </c>
      <c r="E153" s="24" t="str">
        <f t="shared" ref="E153:E216" si="31">IF(D153="","",IF(D153=D152,E152+1,1))</f>
        <v/>
      </c>
      <c r="F153" s="24" t="str">
        <f t="shared" si="26"/>
        <v/>
      </c>
      <c r="G153" s="24">
        <f t="shared" si="27"/>
        <v>0</v>
      </c>
      <c r="H153" s="57" t="str">
        <f t="shared" si="28"/>
        <v/>
      </c>
      <c r="I153" s="57"/>
      <c r="J153" s="57"/>
      <c r="K153" s="57"/>
      <c r="L153" s="24" t="str">
        <f t="shared" si="25"/>
        <v/>
      </c>
    </row>
    <row r="154" spans="3:12" x14ac:dyDescent="0.25">
      <c r="C154" s="56" t="str">
        <f t="shared" si="29"/>
        <v/>
      </c>
      <c r="D154" s="24" t="str">
        <f t="shared" si="30"/>
        <v/>
      </c>
      <c r="E154" s="24" t="str">
        <f t="shared" si="31"/>
        <v/>
      </c>
      <c r="F154" s="24" t="str">
        <f t="shared" si="26"/>
        <v/>
      </c>
      <c r="G154" s="24">
        <f t="shared" si="27"/>
        <v>0</v>
      </c>
      <c r="H154" s="57" t="str">
        <f t="shared" si="28"/>
        <v/>
      </c>
      <c r="I154" s="57"/>
      <c r="J154" s="57"/>
      <c r="K154" s="57"/>
      <c r="L154" s="24" t="str">
        <f t="shared" si="25"/>
        <v/>
      </c>
    </row>
    <row r="155" spans="3:12" x14ac:dyDescent="0.25">
      <c r="C155" s="56" t="str">
        <f t="shared" si="29"/>
        <v/>
      </c>
      <c r="D155" s="24" t="str">
        <f t="shared" si="30"/>
        <v/>
      </c>
      <c r="E155" s="24" t="str">
        <f t="shared" si="31"/>
        <v/>
      </c>
      <c r="F155" s="24" t="str">
        <f t="shared" si="26"/>
        <v/>
      </c>
      <c r="G155" s="24">
        <f t="shared" si="27"/>
        <v>0</v>
      </c>
      <c r="H155" s="57" t="str">
        <f t="shared" si="28"/>
        <v/>
      </c>
      <c r="I155" s="57"/>
      <c r="J155" s="57"/>
      <c r="K155" s="57"/>
      <c r="L155" s="24" t="str">
        <f t="shared" si="25"/>
        <v/>
      </c>
    </row>
    <row r="156" spans="3:12" x14ac:dyDescent="0.25">
      <c r="C156" s="56" t="str">
        <f t="shared" si="29"/>
        <v/>
      </c>
      <c r="D156" s="24" t="str">
        <f t="shared" si="30"/>
        <v/>
      </c>
      <c r="E156" s="24" t="str">
        <f t="shared" si="31"/>
        <v/>
      </c>
      <c r="F156" s="24" t="str">
        <f t="shared" si="26"/>
        <v/>
      </c>
      <c r="G156" s="24">
        <f t="shared" si="27"/>
        <v>0</v>
      </c>
      <c r="H156" s="57" t="str">
        <f t="shared" si="28"/>
        <v/>
      </c>
      <c r="I156" s="57"/>
      <c r="J156" s="57"/>
      <c r="K156" s="57"/>
      <c r="L156" s="24" t="str">
        <f t="shared" ref="L156:L187" si="32">IF(E156="","",IF(E156=E155,L155+1,1))</f>
        <v/>
      </c>
    </row>
    <row r="157" spans="3:12" x14ac:dyDescent="0.25">
      <c r="C157" s="56" t="str">
        <f t="shared" si="29"/>
        <v/>
      </c>
      <c r="D157" s="24" t="str">
        <f t="shared" si="30"/>
        <v/>
      </c>
      <c r="E157" s="24" t="str">
        <f t="shared" si="31"/>
        <v/>
      </c>
      <c r="F157" s="24" t="str">
        <f t="shared" si="26"/>
        <v/>
      </c>
      <c r="G157" s="24">
        <f t="shared" si="27"/>
        <v>0</v>
      </c>
      <c r="H157" s="57" t="str">
        <f t="shared" si="28"/>
        <v/>
      </c>
      <c r="I157" s="57"/>
      <c r="J157" s="57"/>
      <c r="K157" s="57"/>
      <c r="L157" s="24" t="str">
        <f t="shared" si="32"/>
        <v/>
      </c>
    </row>
    <row r="158" spans="3:12" x14ac:dyDescent="0.25">
      <c r="C158" s="56" t="str">
        <f t="shared" si="29"/>
        <v/>
      </c>
      <c r="D158" s="24" t="str">
        <f t="shared" si="30"/>
        <v/>
      </c>
      <c r="E158" s="24" t="str">
        <f t="shared" si="31"/>
        <v/>
      </c>
      <c r="F158" s="24" t="str">
        <f t="shared" si="26"/>
        <v/>
      </c>
      <c r="G158" s="24">
        <f t="shared" si="27"/>
        <v>0</v>
      </c>
      <c r="H158" s="57" t="str">
        <f t="shared" si="28"/>
        <v/>
      </c>
      <c r="I158" s="57"/>
      <c r="J158" s="57"/>
      <c r="K158" s="57"/>
      <c r="L158" s="24" t="str">
        <f t="shared" si="32"/>
        <v/>
      </c>
    </row>
    <row r="159" spans="3:12" x14ac:dyDescent="0.25">
      <c r="C159" s="56" t="str">
        <f t="shared" si="29"/>
        <v/>
      </c>
      <c r="D159" s="24" t="str">
        <f t="shared" si="30"/>
        <v/>
      </c>
      <c r="E159" s="24" t="str">
        <f t="shared" si="31"/>
        <v/>
      </c>
      <c r="F159" s="24" t="str">
        <f t="shared" si="26"/>
        <v/>
      </c>
      <c r="G159" s="24">
        <f t="shared" si="27"/>
        <v>0</v>
      </c>
      <c r="H159" s="57" t="str">
        <f t="shared" si="28"/>
        <v/>
      </c>
      <c r="I159" s="57"/>
      <c r="J159" s="57"/>
      <c r="K159" s="57"/>
      <c r="L159" s="24" t="str">
        <f t="shared" si="32"/>
        <v/>
      </c>
    </row>
    <row r="160" spans="3:12" x14ac:dyDescent="0.25">
      <c r="C160" s="56" t="str">
        <f t="shared" si="29"/>
        <v/>
      </c>
      <c r="D160" s="24" t="str">
        <f t="shared" si="30"/>
        <v/>
      </c>
      <c r="E160" s="24" t="str">
        <f t="shared" si="31"/>
        <v/>
      </c>
      <c r="F160" s="24" t="str">
        <f t="shared" si="26"/>
        <v/>
      </c>
      <c r="G160" s="24">
        <f t="shared" si="27"/>
        <v>0</v>
      </c>
      <c r="H160" s="57" t="str">
        <f t="shared" si="28"/>
        <v/>
      </c>
      <c r="I160" s="57"/>
      <c r="J160" s="57"/>
      <c r="K160" s="57"/>
      <c r="L160" s="24" t="str">
        <f t="shared" si="32"/>
        <v/>
      </c>
    </row>
    <row r="161" spans="3:12" x14ac:dyDescent="0.25">
      <c r="C161" s="56" t="str">
        <f t="shared" si="29"/>
        <v/>
      </c>
      <c r="D161" s="24" t="str">
        <f t="shared" si="30"/>
        <v/>
      </c>
      <c r="E161" s="24" t="str">
        <f t="shared" si="31"/>
        <v/>
      </c>
      <c r="F161" s="24" t="str">
        <f t="shared" si="26"/>
        <v/>
      </c>
      <c r="G161" s="24">
        <f t="shared" si="27"/>
        <v>0</v>
      </c>
      <c r="H161" s="57" t="str">
        <f t="shared" si="28"/>
        <v/>
      </c>
      <c r="I161" s="57"/>
      <c r="J161" s="57"/>
      <c r="K161" s="57"/>
      <c r="L161" s="24" t="str">
        <f t="shared" si="32"/>
        <v/>
      </c>
    </row>
    <row r="162" spans="3:12" x14ac:dyDescent="0.25">
      <c r="C162" s="56" t="str">
        <f t="shared" si="29"/>
        <v/>
      </c>
      <c r="D162" s="24" t="str">
        <f t="shared" si="30"/>
        <v/>
      </c>
      <c r="E162" s="24" t="str">
        <f t="shared" si="31"/>
        <v/>
      </c>
      <c r="F162" s="24" t="str">
        <f t="shared" si="26"/>
        <v/>
      </c>
      <c r="G162" s="24">
        <f t="shared" si="27"/>
        <v>0</v>
      </c>
      <c r="H162" s="57" t="str">
        <f t="shared" si="28"/>
        <v/>
      </c>
      <c r="I162" s="57"/>
      <c r="J162" s="57"/>
      <c r="K162" s="57"/>
      <c r="L162" s="24" t="str">
        <f t="shared" si="32"/>
        <v/>
      </c>
    </row>
    <row r="163" spans="3:12" x14ac:dyDescent="0.25">
      <c r="C163" s="56" t="str">
        <f t="shared" si="29"/>
        <v/>
      </c>
      <c r="D163" s="24" t="str">
        <f t="shared" si="30"/>
        <v/>
      </c>
      <c r="E163" s="24" t="str">
        <f t="shared" si="31"/>
        <v/>
      </c>
      <c r="F163" s="24" t="str">
        <f t="shared" si="26"/>
        <v/>
      </c>
      <c r="G163" s="24">
        <f t="shared" si="27"/>
        <v>0</v>
      </c>
      <c r="H163" s="57" t="str">
        <f t="shared" si="28"/>
        <v/>
      </c>
      <c r="I163" s="57"/>
      <c r="J163" s="57"/>
      <c r="K163" s="57"/>
      <c r="L163" s="24" t="str">
        <f t="shared" si="32"/>
        <v/>
      </c>
    </row>
    <row r="164" spans="3:12" x14ac:dyDescent="0.25">
      <c r="C164" s="56" t="str">
        <f t="shared" si="29"/>
        <v/>
      </c>
      <c r="D164" s="24" t="str">
        <f t="shared" si="30"/>
        <v/>
      </c>
      <c r="E164" s="24" t="str">
        <f t="shared" si="31"/>
        <v/>
      </c>
      <c r="F164" s="24" t="str">
        <f t="shared" si="26"/>
        <v/>
      </c>
      <c r="G164" s="24">
        <f t="shared" si="27"/>
        <v>0</v>
      </c>
      <c r="H164" s="57" t="str">
        <f t="shared" si="28"/>
        <v/>
      </c>
      <c r="I164" s="57"/>
      <c r="J164" s="57"/>
      <c r="K164" s="57"/>
      <c r="L164" s="24" t="str">
        <f t="shared" si="32"/>
        <v/>
      </c>
    </row>
    <row r="165" spans="3:12" x14ac:dyDescent="0.25">
      <c r="C165" s="56" t="str">
        <f t="shared" si="29"/>
        <v/>
      </c>
      <c r="D165" s="24" t="str">
        <f t="shared" si="30"/>
        <v/>
      </c>
      <c r="E165" s="24" t="str">
        <f t="shared" si="31"/>
        <v/>
      </c>
      <c r="F165" s="24" t="str">
        <f t="shared" si="26"/>
        <v/>
      </c>
      <c r="G165" s="24">
        <f t="shared" si="27"/>
        <v>0</v>
      </c>
      <c r="H165" s="57" t="str">
        <f t="shared" si="28"/>
        <v/>
      </c>
      <c r="I165" s="57"/>
      <c r="J165" s="57"/>
      <c r="K165" s="57"/>
      <c r="L165" s="24" t="str">
        <f t="shared" si="32"/>
        <v/>
      </c>
    </row>
    <row r="166" spans="3:12" x14ac:dyDescent="0.25">
      <c r="C166" s="56" t="str">
        <f t="shared" si="29"/>
        <v/>
      </c>
      <c r="D166" s="24" t="str">
        <f t="shared" si="30"/>
        <v/>
      </c>
      <c r="E166" s="24" t="str">
        <f t="shared" si="31"/>
        <v/>
      </c>
      <c r="F166" s="24" t="str">
        <f t="shared" si="26"/>
        <v/>
      </c>
      <c r="G166" s="24">
        <f t="shared" si="27"/>
        <v>0</v>
      </c>
      <c r="H166" s="57" t="str">
        <f t="shared" si="28"/>
        <v/>
      </c>
      <c r="I166" s="57"/>
      <c r="J166" s="57"/>
      <c r="K166" s="57"/>
      <c r="L166" s="24" t="str">
        <f t="shared" si="32"/>
        <v/>
      </c>
    </row>
    <row r="167" spans="3:12" x14ac:dyDescent="0.25">
      <c r="C167" s="56" t="str">
        <f t="shared" si="29"/>
        <v/>
      </c>
      <c r="D167" s="24" t="str">
        <f t="shared" si="30"/>
        <v/>
      </c>
      <c r="E167" s="24" t="str">
        <f t="shared" si="31"/>
        <v/>
      </c>
      <c r="F167" s="24" t="str">
        <f t="shared" si="26"/>
        <v/>
      </c>
      <c r="G167" s="24">
        <f t="shared" si="27"/>
        <v>0</v>
      </c>
      <c r="H167" s="57" t="str">
        <f t="shared" si="28"/>
        <v/>
      </c>
      <c r="I167" s="57"/>
      <c r="J167" s="57"/>
      <c r="K167" s="57"/>
      <c r="L167" s="24" t="str">
        <f t="shared" si="32"/>
        <v/>
      </c>
    </row>
    <row r="168" spans="3:12" x14ac:dyDescent="0.25">
      <c r="C168" s="56" t="str">
        <f t="shared" si="29"/>
        <v/>
      </c>
      <c r="D168" s="24" t="str">
        <f t="shared" si="30"/>
        <v/>
      </c>
      <c r="E168" s="24" t="str">
        <f t="shared" si="31"/>
        <v/>
      </c>
      <c r="F168" s="24" t="str">
        <f t="shared" si="26"/>
        <v/>
      </c>
      <c r="G168" s="24">
        <f t="shared" si="27"/>
        <v>0</v>
      </c>
      <c r="H168" s="57" t="str">
        <f t="shared" si="28"/>
        <v/>
      </c>
      <c r="I168" s="57"/>
      <c r="J168" s="57"/>
      <c r="K168" s="57"/>
      <c r="L168" s="24" t="str">
        <f t="shared" si="32"/>
        <v/>
      </c>
    </row>
    <row r="169" spans="3:12" x14ac:dyDescent="0.25">
      <c r="C169" s="56" t="str">
        <f t="shared" si="29"/>
        <v/>
      </c>
      <c r="D169" s="24" t="str">
        <f t="shared" si="30"/>
        <v/>
      </c>
      <c r="E169" s="24" t="str">
        <f t="shared" si="31"/>
        <v/>
      </c>
      <c r="F169" s="24" t="str">
        <f t="shared" si="26"/>
        <v/>
      </c>
      <c r="G169" s="24">
        <f t="shared" si="27"/>
        <v>0</v>
      </c>
      <c r="H169" s="57" t="str">
        <f t="shared" si="28"/>
        <v/>
      </c>
      <c r="I169" s="57"/>
      <c r="J169" s="57"/>
      <c r="K169" s="57"/>
      <c r="L169" s="24" t="str">
        <f t="shared" si="32"/>
        <v/>
      </c>
    </row>
    <row r="170" spans="3:12" x14ac:dyDescent="0.25">
      <c r="C170" s="56" t="str">
        <f t="shared" si="29"/>
        <v/>
      </c>
      <c r="D170" s="24" t="str">
        <f t="shared" si="30"/>
        <v/>
      </c>
      <c r="E170" s="24" t="str">
        <f t="shared" si="31"/>
        <v/>
      </c>
      <c r="F170" s="24" t="str">
        <f t="shared" si="26"/>
        <v/>
      </c>
      <c r="G170" s="24">
        <f t="shared" si="27"/>
        <v>0</v>
      </c>
      <c r="H170" s="57" t="str">
        <f t="shared" si="28"/>
        <v/>
      </c>
      <c r="I170" s="57"/>
      <c r="J170" s="57"/>
      <c r="K170" s="57"/>
      <c r="L170" s="24" t="str">
        <f t="shared" si="32"/>
        <v/>
      </c>
    </row>
    <row r="171" spans="3:12" x14ac:dyDescent="0.25">
      <c r="C171" s="56" t="str">
        <f t="shared" si="29"/>
        <v/>
      </c>
      <c r="D171" s="24" t="str">
        <f t="shared" si="30"/>
        <v/>
      </c>
      <c r="E171" s="24" t="str">
        <f t="shared" si="31"/>
        <v/>
      </c>
      <c r="F171" s="24" t="str">
        <f t="shared" si="26"/>
        <v/>
      </c>
      <c r="G171" s="24">
        <f t="shared" si="27"/>
        <v>0</v>
      </c>
      <c r="H171" s="57" t="str">
        <f t="shared" si="28"/>
        <v/>
      </c>
      <c r="I171" s="57"/>
      <c r="J171" s="57"/>
      <c r="K171" s="57"/>
      <c r="L171" s="24" t="str">
        <f t="shared" si="32"/>
        <v/>
      </c>
    </row>
    <row r="172" spans="3:12" x14ac:dyDescent="0.25">
      <c r="C172" s="56" t="str">
        <f t="shared" si="29"/>
        <v/>
      </c>
      <c r="D172" s="24" t="str">
        <f t="shared" si="30"/>
        <v/>
      </c>
      <c r="E172" s="24" t="str">
        <f t="shared" si="31"/>
        <v/>
      </c>
      <c r="F172" s="24" t="str">
        <f t="shared" si="26"/>
        <v/>
      </c>
      <c r="G172" s="24">
        <f t="shared" si="27"/>
        <v>0</v>
      </c>
      <c r="H172" s="57" t="str">
        <f t="shared" si="28"/>
        <v/>
      </c>
      <c r="I172" s="57"/>
      <c r="J172" s="57"/>
      <c r="K172" s="57"/>
      <c r="L172" s="24" t="str">
        <f t="shared" si="32"/>
        <v/>
      </c>
    </row>
    <row r="173" spans="3:12" x14ac:dyDescent="0.25">
      <c r="C173" s="56" t="str">
        <f t="shared" si="29"/>
        <v/>
      </c>
      <c r="D173" s="24" t="str">
        <f t="shared" si="30"/>
        <v/>
      </c>
      <c r="E173" s="24" t="str">
        <f t="shared" si="31"/>
        <v/>
      </c>
      <c r="F173" s="24" t="str">
        <f t="shared" si="26"/>
        <v/>
      </c>
      <c r="G173" s="24">
        <f t="shared" si="27"/>
        <v>0</v>
      </c>
      <c r="H173" s="57" t="str">
        <f t="shared" si="28"/>
        <v/>
      </c>
      <c r="I173" s="57"/>
      <c r="J173" s="57"/>
      <c r="K173" s="57"/>
      <c r="L173" s="24" t="str">
        <f t="shared" si="32"/>
        <v/>
      </c>
    </row>
    <row r="174" spans="3:12" x14ac:dyDescent="0.25">
      <c r="C174" s="56" t="str">
        <f t="shared" si="29"/>
        <v/>
      </c>
      <c r="D174" s="24" t="str">
        <f t="shared" si="30"/>
        <v/>
      </c>
      <c r="E174" s="24" t="str">
        <f t="shared" si="31"/>
        <v/>
      </c>
      <c r="F174" s="24" t="str">
        <f t="shared" si="26"/>
        <v/>
      </c>
      <c r="G174" s="24">
        <f t="shared" si="27"/>
        <v>0</v>
      </c>
      <c r="H174" s="57" t="str">
        <f t="shared" si="28"/>
        <v/>
      </c>
      <c r="I174" s="57"/>
      <c r="J174" s="57"/>
      <c r="K174" s="57"/>
      <c r="L174" s="24" t="str">
        <f t="shared" si="32"/>
        <v/>
      </c>
    </row>
    <row r="175" spans="3:12" x14ac:dyDescent="0.25">
      <c r="C175" s="56" t="str">
        <f t="shared" si="29"/>
        <v/>
      </c>
      <c r="D175" s="24" t="str">
        <f t="shared" si="30"/>
        <v/>
      </c>
      <c r="E175" s="24" t="str">
        <f t="shared" si="31"/>
        <v/>
      </c>
      <c r="F175" s="24" t="str">
        <f t="shared" si="26"/>
        <v/>
      </c>
      <c r="G175" s="24">
        <f t="shared" si="27"/>
        <v>0</v>
      </c>
      <c r="H175" s="57" t="str">
        <f t="shared" si="28"/>
        <v/>
      </c>
      <c r="I175" s="57"/>
      <c r="J175" s="57"/>
      <c r="K175" s="57"/>
      <c r="L175" s="24" t="str">
        <f t="shared" si="32"/>
        <v/>
      </c>
    </row>
    <row r="176" spans="3:12" x14ac:dyDescent="0.25">
      <c r="C176" s="56" t="str">
        <f t="shared" si="29"/>
        <v/>
      </c>
      <c r="D176" s="24" t="str">
        <f t="shared" si="30"/>
        <v/>
      </c>
      <c r="E176" s="24" t="str">
        <f t="shared" si="31"/>
        <v/>
      </c>
      <c r="F176" s="24" t="str">
        <f t="shared" si="26"/>
        <v/>
      </c>
      <c r="G176" s="24">
        <f t="shared" si="27"/>
        <v>0</v>
      </c>
      <c r="H176" s="57" t="str">
        <f t="shared" si="28"/>
        <v/>
      </c>
      <c r="I176" s="57"/>
      <c r="J176" s="57"/>
      <c r="K176" s="57"/>
      <c r="L176" s="24" t="str">
        <f t="shared" si="32"/>
        <v/>
      </c>
    </row>
    <row r="177" spans="3:12" x14ac:dyDescent="0.25">
      <c r="C177" s="56" t="str">
        <f t="shared" si="29"/>
        <v/>
      </c>
      <c r="D177" s="24" t="str">
        <f t="shared" si="30"/>
        <v/>
      </c>
      <c r="E177" s="24" t="str">
        <f t="shared" si="31"/>
        <v/>
      </c>
      <c r="F177" s="24" t="str">
        <f t="shared" si="26"/>
        <v/>
      </c>
      <c r="G177" s="24">
        <f t="shared" si="27"/>
        <v>0</v>
      </c>
      <c r="H177" s="57" t="str">
        <f t="shared" si="28"/>
        <v/>
      </c>
      <c r="I177" s="57"/>
      <c r="J177" s="57"/>
      <c r="K177" s="57"/>
      <c r="L177" s="24" t="str">
        <f t="shared" si="32"/>
        <v/>
      </c>
    </row>
    <row r="178" spans="3:12" x14ac:dyDescent="0.25">
      <c r="C178" s="56" t="str">
        <f t="shared" si="29"/>
        <v/>
      </c>
      <c r="D178" s="24" t="str">
        <f t="shared" si="30"/>
        <v/>
      </c>
      <c r="E178" s="24" t="str">
        <f t="shared" si="31"/>
        <v/>
      </c>
      <c r="F178" s="24" t="str">
        <f t="shared" si="26"/>
        <v/>
      </c>
      <c r="G178" s="24">
        <f t="shared" si="27"/>
        <v>0</v>
      </c>
      <c r="H178" s="57" t="str">
        <f t="shared" si="28"/>
        <v/>
      </c>
      <c r="I178" s="57"/>
      <c r="J178" s="57"/>
      <c r="K178" s="57"/>
      <c r="L178" s="24" t="str">
        <f t="shared" si="32"/>
        <v/>
      </c>
    </row>
    <row r="179" spans="3:12" x14ac:dyDescent="0.25">
      <c r="C179" s="56" t="str">
        <f t="shared" si="29"/>
        <v/>
      </c>
      <c r="D179" s="24" t="str">
        <f t="shared" si="30"/>
        <v/>
      </c>
      <c r="E179" s="24" t="str">
        <f t="shared" si="31"/>
        <v/>
      </c>
      <c r="F179" s="24" t="str">
        <f t="shared" si="26"/>
        <v/>
      </c>
      <c r="G179" s="24">
        <f t="shared" si="27"/>
        <v>0</v>
      </c>
      <c r="H179" s="57" t="str">
        <f t="shared" si="28"/>
        <v/>
      </c>
      <c r="I179" s="57"/>
      <c r="J179" s="57"/>
      <c r="K179" s="57"/>
      <c r="L179" s="24" t="str">
        <f t="shared" si="32"/>
        <v/>
      </c>
    </row>
    <row r="180" spans="3:12" x14ac:dyDescent="0.25">
      <c r="C180" s="56" t="str">
        <f t="shared" si="29"/>
        <v/>
      </c>
      <c r="D180" s="24" t="str">
        <f t="shared" si="30"/>
        <v/>
      </c>
      <c r="E180" s="24" t="str">
        <f t="shared" si="31"/>
        <v/>
      </c>
      <c r="F180" s="24" t="str">
        <f t="shared" si="26"/>
        <v/>
      </c>
      <c r="G180" s="24">
        <f t="shared" si="27"/>
        <v>0</v>
      </c>
      <c r="H180" s="57" t="str">
        <f t="shared" si="28"/>
        <v/>
      </c>
      <c r="I180" s="57"/>
      <c r="J180" s="57"/>
      <c r="K180" s="57"/>
      <c r="L180" s="24" t="str">
        <f t="shared" si="32"/>
        <v/>
      </c>
    </row>
    <row r="181" spans="3:12" x14ac:dyDescent="0.25">
      <c r="C181" s="56" t="str">
        <f t="shared" si="29"/>
        <v/>
      </c>
      <c r="D181" s="24" t="str">
        <f t="shared" si="30"/>
        <v/>
      </c>
      <c r="E181" s="24" t="str">
        <f t="shared" si="31"/>
        <v/>
      </c>
      <c r="F181" s="24" t="str">
        <f t="shared" si="26"/>
        <v/>
      </c>
      <c r="G181" s="24">
        <f t="shared" si="27"/>
        <v>0</v>
      </c>
      <c r="H181" s="57" t="str">
        <f t="shared" si="28"/>
        <v/>
      </c>
      <c r="I181" s="57"/>
      <c r="J181" s="57"/>
      <c r="K181" s="57"/>
      <c r="L181" s="24" t="str">
        <f t="shared" si="32"/>
        <v/>
      </c>
    </row>
    <row r="182" spans="3:12" x14ac:dyDescent="0.25">
      <c r="C182" s="56" t="str">
        <f t="shared" si="29"/>
        <v/>
      </c>
      <c r="D182" s="24" t="str">
        <f t="shared" si="30"/>
        <v/>
      </c>
      <c r="E182" s="24" t="str">
        <f t="shared" si="31"/>
        <v/>
      </c>
      <c r="F182" s="24" t="str">
        <f t="shared" si="26"/>
        <v/>
      </c>
      <c r="G182" s="24">
        <f t="shared" si="27"/>
        <v>0</v>
      </c>
      <c r="H182" s="57" t="str">
        <f t="shared" si="28"/>
        <v/>
      </c>
      <c r="I182" s="57"/>
      <c r="J182" s="57"/>
      <c r="K182" s="57"/>
      <c r="L182" s="24" t="str">
        <f t="shared" si="32"/>
        <v/>
      </c>
    </row>
    <row r="183" spans="3:12" x14ac:dyDescent="0.25">
      <c r="C183" s="56" t="str">
        <f t="shared" si="29"/>
        <v/>
      </c>
      <c r="D183" s="24" t="str">
        <f t="shared" si="30"/>
        <v/>
      </c>
      <c r="E183" s="24" t="str">
        <f t="shared" si="31"/>
        <v/>
      </c>
      <c r="F183" s="24" t="str">
        <f t="shared" si="26"/>
        <v/>
      </c>
      <c r="G183" s="24">
        <f t="shared" si="27"/>
        <v>0</v>
      </c>
      <c r="H183" s="57" t="str">
        <f t="shared" si="28"/>
        <v/>
      </c>
      <c r="I183" s="57"/>
      <c r="J183" s="57"/>
      <c r="K183" s="57"/>
      <c r="L183" s="24" t="str">
        <f t="shared" si="32"/>
        <v/>
      </c>
    </row>
    <row r="184" spans="3:12" x14ac:dyDescent="0.25">
      <c r="C184" s="56" t="str">
        <f t="shared" si="29"/>
        <v/>
      </c>
      <c r="D184" s="24" t="str">
        <f t="shared" si="30"/>
        <v/>
      </c>
      <c r="E184" s="24" t="str">
        <f t="shared" si="31"/>
        <v/>
      </c>
      <c r="F184" s="24" t="str">
        <f t="shared" si="26"/>
        <v/>
      </c>
      <c r="G184" s="24">
        <f t="shared" si="27"/>
        <v>0</v>
      </c>
      <c r="H184" s="57" t="str">
        <f t="shared" si="28"/>
        <v/>
      </c>
      <c r="I184" s="57"/>
      <c r="J184" s="57"/>
      <c r="K184" s="57"/>
      <c r="L184" s="24" t="str">
        <f t="shared" si="32"/>
        <v/>
      </c>
    </row>
    <row r="185" spans="3:12" x14ac:dyDescent="0.25">
      <c r="C185" s="56" t="str">
        <f t="shared" si="29"/>
        <v/>
      </c>
      <c r="D185" s="24" t="str">
        <f t="shared" si="30"/>
        <v/>
      </c>
      <c r="E185" s="24" t="str">
        <f t="shared" si="31"/>
        <v/>
      </c>
      <c r="F185" s="24" t="str">
        <f t="shared" si="26"/>
        <v/>
      </c>
      <c r="G185" s="24">
        <f t="shared" si="27"/>
        <v>0</v>
      </c>
      <c r="H185" s="57" t="str">
        <f t="shared" si="28"/>
        <v/>
      </c>
      <c r="I185" s="57"/>
      <c r="J185" s="57"/>
      <c r="K185" s="57"/>
      <c r="L185" s="24" t="str">
        <f t="shared" si="32"/>
        <v/>
      </c>
    </row>
    <row r="186" spans="3:12" x14ac:dyDescent="0.25">
      <c r="C186" s="56" t="str">
        <f t="shared" si="29"/>
        <v/>
      </c>
      <c r="D186" s="24" t="str">
        <f t="shared" si="30"/>
        <v/>
      </c>
      <c r="E186" s="24" t="str">
        <f t="shared" si="31"/>
        <v/>
      </c>
      <c r="F186" s="24" t="str">
        <f t="shared" si="26"/>
        <v/>
      </c>
      <c r="G186" s="24">
        <f t="shared" si="27"/>
        <v>0</v>
      </c>
      <c r="H186" s="57" t="str">
        <f t="shared" si="28"/>
        <v/>
      </c>
      <c r="I186" s="57"/>
      <c r="J186" s="57"/>
      <c r="K186" s="57"/>
      <c r="L186" s="24" t="str">
        <f t="shared" si="32"/>
        <v/>
      </c>
    </row>
    <row r="187" spans="3:12" x14ac:dyDescent="0.25">
      <c r="C187" s="56" t="str">
        <f t="shared" si="29"/>
        <v/>
      </c>
      <c r="D187" s="24" t="str">
        <f t="shared" si="30"/>
        <v/>
      </c>
      <c r="E187" s="24" t="str">
        <f t="shared" si="31"/>
        <v/>
      </c>
      <c r="F187" s="24" t="str">
        <f t="shared" si="26"/>
        <v/>
      </c>
      <c r="G187" s="24">
        <f t="shared" si="27"/>
        <v>0</v>
      </c>
      <c r="H187" s="57" t="str">
        <f t="shared" si="28"/>
        <v/>
      </c>
      <c r="I187" s="57"/>
      <c r="J187" s="57"/>
      <c r="K187" s="57"/>
      <c r="L187" s="24" t="str">
        <f t="shared" si="32"/>
        <v/>
      </c>
    </row>
    <row r="188" spans="3:12" x14ac:dyDescent="0.25">
      <c r="C188" s="56" t="str">
        <f t="shared" si="29"/>
        <v/>
      </c>
      <c r="D188" s="24" t="str">
        <f t="shared" si="30"/>
        <v/>
      </c>
      <c r="E188" s="24" t="str">
        <f t="shared" si="31"/>
        <v/>
      </c>
      <c r="F188" s="24" t="str">
        <f t="shared" si="26"/>
        <v/>
      </c>
      <c r="G188" s="24">
        <f t="shared" si="27"/>
        <v>0</v>
      </c>
      <c r="H188" s="57" t="str">
        <f t="shared" si="28"/>
        <v/>
      </c>
      <c r="I188" s="57"/>
      <c r="J188" s="57"/>
      <c r="K188" s="57"/>
      <c r="L188" s="24" t="str">
        <f t="shared" ref="L188:L219" si="33">IF(E188="","",IF(E188=E187,L187+1,1))</f>
        <v/>
      </c>
    </row>
    <row r="189" spans="3:12" x14ac:dyDescent="0.25">
      <c r="C189" s="56" t="str">
        <f t="shared" si="29"/>
        <v/>
      </c>
      <c r="D189" s="24" t="str">
        <f t="shared" si="30"/>
        <v/>
      </c>
      <c r="E189" s="24" t="str">
        <f t="shared" si="31"/>
        <v/>
      </c>
      <c r="F189" s="24" t="str">
        <f t="shared" si="26"/>
        <v/>
      </c>
      <c r="G189" s="24">
        <f t="shared" si="27"/>
        <v>0</v>
      </c>
      <c r="H189" s="57" t="str">
        <f t="shared" si="28"/>
        <v/>
      </c>
      <c r="I189" s="57"/>
      <c r="J189" s="57"/>
      <c r="K189" s="57"/>
      <c r="L189" s="24" t="str">
        <f t="shared" si="33"/>
        <v/>
      </c>
    </row>
    <row r="190" spans="3:12" x14ac:dyDescent="0.25">
      <c r="C190" s="56" t="str">
        <f t="shared" si="29"/>
        <v/>
      </c>
      <c r="D190" s="24" t="str">
        <f t="shared" si="30"/>
        <v/>
      </c>
      <c r="E190" s="24" t="str">
        <f t="shared" si="31"/>
        <v/>
      </c>
      <c r="F190" s="24" t="str">
        <f t="shared" si="26"/>
        <v/>
      </c>
      <c r="G190" s="24">
        <f t="shared" si="27"/>
        <v>0</v>
      </c>
      <c r="H190" s="57" t="str">
        <f t="shared" si="28"/>
        <v/>
      </c>
      <c r="I190" s="57"/>
      <c r="J190" s="57"/>
      <c r="K190" s="57"/>
      <c r="L190" s="24" t="str">
        <f t="shared" si="33"/>
        <v/>
      </c>
    </row>
    <row r="191" spans="3:12" x14ac:dyDescent="0.25">
      <c r="C191" s="56" t="str">
        <f t="shared" si="29"/>
        <v/>
      </c>
      <c r="D191" s="24" t="str">
        <f t="shared" si="30"/>
        <v/>
      </c>
      <c r="E191" s="24" t="str">
        <f t="shared" si="31"/>
        <v/>
      </c>
      <c r="F191" s="24" t="str">
        <f t="shared" si="26"/>
        <v/>
      </c>
      <c r="G191" s="24">
        <f t="shared" si="27"/>
        <v>0</v>
      </c>
      <c r="H191" s="57" t="str">
        <f t="shared" si="28"/>
        <v/>
      </c>
      <c r="I191" s="57"/>
      <c r="J191" s="57"/>
      <c r="K191" s="57"/>
      <c r="L191" s="24" t="str">
        <f t="shared" si="33"/>
        <v/>
      </c>
    </row>
    <row r="192" spans="3:12" x14ac:dyDescent="0.25">
      <c r="C192" s="56" t="str">
        <f t="shared" si="29"/>
        <v/>
      </c>
      <c r="D192" s="24" t="str">
        <f t="shared" si="30"/>
        <v/>
      </c>
      <c r="E192" s="24" t="str">
        <f t="shared" si="31"/>
        <v/>
      </c>
      <c r="F192" s="24" t="str">
        <f t="shared" si="26"/>
        <v/>
      </c>
      <c r="G192" s="24">
        <f t="shared" si="27"/>
        <v>0</v>
      </c>
      <c r="H192" s="57" t="str">
        <f t="shared" si="28"/>
        <v/>
      </c>
      <c r="I192" s="57"/>
      <c r="J192" s="57"/>
      <c r="K192" s="57"/>
      <c r="L192" s="24" t="str">
        <f t="shared" si="33"/>
        <v/>
      </c>
    </row>
    <row r="193" spans="3:12" x14ac:dyDescent="0.25">
      <c r="C193" s="56" t="str">
        <f t="shared" si="29"/>
        <v/>
      </c>
      <c r="D193" s="24" t="str">
        <f t="shared" si="30"/>
        <v/>
      </c>
      <c r="E193" s="24" t="str">
        <f t="shared" si="31"/>
        <v/>
      </c>
      <c r="F193" s="24" t="str">
        <f t="shared" si="26"/>
        <v/>
      </c>
      <c r="G193" s="24">
        <f t="shared" si="27"/>
        <v>0</v>
      </c>
      <c r="H193" s="57" t="str">
        <f t="shared" si="28"/>
        <v/>
      </c>
      <c r="I193" s="57"/>
      <c r="J193" s="57"/>
      <c r="K193" s="57"/>
      <c r="L193" s="24" t="str">
        <f t="shared" si="33"/>
        <v/>
      </c>
    </row>
    <row r="194" spans="3:12" x14ac:dyDescent="0.25">
      <c r="C194" s="56" t="str">
        <f t="shared" si="29"/>
        <v/>
      </c>
      <c r="D194" s="24" t="str">
        <f t="shared" si="30"/>
        <v/>
      </c>
      <c r="E194" s="24" t="str">
        <f t="shared" si="31"/>
        <v/>
      </c>
      <c r="F194" s="24" t="str">
        <f t="shared" si="26"/>
        <v/>
      </c>
      <c r="G194" s="24">
        <f t="shared" si="27"/>
        <v>0</v>
      </c>
      <c r="H194" s="57" t="str">
        <f t="shared" si="28"/>
        <v/>
      </c>
      <c r="I194" s="57"/>
      <c r="J194" s="57"/>
      <c r="K194" s="57"/>
      <c r="L194" s="24" t="str">
        <f t="shared" si="33"/>
        <v/>
      </c>
    </row>
    <row r="195" spans="3:12" x14ac:dyDescent="0.25">
      <c r="C195" s="56" t="str">
        <f t="shared" si="29"/>
        <v/>
      </c>
      <c r="D195" s="24" t="str">
        <f t="shared" si="30"/>
        <v/>
      </c>
      <c r="E195" s="24" t="str">
        <f t="shared" si="31"/>
        <v/>
      </c>
      <c r="F195" s="24" t="str">
        <f t="shared" si="26"/>
        <v/>
      </c>
      <c r="G195" s="24">
        <f t="shared" si="27"/>
        <v>0</v>
      </c>
      <c r="H195" s="57" t="str">
        <f t="shared" si="28"/>
        <v/>
      </c>
      <c r="I195" s="57"/>
      <c r="J195" s="57"/>
      <c r="K195" s="57"/>
      <c r="L195" s="24" t="str">
        <f t="shared" si="33"/>
        <v/>
      </c>
    </row>
    <row r="196" spans="3:12" x14ac:dyDescent="0.25">
      <c r="C196" s="56" t="str">
        <f t="shared" si="29"/>
        <v/>
      </c>
      <c r="D196" s="24" t="str">
        <f t="shared" si="30"/>
        <v/>
      </c>
      <c r="E196" s="24" t="str">
        <f t="shared" si="31"/>
        <v/>
      </c>
      <c r="F196" s="24" t="str">
        <f t="shared" si="26"/>
        <v/>
      </c>
      <c r="G196" s="24">
        <f t="shared" si="27"/>
        <v>0</v>
      </c>
      <c r="H196" s="57" t="str">
        <f t="shared" si="28"/>
        <v/>
      </c>
      <c r="I196" s="57"/>
      <c r="J196" s="57"/>
      <c r="K196" s="57"/>
      <c r="L196" s="24" t="str">
        <f t="shared" si="33"/>
        <v/>
      </c>
    </row>
    <row r="197" spans="3:12" x14ac:dyDescent="0.25">
      <c r="C197" s="56" t="str">
        <f t="shared" si="29"/>
        <v/>
      </c>
      <c r="D197" s="24" t="str">
        <f t="shared" si="30"/>
        <v/>
      </c>
      <c r="E197" s="24" t="str">
        <f t="shared" si="31"/>
        <v/>
      </c>
      <c r="F197" s="24" t="str">
        <f t="shared" si="26"/>
        <v/>
      </c>
      <c r="G197" s="24">
        <f t="shared" si="27"/>
        <v>0</v>
      </c>
      <c r="H197" s="57" t="str">
        <f t="shared" si="28"/>
        <v/>
      </c>
      <c r="I197" s="57"/>
      <c r="J197" s="57"/>
      <c r="K197" s="57"/>
      <c r="L197" s="24" t="str">
        <f t="shared" si="33"/>
        <v/>
      </c>
    </row>
    <row r="198" spans="3:12" x14ac:dyDescent="0.25">
      <c r="C198" s="56" t="str">
        <f t="shared" si="29"/>
        <v/>
      </c>
      <c r="D198" s="24" t="str">
        <f t="shared" si="30"/>
        <v/>
      </c>
      <c r="E198" s="24" t="str">
        <f t="shared" si="31"/>
        <v/>
      </c>
      <c r="F198" s="24" t="str">
        <f t="shared" si="26"/>
        <v/>
      </c>
      <c r="G198" s="24">
        <f t="shared" si="27"/>
        <v>0</v>
      </c>
      <c r="H198" s="57" t="str">
        <f t="shared" si="28"/>
        <v/>
      </c>
      <c r="I198" s="57"/>
      <c r="J198" s="57"/>
      <c r="K198" s="57"/>
      <c r="L198" s="24" t="str">
        <f t="shared" si="33"/>
        <v/>
      </c>
    </row>
    <row r="199" spans="3:12" x14ac:dyDescent="0.25">
      <c r="C199" s="56" t="str">
        <f t="shared" si="29"/>
        <v/>
      </c>
      <c r="D199" s="24" t="str">
        <f t="shared" si="30"/>
        <v/>
      </c>
      <c r="E199" s="24" t="str">
        <f t="shared" si="31"/>
        <v/>
      </c>
      <c r="F199" s="24" t="str">
        <f t="shared" si="26"/>
        <v/>
      </c>
      <c r="G199" s="24">
        <f t="shared" si="27"/>
        <v>0</v>
      </c>
      <c r="H199" s="57" t="str">
        <f t="shared" si="28"/>
        <v/>
      </c>
      <c r="I199" s="57"/>
      <c r="J199" s="57"/>
      <c r="K199" s="57"/>
      <c r="L199" s="24" t="str">
        <f t="shared" si="33"/>
        <v/>
      </c>
    </row>
    <row r="200" spans="3:12" x14ac:dyDescent="0.25">
      <c r="C200" s="56" t="str">
        <f t="shared" si="29"/>
        <v/>
      </c>
      <c r="D200" s="24" t="str">
        <f t="shared" si="30"/>
        <v/>
      </c>
      <c r="E200" s="24" t="str">
        <f t="shared" si="31"/>
        <v/>
      </c>
      <c r="F200" s="24" t="str">
        <f t="shared" si="26"/>
        <v/>
      </c>
      <c r="G200" s="24">
        <f t="shared" si="27"/>
        <v>0</v>
      </c>
      <c r="H200" s="57" t="str">
        <f t="shared" si="28"/>
        <v/>
      </c>
      <c r="I200" s="57"/>
      <c r="J200" s="57"/>
      <c r="K200" s="57"/>
      <c r="L200" s="24" t="str">
        <f t="shared" si="33"/>
        <v/>
      </c>
    </row>
    <row r="201" spans="3:12" x14ac:dyDescent="0.25">
      <c r="C201" s="56" t="str">
        <f t="shared" si="29"/>
        <v/>
      </c>
      <c r="D201" s="24" t="str">
        <f t="shared" si="30"/>
        <v/>
      </c>
      <c r="E201" s="24" t="str">
        <f t="shared" si="31"/>
        <v/>
      </c>
      <c r="F201" s="24" t="str">
        <f t="shared" si="26"/>
        <v/>
      </c>
      <c r="G201" s="24">
        <f t="shared" si="27"/>
        <v>0</v>
      </c>
      <c r="H201" s="57" t="str">
        <f t="shared" si="28"/>
        <v/>
      </c>
      <c r="I201" s="57"/>
      <c r="J201" s="57"/>
      <c r="K201" s="57"/>
      <c r="L201" s="24" t="str">
        <f t="shared" si="33"/>
        <v/>
      </c>
    </row>
    <row r="202" spans="3:12" x14ac:dyDescent="0.25">
      <c r="C202" s="56" t="str">
        <f t="shared" si="29"/>
        <v/>
      </c>
      <c r="D202" s="24" t="str">
        <f t="shared" si="30"/>
        <v/>
      </c>
      <c r="E202" s="24" t="str">
        <f t="shared" si="31"/>
        <v/>
      </c>
      <c r="F202" s="24" t="str">
        <f t="shared" si="26"/>
        <v/>
      </c>
      <c r="G202" s="24">
        <f t="shared" si="27"/>
        <v>0</v>
      </c>
      <c r="H202" s="57" t="str">
        <f t="shared" si="28"/>
        <v/>
      </c>
      <c r="I202" s="57"/>
      <c r="J202" s="57"/>
      <c r="K202" s="57"/>
      <c r="L202" s="24" t="str">
        <f t="shared" si="33"/>
        <v/>
      </c>
    </row>
    <row r="203" spans="3:12" x14ac:dyDescent="0.25">
      <c r="C203" s="56" t="str">
        <f t="shared" si="29"/>
        <v/>
      </c>
      <c r="D203" s="24" t="str">
        <f t="shared" si="30"/>
        <v/>
      </c>
      <c r="E203" s="24" t="str">
        <f t="shared" si="31"/>
        <v/>
      </c>
      <c r="F203" s="24" t="str">
        <f t="shared" si="26"/>
        <v/>
      </c>
      <c r="G203" s="24">
        <f t="shared" si="27"/>
        <v>0</v>
      </c>
      <c r="H203" s="57" t="str">
        <f t="shared" si="28"/>
        <v/>
      </c>
      <c r="I203" s="57"/>
      <c r="J203" s="57"/>
      <c r="K203" s="57"/>
      <c r="L203" s="24" t="str">
        <f t="shared" si="33"/>
        <v/>
      </c>
    </row>
    <row r="204" spans="3:12" x14ac:dyDescent="0.25">
      <c r="C204" s="56" t="str">
        <f t="shared" si="29"/>
        <v/>
      </c>
      <c r="D204" s="24" t="str">
        <f t="shared" si="30"/>
        <v/>
      </c>
      <c r="E204" s="24" t="str">
        <f t="shared" si="31"/>
        <v/>
      </c>
      <c r="F204" s="24" t="str">
        <f t="shared" si="26"/>
        <v/>
      </c>
      <c r="G204" s="24">
        <f t="shared" si="27"/>
        <v>0</v>
      </c>
      <c r="H204" s="57" t="str">
        <f t="shared" si="28"/>
        <v/>
      </c>
      <c r="I204" s="57"/>
      <c r="J204" s="57"/>
      <c r="K204" s="57"/>
      <c r="L204" s="24" t="str">
        <f t="shared" si="33"/>
        <v/>
      </c>
    </row>
    <row r="205" spans="3:12" x14ac:dyDescent="0.25">
      <c r="C205" s="56" t="str">
        <f t="shared" si="29"/>
        <v/>
      </c>
      <c r="D205" s="24" t="str">
        <f t="shared" si="30"/>
        <v/>
      </c>
      <c r="E205" s="24" t="str">
        <f t="shared" si="31"/>
        <v/>
      </c>
      <c r="F205" s="24" t="str">
        <f t="shared" si="26"/>
        <v/>
      </c>
      <c r="G205" s="24">
        <f t="shared" si="27"/>
        <v>0</v>
      </c>
      <c r="H205" s="57" t="str">
        <f t="shared" si="28"/>
        <v/>
      </c>
      <c r="I205" s="57"/>
      <c r="J205" s="57"/>
      <c r="K205" s="57"/>
      <c r="L205" s="24" t="str">
        <f t="shared" si="33"/>
        <v/>
      </c>
    </row>
    <row r="206" spans="3:12" x14ac:dyDescent="0.25">
      <c r="C206" s="56" t="str">
        <f t="shared" si="29"/>
        <v/>
      </c>
      <c r="D206" s="24" t="str">
        <f t="shared" si="30"/>
        <v/>
      </c>
      <c r="E206" s="24" t="str">
        <f t="shared" si="31"/>
        <v/>
      </c>
      <c r="F206" s="24" t="str">
        <f t="shared" si="26"/>
        <v/>
      </c>
      <c r="G206" s="24">
        <f t="shared" si="27"/>
        <v>0</v>
      </c>
      <c r="H206" s="57" t="str">
        <f t="shared" si="28"/>
        <v/>
      </c>
      <c r="I206" s="57"/>
      <c r="J206" s="57"/>
      <c r="K206" s="57"/>
      <c r="L206" s="24" t="str">
        <f t="shared" si="33"/>
        <v/>
      </c>
    </row>
    <row r="207" spans="3:12" x14ac:dyDescent="0.25">
      <c r="C207" s="56" t="str">
        <f t="shared" si="29"/>
        <v/>
      </c>
      <c r="D207" s="24" t="str">
        <f t="shared" si="30"/>
        <v/>
      </c>
      <c r="E207" s="24" t="str">
        <f t="shared" si="31"/>
        <v/>
      </c>
      <c r="F207" s="24" t="str">
        <f t="shared" si="26"/>
        <v/>
      </c>
      <c r="G207" s="24">
        <f t="shared" si="27"/>
        <v>0</v>
      </c>
      <c r="H207" s="57" t="str">
        <f t="shared" si="28"/>
        <v/>
      </c>
      <c r="I207" s="57"/>
      <c r="J207" s="57"/>
      <c r="K207" s="57"/>
      <c r="L207" s="24" t="str">
        <f t="shared" si="33"/>
        <v/>
      </c>
    </row>
    <row r="208" spans="3:12" x14ac:dyDescent="0.25">
      <c r="C208" s="56" t="str">
        <f t="shared" si="29"/>
        <v/>
      </c>
      <c r="D208" s="24" t="str">
        <f t="shared" si="30"/>
        <v/>
      </c>
      <c r="E208" s="24" t="str">
        <f t="shared" si="31"/>
        <v/>
      </c>
      <c r="F208" s="24" t="str">
        <f t="shared" si="26"/>
        <v/>
      </c>
      <c r="G208" s="24">
        <f t="shared" si="27"/>
        <v>0</v>
      </c>
      <c r="H208" s="57" t="str">
        <f t="shared" si="28"/>
        <v/>
      </c>
      <c r="I208" s="57"/>
      <c r="J208" s="57"/>
      <c r="K208" s="57"/>
      <c r="L208" s="24" t="str">
        <f t="shared" si="33"/>
        <v/>
      </c>
    </row>
    <row r="209" spans="3:12" x14ac:dyDescent="0.25">
      <c r="C209" s="56" t="str">
        <f t="shared" si="29"/>
        <v/>
      </c>
      <c r="D209" s="24" t="str">
        <f t="shared" si="30"/>
        <v/>
      </c>
      <c r="E209" s="24" t="str">
        <f t="shared" si="31"/>
        <v/>
      </c>
      <c r="F209" s="24" t="str">
        <f t="shared" si="26"/>
        <v/>
      </c>
      <c r="G209" s="24">
        <f t="shared" si="27"/>
        <v>0</v>
      </c>
      <c r="H209" s="57" t="str">
        <f t="shared" si="28"/>
        <v/>
      </c>
      <c r="I209" s="57"/>
      <c r="J209" s="57"/>
      <c r="K209" s="57"/>
      <c r="L209" s="24" t="str">
        <f t="shared" si="33"/>
        <v/>
      </c>
    </row>
    <row r="210" spans="3:12" x14ac:dyDescent="0.25">
      <c r="C210" s="56" t="str">
        <f t="shared" si="29"/>
        <v/>
      </c>
      <c r="D210" s="24" t="str">
        <f t="shared" si="30"/>
        <v/>
      </c>
      <c r="E210" s="24" t="str">
        <f t="shared" si="31"/>
        <v/>
      </c>
      <c r="F210" s="24" t="str">
        <f t="shared" si="26"/>
        <v/>
      </c>
      <c r="G210" s="24">
        <f t="shared" si="27"/>
        <v>0</v>
      </c>
      <c r="H210" s="57" t="str">
        <f t="shared" si="28"/>
        <v/>
      </c>
      <c r="I210" s="57"/>
      <c r="J210" s="57"/>
      <c r="K210" s="57"/>
      <c r="L210" s="24" t="str">
        <f t="shared" si="33"/>
        <v/>
      </c>
    </row>
    <row r="211" spans="3:12" x14ac:dyDescent="0.25">
      <c r="C211" s="56" t="str">
        <f t="shared" si="29"/>
        <v/>
      </c>
      <c r="D211" s="24" t="str">
        <f t="shared" si="30"/>
        <v/>
      </c>
      <c r="E211" s="24" t="str">
        <f t="shared" si="31"/>
        <v/>
      </c>
      <c r="F211" s="24" t="str">
        <f t="shared" si="26"/>
        <v/>
      </c>
      <c r="G211" s="24">
        <f t="shared" si="27"/>
        <v>0</v>
      </c>
      <c r="H211" s="57" t="str">
        <f t="shared" si="28"/>
        <v/>
      </c>
      <c r="I211" s="57"/>
      <c r="J211" s="57"/>
      <c r="K211" s="57"/>
      <c r="L211" s="24" t="str">
        <f t="shared" si="33"/>
        <v/>
      </c>
    </row>
    <row r="212" spans="3:12" x14ac:dyDescent="0.25">
      <c r="C212" s="56" t="str">
        <f t="shared" si="29"/>
        <v/>
      </c>
      <c r="D212" s="24" t="str">
        <f t="shared" si="30"/>
        <v/>
      </c>
      <c r="E212" s="24" t="str">
        <f t="shared" si="31"/>
        <v/>
      </c>
      <c r="F212" s="24" t="str">
        <f t="shared" si="26"/>
        <v/>
      </c>
      <c r="G212" s="24">
        <f t="shared" si="27"/>
        <v>0</v>
      </c>
      <c r="H212" s="57" t="str">
        <f t="shared" si="28"/>
        <v/>
      </c>
      <c r="I212" s="57"/>
      <c r="J212" s="57"/>
      <c r="K212" s="57"/>
      <c r="L212" s="24" t="str">
        <f t="shared" si="33"/>
        <v/>
      </c>
    </row>
    <row r="213" spans="3:12" x14ac:dyDescent="0.25">
      <c r="C213" s="56" t="str">
        <f t="shared" si="29"/>
        <v/>
      </c>
      <c r="D213" s="24" t="str">
        <f t="shared" si="30"/>
        <v/>
      </c>
      <c r="E213" s="24" t="str">
        <f t="shared" si="31"/>
        <v/>
      </c>
      <c r="F213" s="24" t="str">
        <f t="shared" si="26"/>
        <v/>
      </c>
      <c r="G213" s="24">
        <f t="shared" si="27"/>
        <v>0</v>
      </c>
      <c r="H213" s="57" t="str">
        <f t="shared" si="28"/>
        <v/>
      </c>
      <c r="I213" s="57"/>
      <c r="J213" s="57"/>
      <c r="K213" s="57"/>
      <c r="L213" s="24" t="str">
        <f t="shared" si="33"/>
        <v/>
      </c>
    </row>
    <row r="214" spans="3:12" x14ac:dyDescent="0.25">
      <c r="C214" s="56" t="str">
        <f t="shared" si="29"/>
        <v/>
      </c>
      <c r="D214" s="24" t="str">
        <f t="shared" si="30"/>
        <v/>
      </c>
      <c r="E214" s="24" t="str">
        <f t="shared" si="31"/>
        <v/>
      </c>
      <c r="F214" s="24" t="str">
        <f t="shared" si="26"/>
        <v/>
      </c>
      <c r="G214" s="24">
        <f t="shared" si="27"/>
        <v>0</v>
      </c>
      <c r="H214" s="57" t="str">
        <f t="shared" si="28"/>
        <v/>
      </c>
      <c r="I214" s="57"/>
      <c r="J214" s="57"/>
      <c r="K214" s="57"/>
      <c r="L214" s="24" t="str">
        <f t="shared" si="33"/>
        <v/>
      </c>
    </row>
    <row r="215" spans="3:12" x14ac:dyDescent="0.25">
      <c r="C215" s="56" t="str">
        <f t="shared" si="29"/>
        <v/>
      </c>
      <c r="D215" s="24" t="str">
        <f t="shared" si="30"/>
        <v/>
      </c>
      <c r="E215" s="24" t="str">
        <f t="shared" si="31"/>
        <v/>
      </c>
      <c r="F215" s="24" t="str">
        <f t="shared" si="26"/>
        <v/>
      </c>
      <c r="G215" s="24">
        <f t="shared" si="27"/>
        <v>0</v>
      </c>
      <c r="H215" s="57" t="str">
        <f t="shared" si="28"/>
        <v/>
      </c>
      <c r="I215" s="57"/>
      <c r="J215" s="57"/>
      <c r="K215" s="57"/>
      <c r="L215" s="24" t="str">
        <f t="shared" si="33"/>
        <v/>
      </c>
    </row>
    <row r="216" spans="3:12" x14ac:dyDescent="0.25">
      <c r="C216" s="56" t="str">
        <f t="shared" si="29"/>
        <v/>
      </c>
      <c r="D216" s="24" t="str">
        <f t="shared" si="30"/>
        <v/>
      </c>
      <c r="E216" s="24" t="str">
        <f t="shared" si="31"/>
        <v/>
      </c>
      <c r="F216" s="24" t="str">
        <f t="shared" ref="F216:F279" si="34">IFERROR(MAX(F215,S$1+C216),"")</f>
        <v/>
      </c>
      <c r="G216" s="24">
        <f t="shared" ref="G216:G279" si="35">IFERROR((S$1+C216)-F216,0)</f>
        <v>0</v>
      </c>
      <c r="H216" s="57" t="str">
        <f t="shared" ref="H216:H279" si="36">IFERROR((S$1+C216)/F216-1,"")</f>
        <v/>
      </c>
      <c r="I216" s="57"/>
      <c r="J216" s="57"/>
      <c r="K216" s="57"/>
      <c r="L216" s="24" t="str">
        <f t="shared" si="33"/>
        <v/>
      </c>
    </row>
    <row r="217" spans="3:12" x14ac:dyDescent="0.25">
      <c r="C217" s="56" t="str">
        <f t="shared" ref="C217:C280" si="37">IF(OR(A217="Grand Total",A217=""),"",C216+B217)</f>
        <v/>
      </c>
      <c r="D217" s="24" t="str">
        <f t="shared" ref="D217:D280" si="38">IF(OR(B217="",A217="Grand Total"),"",IF(B217&lt;0,"L","W"))</f>
        <v/>
      </c>
      <c r="E217" s="24" t="str">
        <f t="shared" ref="E217:E280" si="39">IF(D217="","",IF(D217=D216,E216+1,1))</f>
        <v/>
      </c>
      <c r="F217" s="24" t="str">
        <f t="shared" si="34"/>
        <v/>
      </c>
      <c r="G217" s="24">
        <f t="shared" si="35"/>
        <v>0</v>
      </c>
      <c r="H217" s="57" t="str">
        <f t="shared" si="36"/>
        <v/>
      </c>
      <c r="I217" s="57"/>
      <c r="J217" s="57"/>
      <c r="K217" s="57"/>
      <c r="L217" s="24" t="str">
        <f t="shared" si="33"/>
        <v/>
      </c>
    </row>
    <row r="218" spans="3:12" x14ac:dyDescent="0.25">
      <c r="C218" s="56" t="str">
        <f t="shared" si="37"/>
        <v/>
      </c>
      <c r="D218" s="24" t="str">
        <f t="shared" si="38"/>
        <v/>
      </c>
      <c r="E218" s="24" t="str">
        <f t="shared" si="39"/>
        <v/>
      </c>
      <c r="F218" s="24" t="str">
        <f t="shared" si="34"/>
        <v/>
      </c>
      <c r="G218" s="24">
        <f t="shared" si="35"/>
        <v>0</v>
      </c>
      <c r="H218" s="57" t="str">
        <f t="shared" si="36"/>
        <v/>
      </c>
      <c r="I218" s="57"/>
      <c r="J218" s="57"/>
      <c r="K218" s="57"/>
      <c r="L218" s="24" t="str">
        <f t="shared" si="33"/>
        <v/>
      </c>
    </row>
    <row r="219" spans="3:12" x14ac:dyDescent="0.25">
      <c r="C219" s="56" t="str">
        <f t="shared" si="37"/>
        <v/>
      </c>
      <c r="D219" s="24" t="str">
        <f t="shared" si="38"/>
        <v/>
      </c>
      <c r="E219" s="24" t="str">
        <f t="shared" si="39"/>
        <v/>
      </c>
      <c r="F219" s="24" t="str">
        <f t="shared" si="34"/>
        <v/>
      </c>
      <c r="G219" s="24">
        <f t="shared" si="35"/>
        <v>0</v>
      </c>
      <c r="H219" s="57" t="str">
        <f t="shared" si="36"/>
        <v/>
      </c>
      <c r="I219" s="57"/>
      <c r="J219" s="57"/>
      <c r="K219" s="57"/>
      <c r="L219" s="24" t="str">
        <f t="shared" si="33"/>
        <v/>
      </c>
    </row>
    <row r="220" spans="3:12" x14ac:dyDescent="0.25">
      <c r="C220" s="56" t="str">
        <f t="shared" si="37"/>
        <v/>
      </c>
      <c r="D220" s="24" t="str">
        <f t="shared" si="38"/>
        <v/>
      </c>
      <c r="E220" s="24" t="str">
        <f t="shared" si="39"/>
        <v/>
      </c>
      <c r="F220" s="24" t="str">
        <f t="shared" si="34"/>
        <v/>
      </c>
      <c r="G220" s="24">
        <f t="shared" si="35"/>
        <v>0</v>
      </c>
      <c r="H220" s="57" t="str">
        <f t="shared" si="36"/>
        <v/>
      </c>
      <c r="I220" s="57"/>
      <c r="J220" s="57"/>
      <c r="K220" s="57"/>
      <c r="L220" s="24" t="str">
        <f t="shared" ref="L220:L251" si="40">IF(E220="","",IF(E220=E219,L219+1,1))</f>
        <v/>
      </c>
    </row>
    <row r="221" spans="3:12" x14ac:dyDescent="0.25">
      <c r="C221" s="56" t="str">
        <f t="shared" si="37"/>
        <v/>
      </c>
      <c r="D221" s="24" t="str">
        <f t="shared" si="38"/>
        <v/>
      </c>
      <c r="E221" s="24" t="str">
        <f t="shared" si="39"/>
        <v/>
      </c>
      <c r="F221" s="24" t="str">
        <f t="shared" si="34"/>
        <v/>
      </c>
      <c r="G221" s="24">
        <f t="shared" si="35"/>
        <v>0</v>
      </c>
      <c r="H221" s="57" t="str">
        <f t="shared" si="36"/>
        <v/>
      </c>
      <c r="I221" s="57"/>
      <c r="J221" s="57"/>
      <c r="K221" s="57"/>
      <c r="L221" s="24" t="str">
        <f t="shared" si="40"/>
        <v/>
      </c>
    </row>
    <row r="222" spans="3:12" x14ac:dyDescent="0.25">
      <c r="C222" s="56" t="str">
        <f t="shared" si="37"/>
        <v/>
      </c>
      <c r="D222" s="24" t="str">
        <f t="shared" si="38"/>
        <v/>
      </c>
      <c r="E222" s="24" t="str">
        <f t="shared" si="39"/>
        <v/>
      </c>
      <c r="F222" s="24" t="str">
        <f t="shared" si="34"/>
        <v/>
      </c>
      <c r="G222" s="24">
        <f t="shared" si="35"/>
        <v>0</v>
      </c>
      <c r="H222" s="57" t="str">
        <f t="shared" si="36"/>
        <v/>
      </c>
      <c r="I222" s="57"/>
      <c r="J222" s="57"/>
      <c r="K222" s="57"/>
      <c r="L222" s="24" t="str">
        <f t="shared" si="40"/>
        <v/>
      </c>
    </row>
    <row r="223" spans="3:12" x14ac:dyDescent="0.25">
      <c r="C223" s="56" t="str">
        <f t="shared" si="37"/>
        <v/>
      </c>
      <c r="D223" s="24" t="str">
        <f t="shared" si="38"/>
        <v/>
      </c>
      <c r="E223" s="24" t="str">
        <f t="shared" si="39"/>
        <v/>
      </c>
      <c r="F223" s="24" t="str">
        <f t="shared" si="34"/>
        <v/>
      </c>
      <c r="G223" s="24">
        <f t="shared" si="35"/>
        <v>0</v>
      </c>
      <c r="H223" s="57" t="str">
        <f t="shared" si="36"/>
        <v/>
      </c>
      <c r="I223" s="57"/>
      <c r="J223" s="57"/>
      <c r="K223" s="57"/>
      <c r="L223" s="24" t="str">
        <f t="shared" si="40"/>
        <v/>
      </c>
    </row>
    <row r="224" spans="3:12" x14ac:dyDescent="0.25">
      <c r="C224" s="56" t="str">
        <f t="shared" si="37"/>
        <v/>
      </c>
      <c r="D224" s="24" t="str">
        <f t="shared" si="38"/>
        <v/>
      </c>
      <c r="E224" s="24" t="str">
        <f t="shared" si="39"/>
        <v/>
      </c>
      <c r="F224" s="24" t="str">
        <f t="shared" si="34"/>
        <v/>
      </c>
      <c r="G224" s="24">
        <f t="shared" si="35"/>
        <v>0</v>
      </c>
      <c r="H224" s="57" t="str">
        <f t="shared" si="36"/>
        <v/>
      </c>
      <c r="I224" s="57"/>
      <c r="J224" s="57"/>
      <c r="K224" s="57"/>
      <c r="L224" s="24" t="str">
        <f t="shared" si="40"/>
        <v/>
      </c>
    </row>
    <row r="225" spans="3:12" x14ac:dyDescent="0.25">
      <c r="C225" s="56" t="str">
        <f t="shared" si="37"/>
        <v/>
      </c>
      <c r="D225" s="24" t="str">
        <f t="shared" si="38"/>
        <v/>
      </c>
      <c r="E225" s="24" t="str">
        <f t="shared" si="39"/>
        <v/>
      </c>
      <c r="F225" s="24" t="str">
        <f t="shared" si="34"/>
        <v/>
      </c>
      <c r="G225" s="24">
        <f t="shared" si="35"/>
        <v>0</v>
      </c>
      <c r="H225" s="57" t="str">
        <f t="shared" si="36"/>
        <v/>
      </c>
      <c r="I225" s="57"/>
      <c r="J225" s="57"/>
      <c r="K225" s="57"/>
      <c r="L225" s="24" t="str">
        <f t="shared" si="40"/>
        <v/>
      </c>
    </row>
    <row r="226" spans="3:12" x14ac:dyDescent="0.25">
      <c r="C226" s="56" t="str">
        <f t="shared" si="37"/>
        <v/>
      </c>
      <c r="D226" s="24" t="str">
        <f t="shared" si="38"/>
        <v/>
      </c>
      <c r="E226" s="24" t="str">
        <f t="shared" si="39"/>
        <v/>
      </c>
      <c r="F226" s="24" t="str">
        <f t="shared" si="34"/>
        <v/>
      </c>
      <c r="G226" s="24">
        <f t="shared" si="35"/>
        <v>0</v>
      </c>
      <c r="H226" s="57" t="str">
        <f t="shared" si="36"/>
        <v/>
      </c>
      <c r="I226" s="57"/>
      <c r="J226" s="57"/>
      <c r="K226" s="57"/>
      <c r="L226" s="24" t="str">
        <f t="shared" si="40"/>
        <v/>
      </c>
    </row>
    <row r="227" spans="3:12" x14ac:dyDescent="0.25">
      <c r="C227" s="56" t="str">
        <f t="shared" si="37"/>
        <v/>
      </c>
      <c r="D227" s="24" t="str">
        <f t="shared" si="38"/>
        <v/>
      </c>
      <c r="E227" s="24" t="str">
        <f t="shared" si="39"/>
        <v/>
      </c>
      <c r="F227" s="24" t="str">
        <f t="shared" si="34"/>
        <v/>
      </c>
      <c r="G227" s="24">
        <f t="shared" si="35"/>
        <v>0</v>
      </c>
      <c r="H227" s="57" t="str">
        <f t="shared" si="36"/>
        <v/>
      </c>
      <c r="I227" s="57"/>
      <c r="J227" s="57"/>
      <c r="K227" s="57"/>
      <c r="L227" s="24" t="str">
        <f t="shared" si="40"/>
        <v/>
      </c>
    </row>
    <row r="228" spans="3:12" x14ac:dyDescent="0.25">
      <c r="C228" s="56" t="str">
        <f t="shared" si="37"/>
        <v/>
      </c>
      <c r="D228" s="24" t="str">
        <f t="shared" si="38"/>
        <v/>
      </c>
      <c r="E228" s="24" t="str">
        <f t="shared" si="39"/>
        <v/>
      </c>
      <c r="F228" s="24" t="str">
        <f t="shared" si="34"/>
        <v/>
      </c>
      <c r="G228" s="24">
        <f t="shared" si="35"/>
        <v>0</v>
      </c>
      <c r="H228" s="57" t="str">
        <f t="shared" si="36"/>
        <v/>
      </c>
      <c r="I228" s="57"/>
      <c r="J228" s="57"/>
      <c r="K228" s="57"/>
      <c r="L228" s="24" t="str">
        <f t="shared" si="40"/>
        <v/>
      </c>
    </row>
    <row r="229" spans="3:12" x14ac:dyDescent="0.25">
      <c r="C229" s="56" t="str">
        <f t="shared" si="37"/>
        <v/>
      </c>
      <c r="D229" s="24" t="str">
        <f t="shared" si="38"/>
        <v/>
      </c>
      <c r="E229" s="24" t="str">
        <f t="shared" si="39"/>
        <v/>
      </c>
      <c r="F229" s="24" t="str">
        <f t="shared" si="34"/>
        <v/>
      </c>
      <c r="G229" s="24">
        <f t="shared" si="35"/>
        <v>0</v>
      </c>
      <c r="H229" s="57" t="str">
        <f t="shared" si="36"/>
        <v/>
      </c>
      <c r="I229" s="57"/>
      <c r="J229" s="57"/>
      <c r="K229" s="57"/>
      <c r="L229" s="24" t="str">
        <f t="shared" si="40"/>
        <v/>
      </c>
    </row>
    <row r="230" spans="3:12" x14ac:dyDescent="0.25">
      <c r="C230" s="56" t="str">
        <f t="shared" si="37"/>
        <v/>
      </c>
      <c r="D230" s="24" t="str">
        <f t="shared" si="38"/>
        <v/>
      </c>
      <c r="E230" s="24" t="str">
        <f t="shared" si="39"/>
        <v/>
      </c>
      <c r="F230" s="24" t="str">
        <f t="shared" si="34"/>
        <v/>
      </c>
      <c r="G230" s="24">
        <f t="shared" si="35"/>
        <v>0</v>
      </c>
      <c r="H230" s="57" t="str">
        <f t="shared" si="36"/>
        <v/>
      </c>
      <c r="I230" s="57"/>
      <c r="J230" s="57"/>
      <c r="K230" s="57"/>
      <c r="L230" s="24" t="str">
        <f t="shared" si="40"/>
        <v/>
      </c>
    </row>
    <row r="231" spans="3:12" x14ac:dyDescent="0.25">
      <c r="C231" s="56" t="str">
        <f t="shared" si="37"/>
        <v/>
      </c>
      <c r="D231" s="24" t="str">
        <f t="shared" si="38"/>
        <v/>
      </c>
      <c r="E231" s="24" t="str">
        <f t="shared" si="39"/>
        <v/>
      </c>
      <c r="F231" s="24" t="str">
        <f t="shared" si="34"/>
        <v/>
      </c>
      <c r="G231" s="24">
        <f t="shared" si="35"/>
        <v>0</v>
      </c>
      <c r="H231" s="57" t="str">
        <f t="shared" si="36"/>
        <v/>
      </c>
      <c r="I231" s="57"/>
      <c r="J231" s="57"/>
      <c r="K231" s="57"/>
      <c r="L231" s="24" t="str">
        <f t="shared" si="40"/>
        <v/>
      </c>
    </row>
    <row r="232" spans="3:12" x14ac:dyDescent="0.25">
      <c r="C232" s="56" t="str">
        <f t="shared" si="37"/>
        <v/>
      </c>
      <c r="D232" s="24" t="str">
        <f t="shared" si="38"/>
        <v/>
      </c>
      <c r="E232" s="24" t="str">
        <f t="shared" si="39"/>
        <v/>
      </c>
      <c r="F232" s="24" t="str">
        <f t="shared" si="34"/>
        <v/>
      </c>
      <c r="G232" s="24">
        <f t="shared" si="35"/>
        <v>0</v>
      </c>
      <c r="H232" s="57" t="str">
        <f t="shared" si="36"/>
        <v/>
      </c>
      <c r="I232" s="57"/>
      <c r="J232" s="57"/>
      <c r="K232" s="57"/>
      <c r="L232" s="24" t="str">
        <f t="shared" si="40"/>
        <v/>
      </c>
    </row>
    <row r="233" spans="3:12" x14ac:dyDescent="0.25">
      <c r="C233" s="56" t="str">
        <f t="shared" si="37"/>
        <v/>
      </c>
      <c r="D233" s="24" t="str">
        <f t="shared" si="38"/>
        <v/>
      </c>
      <c r="E233" s="24" t="str">
        <f t="shared" si="39"/>
        <v/>
      </c>
      <c r="F233" s="24" t="str">
        <f t="shared" si="34"/>
        <v/>
      </c>
      <c r="G233" s="24">
        <f t="shared" si="35"/>
        <v>0</v>
      </c>
      <c r="H233" s="57" t="str">
        <f t="shared" si="36"/>
        <v/>
      </c>
      <c r="I233" s="57"/>
      <c r="J233" s="57"/>
      <c r="K233" s="57"/>
      <c r="L233" s="24" t="str">
        <f t="shared" si="40"/>
        <v/>
      </c>
    </row>
    <row r="234" spans="3:12" x14ac:dyDescent="0.25">
      <c r="C234" s="56" t="str">
        <f t="shared" si="37"/>
        <v/>
      </c>
      <c r="D234" s="24" t="str">
        <f t="shared" si="38"/>
        <v/>
      </c>
      <c r="E234" s="24" t="str">
        <f t="shared" si="39"/>
        <v/>
      </c>
      <c r="F234" s="24" t="str">
        <f t="shared" si="34"/>
        <v/>
      </c>
      <c r="G234" s="24">
        <f t="shared" si="35"/>
        <v>0</v>
      </c>
      <c r="H234" s="57" t="str">
        <f t="shared" si="36"/>
        <v/>
      </c>
      <c r="I234" s="57"/>
      <c r="J234" s="57"/>
      <c r="K234" s="57"/>
      <c r="L234" s="24" t="str">
        <f t="shared" si="40"/>
        <v/>
      </c>
    </row>
    <row r="235" spans="3:12" x14ac:dyDescent="0.25">
      <c r="C235" s="56" t="str">
        <f t="shared" si="37"/>
        <v/>
      </c>
      <c r="D235" s="24" t="str">
        <f t="shared" si="38"/>
        <v/>
      </c>
      <c r="E235" s="24" t="str">
        <f t="shared" si="39"/>
        <v/>
      </c>
      <c r="F235" s="24" t="str">
        <f t="shared" si="34"/>
        <v/>
      </c>
      <c r="G235" s="24">
        <f t="shared" si="35"/>
        <v>0</v>
      </c>
      <c r="H235" s="57" t="str">
        <f t="shared" si="36"/>
        <v/>
      </c>
      <c r="I235" s="57"/>
      <c r="J235" s="57"/>
      <c r="K235" s="57"/>
      <c r="L235" s="24" t="str">
        <f t="shared" si="40"/>
        <v/>
      </c>
    </row>
    <row r="236" spans="3:12" x14ac:dyDescent="0.25">
      <c r="C236" s="56" t="str">
        <f t="shared" si="37"/>
        <v/>
      </c>
      <c r="D236" s="24" t="str">
        <f t="shared" si="38"/>
        <v/>
      </c>
      <c r="E236" s="24" t="str">
        <f t="shared" si="39"/>
        <v/>
      </c>
      <c r="F236" s="24" t="str">
        <f t="shared" si="34"/>
        <v/>
      </c>
      <c r="G236" s="24">
        <f t="shared" si="35"/>
        <v>0</v>
      </c>
      <c r="H236" s="57" t="str">
        <f t="shared" si="36"/>
        <v/>
      </c>
      <c r="I236" s="57"/>
      <c r="J236" s="57"/>
      <c r="K236" s="57"/>
      <c r="L236" s="24" t="str">
        <f t="shared" si="40"/>
        <v/>
      </c>
    </row>
    <row r="237" spans="3:12" x14ac:dyDescent="0.25">
      <c r="C237" s="56" t="str">
        <f t="shared" si="37"/>
        <v/>
      </c>
      <c r="D237" s="24" t="str">
        <f t="shared" si="38"/>
        <v/>
      </c>
      <c r="E237" s="24" t="str">
        <f t="shared" si="39"/>
        <v/>
      </c>
      <c r="F237" s="24" t="str">
        <f t="shared" si="34"/>
        <v/>
      </c>
      <c r="G237" s="24">
        <f t="shared" si="35"/>
        <v>0</v>
      </c>
      <c r="H237" s="57" t="str">
        <f t="shared" si="36"/>
        <v/>
      </c>
      <c r="I237" s="57"/>
      <c r="J237" s="57"/>
      <c r="K237" s="57"/>
      <c r="L237" s="24" t="str">
        <f t="shared" si="40"/>
        <v/>
      </c>
    </row>
    <row r="238" spans="3:12" x14ac:dyDescent="0.25">
      <c r="C238" s="56" t="str">
        <f t="shared" si="37"/>
        <v/>
      </c>
      <c r="D238" s="24" t="str">
        <f t="shared" si="38"/>
        <v/>
      </c>
      <c r="E238" s="24" t="str">
        <f t="shared" si="39"/>
        <v/>
      </c>
      <c r="F238" s="24" t="str">
        <f t="shared" si="34"/>
        <v/>
      </c>
      <c r="G238" s="24">
        <f t="shared" si="35"/>
        <v>0</v>
      </c>
      <c r="H238" s="57" t="str">
        <f t="shared" si="36"/>
        <v/>
      </c>
      <c r="I238" s="57"/>
      <c r="J238" s="57"/>
      <c r="K238" s="57"/>
      <c r="L238" s="24" t="str">
        <f t="shared" si="40"/>
        <v/>
      </c>
    </row>
    <row r="239" spans="3:12" x14ac:dyDescent="0.25">
      <c r="C239" s="56" t="str">
        <f t="shared" si="37"/>
        <v/>
      </c>
      <c r="D239" s="24" t="str">
        <f t="shared" si="38"/>
        <v/>
      </c>
      <c r="E239" s="24" t="str">
        <f t="shared" si="39"/>
        <v/>
      </c>
      <c r="F239" s="24" t="str">
        <f t="shared" si="34"/>
        <v/>
      </c>
      <c r="G239" s="24">
        <f t="shared" si="35"/>
        <v>0</v>
      </c>
      <c r="H239" s="57" t="str">
        <f t="shared" si="36"/>
        <v/>
      </c>
      <c r="I239" s="57"/>
      <c r="J239" s="57"/>
      <c r="K239" s="57"/>
      <c r="L239" s="24" t="str">
        <f t="shared" si="40"/>
        <v/>
      </c>
    </row>
    <row r="240" spans="3:12" x14ac:dyDescent="0.25">
      <c r="C240" s="56" t="str">
        <f t="shared" si="37"/>
        <v/>
      </c>
      <c r="D240" s="24" t="str">
        <f t="shared" si="38"/>
        <v/>
      </c>
      <c r="E240" s="24" t="str">
        <f t="shared" si="39"/>
        <v/>
      </c>
      <c r="F240" s="24" t="str">
        <f t="shared" si="34"/>
        <v/>
      </c>
      <c r="G240" s="24">
        <f t="shared" si="35"/>
        <v>0</v>
      </c>
      <c r="H240" s="57" t="str">
        <f t="shared" si="36"/>
        <v/>
      </c>
      <c r="I240" s="57"/>
      <c r="J240" s="57"/>
      <c r="K240" s="57"/>
      <c r="L240" s="24" t="str">
        <f t="shared" si="40"/>
        <v/>
      </c>
    </row>
    <row r="241" spans="3:12" x14ac:dyDescent="0.25">
      <c r="C241" s="56" t="str">
        <f t="shared" si="37"/>
        <v/>
      </c>
      <c r="D241" s="24" t="str">
        <f t="shared" si="38"/>
        <v/>
      </c>
      <c r="E241" s="24" t="str">
        <f t="shared" si="39"/>
        <v/>
      </c>
      <c r="F241" s="24" t="str">
        <f t="shared" si="34"/>
        <v/>
      </c>
      <c r="G241" s="24">
        <f t="shared" si="35"/>
        <v>0</v>
      </c>
      <c r="H241" s="57" t="str">
        <f t="shared" si="36"/>
        <v/>
      </c>
      <c r="I241" s="57"/>
      <c r="J241" s="57"/>
      <c r="K241" s="57"/>
      <c r="L241" s="24" t="str">
        <f t="shared" si="40"/>
        <v/>
      </c>
    </row>
    <row r="242" spans="3:12" x14ac:dyDescent="0.25">
      <c r="C242" s="56" t="str">
        <f t="shared" si="37"/>
        <v/>
      </c>
      <c r="D242" s="24" t="str">
        <f t="shared" si="38"/>
        <v/>
      </c>
      <c r="E242" s="24" t="str">
        <f t="shared" si="39"/>
        <v/>
      </c>
      <c r="F242" s="24" t="str">
        <f t="shared" si="34"/>
        <v/>
      </c>
      <c r="G242" s="24">
        <f t="shared" si="35"/>
        <v>0</v>
      </c>
      <c r="H242" s="57" t="str">
        <f t="shared" si="36"/>
        <v/>
      </c>
      <c r="I242" s="57"/>
      <c r="J242" s="57"/>
      <c r="K242" s="57"/>
      <c r="L242" s="24" t="str">
        <f t="shared" si="40"/>
        <v/>
      </c>
    </row>
    <row r="243" spans="3:12" x14ac:dyDescent="0.25">
      <c r="C243" s="56" t="str">
        <f t="shared" si="37"/>
        <v/>
      </c>
      <c r="D243" s="24" t="str">
        <f t="shared" si="38"/>
        <v/>
      </c>
      <c r="E243" s="24" t="str">
        <f t="shared" si="39"/>
        <v/>
      </c>
      <c r="F243" s="24" t="str">
        <f t="shared" si="34"/>
        <v/>
      </c>
      <c r="G243" s="24">
        <f t="shared" si="35"/>
        <v>0</v>
      </c>
      <c r="H243" s="57" t="str">
        <f t="shared" si="36"/>
        <v/>
      </c>
      <c r="I243" s="57"/>
      <c r="J243" s="57"/>
      <c r="K243" s="57"/>
      <c r="L243" s="24" t="str">
        <f t="shared" si="40"/>
        <v/>
      </c>
    </row>
    <row r="244" spans="3:12" x14ac:dyDescent="0.25">
      <c r="C244" s="56" t="str">
        <f t="shared" si="37"/>
        <v/>
      </c>
      <c r="D244" s="24" t="str">
        <f t="shared" si="38"/>
        <v/>
      </c>
      <c r="E244" s="24" t="str">
        <f t="shared" si="39"/>
        <v/>
      </c>
      <c r="F244" s="24" t="str">
        <f t="shared" si="34"/>
        <v/>
      </c>
      <c r="G244" s="24">
        <f t="shared" si="35"/>
        <v>0</v>
      </c>
      <c r="H244" s="57" t="str">
        <f t="shared" si="36"/>
        <v/>
      </c>
      <c r="I244" s="57"/>
      <c r="J244" s="57"/>
      <c r="K244" s="57"/>
      <c r="L244" s="24" t="str">
        <f t="shared" si="40"/>
        <v/>
      </c>
    </row>
    <row r="245" spans="3:12" x14ac:dyDescent="0.25">
      <c r="C245" s="56" t="str">
        <f t="shared" si="37"/>
        <v/>
      </c>
      <c r="D245" s="24" t="str">
        <f t="shared" si="38"/>
        <v/>
      </c>
      <c r="E245" s="24" t="str">
        <f t="shared" si="39"/>
        <v/>
      </c>
      <c r="F245" s="24" t="str">
        <f t="shared" si="34"/>
        <v/>
      </c>
      <c r="G245" s="24">
        <f t="shared" si="35"/>
        <v>0</v>
      </c>
      <c r="H245" s="57" t="str">
        <f t="shared" si="36"/>
        <v/>
      </c>
      <c r="I245" s="57"/>
      <c r="J245" s="57"/>
      <c r="K245" s="57"/>
      <c r="L245" s="24" t="str">
        <f t="shared" si="40"/>
        <v/>
      </c>
    </row>
    <row r="246" spans="3:12" x14ac:dyDescent="0.25">
      <c r="C246" s="56" t="str">
        <f t="shared" si="37"/>
        <v/>
      </c>
      <c r="D246" s="24" t="str">
        <f t="shared" si="38"/>
        <v/>
      </c>
      <c r="E246" s="24" t="str">
        <f t="shared" si="39"/>
        <v/>
      </c>
      <c r="F246" s="24" t="str">
        <f t="shared" si="34"/>
        <v/>
      </c>
      <c r="G246" s="24">
        <f t="shared" si="35"/>
        <v>0</v>
      </c>
      <c r="H246" s="57" t="str">
        <f t="shared" si="36"/>
        <v/>
      </c>
      <c r="I246" s="57"/>
      <c r="J246" s="57"/>
      <c r="K246" s="57"/>
      <c r="L246" s="24" t="str">
        <f t="shared" si="40"/>
        <v/>
      </c>
    </row>
    <row r="247" spans="3:12" x14ac:dyDescent="0.25">
      <c r="C247" s="56" t="str">
        <f t="shared" si="37"/>
        <v/>
      </c>
      <c r="D247" s="24" t="str">
        <f t="shared" si="38"/>
        <v/>
      </c>
      <c r="E247" s="24" t="str">
        <f t="shared" si="39"/>
        <v/>
      </c>
      <c r="F247" s="24" t="str">
        <f t="shared" si="34"/>
        <v/>
      </c>
      <c r="G247" s="24">
        <f t="shared" si="35"/>
        <v>0</v>
      </c>
      <c r="H247" s="57" t="str">
        <f t="shared" si="36"/>
        <v/>
      </c>
      <c r="I247" s="57"/>
      <c r="J247" s="57"/>
      <c r="K247" s="57"/>
      <c r="L247" s="24" t="str">
        <f t="shared" si="40"/>
        <v/>
      </c>
    </row>
    <row r="248" spans="3:12" x14ac:dyDescent="0.25">
      <c r="C248" s="56" t="str">
        <f t="shared" si="37"/>
        <v/>
      </c>
      <c r="D248" s="24" t="str">
        <f t="shared" si="38"/>
        <v/>
      </c>
      <c r="E248" s="24" t="str">
        <f t="shared" si="39"/>
        <v/>
      </c>
      <c r="F248" s="24" t="str">
        <f t="shared" si="34"/>
        <v/>
      </c>
      <c r="G248" s="24">
        <f t="shared" si="35"/>
        <v>0</v>
      </c>
      <c r="H248" s="57" t="str">
        <f t="shared" si="36"/>
        <v/>
      </c>
      <c r="I248" s="57"/>
      <c r="J248" s="57"/>
      <c r="K248" s="57"/>
      <c r="L248" s="24" t="str">
        <f t="shared" si="40"/>
        <v/>
      </c>
    </row>
    <row r="249" spans="3:12" x14ac:dyDescent="0.25">
      <c r="C249" s="56" t="str">
        <f t="shared" si="37"/>
        <v/>
      </c>
      <c r="D249" s="24" t="str">
        <f t="shared" si="38"/>
        <v/>
      </c>
      <c r="E249" s="24" t="str">
        <f t="shared" si="39"/>
        <v/>
      </c>
      <c r="F249" s="24" t="str">
        <f t="shared" si="34"/>
        <v/>
      </c>
      <c r="G249" s="24">
        <f t="shared" si="35"/>
        <v>0</v>
      </c>
      <c r="H249" s="57" t="str">
        <f t="shared" si="36"/>
        <v/>
      </c>
      <c r="I249" s="57"/>
      <c r="J249" s="57"/>
      <c r="K249" s="57"/>
      <c r="L249" s="24" t="str">
        <f t="shared" si="40"/>
        <v/>
      </c>
    </row>
    <row r="250" spans="3:12" x14ac:dyDescent="0.25">
      <c r="C250" s="56" t="str">
        <f t="shared" si="37"/>
        <v/>
      </c>
      <c r="D250" s="24" t="str">
        <f t="shared" si="38"/>
        <v/>
      </c>
      <c r="E250" s="24" t="str">
        <f t="shared" si="39"/>
        <v/>
      </c>
      <c r="F250" s="24" t="str">
        <f t="shared" si="34"/>
        <v/>
      </c>
      <c r="G250" s="24">
        <f t="shared" si="35"/>
        <v>0</v>
      </c>
      <c r="H250" s="57" t="str">
        <f t="shared" si="36"/>
        <v/>
      </c>
      <c r="I250" s="57"/>
      <c r="J250" s="57"/>
      <c r="K250" s="57"/>
      <c r="L250" s="24" t="str">
        <f t="shared" si="40"/>
        <v/>
      </c>
    </row>
    <row r="251" spans="3:12" x14ac:dyDescent="0.25">
      <c r="C251" s="56" t="str">
        <f t="shared" si="37"/>
        <v/>
      </c>
      <c r="D251" s="24" t="str">
        <f t="shared" si="38"/>
        <v/>
      </c>
      <c r="E251" s="24" t="str">
        <f t="shared" si="39"/>
        <v/>
      </c>
      <c r="F251" s="24" t="str">
        <f t="shared" si="34"/>
        <v/>
      </c>
      <c r="G251" s="24">
        <f t="shared" si="35"/>
        <v>0</v>
      </c>
      <c r="H251" s="57" t="str">
        <f t="shared" si="36"/>
        <v/>
      </c>
      <c r="I251" s="57"/>
      <c r="J251" s="57"/>
      <c r="K251" s="57"/>
      <c r="L251" s="24" t="str">
        <f t="shared" si="40"/>
        <v/>
      </c>
    </row>
    <row r="252" spans="3:12" x14ac:dyDescent="0.25">
      <c r="C252" s="56" t="str">
        <f t="shared" si="37"/>
        <v/>
      </c>
      <c r="D252" s="24" t="str">
        <f t="shared" si="38"/>
        <v/>
      </c>
      <c r="E252" s="24" t="str">
        <f t="shared" si="39"/>
        <v/>
      </c>
      <c r="F252" s="24" t="str">
        <f t="shared" si="34"/>
        <v/>
      </c>
      <c r="G252" s="24">
        <f t="shared" si="35"/>
        <v>0</v>
      </c>
      <c r="H252" s="57" t="str">
        <f t="shared" si="36"/>
        <v/>
      </c>
      <c r="I252" s="57"/>
      <c r="J252" s="57"/>
      <c r="K252" s="57"/>
      <c r="L252" s="24" t="str">
        <f t="shared" ref="L252:L283" si="41">IF(E252="","",IF(E252=E251,L251+1,1))</f>
        <v/>
      </c>
    </row>
    <row r="253" spans="3:12" x14ac:dyDescent="0.25">
      <c r="C253" s="56" t="str">
        <f t="shared" si="37"/>
        <v/>
      </c>
      <c r="D253" s="24" t="str">
        <f t="shared" si="38"/>
        <v/>
      </c>
      <c r="E253" s="24" t="str">
        <f t="shared" si="39"/>
        <v/>
      </c>
      <c r="F253" s="24" t="str">
        <f t="shared" si="34"/>
        <v/>
      </c>
      <c r="G253" s="24">
        <f t="shared" si="35"/>
        <v>0</v>
      </c>
      <c r="H253" s="57" t="str">
        <f t="shared" si="36"/>
        <v/>
      </c>
      <c r="I253" s="57"/>
      <c r="J253" s="57"/>
      <c r="K253" s="57"/>
      <c r="L253" s="24" t="str">
        <f t="shared" si="41"/>
        <v/>
      </c>
    </row>
    <row r="254" spans="3:12" x14ac:dyDescent="0.25">
      <c r="C254" s="56" t="str">
        <f t="shared" si="37"/>
        <v/>
      </c>
      <c r="D254" s="24" t="str">
        <f t="shared" si="38"/>
        <v/>
      </c>
      <c r="E254" s="24" t="str">
        <f t="shared" si="39"/>
        <v/>
      </c>
      <c r="F254" s="24" t="str">
        <f t="shared" si="34"/>
        <v/>
      </c>
      <c r="G254" s="24">
        <f t="shared" si="35"/>
        <v>0</v>
      </c>
      <c r="H254" s="57" t="str">
        <f t="shared" si="36"/>
        <v/>
      </c>
      <c r="I254" s="57"/>
      <c r="J254" s="57"/>
      <c r="K254" s="57"/>
      <c r="L254" s="24" t="str">
        <f t="shared" si="41"/>
        <v/>
      </c>
    </row>
    <row r="255" spans="3:12" x14ac:dyDescent="0.25">
      <c r="C255" s="56" t="str">
        <f t="shared" si="37"/>
        <v/>
      </c>
      <c r="D255" s="24" t="str">
        <f t="shared" si="38"/>
        <v/>
      </c>
      <c r="E255" s="24" t="str">
        <f t="shared" si="39"/>
        <v/>
      </c>
      <c r="F255" s="24" t="str">
        <f t="shared" si="34"/>
        <v/>
      </c>
      <c r="G255" s="24">
        <f t="shared" si="35"/>
        <v>0</v>
      </c>
      <c r="H255" s="57" t="str">
        <f t="shared" si="36"/>
        <v/>
      </c>
      <c r="I255" s="57"/>
      <c r="J255" s="57"/>
      <c r="K255" s="57"/>
      <c r="L255" s="24" t="str">
        <f t="shared" si="41"/>
        <v/>
      </c>
    </row>
    <row r="256" spans="3:12" x14ac:dyDescent="0.25">
      <c r="C256" s="56" t="str">
        <f t="shared" si="37"/>
        <v/>
      </c>
      <c r="D256" s="24" t="str">
        <f t="shared" si="38"/>
        <v/>
      </c>
      <c r="E256" s="24" t="str">
        <f t="shared" si="39"/>
        <v/>
      </c>
      <c r="F256" s="24" t="str">
        <f t="shared" si="34"/>
        <v/>
      </c>
      <c r="G256" s="24">
        <f t="shared" si="35"/>
        <v>0</v>
      </c>
      <c r="H256" s="57" t="str">
        <f t="shared" si="36"/>
        <v/>
      </c>
      <c r="I256" s="57"/>
      <c r="J256" s="57"/>
      <c r="K256" s="57"/>
      <c r="L256" s="24" t="str">
        <f t="shared" si="41"/>
        <v/>
      </c>
    </row>
    <row r="257" spans="3:12" x14ac:dyDescent="0.25">
      <c r="C257" s="56" t="str">
        <f t="shared" si="37"/>
        <v/>
      </c>
      <c r="D257" s="24" t="str">
        <f t="shared" si="38"/>
        <v/>
      </c>
      <c r="E257" s="24" t="str">
        <f t="shared" si="39"/>
        <v/>
      </c>
      <c r="F257" s="24" t="str">
        <f t="shared" si="34"/>
        <v/>
      </c>
      <c r="G257" s="24">
        <f t="shared" si="35"/>
        <v>0</v>
      </c>
      <c r="H257" s="57" t="str">
        <f t="shared" si="36"/>
        <v/>
      </c>
      <c r="I257" s="57"/>
      <c r="J257" s="57"/>
      <c r="K257" s="57"/>
      <c r="L257" s="24" t="str">
        <f t="shared" si="41"/>
        <v/>
      </c>
    </row>
    <row r="258" spans="3:12" x14ac:dyDescent="0.25">
      <c r="C258" s="56" t="str">
        <f t="shared" si="37"/>
        <v/>
      </c>
      <c r="D258" s="24" t="str">
        <f t="shared" si="38"/>
        <v/>
      </c>
      <c r="E258" s="24" t="str">
        <f t="shared" si="39"/>
        <v/>
      </c>
      <c r="F258" s="24" t="str">
        <f t="shared" si="34"/>
        <v/>
      </c>
      <c r="G258" s="24">
        <f t="shared" si="35"/>
        <v>0</v>
      </c>
      <c r="H258" s="57" t="str">
        <f t="shared" si="36"/>
        <v/>
      </c>
      <c r="I258" s="57"/>
      <c r="J258" s="57"/>
      <c r="K258" s="57"/>
      <c r="L258" s="24" t="str">
        <f t="shared" si="41"/>
        <v/>
      </c>
    </row>
    <row r="259" spans="3:12" x14ac:dyDescent="0.25">
      <c r="C259" s="56" t="str">
        <f t="shared" si="37"/>
        <v/>
      </c>
      <c r="D259" s="24" t="str">
        <f t="shared" si="38"/>
        <v/>
      </c>
      <c r="E259" s="24" t="str">
        <f t="shared" si="39"/>
        <v/>
      </c>
      <c r="F259" s="24" t="str">
        <f t="shared" si="34"/>
        <v/>
      </c>
      <c r="G259" s="24">
        <f t="shared" si="35"/>
        <v>0</v>
      </c>
      <c r="H259" s="57" t="str">
        <f t="shared" si="36"/>
        <v/>
      </c>
      <c r="I259" s="57"/>
      <c r="J259" s="57"/>
      <c r="K259" s="57"/>
      <c r="L259" s="24" t="str">
        <f t="shared" si="41"/>
        <v/>
      </c>
    </row>
    <row r="260" spans="3:12" x14ac:dyDescent="0.25">
      <c r="C260" s="56" t="str">
        <f t="shared" si="37"/>
        <v/>
      </c>
      <c r="D260" s="24" t="str">
        <f t="shared" si="38"/>
        <v/>
      </c>
      <c r="E260" s="24" t="str">
        <f t="shared" si="39"/>
        <v/>
      </c>
      <c r="F260" s="24" t="str">
        <f t="shared" si="34"/>
        <v/>
      </c>
      <c r="G260" s="24">
        <f t="shared" si="35"/>
        <v>0</v>
      </c>
      <c r="H260" s="57" t="str">
        <f t="shared" si="36"/>
        <v/>
      </c>
      <c r="I260" s="57"/>
      <c r="J260" s="57"/>
      <c r="K260" s="57"/>
      <c r="L260" s="24" t="str">
        <f t="shared" si="41"/>
        <v/>
      </c>
    </row>
    <row r="261" spans="3:12" x14ac:dyDescent="0.25">
      <c r="C261" s="56" t="str">
        <f t="shared" si="37"/>
        <v/>
      </c>
      <c r="D261" s="24" t="str">
        <f t="shared" si="38"/>
        <v/>
      </c>
      <c r="E261" s="24" t="str">
        <f t="shared" si="39"/>
        <v/>
      </c>
      <c r="F261" s="24" t="str">
        <f t="shared" si="34"/>
        <v/>
      </c>
      <c r="G261" s="24">
        <f t="shared" si="35"/>
        <v>0</v>
      </c>
      <c r="H261" s="57" t="str">
        <f t="shared" si="36"/>
        <v/>
      </c>
      <c r="I261" s="57"/>
      <c r="J261" s="57"/>
      <c r="K261" s="57"/>
      <c r="L261" s="24" t="str">
        <f t="shared" si="41"/>
        <v/>
      </c>
    </row>
    <row r="262" spans="3:12" x14ac:dyDescent="0.25">
      <c r="C262" s="56" t="str">
        <f t="shared" si="37"/>
        <v/>
      </c>
      <c r="D262" s="24" t="str">
        <f t="shared" si="38"/>
        <v/>
      </c>
      <c r="E262" s="24" t="str">
        <f t="shared" si="39"/>
        <v/>
      </c>
      <c r="F262" s="24" t="str">
        <f t="shared" si="34"/>
        <v/>
      </c>
      <c r="G262" s="24">
        <f t="shared" si="35"/>
        <v>0</v>
      </c>
      <c r="H262" s="57" t="str">
        <f t="shared" si="36"/>
        <v/>
      </c>
      <c r="I262" s="57"/>
      <c r="J262" s="57"/>
      <c r="K262" s="57"/>
      <c r="L262" s="24" t="str">
        <f t="shared" si="41"/>
        <v/>
      </c>
    </row>
    <row r="263" spans="3:12" x14ac:dyDescent="0.25">
      <c r="C263" s="56" t="str">
        <f t="shared" si="37"/>
        <v/>
      </c>
      <c r="D263" s="24" t="str">
        <f t="shared" si="38"/>
        <v/>
      </c>
      <c r="E263" s="24" t="str">
        <f t="shared" si="39"/>
        <v/>
      </c>
      <c r="F263" s="24" t="str">
        <f t="shared" si="34"/>
        <v/>
      </c>
      <c r="G263" s="24">
        <f t="shared" si="35"/>
        <v>0</v>
      </c>
      <c r="H263" s="57" t="str">
        <f t="shared" si="36"/>
        <v/>
      </c>
      <c r="I263" s="57"/>
      <c r="J263" s="57"/>
      <c r="K263" s="57"/>
      <c r="L263" s="24" t="str">
        <f t="shared" si="41"/>
        <v/>
      </c>
    </row>
    <row r="264" spans="3:12" x14ac:dyDescent="0.25">
      <c r="C264" s="56" t="str">
        <f t="shared" si="37"/>
        <v/>
      </c>
      <c r="D264" s="24" t="str">
        <f t="shared" si="38"/>
        <v/>
      </c>
      <c r="E264" s="24" t="str">
        <f t="shared" si="39"/>
        <v/>
      </c>
      <c r="F264" s="24" t="str">
        <f t="shared" si="34"/>
        <v/>
      </c>
      <c r="G264" s="24">
        <f t="shared" si="35"/>
        <v>0</v>
      </c>
      <c r="H264" s="57" t="str">
        <f t="shared" si="36"/>
        <v/>
      </c>
      <c r="I264" s="57"/>
      <c r="J264" s="57"/>
      <c r="K264" s="57"/>
      <c r="L264" s="24" t="str">
        <f t="shared" si="41"/>
        <v/>
      </c>
    </row>
    <row r="265" spans="3:12" x14ac:dyDescent="0.25">
      <c r="C265" s="56" t="str">
        <f t="shared" si="37"/>
        <v/>
      </c>
      <c r="D265" s="24" t="str">
        <f t="shared" si="38"/>
        <v/>
      </c>
      <c r="E265" s="24" t="str">
        <f t="shared" si="39"/>
        <v/>
      </c>
      <c r="F265" s="24" t="str">
        <f t="shared" si="34"/>
        <v/>
      </c>
      <c r="G265" s="24">
        <f t="shared" si="35"/>
        <v>0</v>
      </c>
      <c r="H265" s="57" t="str">
        <f t="shared" si="36"/>
        <v/>
      </c>
      <c r="I265" s="57"/>
      <c r="J265" s="57"/>
      <c r="K265" s="57"/>
      <c r="L265" s="24" t="str">
        <f t="shared" si="41"/>
        <v/>
      </c>
    </row>
    <row r="266" spans="3:12" x14ac:dyDescent="0.25">
      <c r="C266" s="56" t="str">
        <f t="shared" si="37"/>
        <v/>
      </c>
      <c r="D266" s="24" t="str">
        <f t="shared" si="38"/>
        <v/>
      </c>
      <c r="E266" s="24" t="str">
        <f t="shared" si="39"/>
        <v/>
      </c>
      <c r="F266" s="24" t="str">
        <f t="shared" si="34"/>
        <v/>
      </c>
      <c r="G266" s="24">
        <f t="shared" si="35"/>
        <v>0</v>
      </c>
      <c r="H266" s="57" t="str">
        <f t="shared" si="36"/>
        <v/>
      </c>
      <c r="I266" s="57"/>
      <c r="J266" s="57"/>
      <c r="K266" s="57"/>
      <c r="L266" s="24" t="str">
        <f t="shared" si="41"/>
        <v/>
      </c>
    </row>
    <row r="267" spans="3:12" x14ac:dyDescent="0.25">
      <c r="C267" s="56" t="str">
        <f t="shared" si="37"/>
        <v/>
      </c>
      <c r="D267" s="24" t="str">
        <f t="shared" si="38"/>
        <v/>
      </c>
      <c r="E267" s="24" t="str">
        <f t="shared" si="39"/>
        <v/>
      </c>
      <c r="F267" s="24" t="str">
        <f t="shared" si="34"/>
        <v/>
      </c>
      <c r="G267" s="24">
        <f t="shared" si="35"/>
        <v>0</v>
      </c>
      <c r="H267" s="57" t="str">
        <f t="shared" si="36"/>
        <v/>
      </c>
      <c r="I267" s="57"/>
      <c r="J267" s="57"/>
      <c r="K267" s="57"/>
      <c r="L267" s="24" t="str">
        <f t="shared" si="41"/>
        <v/>
      </c>
    </row>
    <row r="268" spans="3:12" x14ac:dyDescent="0.25">
      <c r="C268" s="56" t="str">
        <f t="shared" si="37"/>
        <v/>
      </c>
      <c r="D268" s="24" t="str">
        <f t="shared" si="38"/>
        <v/>
      </c>
      <c r="E268" s="24" t="str">
        <f t="shared" si="39"/>
        <v/>
      </c>
      <c r="F268" s="24" t="str">
        <f t="shared" si="34"/>
        <v/>
      </c>
      <c r="G268" s="24">
        <f t="shared" si="35"/>
        <v>0</v>
      </c>
      <c r="H268" s="57" t="str">
        <f t="shared" si="36"/>
        <v/>
      </c>
      <c r="I268" s="57"/>
      <c r="J268" s="57"/>
      <c r="K268" s="57"/>
      <c r="L268" s="24" t="str">
        <f t="shared" si="41"/>
        <v/>
      </c>
    </row>
    <row r="269" spans="3:12" x14ac:dyDescent="0.25">
      <c r="C269" s="56" t="str">
        <f t="shared" si="37"/>
        <v/>
      </c>
      <c r="D269" s="24" t="str">
        <f t="shared" si="38"/>
        <v/>
      </c>
      <c r="E269" s="24" t="str">
        <f t="shared" si="39"/>
        <v/>
      </c>
      <c r="F269" s="24" t="str">
        <f t="shared" si="34"/>
        <v/>
      </c>
      <c r="G269" s="24">
        <f t="shared" si="35"/>
        <v>0</v>
      </c>
      <c r="H269" s="57" t="str">
        <f t="shared" si="36"/>
        <v/>
      </c>
      <c r="I269" s="57"/>
      <c r="J269" s="57"/>
      <c r="K269" s="57"/>
      <c r="L269" s="24" t="str">
        <f t="shared" si="41"/>
        <v/>
      </c>
    </row>
    <row r="270" spans="3:12" x14ac:dyDescent="0.25">
      <c r="C270" s="56" t="str">
        <f t="shared" si="37"/>
        <v/>
      </c>
      <c r="D270" s="24" t="str">
        <f t="shared" si="38"/>
        <v/>
      </c>
      <c r="E270" s="24" t="str">
        <f t="shared" si="39"/>
        <v/>
      </c>
      <c r="F270" s="24" t="str">
        <f t="shared" si="34"/>
        <v/>
      </c>
      <c r="G270" s="24">
        <f t="shared" si="35"/>
        <v>0</v>
      </c>
      <c r="H270" s="57" t="str">
        <f t="shared" si="36"/>
        <v/>
      </c>
      <c r="I270" s="57"/>
      <c r="J270" s="57"/>
      <c r="K270" s="57"/>
      <c r="L270" s="24" t="str">
        <f t="shared" si="41"/>
        <v/>
      </c>
    </row>
    <row r="271" spans="3:12" x14ac:dyDescent="0.25">
      <c r="C271" s="56" t="str">
        <f t="shared" si="37"/>
        <v/>
      </c>
      <c r="D271" s="24" t="str">
        <f t="shared" si="38"/>
        <v/>
      </c>
      <c r="E271" s="24" t="str">
        <f t="shared" si="39"/>
        <v/>
      </c>
      <c r="F271" s="24" t="str">
        <f t="shared" si="34"/>
        <v/>
      </c>
      <c r="G271" s="24">
        <f t="shared" si="35"/>
        <v>0</v>
      </c>
      <c r="H271" s="57" t="str">
        <f t="shared" si="36"/>
        <v/>
      </c>
      <c r="I271" s="57"/>
      <c r="J271" s="57"/>
      <c r="K271" s="57"/>
      <c r="L271" s="24" t="str">
        <f t="shared" si="41"/>
        <v/>
      </c>
    </row>
    <row r="272" spans="3:12" x14ac:dyDescent="0.25">
      <c r="C272" s="56" t="str">
        <f t="shared" si="37"/>
        <v/>
      </c>
      <c r="D272" s="24" t="str">
        <f t="shared" si="38"/>
        <v/>
      </c>
      <c r="E272" s="24" t="str">
        <f t="shared" si="39"/>
        <v/>
      </c>
      <c r="F272" s="24" t="str">
        <f t="shared" si="34"/>
        <v/>
      </c>
      <c r="G272" s="24">
        <f t="shared" si="35"/>
        <v>0</v>
      </c>
      <c r="H272" s="57" t="str">
        <f t="shared" si="36"/>
        <v/>
      </c>
      <c r="I272" s="57"/>
      <c r="J272" s="57"/>
      <c r="K272" s="57"/>
      <c r="L272" s="24" t="str">
        <f t="shared" si="41"/>
        <v/>
      </c>
    </row>
    <row r="273" spans="3:12" x14ac:dyDescent="0.25">
      <c r="C273" s="56" t="str">
        <f t="shared" si="37"/>
        <v/>
      </c>
      <c r="D273" s="24" t="str">
        <f t="shared" si="38"/>
        <v/>
      </c>
      <c r="E273" s="24" t="str">
        <f t="shared" si="39"/>
        <v/>
      </c>
      <c r="F273" s="24" t="str">
        <f t="shared" si="34"/>
        <v/>
      </c>
      <c r="G273" s="24">
        <f t="shared" si="35"/>
        <v>0</v>
      </c>
      <c r="H273" s="57" t="str">
        <f t="shared" si="36"/>
        <v/>
      </c>
      <c r="I273" s="57"/>
      <c r="J273" s="57"/>
      <c r="K273" s="57"/>
      <c r="L273" s="24" t="str">
        <f t="shared" si="41"/>
        <v/>
      </c>
    </row>
    <row r="274" spans="3:12" x14ac:dyDescent="0.25">
      <c r="C274" s="56" t="str">
        <f t="shared" si="37"/>
        <v/>
      </c>
      <c r="D274" s="24" t="str">
        <f t="shared" si="38"/>
        <v/>
      </c>
      <c r="E274" s="24" t="str">
        <f t="shared" si="39"/>
        <v/>
      </c>
      <c r="F274" s="24" t="str">
        <f t="shared" si="34"/>
        <v/>
      </c>
      <c r="G274" s="24">
        <f t="shared" si="35"/>
        <v>0</v>
      </c>
      <c r="H274" s="57" t="str">
        <f t="shared" si="36"/>
        <v/>
      </c>
      <c r="I274" s="57"/>
      <c r="J274" s="57"/>
      <c r="K274" s="57"/>
      <c r="L274" s="24" t="str">
        <f t="shared" si="41"/>
        <v/>
      </c>
    </row>
    <row r="275" spans="3:12" x14ac:dyDescent="0.25">
      <c r="C275" s="56" t="str">
        <f t="shared" si="37"/>
        <v/>
      </c>
      <c r="D275" s="24" t="str">
        <f t="shared" si="38"/>
        <v/>
      </c>
      <c r="E275" s="24" t="str">
        <f t="shared" si="39"/>
        <v/>
      </c>
      <c r="F275" s="24" t="str">
        <f t="shared" si="34"/>
        <v/>
      </c>
      <c r="G275" s="24">
        <f t="shared" si="35"/>
        <v>0</v>
      </c>
      <c r="H275" s="57" t="str">
        <f t="shared" si="36"/>
        <v/>
      </c>
      <c r="I275" s="57"/>
      <c r="J275" s="57"/>
      <c r="K275" s="57"/>
      <c r="L275" s="24" t="str">
        <f t="shared" si="41"/>
        <v/>
      </c>
    </row>
    <row r="276" spans="3:12" x14ac:dyDescent="0.25">
      <c r="C276" s="56" t="str">
        <f t="shared" si="37"/>
        <v/>
      </c>
      <c r="D276" s="24" t="str">
        <f t="shared" si="38"/>
        <v/>
      </c>
      <c r="E276" s="24" t="str">
        <f t="shared" si="39"/>
        <v/>
      </c>
      <c r="F276" s="24" t="str">
        <f t="shared" si="34"/>
        <v/>
      </c>
      <c r="G276" s="24">
        <f t="shared" si="35"/>
        <v>0</v>
      </c>
      <c r="H276" s="57" t="str">
        <f t="shared" si="36"/>
        <v/>
      </c>
      <c r="I276" s="57"/>
      <c r="J276" s="57"/>
      <c r="K276" s="57"/>
      <c r="L276" s="24" t="str">
        <f t="shared" si="41"/>
        <v/>
      </c>
    </row>
    <row r="277" spans="3:12" x14ac:dyDescent="0.25">
      <c r="C277" s="56" t="str">
        <f t="shared" si="37"/>
        <v/>
      </c>
      <c r="D277" s="24" t="str">
        <f t="shared" si="38"/>
        <v/>
      </c>
      <c r="E277" s="24" t="str">
        <f t="shared" si="39"/>
        <v/>
      </c>
      <c r="F277" s="24" t="str">
        <f t="shared" si="34"/>
        <v/>
      </c>
      <c r="G277" s="24">
        <f t="shared" si="35"/>
        <v>0</v>
      </c>
      <c r="H277" s="57" t="str">
        <f t="shared" si="36"/>
        <v/>
      </c>
      <c r="I277" s="57"/>
      <c r="J277" s="57"/>
      <c r="K277" s="57"/>
      <c r="L277" s="24" t="str">
        <f t="shared" si="41"/>
        <v/>
      </c>
    </row>
    <row r="278" spans="3:12" x14ac:dyDescent="0.25">
      <c r="C278" s="56" t="str">
        <f t="shared" si="37"/>
        <v/>
      </c>
      <c r="D278" s="24" t="str">
        <f t="shared" si="38"/>
        <v/>
      </c>
      <c r="E278" s="24" t="str">
        <f t="shared" si="39"/>
        <v/>
      </c>
      <c r="F278" s="24" t="str">
        <f t="shared" si="34"/>
        <v/>
      </c>
      <c r="G278" s="24">
        <f t="shared" si="35"/>
        <v>0</v>
      </c>
      <c r="H278" s="57" t="str">
        <f t="shared" si="36"/>
        <v/>
      </c>
      <c r="I278" s="57"/>
      <c r="J278" s="57"/>
      <c r="K278" s="57"/>
      <c r="L278" s="24" t="str">
        <f t="shared" si="41"/>
        <v/>
      </c>
    </row>
    <row r="279" spans="3:12" x14ac:dyDescent="0.25">
      <c r="C279" s="56" t="str">
        <f t="shared" si="37"/>
        <v/>
      </c>
      <c r="D279" s="24" t="str">
        <f t="shared" si="38"/>
        <v/>
      </c>
      <c r="E279" s="24" t="str">
        <f t="shared" si="39"/>
        <v/>
      </c>
      <c r="F279" s="24" t="str">
        <f t="shared" si="34"/>
        <v/>
      </c>
      <c r="G279" s="24">
        <f t="shared" si="35"/>
        <v>0</v>
      </c>
      <c r="H279" s="57" t="str">
        <f t="shared" si="36"/>
        <v/>
      </c>
      <c r="I279" s="57"/>
      <c r="J279" s="57"/>
      <c r="K279" s="57"/>
      <c r="L279" s="24" t="str">
        <f t="shared" si="41"/>
        <v/>
      </c>
    </row>
    <row r="280" spans="3:12" x14ac:dyDescent="0.25">
      <c r="C280" s="56" t="str">
        <f t="shared" si="37"/>
        <v/>
      </c>
      <c r="D280" s="24" t="str">
        <f t="shared" si="38"/>
        <v/>
      </c>
      <c r="E280" s="24" t="str">
        <f t="shared" si="39"/>
        <v/>
      </c>
      <c r="F280" s="24" t="str">
        <f t="shared" ref="F280:F327" si="42">IFERROR(MAX(F279,S$1+C280),"")</f>
        <v/>
      </c>
      <c r="G280" s="24">
        <f t="shared" ref="G280:G327" si="43">IFERROR((S$1+C280)-F280,0)</f>
        <v>0</v>
      </c>
      <c r="H280" s="57" t="str">
        <f t="shared" ref="H280:H327" si="44">IFERROR((S$1+C280)/F280-1,"")</f>
        <v/>
      </c>
      <c r="I280" s="57"/>
      <c r="J280" s="57"/>
      <c r="K280" s="57"/>
      <c r="L280" s="24" t="str">
        <f t="shared" si="41"/>
        <v/>
      </c>
    </row>
    <row r="281" spans="3:12" x14ac:dyDescent="0.25">
      <c r="C281" s="56" t="str">
        <f t="shared" ref="C281:C321" si="45">IF(OR(A281="Grand Total",A281=""),"",C280+B281)</f>
        <v/>
      </c>
      <c r="D281" s="24" t="str">
        <f t="shared" ref="D281:D321" si="46">IF(OR(B281="",A281="Grand Total"),"",IF(B281&lt;0,"L","W"))</f>
        <v/>
      </c>
      <c r="E281" s="24" t="str">
        <f t="shared" ref="E281:E321" si="47">IF(D281="","",IF(D281=D280,E280+1,1))</f>
        <v/>
      </c>
      <c r="F281" s="24" t="str">
        <f t="shared" si="42"/>
        <v/>
      </c>
      <c r="G281" s="24">
        <f t="shared" si="43"/>
        <v>0</v>
      </c>
      <c r="H281" s="57" t="str">
        <f t="shared" si="44"/>
        <v/>
      </c>
      <c r="I281" s="57"/>
      <c r="J281" s="57"/>
      <c r="K281" s="57"/>
      <c r="L281" s="24" t="str">
        <f t="shared" si="41"/>
        <v/>
      </c>
    </row>
    <row r="282" spans="3:12" x14ac:dyDescent="0.25">
      <c r="C282" s="56" t="str">
        <f t="shared" si="45"/>
        <v/>
      </c>
      <c r="D282" s="24" t="str">
        <f t="shared" si="46"/>
        <v/>
      </c>
      <c r="E282" s="24" t="str">
        <f t="shared" si="47"/>
        <v/>
      </c>
      <c r="F282" s="24" t="str">
        <f t="shared" si="42"/>
        <v/>
      </c>
      <c r="G282" s="24">
        <f t="shared" si="43"/>
        <v>0</v>
      </c>
      <c r="H282" s="57" t="str">
        <f t="shared" si="44"/>
        <v/>
      </c>
      <c r="I282" s="57"/>
      <c r="J282" s="57"/>
      <c r="K282" s="57"/>
      <c r="L282" s="24" t="str">
        <f t="shared" si="41"/>
        <v/>
      </c>
    </row>
    <row r="283" spans="3:12" x14ac:dyDescent="0.25">
      <c r="C283" s="56" t="str">
        <f t="shared" si="45"/>
        <v/>
      </c>
      <c r="D283" s="24" t="str">
        <f t="shared" si="46"/>
        <v/>
      </c>
      <c r="E283" s="24" t="str">
        <f t="shared" si="47"/>
        <v/>
      </c>
      <c r="F283" s="24" t="str">
        <f t="shared" si="42"/>
        <v/>
      </c>
      <c r="G283" s="24">
        <f t="shared" si="43"/>
        <v>0</v>
      </c>
      <c r="H283" s="57" t="str">
        <f t="shared" si="44"/>
        <v/>
      </c>
      <c r="I283" s="57"/>
      <c r="J283" s="57"/>
      <c r="K283" s="57"/>
      <c r="L283" s="24" t="str">
        <f t="shared" si="41"/>
        <v/>
      </c>
    </row>
    <row r="284" spans="3:12" x14ac:dyDescent="0.25">
      <c r="C284" s="56" t="str">
        <f t="shared" si="45"/>
        <v/>
      </c>
      <c r="D284" s="24" t="str">
        <f t="shared" si="46"/>
        <v/>
      </c>
      <c r="E284" s="24" t="str">
        <f t="shared" si="47"/>
        <v/>
      </c>
      <c r="F284" s="24" t="str">
        <f t="shared" si="42"/>
        <v/>
      </c>
      <c r="G284" s="24">
        <f t="shared" si="43"/>
        <v>0</v>
      </c>
      <c r="H284" s="57" t="str">
        <f t="shared" si="44"/>
        <v/>
      </c>
      <c r="I284" s="57"/>
      <c r="J284" s="57"/>
      <c r="K284" s="57"/>
      <c r="L284" s="24" t="str">
        <f t="shared" ref="L284:L300" si="48">IF(E284="","",IF(E284=E283,L283+1,1))</f>
        <v/>
      </c>
    </row>
    <row r="285" spans="3:12" x14ac:dyDescent="0.25">
      <c r="C285" s="56" t="str">
        <f t="shared" si="45"/>
        <v/>
      </c>
      <c r="D285" s="24" t="str">
        <f t="shared" si="46"/>
        <v/>
      </c>
      <c r="E285" s="24" t="str">
        <f t="shared" si="47"/>
        <v/>
      </c>
      <c r="F285" s="24" t="str">
        <f t="shared" si="42"/>
        <v/>
      </c>
      <c r="G285" s="24">
        <f t="shared" si="43"/>
        <v>0</v>
      </c>
      <c r="H285" s="57" t="str">
        <f t="shared" si="44"/>
        <v/>
      </c>
      <c r="I285" s="57"/>
      <c r="J285" s="57"/>
      <c r="K285" s="57"/>
      <c r="L285" s="24" t="str">
        <f t="shared" si="48"/>
        <v/>
      </c>
    </row>
    <row r="286" spans="3:12" x14ac:dyDescent="0.25">
      <c r="C286" s="56" t="str">
        <f t="shared" si="45"/>
        <v/>
      </c>
      <c r="D286" s="24" t="str">
        <f t="shared" si="46"/>
        <v/>
      </c>
      <c r="E286" s="24" t="str">
        <f t="shared" si="47"/>
        <v/>
      </c>
      <c r="F286" s="24" t="str">
        <f t="shared" si="42"/>
        <v/>
      </c>
      <c r="G286" s="24">
        <f t="shared" si="43"/>
        <v>0</v>
      </c>
      <c r="H286" s="57" t="str">
        <f t="shared" si="44"/>
        <v/>
      </c>
      <c r="I286" s="57"/>
      <c r="J286" s="57"/>
      <c r="K286" s="57"/>
      <c r="L286" s="24" t="str">
        <f t="shared" si="48"/>
        <v/>
      </c>
    </row>
    <row r="287" spans="3:12" x14ac:dyDescent="0.25">
      <c r="C287" s="56" t="str">
        <f t="shared" si="45"/>
        <v/>
      </c>
      <c r="D287" s="24" t="str">
        <f t="shared" si="46"/>
        <v/>
      </c>
      <c r="E287" s="24" t="str">
        <f t="shared" si="47"/>
        <v/>
      </c>
      <c r="F287" s="24" t="str">
        <f t="shared" si="42"/>
        <v/>
      </c>
      <c r="G287" s="24">
        <f t="shared" si="43"/>
        <v>0</v>
      </c>
      <c r="H287" s="57" t="str">
        <f t="shared" si="44"/>
        <v/>
      </c>
      <c r="I287" s="57"/>
      <c r="J287" s="57"/>
      <c r="K287" s="57"/>
      <c r="L287" s="24" t="str">
        <f t="shared" si="48"/>
        <v/>
      </c>
    </row>
    <row r="288" spans="3:12" x14ac:dyDescent="0.25">
      <c r="C288" s="56" t="str">
        <f t="shared" si="45"/>
        <v/>
      </c>
      <c r="D288" s="24" t="str">
        <f t="shared" si="46"/>
        <v/>
      </c>
      <c r="E288" s="24" t="str">
        <f t="shared" si="47"/>
        <v/>
      </c>
      <c r="F288" s="24" t="str">
        <f t="shared" si="42"/>
        <v/>
      </c>
      <c r="G288" s="24">
        <f t="shared" si="43"/>
        <v>0</v>
      </c>
      <c r="H288" s="57" t="str">
        <f t="shared" si="44"/>
        <v/>
      </c>
      <c r="I288" s="57"/>
      <c r="J288" s="57"/>
      <c r="K288" s="57"/>
      <c r="L288" s="24" t="str">
        <f t="shared" si="48"/>
        <v/>
      </c>
    </row>
    <row r="289" spans="3:12" x14ac:dyDescent="0.25">
      <c r="C289" s="56" t="str">
        <f t="shared" si="45"/>
        <v/>
      </c>
      <c r="D289" s="24" t="str">
        <f t="shared" si="46"/>
        <v/>
      </c>
      <c r="E289" s="24" t="str">
        <f t="shared" si="47"/>
        <v/>
      </c>
      <c r="F289" s="24" t="str">
        <f t="shared" si="42"/>
        <v/>
      </c>
      <c r="G289" s="24">
        <f t="shared" si="43"/>
        <v>0</v>
      </c>
      <c r="H289" s="57" t="str">
        <f t="shared" si="44"/>
        <v/>
      </c>
      <c r="I289" s="57"/>
      <c r="J289" s="57"/>
      <c r="K289" s="57"/>
      <c r="L289" s="24" t="str">
        <f t="shared" si="48"/>
        <v/>
      </c>
    </row>
    <row r="290" spans="3:12" x14ac:dyDescent="0.25">
      <c r="C290" s="56" t="str">
        <f t="shared" si="45"/>
        <v/>
      </c>
      <c r="D290" s="24" t="str">
        <f t="shared" si="46"/>
        <v/>
      </c>
      <c r="E290" s="24" t="str">
        <f t="shared" si="47"/>
        <v/>
      </c>
      <c r="F290" s="24" t="str">
        <f t="shared" si="42"/>
        <v/>
      </c>
      <c r="G290" s="24">
        <f t="shared" si="43"/>
        <v>0</v>
      </c>
      <c r="H290" s="57" t="str">
        <f t="shared" si="44"/>
        <v/>
      </c>
      <c r="I290" s="57"/>
      <c r="J290" s="57"/>
      <c r="K290" s="57"/>
      <c r="L290" s="24" t="str">
        <f t="shared" si="48"/>
        <v/>
      </c>
    </row>
    <row r="291" spans="3:12" x14ac:dyDescent="0.25">
      <c r="C291" s="56" t="str">
        <f t="shared" si="45"/>
        <v/>
      </c>
      <c r="D291" s="24" t="str">
        <f t="shared" si="46"/>
        <v/>
      </c>
      <c r="E291" s="24" t="str">
        <f t="shared" si="47"/>
        <v/>
      </c>
      <c r="F291" s="24" t="str">
        <f t="shared" si="42"/>
        <v/>
      </c>
      <c r="G291" s="24">
        <f t="shared" si="43"/>
        <v>0</v>
      </c>
      <c r="H291" s="57" t="str">
        <f t="shared" si="44"/>
        <v/>
      </c>
      <c r="I291" s="57"/>
      <c r="J291" s="57"/>
      <c r="K291" s="57"/>
      <c r="L291" s="24" t="str">
        <f t="shared" si="48"/>
        <v/>
      </c>
    </row>
    <row r="292" spans="3:12" x14ac:dyDescent="0.25">
      <c r="C292" s="56" t="str">
        <f t="shared" si="45"/>
        <v/>
      </c>
      <c r="D292" s="24" t="str">
        <f t="shared" si="46"/>
        <v/>
      </c>
      <c r="E292" s="24" t="str">
        <f t="shared" si="47"/>
        <v/>
      </c>
      <c r="F292" s="24" t="str">
        <f t="shared" si="42"/>
        <v/>
      </c>
      <c r="G292" s="24">
        <f t="shared" si="43"/>
        <v>0</v>
      </c>
      <c r="H292" s="57" t="str">
        <f t="shared" si="44"/>
        <v/>
      </c>
      <c r="I292" s="57"/>
      <c r="J292" s="57"/>
      <c r="K292" s="57"/>
      <c r="L292" s="24" t="str">
        <f t="shared" si="48"/>
        <v/>
      </c>
    </row>
    <row r="293" spans="3:12" x14ac:dyDescent="0.25">
      <c r="C293" s="56" t="str">
        <f t="shared" si="45"/>
        <v/>
      </c>
      <c r="D293" s="24" t="str">
        <f t="shared" si="46"/>
        <v/>
      </c>
      <c r="E293" s="24" t="str">
        <f t="shared" si="47"/>
        <v/>
      </c>
      <c r="F293" s="24" t="str">
        <f t="shared" si="42"/>
        <v/>
      </c>
      <c r="G293" s="24">
        <f t="shared" si="43"/>
        <v>0</v>
      </c>
      <c r="H293" s="57" t="str">
        <f t="shared" si="44"/>
        <v/>
      </c>
      <c r="I293" s="57"/>
      <c r="J293" s="57"/>
      <c r="K293" s="57"/>
      <c r="L293" s="24" t="str">
        <f t="shared" si="48"/>
        <v/>
      </c>
    </row>
    <row r="294" spans="3:12" x14ac:dyDescent="0.25">
      <c r="C294" s="56" t="str">
        <f t="shared" si="45"/>
        <v/>
      </c>
      <c r="D294" s="24" t="str">
        <f t="shared" si="46"/>
        <v/>
      </c>
      <c r="E294" s="24" t="str">
        <f t="shared" si="47"/>
        <v/>
      </c>
      <c r="F294" s="24" t="str">
        <f t="shared" si="42"/>
        <v/>
      </c>
      <c r="G294" s="24">
        <f t="shared" si="43"/>
        <v>0</v>
      </c>
      <c r="H294" s="57" t="str">
        <f t="shared" si="44"/>
        <v/>
      </c>
      <c r="I294" s="57"/>
      <c r="J294" s="57"/>
      <c r="K294" s="57"/>
      <c r="L294" s="24" t="str">
        <f t="shared" si="48"/>
        <v/>
      </c>
    </row>
    <row r="295" spans="3:12" x14ac:dyDescent="0.25">
      <c r="C295" s="56" t="str">
        <f t="shared" si="45"/>
        <v/>
      </c>
      <c r="D295" s="24" t="str">
        <f t="shared" si="46"/>
        <v/>
      </c>
      <c r="E295" s="24" t="str">
        <f t="shared" si="47"/>
        <v/>
      </c>
      <c r="F295" s="24" t="str">
        <f t="shared" si="42"/>
        <v/>
      </c>
      <c r="G295" s="24">
        <f t="shared" si="43"/>
        <v>0</v>
      </c>
      <c r="H295" s="57" t="str">
        <f t="shared" si="44"/>
        <v/>
      </c>
      <c r="I295" s="57"/>
      <c r="J295" s="57"/>
      <c r="K295" s="57"/>
      <c r="L295" s="24" t="str">
        <f t="shared" si="48"/>
        <v/>
      </c>
    </row>
    <row r="296" spans="3:12" x14ac:dyDescent="0.25">
      <c r="C296" s="56" t="str">
        <f t="shared" si="45"/>
        <v/>
      </c>
      <c r="D296" s="24" t="str">
        <f t="shared" si="46"/>
        <v/>
      </c>
      <c r="E296" s="24" t="str">
        <f t="shared" si="47"/>
        <v/>
      </c>
      <c r="F296" s="24" t="str">
        <f t="shared" si="42"/>
        <v/>
      </c>
      <c r="G296" s="24">
        <f t="shared" si="43"/>
        <v>0</v>
      </c>
      <c r="H296" s="57" t="str">
        <f t="shared" si="44"/>
        <v/>
      </c>
      <c r="I296" s="57"/>
      <c r="J296" s="57"/>
      <c r="K296" s="57"/>
      <c r="L296" s="24" t="str">
        <f t="shared" si="48"/>
        <v/>
      </c>
    </row>
    <row r="297" spans="3:12" x14ac:dyDescent="0.25">
      <c r="C297" s="56" t="str">
        <f t="shared" si="45"/>
        <v/>
      </c>
      <c r="D297" s="24" t="str">
        <f t="shared" si="46"/>
        <v/>
      </c>
      <c r="E297" s="24" t="str">
        <f t="shared" si="47"/>
        <v/>
      </c>
      <c r="F297" s="24" t="str">
        <f t="shared" si="42"/>
        <v/>
      </c>
      <c r="G297" s="24">
        <f t="shared" si="43"/>
        <v>0</v>
      </c>
      <c r="H297" s="57" t="str">
        <f t="shared" si="44"/>
        <v/>
      </c>
      <c r="I297" s="57"/>
      <c r="J297" s="57"/>
      <c r="K297" s="57"/>
      <c r="L297" s="24" t="str">
        <f t="shared" si="48"/>
        <v/>
      </c>
    </row>
    <row r="298" spans="3:12" x14ac:dyDescent="0.25">
      <c r="C298" s="56" t="str">
        <f t="shared" si="45"/>
        <v/>
      </c>
      <c r="D298" s="24" t="str">
        <f t="shared" si="46"/>
        <v/>
      </c>
      <c r="E298" s="24" t="str">
        <f t="shared" si="47"/>
        <v/>
      </c>
      <c r="F298" s="24" t="str">
        <f t="shared" si="42"/>
        <v/>
      </c>
      <c r="G298" s="24">
        <f t="shared" si="43"/>
        <v>0</v>
      </c>
      <c r="H298" s="57" t="str">
        <f t="shared" si="44"/>
        <v/>
      </c>
      <c r="I298" s="57"/>
      <c r="J298" s="57"/>
      <c r="K298" s="57"/>
      <c r="L298" s="24" t="str">
        <f t="shared" si="48"/>
        <v/>
      </c>
    </row>
    <row r="299" spans="3:12" x14ac:dyDescent="0.25">
      <c r="C299" s="56" t="str">
        <f t="shared" si="45"/>
        <v/>
      </c>
      <c r="D299" s="24" t="str">
        <f t="shared" si="46"/>
        <v/>
      </c>
      <c r="E299" s="24" t="str">
        <f t="shared" si="47"/>
        <v/>
      </c>
      <c r="F299" s="24" t="str">
        <f t="shared" si="42"/>
        <v/>
      </c>
      <c r="G299" s="24">
        <f t="shared" si="43"/>
        <v>0</v>
      </c>
      <c r="H299" s="57" t="str">
        <f t="shared" si="44"/>
        <v/>
      </c>
      <c r="I299" s="57"/>
      <c r="J299" s="57"/>
      <c r="K299" s="57"/>
      <c r="L299" s="24" t="str">
        <f t="shared" si="48"/>
        <v/>
      </c>
    </row>
    <row r="300" spans="3:12" x14ac:dyDescent="0.25">
      <c r="C300" s="56" t="str">
        <f t="shared" si="45"/>
        <v/>
      </c>
      <c r="D300" s="24" t="str">
        <f t="shared" si="46"/>
        <v/>
      </c>
      <c r="E300" s="24" t="str">
        <f t="shared" si="47"/>
        <v/>
      </c>
      <c r="F300" s="24" t="str">
        <f t="shared" si="42"/>
        <v/>
      </c>
      <c r="G300" s="24">
        <f t="shared" si="43"/>
        <v>0</v>
      </c>
      <c r="H300" s="57" t="str">
        <f t="shared" si="44"/>
        <v/>
      </c>
      <c r="I300" s="57"/>
      <c r="J300" s="57"/>
      <c r="K300" s="57"/>
      <c r="L300" s="24" t="str">
        <f t="shared" si="48"/>
        <v/>
      </c>
    </row>
    <row r="301" spans="3:12" x14ac:dyDescent="0.25">
      <c r="C301" s="56" t="str">
        <f t="shared" si="45"/>
        <v/>
      </c>
      <c r="D301" s="24" t="str">
        <f t="shared" si="46"/>
        <v/>
      </c>
      <c r="E301" s="24" t="str">
        <f t="shared" si="47"/>
        <v/>
      </c>
      <c r="F301" s="24" t="str">
        <f t="shared" si="42"/>
        <v/>
      </c>
      <c r="G301" s="24">
        <f t="shared" si="43"/>
        <v>0</v>
      </c>
      <c r="H301" s="57" t="str">
        <f t="shared" si="44"/>
        <v/>
      </c>
      <c r="I301" s="57"/>
      <c r="J301" s="57"/>
      <c r="K301" s="57"/>
    </row>
    <row r="302" spans="3:12" x14ac:dyDescent="0.25">
      <c r="C302" s="56" t="str">
        <f t="shared" si="45"/>
        <v/>
      </c>
      <c r="D302" s="24" t="str">
        <f t="shared" si="46"/>
        <v/>
      </c>
      <c r="E302" s="24" t="str">
        <f t="shared" si="47"/>
        <v/>
      </c>
      <c r="F302" s="24" t="str">
        <f t="shared" si="42"/>
        <v/>
      </c>
      <c r="G302" s="24">
        <f t="shared" si="43"/>
        <v>0</v>
      </c>
      <c r="H302" s="57" t="str">
        <f t="shared" si="44"/>
        <v/>
      </c>
      <c r="I302" s="57"/>
      <c r="J302" s="57"/>
      <c r="K302" s="57"/>
    </row>
    <row r="303" spans="3:12" x14ac:dyDescent="0.25">
      <c r="C303" s="56" t="str">
        <f t="shared" si="45"/>
        <v/>
      </c>
      <c r="D303" s="24" t="str">
        <f t="shared" si="46"/>
        <v/>
      </c>
      <c r="E303" s="24" t="str">
        <f t="shared" si="47"/>
        <v/>
      </c>
      <c r="F303" s="24" t="str">
        <f t="shared" si="42"/>
        <v/>
      </c>
      <c r="G303" s="24">
        <f t="shared" si="43"/>
        <v>0</v>
      </c>
      <c r="H303" s="57" t="str">
        <f t="shared" si="44"/>
        <v/>
      </c>
      <c r="I303" s="57"/>
      <c r="J303" s="57"/>
      <c r="K303" s="57"/>
    </row>
    <row r="304" spans="3:12" x14ac:dyDescent="0.25">
      <c r="C304" s="56" t="str">
        <f t="shared" si="45"/>
        <v/>
      </c>
      <c r="D304" s="24" t="str">
        <f t="shared" si="46"/>
        <v/>
      </c>
      <c r="E304" s="24" t="str">
        <f t="shared" si="47"/>
        <v/>
      </c>
      <c r="F304" s="24" t="str">
        <f t="shared" si="42"/>
        <v/>
      </c>
      <c r="G304" s="24">
        <f t="shared" si="43"/>
        <v>0</v>
      </c>
      <c r="H304" s="57" t="str">
        <f t="shared" si="44"/>
        <v/>
      </c>
      <c r="I304" s="57"/>
      <c r="J304" s="57"/>
      <c r="K304" s="57"/>
    </row>
    <row r="305" spans="3:11" x14ac:dyDescent="0.25">
      <c r="C305" s="56" t="str">
        <f t="shared" si="45"/>
        <v/>
      </c>
      <c r="D305" s="24" t="str">
        <f t="shared" si="46"/>
        <v/>
      </c>
      <c r="E305" s="24" t="str">
        <f t="shared" si="47"/>
        <v/>
      </c>
      <c r="F305" s="24" t="str">
        <f t="shared" si="42"/>
        <v/>
      </c>
      <c r="G305" s="24">
        <f t="shared" si="43"/>
        <v>0</v>
      </c>
      <c r="H305" s="57" t="str">
        <f t="shared" si="44"/>
        <v/>
      </c>
      <c r="I305" s="57"/>
      <c r="J305" s="57"/>
      <c r="K305" s="57"/>
    </row>
    <row r="306" spans="3:11" x14ac:dyDescent="0.25">
      <c r="C306" s="56" t="str">
        <f t="shared" si="45"/>
        <v/>
      </c>
      <c r="D306" s="24" t="str">
        <f t="shared" si="46"/>
        <v/>
      </c>
      <c r="E306" s="24" t="str">
        <f t="shared" si="47"/>
        <v/>
      </c>
      <c r="F306" s="24" t="str">
        <f t="shared" si="42"/>
        <v/>
      </c>
      <c r="G306" s="24">
        <f t="shared" si="43"/>
        <v>0</v>
      </c>
      <c r="H306" s="57" t="str">
        <f t="shared" si="44"/>
        <v/>
      </c>
      <c r="I306" s="57"/>
      <c r="J306" s="57"/>
      <c r="K306" s="57"/>
    </row>
    <row r="307" spans="3:11" x14ac:dyDescent="0.25">
      <c r="C307" s="56" t="str">
        <f t="shared" si="45"/>
        <v/>
      </c>
      <c r="D307" s="24" t="str">
        <f t="shared" si="46"/>
        <v/>
      </c>
      <c r="E307" s="24" t="str">
        <f t="shared" si="47"/>
        <v/>
      </c>
      <c r="F307" s="24" t="str">
        <f t="shared" si="42"/>
        <v/>
      </c>
      <c r="G307" s="24">
        <f t="shared" si="43"/>
        <v>0</v>
      </c>
      <c r="H307" s="57" t="str">
        <f t="shared" si="44"/>
        <v/>
      </c>
      <c r="I307" s="57"/>
      <c r="J307" s="57"/>
      <c r="K307" s="57"/>
    </row>
    <row r="308" spans="3:11" x14ac:dyDescent="0.25">
      <c r="C308" s="56" t="str">
        <f t="shared" si="45"/>
        <v/>
      </c>
      <c r="D308" s="24" t="str">
        <f t="shared" si="46"/>
        <v/>
      </c>
      <c r="E308" s="24" t="str">
        <f t="shared" si="47"/>
        <v/>
      </c>
      <c r="F308" s="24" t="str">
        <f t="shared" si="42"/>
        <v/>
      </c>
      <c r="G308" s="24">
        <f t="shared" si="43"/>
        <v>0</v>
      </c>
      <c r="H308" s="57" t="str">
        <f t="shared" si="44"/>
        <v/>
      </c>
      <c r="I308" s="57"/>
      <c r="J308" s="57"/>
      <c r="K308" s="57"/>
    </row>
    <row r="309" spans="3:11" x14ac:dyDescent="0.25">
      <c r="C309" s="56" t="str">
        <f t="shared" si="45"/>
        <v/>
      </c>
      <c r="D309" s="24" t="str">
        <f t="shared" si="46"/>
        <v/>
      </c>
      <c r="E309" s="24" t="str">
        <f t="shared" si="47"/>
        <v/>
      </c>
      <c r="F309" s="24" t="str">
        <f t="shared" si="42"/>
        <v/>
      </c>
      <c r="G309" s="24">
        <f t="shared" si="43"/>
        <v>0</v>
      </c>
      <c r="H309" s="57" t="str">
        <f t="shared" si="44"/>
        <v/>
      </c>
      <c r="I309" s="57"/>
      <c r="J309" s="57"/>
      <c r="K309" s="57"/>
    </row>
    <row r="310" spans="3:11" x14ac:dyDescent="0.25">
      <c r="C310" s="56" t="str">
        <f t="shared" si="45"/>
        <v/>
      </c>
      <c r="D310" s="24" t="str">
        <f t="shared" si="46"/>
        <v/>
      </c>
      <c r="E310" s="24" t="str">
        <f t="shared" si="47"/>
        <v/>
      </c>
      <c r="F310" s="24" t="str">
        <f t="shared" si="42"/>
        <v/>
      </c>
      <c r="G310" s="24">
        <f t="shared" si="43"/>
        <v>0</v>
      </c>
      <c r="H310" s="57" t="str">
        <f t="shared" si="44"/>
        <v/>
      </c>
      <c r="I310" s="57"/>
      <c r="J310" s="57"/>
      <c r="K310" s="57"/>
    </row>
    <row r="311" spans="3:11" x14ac:dyDescent="0.25">
      <c r="C311" s="56" t="str">
        <f t="shared" si="45"/>
        <v/>
      </c>
      <c r="D311" s="24" t="str">
        <f t="shared" si="46"/>
        <v/>
      </c>
      <c r="E311" s="24" t="str">
        <f t="shared" si="47"/>
        <v/>
      </c>
      <c r="F311" s="24" t="str">
        <f t="shared" si="42"/>
        <v/>
      </c>
      <c r="G311" s="24">
        <f t="shared" si="43"/>
        <v>0</v>
      </c>
      <c r="H311" s="57" t="str">
        <f t="shared" si="44"/>
        <v/>
      </c>
      <c r="I311" s="57"/>
      <c r="J311" s="57"/>
      <c r="K311" s="57"/>
    </row>
    <row r="312" spans="3:11" x14ac:dyDescent="0.25">
      <c r="C312" s="56" t="str">
        <f t="shared" si="45"/>
        <v/>
      </c>
      <c r="D312" s="24" t="str">
        <f t="shared" si="46"/>
        <v/>
      </c>
      <c r="E312" s="24" t="str">
        <f t="shared" si="47"/>
        <v/>
      </c>
      <c r="F312" s="24" t="str">
        <f t="shared" si="42"/>
        <v/>
      </c>
      <c r="G312" s="24">
        <f t="shared" si="43"/>
        <v>0</v>
      </c>
      <c r="H312" s="57" t="str">
        <f t="shared" si="44"/>
        <v/>
      </c>
      <c r="I312" s="57"/>
      <c r="J312" s="57"/>
      <c r="K312" s="57"/>
    </row>
    <row r="313" spans="3:11" x14ac:dyDescent="0.25">
      <c r="C313" s="56" t="str">
        <f t="shared" si="45"/>
        <v/>
      </c>
      <c r="D313" s="24" t="str">
        <f t="shared" si="46"/>
        <v/>
      </c>
      <c r="E313" s="24" t="str">
        <f t="shared" si="47"/>
        <v/>
      </c>
      <c r="F313" s="24" t="str">
        <f t="shared" si="42"/>
        <v/>
      </c>
      <c r="G313" s="24">
        <f t="shared" si="43"/>
        <v>0</v>
      </c>
      <c r="H313" s="57" t="str">
        <f t="shared" si="44"/>
        <v/>
      </c>
      <c r="I313" s="57"/>
      <c r="J313" s="57"/>
      <c r="K313" s="57"/>
    </row>
    <row r="314" spans="3:11" x14ac:dyDescent="0.25">
      <c r="C314" s="56" t="str">
        <f t="shared" si="45"/>
        <v/>
      </c>
      <c r="D314" s="24" t="str">
        <f t="shared" si="46"/>
        <v/>
      </c>
      <c r="E314" s="24" t="str">
        <f t="shared" si="47"/>
        <v/>
      </c>
      <c r="F314" s="24" t="str">
        <f t="shared" si="42"/>
        <v/>
      </c>
      <c r="G314" s="24">
        <f t="shared" si="43"/>
        <v>0</v>
      </c>
      <c r="H314" s="57" t="str">
        <f t="shared" si="44"/>
        <v/>
      </c>
      <c r="I314" s="57"/>
      <c r="J314" s="57"/>
      <c r="K314" s="57"/>
    </row>
    <row r="315" spans="3:11" x14ac:dyDescent="0.25">
      <c r="C315" s="56" t="str">
        <f t="shared" si="45"/>
        <v/>
      </c>
      <c r="D315" s="24" t="str">
        <f t="shared" si="46"/>
        <v/>
      </c>
      <c r="E315" s="24" t="str">
        <f t="shared" si="47"/>
        <v/>
      </c>
      <c r="F315" s="24" t="str">
        <f t="shared" si="42"/>
        <v/>
      </c>
      <c r="G315" s="24">
        <f t="shared" si="43"/>
        <v>0</v>
      </c>
      <c r="H315" s="57" t="str">
        <f t="shared" si="44"/>
        <v/>
      </c>
      <c r="I315" s="57"/>
      <c r="J315" s="57"/>
      <c r="K315" s="57"/>
    </row>
    <row r="316" spans="3:11" x14ac:dyDescent="0.25">
      <c r="C316" s="56" t="str">
        <f t="shared" si="45"/>
        <v/>
      </c>
      <c r="D316" s="24" t="str">
        <f t="shared" si="46"/>
        <v/>
      </c>
      <c r="E316" s="24" t="str">
        <f t="shared" si="47"/>
        <v/>
      </c>
      <c r="F316" s="24" t="str">
        <f t="shared" si="42"/>
        <v/>
      </c>
      <c r="G316" s="24">
        <f t="shared" si="43"/>
        <v>0</v>
      </c>
      <c r="H316" s="57" t="str">
        <f t="shared" si="44"/>
        <v/>
      </c>
      <c r="I316" s="57"/>
      <c r="J316" s="57"/>
      <c r="K316" s="57"/>
    </row>
    <row r="317" spans="3:11" x14ac:dyDescent="0.25">
      <c r="C317" s="56" t="str">
        <f t="shared" si="45"/>
        <v/>
      </c>
      <c r="D317" s="24" t="str">
        <f t="shared" si="46"/>
        <v/>
      </c>
      <c r="E317" s="24" t="str">
        <f t="shared" si="47"/>
        <v/>
      </c>
      <c r="F317" s="24" t="str">
        <f t="shared" si="42"/>
        <v/>
      </c>
      <c r="G317" s="24">
        <f t="shared" si="43"/>
        <v>0</v>
      </c>
      <c r="H317" s="57" t="str">
        <f t="shared" si="44"/>
        <v/>
      </c>
      <c r="I317" s="57"/>
      <c r="J317" s="57"/>
      <c r="K317" s="57"/>
    </row>
    <row r="318" spans="3:11" x14ac:dyDescent="0.25">
      <c r="C318" s="56" t="str">
        <f t="shared" si="45"/>
        <v/>
      </c>
      <c r="D318" s="24" t="str">
        <f t="shared" si="46"/>
        <v/>
      </c>
      <c r="E318" s="24" t="str">
        <f t="shared" si="47"/>
        <v/>
      </c>
      <c r="F318" s="24" t="str">
        <f t="shared" si="42"/>
        <v/>
      </c>
      <c r="G318" s="24">
        <f t="shared" si="43"/>
        <v>0</v>
      </c>
      <c r="H318" s="57" t="str">
        <f t="shared" si="44"/>
        <v/>
      </c>
      <c r="I318" s="57"/>
      <c r="J318" s="57"/>
      <c r="K318" s="57"/>
    </row>
    <row r="319" spans="3:11" x14ac:dyDescent="0.25">
      <c r="C319" s="56" t="str">
        <f t="shared" si="45"/>
        <v/>
      </c>
      <c r="D319" s="24" t="str">
        <f t="shared" si="46"/>
        <v/>
      </c>
      <c r="E319" s="24" t="str">
        <f t="shared" si="47"/>
        <v/>
      </c>
      <c r="F319" s="24" t="str">
        <f t="shared" si="42"/>
        <v/>
      </c>
      <c r="G319" s="24">
        <f t="shared" si="43"/>
        <v>0</v>
      </c>
      <c r="H319" s="57" t="str">
        <f t="shared" si="44"/>
        <v/>
      </c>
      <c r="I319" s="57"/>
      <c r="J319" s="57"/>
      <c r="K319" s="57"/>
    </row>
    <row r="320" spans="3:11" x14ac:dyDescent="0.25">
      <c r="C320" s="56" t="str">
        <f t="shared" si="45"/>
        <v/>
      </c>
      <c r="D320" s="24" t="str">
        <f t="shared" si="46"/>
        <v/>
      </c>
      <c r="E320" s="24" t="str">
        <f t="shared" si="47"/>
        <v/>
      </c>
      <c r="F320" s="24" t="str">
        <f t="shared" si="42"/>
        <v/>
      </c>
      <c r="G320" s="24">
        <f t="shared" si="43"/>
        <v>0</v>
      </c>
      <c r="H320" s="57" t="str">
        <f t="shared" si="44"/>
        <v/>
      </c>
      <c r="I320" s="57"/>
      <c r="J320" s="57"/>
      <c r="K320" s="57"/>
    </row>
    <row r="321" spans="3:11" x14ac:dyDescent="0.25">
      <c r="C321" s="56" t="str">
        <f t="shared" si="45"/>
        <v/>
      </c>
      <c r="D321" s="24" t="str">
        <f t="shared" si="46"/>
        <v/>
      </c>
      <c r="E321" s="24" t="str">
        <f t="shared" si="47"/>
        <v/>
      </c>
      <c r="F321" s="24" t="str">
        <f t="shared" ref="F321:F326" si="49">IFERROR(MAX(F320,S$1+C321),"")</f>
        <v/>
      </c>
      <c r="G321" s="24">
        <f t="shared" ref="G321:G326" si="50">IFERROR((S$1+C321)-F321,0)</f>
        <v>0</v>
      </c>
      <c r="H321" s="57" t="str">
        <f t="shared" ref="H321:H326" si="51">IFERROR((S$1+C321)/F321-1,"")</f>
        <v/>
      </c>
      <c r="I321" s="57"/>
      <c r="J321" s="57"/>
      <c r="K321" s="57"/>
    </row>
    <row r="322" spans="3:11" x14ac:dyDescent="0.25">
      <c r="D322" s="56" t="str">
        <f t="shared" ref="D322:D327" si="52">IF(OR(B322="Grand Total",B322=""),"",D321+C322)</f>
        <v/>
      </c>
      <c r="E322" s="24" t="str">
        <f t="shared" ref="E322:E327" si="53">IF(OR(C322="",B322="Grand Total"),"",IF(C322&lt;0,"L","W"))</f>
        <v/>
      </c>
      <c r="F322" s="24">
        <f t="shared" si="49"/>
        <v>29</v>
      </c>
      <c r="G322" s="24">
        <f t="shared" si="50"/>
        <v>0</v>
      </c>
      <c r="H322" s="57">
        <f t="shared" si="51"/>
        <v>0</v>
      </c>
      <c r="I322" s="57"/>
      <c r="J322" s="57"/>
      <c r="K322" s="57"/>
    </row>
    <row r="323" spans="3:11" x14ac:dyDescent="0.25">
      <c r="D323" s="56" t="str">
        <f t="shared" si="52"/>
        <v/>
      </c>
      <c r="E323" s="24" t="str">
        <f t="shared" si="53"/>
        <v/>
      </c>
      <c r="F323" s="24">
        <f t="shared" si="49"/>
        <v>29</v>
      </c>
      <c r="G323" s="24">
        <f t="shared" si="50"/>
        <v>0</v>
      </c>
      <c r="H323" s="57">
        <f t="shared" si="51"/>
        <v>0</v>
      </c>
      <c r="I323" s="57"/>
      <c r="J323" s="57"/>
      <c r="K323" s="57"/>
    </row>
    <row r="324" spans="3:11" x14ac:dyDescent="0.25">
      <c r="D324" s="56" t="str">
        <f t="shared" si="52"/>
        <v/>
      </c>
      <c r="E324" s="24" t="str">
        <f t="shared" si="53"/>
        <v/>
      </c>
      <c r="F324" s="24">
        <f t="shared" si="49"/>
        <v>29</v>
      </c>
      <c r="G324" s="24">
        <f t="shared" si="50"/>
        <v>0</v>
      </c>
      <c r="H324" s="57">
        <f t="shared" si="51"/>
        <v>0</v>
      </c>
      <c r="I324" s="57"/>
      <c r="J324" s="57"/>
      <c r="K324" s="57"/>
    </row>
    <row r="325" spans="3:11" x14ac:dyDescent="0.25">
      <c r="D325" s="56" t="str">
        <f t="shared" si="52"/>
        <v/>
      </c>
      <c r="E325" s="24" t="str">
        <f t="shared" si="53"/>
        <v/>
      </c>
      <c r="F325" s="24">
        <f t="shared" si="49"/>
        <v>29</v>
      </c>
      <c r="G325" s="24">
        <f t="shared" si="50"/>
        <v>0</v>
      </c>
      <c r="H325" s="57">
        <f t="shared" si="51"/>
        <v>0</v>
      </c>
      <c r="I325" s="57"/>
      <c r="J325" s="57"/>
      <c r="K325" s="57"/>
    </row>
    <row r="326" spans="3:11" x14ac:dyDescent="0.25">
      <c r="D326" s="56" t="str">
        <f t="shared" si="52"/>
        <v/>
      </c>
      <c r="E326" s="24" t="str">
        <f t="shared" si="53"/>
        <v/>
      </c>
      <c r="F326" s="24">
        <f t="shared" si="49"/>
        <v>29</v>
      </c>
      <c r="G326" s="24">
        <f t="shared" si="50"/>
        <v>0</v>
      </c>
      <c r="H326" s="57">
        <f t="shared" si="51"/>
        <v>0</v>
      </c>
      <c r="I326" s="57"/>
      <c r="J326" s="57"/>
      <c r="K326" s="57"/>
    </row>
    <row r="327" spans="3:11" x14ac:dyDescent="0.25">
      <c r="D327" s="56" t="str">
        <f t="shared" si="52"/>
        <v/>
      </c>
      <c r="E327" s="24" t="str">
        <f t="shared" si="53"/>
        <v/>
      </c>
      <c r="F327" s="24">
        <f t="shared" si="42"/>
        <v>29</v>
      </c>
      <c r="G327" s="24">
        <f t="shared" si="43"/>
        <v>0</v>
      </c>
      <c r="H327" s="57">
        <f t="shared" si="44"/>
        <v>0</v>
      </c>
      <c r="I327" s="57"/>
      <c r="J327" s="57"/>
      <c r="K327" s="57"/>
    </row>
  </sheetData>
  <conditionalFormatting sqref="P22:P62 D322:D327 AJ20:AJ35 C23:C321 AK13:AK19">
    <cfRule type="cellIs" dxfId="353" priority="25" operator="greaterThan">
      <formula>$S$1</formula>
    </cfRule>
    <cfRule type="cellIs" dxfId="352" priority="26" operator="greaterThan">
      <formula>"31.555$G$1"</formula>
    </cfRule>
  </conditionalFormatting>
  <conditionalFormatting sqref="P22:P62 D322:D327 AJ20:AJ35 C23:C321 AK13:AK19">
    <cfRule type="cellIs" dxfId="351" priority="24" operator="lessThan">
      <formula>0</formula>
    </cfRule>
  </conditionalFormatting>
  <conditionalFormatting sqref="P22:P62">
    <cfRule type="cellIs" dxfId="350" priority="23" operator="lessThan">
      <formula>0</formula>
    </cfRule>
  </conditionalFormatting>
  <conditionalFormatting sqref="C22">
    <cfRule type="cellIs" dxfId="349" priority="21" operator="greaterThan">
      <formula>$S$1</formula>
    </cfRule>
    <cfRule type="cellIs" dxfId="348" priority="22" operator="greaterThan">
      <formula>"31.555$G$1"</formula>
    </cfRule>
  </conditionalFormatting>
  <conditionalFormatting sqref="C22">
    <cfRule type="cellIs" dxfId="347" priority="20" operator="lessThan">
      <formula>0</formula>
    </cfRule>
  </conditionalFormatting>
  <conditionalFormatting sqref="C22">
    <cfRule type="cellIs" dxfId="346" priority="19" operator="lessThan">
      <formula>0</formula>
    </cfRule>
  </conditionalFormatting>
  <conditionalFormatting sqref="E322:E327 D22:D321">
    <cfRule type="cellIs" dxfId="345" priority="17" operator="equal">
      <formula>"L"</formula>
    </cfRule>
    <cfRule type="cellIs" dxfId="344" priority="18" operator="equal">
      <formula>"W"</formula>
    </cfRule>
  </conditionalFormatting>
  <conditionalFormatting sqref="L123:L300 E22:E321">
    <cfRule type="cellIs" dxfId="343" priority="16" operator="equal">
      <formula>8</formula>
    </cfRule>
  </conditionalFormatting>
  <conditionalFormatting pivot="1" sqref="AE13">
    <cfRule type="cellIs" dxfId="342" priority="15" operator="greaterThan">
      <formula>0</formula>
    </cfRule>
  </conditionalFormatting>
  <conditionalFormatting pivot="1" sqref="AE13">
    <cfRule type="cellIs" dxfId="341" priority="14" operator="lessThan">
      <formula>0</formula>
    </cfRule>
  </conditionalFormatting>
  <conditionalFormatting pivot="1" sqref="AI13">
    <cfRule type="cellIs" dxfId="340" priority="13" operator="greaterThan">
      <formula>0</formula>
    </cfRule>
  </conditionalFormatting>
  <conditionalFormatting pivot="1" sqref="AI13">
    <cfRule type="cellIs" dxfId="339" priority="12" operator="lessThan">
      <formula>0</formula>
    </cfRule>
  </conditionalFormatting>
  <conditionalFormatting pivot="1" sqref="AG13">
    <cfRule type="cellIs" dxfId="338" priority="11" operator="greaterThan">
      <formula>0</formula>
    </cfRule>
  </conditionalFormatting>
  <conditionalFormatting pivot="1" sqref="AG13">
    <cfRule type="cellIs" dxfId="337" priority="10" operator="lessThan">
      <formula>0</formula>
    </cfRule>
  </conditionalFormatting>
  <conditionalFormatting sqref="H22:K327">
    <cfRule type="cellIs" dxfId="336" priority="8" operator="equal">
      <formula>MIN(H$22:$H$299)</formula>
    </cfRule>
  </conditionalFormatting>
  <conditionalFormatting sqref="AN13:AN14">
    <cfRule type="cellIs" dxfId="335" priority="7" operator="equal">
      <formula>MIN($H$22:AN$299)</formula>
    </cfRule>
  </conditionalFormatting>
  <conditionalFormatting sqref="I23:I40">
    <cfRule type="cellIs" dxfId="334" priority="5" operator="equal">
      <formula>MAX($I$23:$I$41)</formula>
    </cfRule>
  </conditionalFormatting>
  <conditionalFormatting sqref="J23:J40">
    <cfRule type="cellIs" dxfId="333" priority="4" operator="equal">
      <formula>MAX($I$23:$I$41)</formula>
    </cfRule>
  </conditionalFormatting>
  <conditionalFormatting sqref="J23:J40">
    <cfRule type="cellIs" dxfId="332" priority="3" operator="equal">
      <formula>MAX($I$23:$I$41)</formula>
    </cfRule>
  </conditionalFormatting>
  <conditionalFormatting pivot="1" sqref="B22:B40">
    <cfRule type="cellIs" dxfId="331" priority="1" operator="lessThan">
      <formula>0</formula>
    </cfRule>
    <cfRule type="cellIs" dxfId="330" priority="2" operator="greaterThan">
      <formula>0</formula>
    </cfRule>
  </conditionalFormatting>
  <pageMargins left="0.7" right="0.7" top="0.75" bottom="0.75" header="0.3" footer="0.3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B1AB-6685-4CEF-A9BF-D1590F8E8168}">
  <sheetPr codeName="Sheet14"/>
  <dimension ref="A1:AN327"/>
  <sheetViews>
    <sheetView showGridLines="0" topLeftCell="A61" workbookViewId="0">
      <selection activeCell="F14" sqref="F14"/>
    </sheetView>
  </sheetViews>
  <sheetFormatPr defaultRowHeight="15" x14ac:dyDescent="0.25"/>
  <cols>
    <col min="1" max="1" width="33.5703125" bestFit="1" customWidth="1"/>
    <col min="2" max="2" width="16.28515625" style="24" bestFit="1" customWidth="1"/>
    <col min="3" max="3" width="16.28515625" bestFit="1" customWidth="1"/>
    <col min="4" max="4" width="16.7109375" style="24" bestFit="1" customWidth="1"/>
    <col min="5" max="5" width="26.28515625" style="24" bestFit="1" customWidth="1"/>
    <col min="6" max="6" width="18.140625" style="24" bestFit="1" customWidth="1"/>
    <col min="7" max="7" width="14.7109375" style="24" customWidth="1"/>
    <col min="8" max="8" width="18.140625" style="24" bestFit="1" customWidth="1"/>
    <col min="9" max="9" width="26.85546875" style="24" bestFit="1" customWidth="1"/>
    <col min="10" max="11" width="14.7109375" style="24" customWidth="1"/>
    <col min="12" max="12" width="16.28515625" style="24" bestFit="1" customWidth="1"/>
    <col min="13" max="13" width="3" bestFit="1" customWidth="1"/>
    <col min="14" max="14" width="33.5703125" bestFit="1" customWidth="1"/>
    <col min="15" max="15" width="16.28515625" bestFit="1" customWidth="1"/>
    <col min="16" max="16" width="16.28515625" style="29" bestFit="1" customWidth="1"/>
    <col min="17" max="17" width="16.7109375" style="29" bestFit="1" customWidth="1"/>
    <col min="18" max="18" width="2" style="29" bestFit="1" customWidth="1"/>
    <col min="19" max="19" width="8.42578125" style="29" bestFit="1" customWidth="1"/>
    <col min="20" max="20" width="2" bestFit="1" customWidth="1"/>
    <col min="21" max="21" width="3" bestFit="1" customWidth="1"/>
    <col min="22" max="22" width="33.5703125" bestFit="1" customWidth="1"/>
    <col min="23" max="24" width="16.28515625" bestFit="1" customWidth="1"/>
    <col min="25" max="26" width="2" bestFit="1" customWidth="1"/>
    <col min="27" max="27" width="11.28515625" bestFit="1" customWidth="1"/>
    <col min="28" max="28" width="3.85546875" customWidth="1"/>
    <col min="29" max="29" width="33.5703125" bestFit="1" customWidth="1"/>
    <col min="30" max="30" width="17.85546875" bestFit="1" customWidth="1"/>
    <col min="31" max="31" width="12.5703125" bestFit="1" customWidth="1"/>
    <col min="32" max="32" width="11.85546875" bestFit="1" customWidth="1"/>
    <col min="33" max="33" width="12.5703125" bestFit="1" customWidth="1"/>
    <col min="34" max="34" width="16.85546875" bestFit="1" customWidth="1"/>
    <col min="35" max="35" width="17.7109375" bestFit="1" customWidth="1"/>
    <col min="36" max="36" width="12.28515625" style="29" bestFit="1" customWidth="1"/>
  </cols>
  <sheetData>
    <row r="1" spans="1:40" ht="18.75" x14ac:dyDescent="0.25">
      <c r="D1" s="29"/>
      <c r="J1" s="1"/>
      <c r="Q1" s="29" t="s">
        <v>55</v>
      </c>
      <c r="S1" s="60">
        <v>29</v>
      </c>
    </row>
    <row r="2" spans="1:40" x14ac:dyDescent="0.25">
      <c r="D2" s="29"/>
      <c r="J2" s="1"/>
    </row>
    <row r="3" spans="1:40" x14ac:dyDescent="0.25">
      <c r="D3" s="87"/>
      <c r="J3" s="1"/>
    </row>
    <row r="4" spans="1:40" x14ac:dyDescent="0.25">
      <c r="B4" s="92" t="s">
        <v>57</v>
      </c>
      <c r="C4" s="28"/>
      <c r="D4" s="29"/>
      <c r="G4" s="29"/>
      <c r="J4" s="88"/>
      <c r="K4" s="29"/>
      <c r="O4" s="48"/>
    </row>
    <row r="5" spans="1:40" x14ac:dyDescent="0.25">
      <c r="B5" s="93" t="s">
        <v>58</v>
      </c>
      <c r="C5" s="31">
        <f>MEDIAN(B22:B61)</f>
        <v>-0.3</v>
      </c>
      <c r="E5" s="30" t="s">
        <v>131</v>
      </c>
      <c r="F5" s="89">
        <f>SUMIFS(B:B,A:A,"&lt;&gt;Grand Total",B:B,"&gt;0.0")</f>
        <v>7.2099999999999991</v>
      </c>
      <c r="H5" s="1"/>
      <c r="J5" s="1"/>
      <c r="O5" s="48"/>
    </row>
    <row r="6" spans="1:40" x14ac:dyDescent="0.25">
      <c r="B6" s="93" t="s">
        <v>60</v>
      </c>
      <c r="C6" s="31">
        <f>AVERAGE(B22:B61)</f>
        <v>-5.3000000000000012E-2</v>
      </c>
      <c r="D6" s="29"/>
      <c r="E6" s="30" t="s">
        <v>130</v>
      </c>
      <c r="F6" s="89">
        <f>SUMIFS(B:B,A:A,"&lt;&gt;Grand Total",B:B,"&lt;0.0")</f>
        <v>-11.110000000000005</v>
      </c>
      <c r="H6" s="1"/>
      <c r="J6" s="1"/>
      <c r="O6" s="48"/>
    </row>
    <row r="7" spans="1:40" x14ac:dyDescent="0.25">
      <c r="B7" s="93" t="s">
        <v>61</v>
      </c>
      <c r="C7" s="31">
        <f>MIN(B22:B61)</f>
        <v>-0.57999999999999996</v>
      </c>
      <c r="D7" s="29"/>
      <c r="E7" s="75" t="s">
        <v>129</v>
      </c>
      <c r="F7" s="89">
        <f>F5/F6</f>
        <v>-0.64896489648964861</v>
      </c>
      <c r="H7" s="1"/>
      <c r="J7" s="1"/>
      <c r="O7" s="48"/>
      <c r="AC7" s="21" t="s">
        <v>29</v>
      </c>
      <c r="AD7" t="s">
        <v>118</v>
      </c>
    </row>
    <row r="8" spans="1:40" x14ac:dyDescent="0.25">
      <c r="B8" s="93" t="s">
        <v>62</v>
      </c>
      <c r="C8" s="31">
        <f>MAX(B22:B61)</f>
        <v>0.38</v>
      </c>
      <c r="D8" s="29"/>
      <c r="E8" s="90" t="s">
        <v>134</v>
      </c>
      <c r="F8" s="32">
        <f>AVERAGE(J:J)</f>
        <v>-2.1702825241052175E-3</v>
      </c>
      <c r="H8" s="1"/>
      <c r="J8" s="1"/>
      <c r="O8" s="48"/>
      <c r="AC8" s="21" t="s">
        <v>79</v>
      </c>
      <c r="AD8" t="s">
        <v>80</v>
      </c>
    </row>
    <row r="9" spans="1:40" x14ac:dyDescent="0.25">
      <c r="B9" s="93" t="s">
        <v>59</v>
      </c>
      <c r="C9" s="32">
        <f>COUNTIF(D:D,"W")/(COUNTIF(D:D,"W")+COUNTIF(D:D,"L"))</f>
        <v>0.36842105263157893</v>
      </c>
      <c r="D9" s="29"/>
      <c r="E9" s="90" t="s">
        <v>135</v>
      </c>
      <c r="F9" s="32">
        <f>_xlfn.STDEV.S(J:J)</f>
        <v>1.2101902920992523E-2</v>
      </c>
      <c r="O9" s="48"/>
    </row>
    <row r="10" spans="1:40" x14ac:dyDescent="0.25">
      <c r="B10" s="93" t="s">
        <v>101</v>
      </c>
      <c r="C10" s="31">
        <f>MIN(G:G)</f>
        <v>-4.4799999999999898</v>
      </c>
      <c r="D10" s="29"/>
      <c r="E10" s="91" t="s">
        <v>136</v>
      </c>
      <c r="F10" s="32">
        <f>F8/F9</f>
        <v>-0.17933398890025343</v>
      </c>
      <c r="G10" s="29"/>
      <c r="H10" s="29"/>
      <c r="I10" s="29"/>
      <c r="J10" s="29"/>
      <c r="K10" s="29"/>
      <c r="O10" s="48"/>
      <c r="AD10" s="21" t="s">
        <v>74</v>
      </c>
      <c r="AJ10" s="59"/>
      <c r="AK10" s="58"/>
    </row>
    <row r="11" spans="1:40" x14ac:dyDescent="0.25">
      <c r="B11" s="94" t="s">
        <v>102</v>
      </c>
      <c r="C11" s="76">
        <f>MIN(H:H)</f>
        <v>-7.6936287137214343E-2</v>
      </c>
      <c r="O11" s="48"/>
      <c r="AD11" t="s">
        <v>67</v>
      </c>
      <c r="AF11" t="s">
        <v>66</v>
      </c>
      <c r="AH11" t="s">
        <v>84</v>
      </c>
      <c r="AI11" t="s">
        <v>85</v>
      </c>
      <c r="AJ11" s="59"/>
      <c r="AK11" s="58"/>
    </row>
    <row r="12" spans="1:40" x14ac:dyDescent="0.25">
      <c r="B12" s="93" t="s">
        <v>100</v>
      </c>
      <c r="C12" s="31">
        <f>MAX(F:F)</f>
        <v>58.230000000000004</v>
      </c>
      <c r="O12" s="48"/>
      <c r="AC12" s="21" t="s">
        <v>50</v>
      </c>
      <c r="AD12" t="s">
        <v>86</v>
      </c>
      <c r="AE12" t="s">
        <v>52</v>
      </c>
      <c r="AF12" t="s">
        <v>86</v>
      </c>
      <c r="AG12" t="s">
        <v>52</v>
      </c>
      <c r="AH12" s="58"/>
      <c r="AI12" s="58"/>
      <c r="AJ12" s="59" t="s">
        <v>68</v>
      </c>
      <c r="AK12" s="58" t="s">
        <v>89</v>
      </c>
      <c r="AL12" s="24" t="s">
        <v>97</v>
      </c>
      <c r="AM12" s="24" t="s">
        <v>98</v>
      </c>
      <c r="AN12" s="74" t="s">
        <v>99</v>
      </c>
    </row>
    <row r="13" spans="1:40" x14ac:dyDescent="0.25">
      <c r="B13" s="92"/>
      <c r="AC13" s="1" t="s">
        <v>96</v>
      </c>
      <c r="AD13" s="95">
        <v>14</v>
      </c>
      <c r="AE13" s="95">
        <v>-4.2799999999999985</v>
      </c>
      <c r="AF13" s="95">
        <v>5</v>
      </c>
      <c r="AG13" s="95">
        <v>2.3899999999999997</v>
      </c>
      <c r="AH13" s="95">
        <v>19</v>
      </c>
      <c r="AI13" s="95">
        <v>-1.8899999999999988</v>
      </c>
      <c r="AJ13" s="57">
        <f>AF13/AH13</f>
        <v>0.26315789473684209</v>
      </c>
      <c r="AK13" s="25">
        <f>S1+AI13</f>
        <v>27.11</v>
      </c>
      <c r="AL13" s="24"/>
      <c r="AM13" s="24"/>
      <c r="AN13" s="57"/>
    </row>
    <row r="14" spans="1:40" x14ac:dyDescent="0.25">
      <c r="B14" s="87"/>
      <c r="AC14" s="1" t="s">
        <v>248</v>
      </c>
      <c r="AD14" s="95">
        <v>13</v>
      </c>
      <c r="AE14" s="95">
        <v>-3.9399999999999995</v>
      </c>
      <c r="AF14" s="95">
        <v>4</v>
      </c>
      <c r="AG14" s="95">
        <v>1.52</v>
      </c>
      <c r="AH14" s="95">
        <v>17</v>
      </c>
      <c r="AI14" s="95">
        <v>-2.4199999999999995</v>
      </c>
      <c r="AJ14" s="57">
        <f t="shared" ref="AJ14:AJ19" si="0">AF14/AH14</f>
        <v>0.23529411764705882</v>
      </c>
      <c r="AK14" s="25">
        <f>IF(OR(AC14="Grand Total",AC14=""),"",AI14+AK13)</f>
        <v>24.69</v>
      </c>
      <c r="AL14" s="24"/>
      <c r="AM14" s="24"/>
      <c r="AN14" s="57"/>
    </row>
    <row r="15" spans="1:40" x14ac:dyDescent="0.25">
      <c r="B15" s="87"/>
      <c r="E15" s="29"/>
      <c r="F15" s="29"/>
      <c r="G15" s="29"/>
      <c r="H15" s="29"/>
      <c r="I15" s="29"/>
      <c r="J15" s="29"/>
      <c r="K15" s="29"/>
      <c r="AC15" s="1" t="s">
        <v>51</v>
      </c>
      <c r="AD15" s="95">
        <v>27</v>
      </c>
      <c r="AE15" s="95">
        <v>-8.2199999999999971</v>
      </c>
      <c r="AF15" s="95">
        <v>9</v>
      </c>
      <c r="AG15" s="95">
        <v>3.9099999999999997</v>
      </c>
      <c r="AH15" s="95">
        <v>36</v>
      </c>
      <c r="AI15" s="95">
        <v>-4.3099999999999987</v>
      </c>
      <c r="AJ15" s="57">
        <f t="shared" si="0"/>
        <v>0.25</v>
      </c>
      <c r="AK15" s="25" t="str">
        <f t="shared" ref="AJ15:AK30" si="1">IF(OR(AC15="Grand Total",AC15=""),"",AI15+AK14)</f>
        <v/>
      </c>
    </row>
    <row r="16" spans="1:40" x14ac:dyDescent="0.25">
      <c r="A16" s="26" t="s">
        <v>56</v>
      </c>
      <c r="B16" s="87"/>
      <c r="E16" s="29"/>
      <c r="F16" s="29"/>
      <c r="G16" s="29"/>
      <c r="H16" s="29"/>
      <c r="I16" s="29"/>
      <c r="J16" s="29"/>
      <c r="K16" s="29"/>
      <c r="AJ16" s="57" t="e">
        <f t="shared" si="0"/>
        <v>#DIV/0!</v>
      </c>
      <c r="AK16" s="25" t="str">
        <f t="shared" si="1"/>
        <v/>
      </c>
    </row>
    <row r="17" spans="1:37" x14ac:dyDescent="0.25">
      <c r="AJ17" s="57" t="e">
        <f t="shared" si="0"/>
        <v>#DIV/0!</v>
      </c>
      <c r="AK17" s="25" t="str">
        <f t="shared" si="1"/>
        <v/>
      </c>
    </row>
    <row r="18" spans="1:37" x14ac:dyDescent="0.25">
      <c r="A18" s="21" t="s">
        <v>29</v>
      </c>
      <c r="B18" t="s">
        <v>93</v>
      </c>
      <c r="C18" s="24"/>
      <c r="L18"/>
      <c r="N18" s="21" t="s">
        <v>29</v>
      </c>
      <c r="O18" t="s">
        <v>93</v>
      </c>
      <c r="S18"/>
      <c r="V18" s="21" t="s">
        <v>29</v>
      </c>
      <c r="W18" t="s">
        <v>93</v>
      </c>
      <c r="AJ18" s="57" t="e">
        <f t="shared" si="0"/>
        <v>#DIV/0!</v>
      </c>
      <c r="AK18" s="25" t="str">
        <f t="shared" si="1"/>
        <v/>
      </c>
    </row>
    <row r="19" spans="1:37" x14ac:dyDescent="0.25">
      <c r="A19" s="21" t="s">
        <v>79</v>
      </c>
      <c r="B19" t="s">
        <v>70</v>
      </c>
      <c r="C19" s="24"/>
      <c r="L19"/>
      <c r="N19" s="21" t="s">
        <v>79</v>
      </c>
      <c r="O19" t="s">
        <v>70</v>
      </c>
      <c r="S19"/>
      <c r="V19" s="21" t="s">
        <v>79</v>
      </c>
      <c r="W19" t="s">
        <v>70</v>
      </c>
      <c r="AJ19" s="57" t="e">
        <f t="shared" si="0"/>
        <v>#DIV/0!</v>
      </c>
      <c r="AK19" s="25" t="str">
        <f t="shared" si="1"/>
        <v/>
      </c>
    </row>
    <row r="20" spans="1:37" x14ac:dyDescent="0.25">
      <c r="C20" s="24"/>
      <c r="L20"/>
      <c r="O20" s="29"/>
      <c r="S20"/>
      <c r="AI20" s="57"/>
      <c r="AJ20" s="25" t="str">
        <f t="shared" si="1"/>
        <v/>
      </c>
    </row>
    <row r="21" spans="1:37" x14ac:dyDescent="0.25">
      <c r="A21" s="21" t="s">
        <v>50</v>
      </c>
      <c r="B21" s="24" t="s">
        <v>52</v>
      </c>
      <c r="C21" s="55" t="s">
        <v>53</v>
      </c>
      <c r="D21" s="55" t="s">
        <v>26</v>
      </c>
      <c r="E21" s="55" t="s">
        <v>54</v>
      </c>
      <c r="F21" s="24" t="s">
        <v>137</v>
      </c>
      <c r="G21" s="24" t="s">
        <v>98</v>
      </c>
      <c r="H21" s="74" t="s">
        <v>99</v>
      </c>
      <c r="I21" s="74" t="s">
        <v>132</v>
      </c>
      <c r="J21" s="74" t="s">
        <v>133</v>
      </c>
      <c r="K21" s="74"/>
      <c r="L21"/>
      <c r="N21" s="21" t="s">
        <v>50</v>
      </c>
      <c r="O21" s="29" t="s">
        <v>52</v>
      </c>
      <c r="P21" s="61" t="s">
        <v>53</v>
      </c>
      <c r="Q21" s="29" t="s">
        <v>26</v>
      </c>
      <c r="R21" s="29" t="s">
        <v>54</v>
      </c>
      <c r="S21"/>
      <c r="V21" s="21" t="s">
        <v>50</v>
      </c>
      <c r="W21" t="s">
        <v>52</v>
      </c>
      <c r="AI21" s="57"/>
      <c r="AJ21" s="25" t="str">
        <f t="shared" si="1"/>
        <v/>
      </c>
    </row>
    <row r="22" spans="1:37" x14ac:dyDescent="0.25">
      <c r="A22" s="22">
        <v>45925.490381944444</v>
      </c>
      <c r="B22" s="102">
        <v>-0.3</v>
      </c>
      <c r="C22" s="56">
        <f>$S$1+B22</f>
        <v>28.7</v>
      </c>
      <c r="D22" s="24" t="str">
        <f>IF(OR(B22="",A22="Grand Total"),"",IF(B22&lt;0,"L","W"))</f>
        <v>L</v>
      </c>
      <c r="E22" s="24">
        <v>1</v>
      </c>
      <c r="F22" s="24">
        <f>C22</f>
        <v>28.7</v>
      </c>
      <c r="G22" s="24">
        <f>(C22+$S$1)-F22</f>
        <v>29.000000000000004</v>
      </c>
      <c r="H22" s="57">
        <f>(C22)/F22-1</f>
        <v>0</v>
      </c>
      <c r="I22" s="57" t="str">
        <f>IFERROR((C22-C21)/C21,"")</f>
        <v/>
      </c>
      <c r="J22" s="57" t="str">
        <f>IFERROR(I22-0.0001,"")</f>
        <v/>
      </c>
      <c r="K22" s="57"/>
      <c r="L22"/>
      <c r="N22" s="1" t="s">
        <v>96</v>
      </c>
      <c r="O22" s="103">
        <v>-2.21</v>
      </c>
      <c r="P22" s="62">
        <f>$S$1+O22</f>
        <v>26.79</v>
      </c>
      <c r="Q22" s="29" t="str">
        <f>IF(OR(O22="",N22="Grand Total"),"",IF(O22&lt;0,"L","W"))</f>
        <v>L</v>
      </c>
      <c r="R22" s="29">
        <v>1</v>
      </c>
      <c r="S22"/>
      <c r="V22" s="1" t="s">
        <v>69</v>
      </c>
      <c r="W22" s="95">
        <v>-2.21</v>
      </c>
      <c r="AI22" s="57"/>
      <c r="AJ22" s="25" t="str">
        <f t="shared" si="1"/>
        <v/>
      </c>
    </row>
    <row r="23" spans="1:37" x14ac:dyDescent="0.25">
      <c r="A23" s="22">
        <v>45925.49732638889</v>
      </c>
      <c r="B23" s="102">
        <v>0.23</v>
      </c>
      <c r="C23" s="56">
        <f t="shared" ref="C23:C86" si="2">IF(OR(A23="Grand Total",A23=""),"",C22+B23)</f>
        <v>28.93</v>
      </c>
      <c r="D23" s="24" t="str">
        <f t="shared" ref="D23:D86" si="3">IF(OR(B23="",A23="Grand Total"),"",IF(B23&lt;0,"L","W"))</f>
        <v>W</v>
      </c>
      <c r="E23" s="24">
        <f>IF(D23="","",IF(D23=D22,E22+1,1))</f>
        <v>1</v>
      </c>
      <c r="F23" s="24">
        <f>IFERROR(MAX(F22,S$1+C23),"")</f>
        <v>57.93</v>
      </c>
      <c r="G23" s="24">
        <f>IFERROR((S$1+C23)-F23,0)</f>
        <v>0</v>
      </c>
      <c r="H23" s="57">
        <f>IFERROR((S$1+C23)/F23-1,"")</f>
        <v>0</v>
      </c>
      <c r="I23" s="57">
        <f t="shared" ref="I23:I26" si="4">IFERROR((C23-C22)/C22,"")</f>
        <v>8.0139372822299795E-3</v>
      </c>
      <c r="J23" s="57">
        <f t="shared" ref="J23:J26" si="5">IFERROR(I23-0.0001,"")</f>
        <v>7.9139372822299801E-3</v>
      </c>
      <c r="K23" s="57"/>
      <c r="L23"/>
      <c r="N23" s="1" t="s">
        <v>248</v>
      </c>
      <c r="O23" s="103">
        <v>-1.6900000000000004</v>
      </c>
      <c r="P23" s="62">
        <f t="shared" ref="P23:P62" si="6">IF(OR(N23="Grand Total",N23=""),"",P22+O23)</f>
        <v>25.099999999999998</v>
      </c>
      <c r="Q23" s="29" t="str">
        <f t="shared" ref="Q23:Q62" si="7">IF(OR(O23="",N23="Grand Total"),"",IF(O23&lt;0,"L","W"))</f>
        <v>L</v>
      </c>
      <c r="R23" s="29">
        <f>IF(Q23="","",IF(Q23=Q22,R22+1,1))</f>
        <v>2</v>
      </c>
      <c r="S23"/>
      <c r="V23" s="1" t="s">
        <v>249</v>
      </c>
      <c r="W23" s="95">
        <v>-1.6900000000000004</v>
      </c>
      <c r="AI23" s="57"/>
      <c r="AJ23" s="25" t="str">
        <f t="shared" si="1"/>
        <v/>
      </c>
    </row>
    <row r="24" spans="1:37" x14ac:dyDescent="0.25">
      <c r="A24" s="22">
        <v>45925.507847222223</v>
      </c>
      <c r="B24" s="102">
        <v>-0.3</v>
      </c>
      <c r="C24" s="56">
        <f t="shared" si="2"/>
        <v>28.63</v>
      </c>
      <c r="D24" s="24" t="str">
        <f t="shared" si="3"/>
        <v>L</v>
      </c>
      <c r="E24" s="24">
        <f t="shared" ref="E24:E87" si="8">IF(D24="","",IF(D24=D23,E23+1,1))</f>
        <v>1</v>
      </c>
      <c r="F24" s="24">
        <f t="shared" ref="F24:F87" si="9">IFERROR(MAX(F23,S$1+C24),"")</f>
        <v>57.93</v>
      </c>
      <c r="G24" s="24">
        <f t="shared" ref="G24:G87" si="10">IFERROR((S$1+C24)-F24,0)</f>
        <v>-0.30000000000000426</v>
      </c>
      <c r="H24" s="57">
        <f t="shared" ref="H24:H87" si="11">IFERROR((S$1+C24)/F24-1,"")</f>
        <v>-5.1786639047126659E-3</v>
      </c>
      <c r="I24" s="57">
        <f t="shared" si="4"/>
        <v>-1.0369858278603551E-2</v>
      </c>
      <c r="J24" s="57">
        <f t="shared" si="5"/>
        <v>-1.046985827860355E-2</v>
      </c>
      <c r="K24" s="57"/>
      <c r="L24"/>
      <c r="N24" s="1" t="s">
        <v>51</v>
      </c>
      <c r="O24" s="103">
        <v>-3.9000000000000004</v>
      </c>
      <c r="P24" s="62" t="str">
        <f t="shared" si="6"/>
        <v/>
      </c>
      <c r="Q24" s="29" t="str">
        <f t="shared" si="7"/>
        <v/>
      </c>
      <c r="R24" s="29" t="str">
        <f t="shared" ref="R24:R62" si="12">IF(Q24="","",IF(Q24=Q23,R23+1,1))</f>
        <v/>
      </c>
      <c r="S24"/>
      <c r="V24" s="1" t="s">
        <v>51</v>
      </c>
      <c r="W24" s="95">
        <v>-3.9000000000000004</v>
      </c>
      <c r="AI24" s="57"/>
      <c r="AJ24" s="25" t="str">
        <f t="shared" si="1"/>
        <v/>
      </c>
    </row>
    <row r="25" spans="1:37" x14ac:dyDescent="0.25">
      <c r="A25" s="22">
        <v>45925.527754629627</v>
      </c>
      <c r="B25" s="102">
        <v>-0.3</v>
      </c>
      <c r="C25" s="56">
        <f t="shared" si="2"/>
        <v>28.33</v>
      </c>
      <c r="D25" s="24" t="str">
        <f t="shared" si="3"/>
        <v>L</v>
      </c>
      <c r="E25" s="24">
        <f t="shared" si="8"/>
        <v>2</v>
      </c>
      <c r="F25" s="24">
        <f t="shared" si="9"/>
        <v>57.93</v>
      </c>
      <c r="G25" s="24">
        <f t="shared" si="10"/>
        <v>-0.60000000000000142</v>
      </c>
      <c r="H25" s="57">
        <f t="shared" si="11"/>
        <v>-1.0357327809425221E-2</v>
      </c>
      <c r="I25" s="57">
        <f t="shared" si="4"/>
        <v>-1.0478519035976274E-2</v>
      </c>
      <c r="J25" s="57">
        <f t="shared" si="5"/>
        <v>-1.0578519035976274E-2</v>
      </c>
      <c r="K25" s="57"/>
      <c r="L25"/>
      <c r="P25" s="62" t="str">
        <f t="shared" si="6"/>
        <v/>
      </c>
      <c r="Q25" s="29" t="str">
        <f t="shared" si="7"/>
        <v/>
      </c>
      <c r="R25" s="29" t="str">
        <f t="shared" si="12"/>
        <v/>
      </c>
      <c r="S25"/>
      <c r="AI25" s="57"/>
      <c r="AJ25" s="25" t="str">
        <f t="shared" si="1"/>
        <v/>
      </c>
    </row>
    <row r="26" spans="1:37" x14ac:dyDescent="0.25">
      <c r="A26" s="22">
        <v>45925.550092592595</v>
      </c>
      <c r="B26" s="102">
        <v>-0.3</v>
      </c>
      <c r="C26" s="56">
        <f t="shared" si="2"/>
        <v>28.029999999999998</v>
      </c>
      <c r="D26" s="24" t="str">
        <f t="shared" si="3"/>
        <v>L</v>
      </c>
      <c r="E26" s="24">
        <f t="shared" si="8"/>
        <v>3</v>
      </c>
      <c r="F26" s="24">
        <f t="shared" si="9"/>
        <v>57.93</v>
      </c>
      <c r="G26" s="24">
        <f t="shared" si="10"/>
        <v>-0.89999999999999858</v>
      </c>
      <c r="H26" s="57">
        <f t="shared" si="11"/>
        <v>-1.5535991714137776E-2</v>
      </c>
      <c r="I26" s="57">
        <f t="shared" si="4"/>
        <v>-1.058948111542537E-2</v>
      </c>
      <c r="J26" s="57">
        <f t="shared" si="5"/>
        <v>-1.068948111542537E-2</v>
      </c>
      <c r="K26" s="57"/>
      <c r="L26"/>
      <c r="P26" s="62" t="str">
        <f t="shared" si="6"/>
        <v/>
      </c>
      <c r="Q26" s="29" t="str">
        <f t="shared" si="7"/>
        <v/>
      </c>
      <c r="R26" s="29" t="str">
        <f t="shared" si="12"/>
        <v/>
      </c>
      <c r="S26"/>
      <c r="AI26" s="57"/>
      <c r="AJ26" s="25" t="str">
        <f t="shared" si="1"/>
        <v/>
      </c>
    </row>
    <row r="27" spans="1:37" x14ac:dyDescent="0.25">
      <c r="A27" s="22">
        <v>45925.568148148152</v>
      </c>
      <c r="B27" s="102">
        <v>0.35</v>
      </c>
      <c r="C27" s="56">
        <f t="shared" si="2"/>
        <v>28.38</v>
      </c>
      <c r="D27" s="24" t="str">
        <f t="shared" si="3"/>
        <v>W</v>
      </c>
      <c r="E27" s="24">
        <f t="shared" si="8"/>
        <v>1</v>
      </c>
      <c r="F27" s="24">
        <f t="shared" si="9"/>
        <v>57.93</v>
      </c>
      <c r="G27" s="24">
        <f t="shared" si="10"/>
        <v>-0.55000000000000426</v>
      </c>
      <c r="H27" s="57">
        <f t="shared" ref="H27:H44" si="13">IFERROR((S$1+C27)/F27-1,"")</f>
        <v>-9.4942171586398505E-3</v>
      </c>
      <c r="I27" s="57">
        <f t="shared" ref="I27:I42" si="14">IFERROR((C27-C26)/C26,"")</f>
        <v>1.2486621476988992E-2</v>
      </c>
      <c r="J27" s="57">
        <f t="shared" ref="J27:J42" si="15">IFERROR(I27-0.0001,"")</f>
        <v>1.2386621476988992E-2</v>
      </c>
      <c r="K27" s="57"/>
      <c r="L27"/>
      <c r="P27" s="62" t="str">
        <f t="shared" si="6"/>
        <v/>
      </c>
      <c r="Q27" s="29" t="str">
        <f t="shared" si="7"/>
        <v/>
      </c>
      <c r="R27" s="29" t="str">
        <f t="shared" si="12"/>
        <v/>
      </c>
      <c r="S27"/>
      <c r="AI27" s="57"/>
      <c r="AJ27" s="25" t="str">
        <f t="shared" si="1"/>
        <v/>
      </c>
    </row>
    <row r="28" spans="1:37" x14ac:dyDescent="0.25">
      <c r="A28" s="22">
        <v>45925.597893518519</v>
      </c>
      <c r="B28" s="102">
        <v>-0.32</v>
      </c>
      <c r="C28" s="56">
        <f t="shared" si="2"/>
        <v>28.06</v>
      </c>
      <c r="D28" s="24" t="str">
        <f t="shared" si="3"/>
        <v>L</v>
      </c>
      <c r="E28" s="24">
        <f t="shared" si="8"/>
        <v>1</v>
      </c>
      <c r="F28" s="24">
        <f t="shared" si="9"/>
        <v>57.93</v>
      </c>
      <c r="G28" s="24">
        <f t="shared" si="10"/>
        <v>-0.86999999999999744</v>
      </c>
      <c r="H28" s="57">
        <f t="shared" si="13"/>
        <v>-1.501812532366642E-2</v>
      </c>
      <c r="I28" s="57">
        <f t="shared" si="14"/>
        <v>-1.12755461592671E-2</v>
      </c>
      <c r="J28" s="57">
        <f t="shared" si="15"/>
        <v>-1.13755461592671E-2</v>
      </c>
      <c r="K28" s="57"/>
      <c r="L28"/>
      <c r="P28" s="62" t="str">
        <f t="shared" si="6"/>
        <v/>
      </c>
      <c r="Q28" s="29" t="str">
        <f t="shared" si="7"/>
        <v/>
      </c>
      <c r="R28" s="29" t="str">
        <f t="shared" si="12"/>
        <v/>
      </c>
      <c r="S28"/>
      <c r="AI28" s="57"/>
      <c r="AJ28" s="25" t="str">
        <f t="shared" si="1"/>
        <v/>
      </c>
    </row>
    <row r="29" spans="1:37" x14ac:dyDescent="0.25">
      <c r="A29" s="22">
        <v>45925.620925925927</v>
      </c>
      <c r="B29" s="102">
        <v>-0.3</v>
      </c>
      <c r="C29" s="56">
        <f t="shared" si="2"/>
        <v>27.759999999999998</v>
      </c>
      <c r="D29" s="24" t="str">
        <f t="shared" si="3"/>
        <v>L</v>
      </c>
      <c r="E29" s="24">
        <f t="shared" si="8"/>
        <v>2</v>
      </c>
      <c r="F29" s="24">
        <f t="shared" si="9"/>
        <v>57.93</v>
      </c>
      <c r="G29" s="24">
        <f t="shared" si="10"/>
        <v>-1.1700000000000017</v>
      </c>
      <c r="H29" s="57">
        <f t="shared" si="13"/>
        <v>-2.0196789228379086E-2</v>
      </c>
      <c r="I29" s="57">
        <f t="shared" si="14"/>
        <v>-1.0691375623663605E-2</v>
      </c>
      <c r="J29" s="57">
        <f t="shared" si="15"/>
        <v>-1.0791375623663604E-2</v>
      </c>
      <c r="K29" s="57"/>
      <c r="L29"/>
      <c r="O29" s="29"/>
      <c r="P29" s="62" t="str">
        <f t="shared" si="6"/>
        <v/>
      </c>
      <c r="Q29" s="29" t="str">
        <f t="shared" si="7"/>
        <v/>
      </c>
      <c r="R29" s="29" t="str">
        <f t="shared" si="12"/>
        <v/>
      </c>
      <c r="S29"/>
      <c r="AI29" s="57"/>
      <c r="AJ29" s="25" t="str">
        <f t="shared" si="1"/>
        <v/>
      </c>
    </row>
    <row r="30" spans="1:37" x14ac:dyDescent="0.25">
      <c r="A30" s="22">
        <v>45925.637592592589</v>
      </c>
      <c r="B30" s="102">
        <v>0.35</v>
      </c>
      <c r="C30" s="56">
        <f t="shared" si="2"/>
        <v>28.11</v>
      </c>
      <c r="D30" s="24" t="str">
        <f t="shared" si="3"/>
        <v>W</v>
      </c>
      <c r="E30" s="24">
        <f t="shared" si="8"/>
        <v>1</v>
      </c>
      <c r="F30" s="24">
        <f t="shared" si="9"/>
        <v>57.93</v>
      </c>
      <c r="G30" s="24">
        <f t="shared" si="10"/>
        <v>-0.82000000000000028</v>
      </c>
      <c r="H30" s="57">
        <f t="shared" si="13"/>
        <v>-1.415501467288105E-2</v>
      </c>
      <c r="I30" s="57">
        <f t="shared" si="14"/>
        <v>1.2608069164265183E-2</v>
      </c>
      <c r="J30" s="57">
        <f t="shared" si="15"/>
        <v>1.2508069164265183E-2</v>
      </c>
      <c r="K30" s="57"/>
      <c r="L30"/>
      <c r="O30" s="63"/>
      <c r="P30" s="62" t="str">
        <f t="shared" si="6"/>
        <v/>
      </c>
      <c r="Q30" s="29" t="str">
        <f t="shared" si="7"/>
        <v/>
      </c>
      <c r="R30" s="29" t="str">
        <f t="shared" si="12"/>
        <v/>
      </c>
      <c r="S30"/>
      <c r="AI30" s="57"/>
      <c r="AJ30" s="25" t="str">
        <f t="shared" si="1"/>
        <v/>
      </c>
    </row>
    <row r="31" spans="1:37" x14ac:dyDescent="0.25">
      <c r="A31" s="22">
        <v>45925.654374999998</v>
      </c>
      <c r="B31" s="102">
        <v>0.35</v>
      </c>
      <c r="C31" s="56">
        <f t="shared" si="2"/>
        <v>28.46</v>
      </c>
      <c r="D31" s="24" t="str">
        <f t="shared" si="3"/>
        <v>W</v>
      </c>
      <c r="E31" s="24">
        <f t="shared" si="8"/>
        <v>2</v>
      </c>
      <c r="F31" s="24">
        <f t="shared" si="9"/>
        <v>57.93</v>
      </c>
      <c r="G31" s="24">
        <f t="shared" si="10"/>
        <v>-0.46999999999999886</v>
      </c>
      <c r="H31" s="57">
        <f t="shared" si="13"/>
        <v>-8.1132401173830138E-3</v>
      </c>
      <c r="I31" s="57">
        <f t="shared" si="14"/>
        <v>1.2451085023123495E-2</v>
      </c>
      <c r="J31" s="57">
        <f t="shared" si="15"/>
        <v>1.2351085023123496E-2</v>
      </c>
      <c r="K31" s="57"/>
      <c r="L31"/>
      <c r="O31" s="29"/>
      <c r="P31" s="62" t="str">
        <f t="shared" si="6"/>
        <v/>
      </c>
      <c r="Q31" s="29" t="str">
        <f t="shared" si="7"/>
        <v/>
      </c>
      <c r="R31" s="29" t="str">
        <f t="shared" si="12"/>
        <v/>
      </c>
      <c r="S31"/>
      <c r="AI31" s="57"/>
      <c r="AJ31" s="25" t="str">
        <f t="shared" ref="AJ31:AJ35" si="16">IF(OR(AB31="Grand Total",AB31=""),"",AH31+AJ30)</f>
        <v/>
      </c>
    </row>
    <row r="32" spans="1:37" x14ac:dyDescent="0.25">
      <c r="A32" s="22">
        <v>45925.661203703705</v>
      </c>
      <c r="B32" s="102">
        <v>-0.3</v>
      </c>
      <c r="C32" s="56">
        <f t="shared" si="2"/>
        <v>28.16</v>
      </c>
      <c r="D32" s="24" t="str">
        <f t="shared" si="3"/>
        <v>L</v>
      </c>
      <c r="E32" s="24">
        <f t="shared" si="8"/>
        <v>1</v>
      </c>
      <c r="F32" s="24">
        <f t="shared" si="9"/>
        <v>57.93</v>
      </c>
      <c r="G32" s="24">
        <f t="shared" si="10"/>
        <v>-0.77000000000000313</v>
      </c>
      <c r="H32" s="57">
        <f t="shared" si="13"/>
        <v>-1.329190402209568E-2</v>
      </c>
      <c r="I32" s="57">
        <f t="shared" si="14"/>
        <v>-1.0541110330288149E-2</v>
      </c>
      <c r="J32" s="57">
        <f t="shared" si="15"/>
        <v>-1.0641110330288148E-2</v>
      </c>
      <c r="K32" s="57"/>
      <c r="L32"/>
      <c r="O32" s="29"/>
      <c r="P32" s="62" t="str">
        <f t="shared" si="6"/>
        <v/>
      </c>
      <c r="Q32" s="29" t="str">
        <f t="shared" si="7"/>
        <v/>
      </c>
      <c r="R32" s="29" t="str">
        <f t="shared" si="12"/>
        <v/>
      </c>
      <c r="S32"/>
      <c r="AI32" s="29"/>
      <c r="AJ32" s="25" t="str">
        <f t="shared" si="16"/>
        <v/>
      </c>
    </row>
    <row r="33" spans="1:36" x14ac:dyDescent="0.25">
      <c r="A33" s="22">
        <v>45925.662592592591</v>
      </c>
      <c r="B33" s="102">
        <v>0.36</v>
      </c>
      <c r="C33" s="56">
        <f t="shared" si="2"/>
        <v>28.52</v>
      </c>
      <c r="D33" s="24" t="str">
        <f t="shared" si="3"/>
        <v>W</v>
      </c>
      <c r="E33" s="24">
        <f t="shared" si="8"/>
        <v>1</v>
      </c>
      <c r="F33" s="24">
        <f t="shared" si="9"/>
        <v>57.93</v>
      </c>
      <c r="G33" s="24">
        <f t="shared" si="10"/>
        <v>-0.41000000000000369</v>
      </c>
      <c r="H33" s="57">
        <f t="shared" si="13"/>
        <v>-7.077507336440636E-3</v>
      </c>
      <c r="I33" s="57">
        <f t="shared" si="14"/>
        <v>1.2784090909090889E-2</v>
      </c>
      <c r="J33" s="57">
        <f t="shared" si="15"/>
        <v>1.268409090909089E-2</v>
      </c>
      <c r="K33" s="57"/>
      <c r="L33"/>
      <c r="O33" s="29"/>
      <c r="P33" s="62" t="str">
        <f t="shared" si="6"/>
        <v/>
      </c>
      <c r="Q33" s="29" t="str">
        <f t="shared" si="7"/>
        <v/>
      </c>
      <c r="R33" s="29" t="str">
        <f t="shared" si="12"/>
        <v/>
      </c>
      <c r="S33"/>
      <c r="AI33" s="29"/>
      <c r="AJ33" s="25" t="str">
        <f t="shared" si="16"/>
        <v/>
      </c>
    </row>
    <row r="34" spans="1:36" x14ac:dyDescent="0.25">
      <c r="A34" s="22">
        <v>45925.669652777775</v>
      </c>
      <c r="B34" s="102">
        <v>0.35</v>
      </c>
      <c r="C34" s="56">
        <f t="shared" si="2"/>
        <v>28.87</v>
      </c>
      <c r="D34" s="24" t="str">
        <f t="shared" si="3"/>
        <v>W</v>
      </c>
      <c r="E34" s="24">
        <f t="shared" si="8"/>
        <v>2</v>
      </c>
      <c r="F34" s="24">
        <f t="shared" si="9"/>
        <v>57.93</v>
      </c>
      <c r="G34" s="24">
        <f t="shared" si="10"/>
        <v>-5.9999999999995168E-2</v>
      </c>
      <c r="H34" s="57">
        <f t="shared" si="13"/>
        <v>-1.0357327809424888E-3</v>
      </c>
      <c r="I34" s="57">
        <f t="shared" si="14"/>
        <v>1.2272089761570877E-2</v>
      </c>
      <c r="J34" s="57">
        <f t="shared" si="15"/>
        <v>1.2172089761570878E-2</v>
      </c>
      <c r="K34" s="57"/>
      <c r="L34"/>
      <c r="O34" s="29"/>
      <c r="P34" s="62" t="str">
        <f t="shared" si="6"/>
        <v/>
      </c>
      <c r="Q34" s="29" t="str">
        <f t="shared" si="7"/>
        <v/>
      </c>
      <c r="R34" s="29" t="str">
        <f t="shared" si="12"/>
        <v/>
      </c>
      <c r="S34"/>
      <c r="AI34" s="29"/>
      <c r="AJ34" s="25" t="str">
        <f t="shared" si="16"/>
        <v/>
      </c>
    </row>
    <row r="35" spans="1:36" x14ac:dyDescent="0.25">
      <c r="A35" s="22">
        <v>45925.674861111111</v>
      </c>
      <c r="B35" s="102">
        <v>0.36</v>
      </c>
      <c r="C35" s="56">
        <f t="shared" si="2"/>
        <v>29.23</v>
      </c>
      <c r="D35" s="24" t="str">
        <f t="shared" si="3"/>
        <v>W</v>
      </c>
      <c r="E35" s="24">
        <f t="shared" si="8"/>
        <v>3</v>
      </c>
      <c r="F35" s="24">
        <f t="shared" si="9"/>
        <v>58.230000000000004</v>
      </c>
      <c r="G35" s="24">
        <f t="shared" si="10"/>
        <v>0</v>
      </c>
      <c r="H35" s="57">
        <f t="shared" si="13"/>
        <v>0</v>
      </c>
      <c r="I35" s="57">
        <f t="shared" si="14"/>
        <v>1.2469691721510199E-2</v>
      </c>
      <c r="J35" s="57">
        <f t="shared" si="15"/>
        <v>1.2369691721510199E-2</v>
      </c>
      <c r="K35" s="57"/>
      <c r="L35"/>
      <c r="O35" s="29"/>
      <c r="P35" s="62" t="str">
        <f t="shared" si="6"/>
        <v/>
      </c>
      <c r="Q35" s="29" t="str">
        <f t="shared" si="7"/>
        <v/>
      </c>
      <c r="R35" s="29" t="str">
        <f t="shared" si="12"/>
        <v/>
      </c>
      <c r="S35"/>
      <c r="V35" s="26" t="s">
        <v>64</v>
      </c>
      <c r="AI35" s="29"/>
      <c r="AJ35" s="25" t="str">
        <f t="shared" si="16"/>
        <v/>
      </c>
    </row>
    <row r="36" spans="1:36" x14ac:dyDescent="0.25">
      <c r="A36" s="22">
        <v>45925.680648148147</v>
      </c>
      <c r="B36" s="102">
        <v>-0.31</v>
      </c>
      <c r="C36" s="56">
        <f t="shared" si="2"/>
        <v>28.92</v>
      </c>
      <c r="D36" s="24" t="str">
        <f t="shared" si="3"/>
        <v>L</v>
      </c>
      <c r="E36" s="24">
        <f t="shared" si="8"/>
        <v>1</v>
      </c>
      <c r="F36" s="24">
        <f t="shared" si="9"/>
        <v>58.230000000000004</v>
      </c>
      <c r="G36" s="24">
        <f t="shared" si="10"/>
        <v>-0.31000000000000227</v>
      </c>
      <c r="H36" s="57">
        <f t="shared" si="13"/>
        <v>-5.3237162974412167E-3</v>
      </c>
      <c r="I36" s="57">
        <f t="shared" si="14"/>
        <v>-1.0605542251111828E-2</v>
      </c>
      <c r="J36" s="57">
        <f t="shared" si="15"/>
        <v>-1.0705542251111828E-2</v>
      </c>
      <c r="K36" s="57"/>
      <c r="L36"/>
      <c r="O36" s="29"/>
      <c r="P36" s="62" t="str">
        <f t="shared" si="6"/>
        <v/>
      </c>
      <c r="Q36" s="29" t="str">
        <f t="shared" si="7"/>
        <v/>
      </c>
      <c r="R36" s="29" t="str">
        <f t="shared" si="12"/>
        <v/>
      </c>
      <c r="S36"/>
      <c r="V36" s="21" t="s">
        <v>29</v>
      </c>
      <c r="W36" t="s">
        <v>93</v>
      </c>
      <c r="AI36" s="29"/>
      <c r="AJ36"/>
    </row>
    <row r="37" spans="1:36" x14ac:dyDescent="0.25">
      <c r="A37" s="22">
        <v>45925.695925925924</v>
      </c>
      <c r="B37" s="102">
        <v>-0.31</v>
      </c>
      <c r="C37" s="56">
        <f t="shared" si="2"/>
        <v>28.610000000000003</v>
      </c>
      <c r="D37" s="24" t="str">
        <f t="shared" si="3"/>
        <v>L</v>
      </c>
      <c r="E37" s="24">
        <f t="shared" si="8"/>
        <v>2</v>
      </c>
      <c r="F37" s="24">
        <f t="shared" si="9"/>
        <v>58.230000000000004</v>
      </c>
      <c r="G37" s="24">
        <f t="shared" si="10"/>
        <v>-0.62000000000000455</v>
      </c>
      <c r="H37" s="57">
        <f t="shared" si="13"/>
        <v>-1.0647432594882433E-2</v>
      </c>
      <c r="I37" s="57">
        <f t="shared" si="14"/>
        <v>-1.0719225449515861E-2</v>
      </c>
      <c r="J37" s="57">
        <f t="shared" si="15"/>
        <v>-1.081922544951586E-2</v>
      </c>
      <c r="K37" s="57"/>
      <c r="L37"/>
      <c r="O37" s="29"/>
      <c r="P37" s="62" t="str">
        <f t="shared" si="6"/>
        <v/>
      </c>
      <c r="Q37" s="29" t="str">
        <f t="shared" si="7"/>
        <v/>
      </c>
      <c r="R37" s="29" t="str">
        <f t="shared" si="12"/>
        <v/>
      </c>
      <c r="S37"/>
      <c r="AI37" s="29"/>
      <c r="AJ37"/>
    </row>
    <row r="38" spans="1:36" x14ac:dyDescent="0.25">
      <c r="A38" s="22">
        <v>45925.705879629626</v>
      </c>
      <c r="B38" s="102">
        <v>-0.3</v>
      </c>
      <c r="C38" s="56">
        <f t="shared" si="2"/>
        <v>28.310000000000002</v>
      </c>
      <c r="D38" s="24" t="str">
        <f t="shared" si="3"/>
        <v>L</v>
      </c>
      <c r="E38" s="24">
        <f t="shared" si="8"/>
        <v>3</v>
      </c>
      <c r="F38" s="24">
        <f t="shared" si="9"/>
        <v>58.230000000000004</v>
      </c>
      <c r="G38" s="24">
        <f t="shared" si="10"/>
        <v>-0.92000000000000171</v>
      </c>
      <c r="H38" s="57">
        <f t="shared" si="13"/>
        <v>-1.5799416108535191E-2</v>
      </c>
      <c r="I38" s="57">
        <f t="shared" si="14"/>
        <v>-1.0485844110450915E-2</v>
      </c>
      <c r="J38" s="57">
        <f t="shared" si="15"/>
        <v>-1.0585844110450915E-2</v>
      </c>
      <c r="K38" s="57"/>
      <c r="L38"/>
      <c r="O38" s="29"/>
      <c r="P38" s="62" t="str">
        <f t="shared" si="6"/>
        <v/>
      </c>
      <c r="Q38" s="29" t="str">
        <f t="shared" si="7"/>
        <v/>
      </c>
      <c r="R38" s="29" t="str">
        <f t="shared" si="12"/>
        <v/>
      </c>
      <c r="S38"/>
      <c r="V38" s="21" t="s">
        <v>50</v>
      </c>
      <c r="W38" t="s">
        <v>52</v>
      </c>
      <c r="AI38" s="29"/>
      <c r="AJ38"/>
    </row>
    <row r="39" spans="1:36" x14ac:dyDescent="0.25">
      <c r="A39" s="22">
        <v>45925.725092592591</v>
      </c>
      <c r="B39" s="102">
        <v>0.38</v>
      </c>
      <c r="C39" s="56">
        <f t="shared" si="2"/>
        <v>28.69</v>
      </c>
      <c r="D39" s="24" t="str">
        <f t="shared" si="3"/>
        <v>W</v>
      </c>
      <c r="E39" s="24">
        <f t="shared" si="8"/>
        <v>1</v>
      </c>
      <c r="F39" s="24">
        <f t="shared" si="9"/>
        <v>58.230000000000004</v>
      </c>
      <c r="G39" s="24">
        <f t="shared" si="10"/>
        <v>-0.54000000000000625</v>
      </c>
      <c r="H39" s="57">
        <f t="shared" si="13"/>
        <v>-9.2735703245750978E-3</v>
      </c>
      <c r="I39" s="57">
        <f t="shared" si="14"/>
        <v>1.3422818791946272E-2</v>
      </c>
      <c r="J39" s="57">
        <f t="shared" si="15"/>
        <v>1.3322818791946273E-2</v>
      </c>
      <c r="K39" s="57"/>
      <c r="L39"/>
      <c r="O39" s="29"/>
      <c r="P39" s="62" t="str">
        <f t="shared" si="6"/>
        <v/>
      </c>
      <c r="Q39" s="29" t="str">
        <f t="shared" si="7"/>
        <v/>
      </c>
      <c r="R39" s="29" t="str">
        <f t="shared" si="12"/>
        <v/>
      </c>
      <c r="S39"/>
      <c r="V39" s="1" t="s">
        <v>250</v>
      </c>
      <c r="W39" s="95">
        <v>1.0000000000000009E-2</v>
      </c>
      <c r="AI39" s="29"/>
      <c r="AJ39"/>
    </row>
    <row r="40" spans="1:36" x14ac:dyDescent="0.25">
      <c r="A40" s="22">
        <v>45925.729722222219</v>
      </c>
      <c r="B40" s="102">
        <v>-0.32</v>
      </c>
      <c r="C40" s="56">
        <f t="shared" si="2"/>
        <v>28.37</v>
      </c>
      <c r="D40" s="24" t="str">
        <f t="shared" si="3"/>
        <v>L</v>
      </c>
      <c r="E40" s="24">
        <f t="shared" si="8"/>
        <v>1</v>
      </c>
      <c r="F40" s="24">
        <f t="shared" si="9"/>
        <v>58.230000000000004</v>
      </c>
      <c r="G40" s="24">
        <f t="shared" si="10"/>
        <v>-0.85999999999999943</v>
      </c>
      <c r="H40" s="57">
        <f t="shared" si="13"/>
        <v>-1.4769019405804551E-2</v>
      </c>
      <c r="I40" s="57">
        <f t="shared" si="14"/>
        <v>-1.1153712094806562E-2</v>
      </c>
      <c r="J40" s="57">
        <f t="shared" si="15"/>
        <v>-1.1253712094806561E-2</v>
      </c>
      <c r="K40" s="57"/>
      <c r="L40"/>
      <c r="O40" s="29"/>
      <c r="P40" s="62" t="str">
        <f t="shared" si="6"/>
        <v/>
      </c>
      <c r="Q40" s="29" t="str">
        <f t="shared" si="7"/>
        <v/>
      </c>
      <c r="R40" s="29" t="str">
        <f t="shared" si="12"/>
        <v/>
      </c>
      <c r="S40"/>
      <c r="V40" s="1" t="s">
        <v>251</v>
      </c>
      <c r="W40" s="95">
        <v>7.999999999999996E-2</v>
      </c>
      <c r="AI40" s="29"/>
      <c r="AJ40"/>
    </row>
    <row r="41" spans="1:36" x14ac:dyDescent="0.25">
      <c r="A41" s="22">
        <v>45925.744884259257</v>
      </c>
      <c r="B41" s="102">
        <v>-0.31</v>
      </c>
      <c r="C41" s="56">
        <f t="shared" si="2"/>
        <v>28.060000000000002</v>
      </c>
      <c r="D41" s="24" t="str">
        <f t="shared" si="3"/>
        <v>L</v>
      </c>
      <c r="E41" s="24">
        <f t="shared" si="8"/>
        <v>2</v>
      </c>
      <c r="F41" s="24">
        <f t="shared" si="9"/>
        <v>58.230000000000004</v>
      </c>
      <c r="G41" s="24">
        <f t="shared" si="10"/>
        <v>-1.1700000000000017</v>
      </c>
      <c r="H41" s="57">
        <f t="shared" si="13"/>
        <v>-2.0092735703245768E-2</v>
      </c>
      <c r="I41" s="57">
        <f t="shared" si="14"/>
        <v>-1.0927035600986913E-2</v>
      </c>
      <c r="J41" s="57">
        <f t="shared" si="15"/>
        <v>-1.1027035600986912E-2</v>
      </c>
      <c r="K41" s="57"/>
      <c r="L41"/>
      <c r="O41" s="29"/>
      <c r="P41" s="62" t="str">
        <f t="shared" si="6"/>
        <v/>
      </c>
      <c r="Q41" s="29" t="str">
        <f t="shared" si="7"/>
        <v/>
      </c>
      <c r="R41" s="29" t="str">
        <f t="shared" si="12"/>
        <v/>
      </c>
      <c r="S41"/>
      <c r="V41" s="1" t="s">
        <v>320</v>
      </c>
      <c r="W41" s="95">
        <v>-0.25</v>
      </c>
      <c r="AI41" s="29"/>
      <c r="AJ41"/>
    </row>
    <row r="42" spans="1:36" x14ac:dyDescent="0.25">
      <c r="A42" s="22">
        <v>45925.751481481479</v>
      </c>
      <c r="B42" s="102">
        <v>-0.31</v>
      </c>
      <c r="C42" s="56">
        <f t="shared" si="2"/>
        <v>27.750000000000004</v>
      </c>
      <c r="D42" s="24" t="str">
        <f t="shared" si="3"/>
        <v>L</v>
      </c>
      <c r="E42" s="24">
        <f t="shared" si="8"/>
        <v>3</v>
      </c>
      <c r="F42" s="24">
        <f t="shared" si="9"/>
        <v>58.230000000000004</v>
      </c>
      <c r="G42" s="24">
        <f t="shared" si="10"/>
        <v>-1.480000000000004</v>
      </c>
      <c r="H42" s="57">
        <f t="shared" si="13"/>
        <v>-2.5416452000686984E-2</v>
      </c>
      <c r="I42" s="57">
        <f t="shared" si="14"/>
        <v>-1.1047754811118984E-2</v>
      </c>
      <c r="J42" s="57">
        <f t="shared" si="15"/>
        <v>-1.1147754811118984E-2</v>
      </c>
      <c r="K42" s="57"/>
      <c r="L42"/>
      <c r="O42" s="29"/>
      <c r="P42" s="62" t="str">
        <f t="shared" si="6"/>
        <v/>
      </c>
      <c r="Q42" s="29" t="str">
        <f t="shared" si="7"/>
        <v/>
      </c>
      <c r="R42" s="29" t="str">
        <f t="shared" si="12"/>
        <v/>
      </c>
      <c r="S42"/>
      <c r="V42" s="1" t="s">
        <v>321</v>
      </c>
      <c r="W42" s="95">
        <v>-0.28000000000000003</v>
      </c>
      <c r="AI42" s="29"/>
      <c r="AJ42"/>
    </row>
    <row r="43" spans="1:36" x14ac:dyDescent="0.25">
      <c r="A43" s="22">
        <v>45925.803090277775</v>
      </c>
      <c r="B43" s="102">
        <v>-0.3</v>
      </c>
      <c r="C43" s="56">
        <f t="shared" si="2"/>
        <v>27.450000000000003</v>
      </c>
      <c r="D43" s="24" t="str">
        <f t="shared" si="3"/>
        <v>L</v>
      </c>
      <c r="E43" s="24">
        <f t="shared" si="8"/>
        <v>4</v>
      </c>
      <c r="F43" s="24">
        <f t="shared" si="9"/>
        <v>58.230000000000004</v>
      </c>
      <c r="G43" s="24">
        <f t="shared" si="10"/>
        <v>-1.7800000000000011</v>
      </c>
      <c r="H43" s="57">
        <f t="shared" si="13"/>
        <v>-3.0568435514339742E-2</v>
      </c>
      <c r="I43" s="57">
        <f t="shared" ref="I43:I55" si="17">IFERROR((C43-C42)/C42,"")</f>
        <v>-1.0810810810810836E-2</v>
      </c>
      <c r="J43" s="57">
        <f t="shared" ref="J43:J55" si="18">IFERROR(I43-0.0001,"")</f>
        <v>-1.0910810810810835E-2</v>
      </c>
      <c r="K43" s="57"/>
      <c r="L43"/>
      <c r="O43" s="29"/>
      <c r="P43" s="62" t="str">
        <f t="shared" si="6"/>
        <v/>
      </c>
      <c r="Q43" s="29" t="str">
        <f t="shared" si="7"/>
        <v/>
      </c>
      <c r="R43" s="29" t="str">
        <f t="shared" si="12"/>
        <v/>
      </c>
      <c r="S43"/>
      <c r="V43" s="1" t="s">
        <v>322</v>
      </c>
      <c r="W43" s="95">
        <v>-0.31</v>
      </c>
      <c r="AI43" s="29"/>
      <c r="AJ43"/>
    </row>
    <row r="44" spans="1:36" x14ac:dyDescent="0.25">
      <c r="A44" s="22">
        <v>45925.807141203702</v>
      </c>
      <c r="B44" s="102">
        <v>-0.31</v>
      </c>
      <c r="C44" s="56">
        <f t="shared" si="2"/>
        <v>27.140000000000004</v>
      </c>
      <c r="D44" s="24" t="str">
        <f t="shared" si="3"/>
        <v>L</v>
      </c>
      <c r="E44" s="24">
        <f t="shared" si="8"/>
        <v>5</v>
      </c>
      <c r="F44" s="24">
        <f t="shared" si="9"/>
        <v>58.230000000000004</v>
      </c>
      <c r="G44" s="24">
        <f t="shared" si="10"/>
        <v>-2.0900000000000034</v>
      </c>
      <c r="H44" s="57">
        <f t="shared" si="13"/>
        <v>-3.5892151811780959E-2</v>
      </c>
      <c r="I44" s="57">
        <f t="shared" si="17"/>
        <v>-1.1293260473588295E-2</v>
      </c>
      <c r="J44" s="57">
        <f t="shared" si="18"/>
        <v>-1.1393260473588294E-2</v>
      </c>
      <c r="K44" s="57"/>
      <c r="L44"/>
      <c r="O44" s="29"/>
      <c r="P44" s="62" t="str">
        <f t="shared" si="6"/>
        <v/>
      </c>
      <c r="Q44" s="29" t="str">
        <f t="shared" si="7"/>
        <v/>
      </c>
      <c r="R44" s="29" t="str">
        <f t="shared" si="12"/>
        <v/>
      </c>
      <c r="S44"/>
      <c r="V44" s="1" t="s">
        <v>323</v>
      </c>
      <c r="W44" s="95">
        <v>-0.1</v>
      </c>
      <c r="AI44" s="29"/>
      <c r="AJ44"/>
    </row>
    <row r="45" spans="1:36" x14ac:dyDescent="0.25">
      <c r="A45" s="22">
        <v>45925.825775462959</v>
      </c>
      <c r="B45" s="102">
        <v>0.36</v>
      </c>
      <c r="C45" s="56">
        <f t="shared" si="2"/>
        <v>27.500000000000004</v>
      </c>
      <c r="D45" s="24" t="str">
        <f t="shared" si="3"/>
        <v>W</v>
      </c>
      <c r="E45" s="24">
        <f>IF(D45="","",IF(D45=D44,E44+1,1))</f>
        <v>1</v>
      </c>
      <c r="F45" s="24">
        <f t="shared" si="9"/>
        <v>58.230000000000004</v>
      </c>
      <c r="G45" s="24">
        <f t="shared" si="10"/>
        <v>-1.730000000000004</v>
      </c>
      <c r="H45" s="57">
        <f t="shared" si="11"/>
        <v>-2.9709771595397672E-2</v>
      </c>
      <c r="I45" s="57">
        <f t="shared" si="17"/>
        <v>1.3264554163596145E-2</v>
      </c>
      <c r="J45" s="57">
        <f t="shared" si="18"/>
        <v>1.3164554163596145E-2</v>
      </c>
      <c r="K45" s="57"/>
      <c r="L45"/>
      <c r="O45" s="29"/>
      <c r="P45" s="62" t="str">
        <f t="shared" si="6"/>
        <v/>
      </c>
      <c r="Q45" s="29" t="str">
        <f t="shared" si="7"/>
        <v/>
      </c>
      <c r="R45" s="29" t="str">
        <f t="shared" si="12"/>
        <v/>
      </c>
      <c r="S45"/>
      <c r="V45" s="1" t="s">
        <v>324</v>
      </c>
      <c r="W45" s="95">
        <v>-0.56999999999999995</v>
      </c>
      <c r="AI45" s="29"/>
      <c r="AJ45"/>
    </row>
    <row r="46" spans="1:36" x14ac:dyDescent="0.25">
      <c r="A46" s="22">
        <v>45925.850081018521</v>
      </c>
      <c r="B46" s="102">
        <v>-0.57999999999999996</v>
      </c>
      <c r="C46" s="56">
        <f t="shared" si="2"/>
        <v>26.920000000000005</v>
      </c>
      <c r="D46" s="24" t="str">
        <f t="shared" si="3"/>
        <v>L</v>
      </c>
      <c r="E46" s="24">
        <f t="shared" si="8"/>
        <v>1</v>
      </c>
      <c r="F46" s="24">
        <f t="shared" si="9"/>
        <v>58.230000000000004</v>
      </c>
      <c r="G46" s="24">
        <f t="shared" si="10"/>
        <v>-2.3100000000000023</v>
      </c>
      <c r="H46" s="57">
        <f t="shared" si="11"/>
        <v>-3.9670273055126271E-2</v>
      </c>
      <c r="I46" s="57">
        <f t="shared" si="17"/>
        <v>-2.1090909090909025E-2</v>
      </c>
      <c r="J46" s="57">
        <f t="shared" si="18"/>
        <v>-2.1190909090909024E-2</v>
      </c>
      <c r="K46" s="57"/>
      <c r="L46"/>
      <c r="O46" s="29"/>
      <c r="P46" s="62" t="str">
        <f t="shared" si="6"/>
        <v/>
      </c>
      <c r="Q46" s="29" t="str">
        <f t="shared" si="7"/>
        <v/>
      </c>
      <c r="R46" s="29" t="str">
        <f t="shared" si="12"/>
        <v/>
      </c>
      <c r="S46"/>
      <c r="V46" s="1" t="s">
        <v>325</v>
      </c>
      <c r="W46" s="95">
        <v>-0.27</v>
      </c>
      <c r="AI46" s="29"/>
      <c r="AJ46"/>
    </row>
    <row r="47" spans="1:36" x14ac:dyDescent="0.25">
      <c r="A47" s="22">
        <v>45925.862581018519</v>
      </c>
      <c r="B47" s="102">
        <v>0.35</v>
      </c>
      <c r="C47" s="56">
        <f t="shared" si="2"/>
        <v>27.270000000000007</v>
      </c>
      <c r="D47" s="24" t="str">
        <f t="shared" si="3"/>
        <v>W</v>
      </c>
      <c r="E47" s="24">
        <f t="shared" si="8"/>
        <v>1</v>
      </c>
      <c r="F47" s="24">
        <f t="shared" si="9"/>
        <v>58.230000000000004</v>
      </c>
      <c r="G47" s="24">
        <f t="shared" si="10"/>
        <v>-1.9599999999999937</v>
      </c>
      <c r="H47" s="57">
        <f t="shared" si="11"/>
        <v>-3.365962562253122E-2</v>
      </c>
      <c r="I47" s="57">
        <f t="shared" si="17"/>
        <v>1.3001485884101091E-2</v>
      </c>
      <c r="J47" s="57">
        <f t="shared" si="18"/>
        <v>1.2901485884101092E-2</v>
      </c>
      <c r="K47" s="57"/>
      <c r="L47"/>
      <c r="O47" s="29"/>
      <c r="P47" s="62" t="str">
        <f t="shared" si="6"/>
        <v/>
      </c>
      <c r="Q47" s="29" t="str">
        <f t="shared" si="7"/>
        <v/>
      </c>
      <c r="R47" s="29" t="str">
        <f t="shared" si="12"/>
        <v/>
      </c>
      <c r="S47"/>
      <c r="V47" s="1" t="s">
        <v>73</v>
      </c>
      <c r="W47" s="95">
        <v>-6.9999999999999979E-2</v>
      </c>
      <c r="AI47" s="29"/>
      <c r="AJ47"/>
    </row>
    <row r="48" spans="1:36" x14ac:dyDescent="0.25">
      <c r="A48" s="22">
        <v>45925.864085648151</v>
      </c>
      <c r="B48" s="102">
        <v>0.37</v>
      </c>
      <c r="C48" s="56">
        <f t="shared" si="2"/>
        <v>27.640000000000008</v>
      </c>
      <c r="D48" s="24" t="str">
        <f t="shared" si="3"/>
        <v>W</v>
      </c>
      <c r="E48" s="24">
        <f t="shared" si="8"/>
        <v>2</v>
      </c>
      <c r="F48" s="24">
        <f t="shared" si="9"/>
        <v>58.230000000000004</v>
      </c>
      <c r="G48" s="24">
        <f t="shared" si="10"/>
        <v>-1.5899999999999963</v>
      </c>
      <c r="H48" s="57">
        <f t="shared" si="11"/>
        <v>-2.7305512622359585E-2</v>
      </c>
      <c r="I48" s="57">
        <f t="shared" si="17"/>
        <v>1.3568023469013601E-2</v>
      </c>
      <c r="J48" s="57">
        <f t="shared" si="18"/>
        <v>1.3468023469013601E-2</v>
      </c>
      <c r="K48" s="57"/>
      <c r="L48"/>
      <c r="O48" s="29"/>
      <c r="P48" s="62" t="str">
        <f t="shared" si="6"/>
        <v/>
      </c>
      <c r="Q48" s="29" t="str">
        <f t="shared" si="7"/>
        <v/>
      </c>
      <c r="R48" s="29" t="str">
        <f t="shared" si="12"/>
        <v/>
      </c>
      <c r="S48"/>
      <c r="V48" s="1" t="s">
        <v>76</v>
      </c>
      <c r="W48" s="95">
        <v>-0.6</v>
      </c>
      <c r="AI48" s="29"/>
      <c r="AJ48"/>
    </row>
    <row r="49" spans="1:36" x14ac:dyDescent="0.25">
      <c r="A49" s="22">
        <v>45925.87195601852</v>
      </c>
      <c r="B49" s="102">
        <v>-0.31</v>
      </c>
      <c r="C49" s="56">
        <f t="shared" si="2"/>
        <v>27.330000000000009</v>
      </c>
      <c r="D49" s="24" t="str">
        <f t="shared" si="3"/>
        <v>L</v>
      </c>
      <c r="E49" s="24">
        <f t="shared" si="8"/>
        <v>1</v>
      </c>
      <c r="F49" s="24">
        <f t="shared" si="9"/>
        <v>58.230000000000004</v>
      </c>
      <c r="G49" s="24">
        <f t="shared" si="10"/>
        <v>-1.8999999999999915</v>
      </c>
      <c r="H49" s="57">
        <f t="shared" si="11"/>
        <v>-3.262922891980069E-2</v>
      </c>
      <c r="I49" s="57">
        <f t="shared" si="17"/>
        <v>-1.1215629522431209E-2</v>
      </c>
      <c r="J49" s="57">
        <f t="shared" si="18"/>
        <v>-1.1315629522431208E-2</v>
      </c>
      <c r="K49" s="57"/>
      <c r="L49"/>
      <c r="O49" s="29"/>
      <c r="P49" s="62" t="str">
        <f t="shared" si="6"/>
        <v/>
      </c>
      <c r="Q49" s="29" t="str">
        <f t="shared" si="7"/>
        <v/>
      </c>
      <c r="R49" s="29" t="str">
        <f t="shared" si="12"/>
        <v/>
      </c>
      <c r="S49"/>
      <c r="V49" s="1" t="s">
        <v>77</v>
      </c>
      <c r="W49" s="95">
        <v>4.9999999999999989E-2</v>
      </c>
      <c r="AI49" s="29"/>
      <c r="AJ49"/>
    </row>
    <row r="50" spans="1:36" x14ac:dyDescent="0.25">
      <c r="A50" s="22">
        <v>45925.873576388891</v>
      </c>
      <c r="B50" s="102">
        <v>0.37</v>
      </c>
      <c r="C50" s="56">
        <f t="shared" si="2"/>
        <v>27.70000000000001</v>
      </c>
      <c r="D50" s="24" t="str">
        <f t="shared" si="3"/>
        <v>W</v>
      </c>
      <c r="E50" s="24">
        <f t="shared" si="8"/>
        <v>1</v>
      </c>
      <c r="F50" s="24">
        <f t="shared" si="9"/>
        <v>58.230000000000004</v>
      </c>
      <c r="G50" s="24">
        <f t="shared" si="10"/>
        <v>-1.529999999999994</v>
      </c>
      <c r="H50" s="57">
        <f t="shared" si="11"/>
        <v>-2.6275115919628944E-2</v>
      </c>
      <c r="I50" s="57">
        <f t="shared" si="17"/>
        <v>1.3538236370289091E-2</v>
      </c>
      <c r="J50" s="57">
        <f t="shared" si="18"/>
        <v>1.3438236370289092E-2</v>
      </c>
      <c r="K50" s="57"/>
      <c r="L50"/>
      <c r="O50" s="29"/>
      <c r="P50" s="62" t="str">
        <f t="shared" si="6"/>
        <v/>
      </c>
      <c r="Q50" s="29" t="str">
        <f t="shared" si="7"/>
        <v/>
      </c>
      <c r="R50" s="29" t="str">
        <f t="shared" si="12"/>
        <v/>
      </c>
      <c r="S50"/>
      <c r="V50" s="1" t="s">
        <v>78</v>
      </c>
      <c r="W50" s="95">
        <v>-0.62</v>
      </c>
      <c r="AI50" s="29"/>
      <c r="AJ50"/>
    </row>
    <row r="51" spans="1:36" x14ac:dyDescent="0.25">
      <c r="A51" s="22">
        <v>45925.893136574072</v>
      </c>
      <c r="B51" s="102">
        <v>-0.3</v>
      </c>
      <c r="C51" s="56">
        <f t="shared" si="2"/>
        <v>27.400000000000009</v>
      </c>
      <c r="D51" s="24" t="str">
        <f t="shared" si="3"/>
        <v>L</v>
      </c>
      <c r="E51" s="24">
        <f t="shared" si="8"/>
        <v>1</v>
      </c>
      <c r="F51" s="24">
        <f t="shared" si="9"/>
        <v>58.230000000000004</v>
      </c>
      <c r="G51" s="24">
        <f t="shared" si="10"/>
        <v>-1.8299999999999983</v>
      </c>
      <c r="H51" s="57">
        <f t="shared" si="11"/>
        <v>-3.1427099433281813E-2</v>
      </c>
      <c r="I51" s="57">
        <f t="shared" si="17"/>
        <v>-1.0830324909747314E-2</v>
      </c>
      <c r="J51" s="57">
        <f t="shared" si="18"/>
        <v>-1.0930324909747314E-2</v>
      </c>
      <c r="K51" s="57"/>
      <c r="L51"/>
      <c r="O51" s="29"/>
      <c r="P51" s="62" t="str">
        <f t="shared" si="6"/>
        <v/>
      </c>
      <c r="Q51" s="29" t="str">
        <f t="shared" si="7"/>
        <v/>
      </c>
      <c r="R51" s="29" t="str">
        <f t="shared" si="12"/>
        <v/>
      </c>
      <c r="S51"/>
      <c r="V51" s="1" t="s">
        <v>162</v>
      </c>
      <c r="W51" s="95">
        <v>0.76</v>
      </c>
      <c r="AI51" s="29"/>
      <c r="AJ51"/>
    </row>
    <row r="52" spans="1:36" x14ac:dyDescent="0.25">
      <c r="A52" s="22">
        <v>45925.910844907405</v>
      </c>
      <c r="B52" s="102">
        <v>-0.31</v>
      </c>
      <c r="C52" s="56">
        <f t="shared" si="2"/>
        <v>27.090000000000011</v>
      </c>
      <c r="D52" s="24" t="str">
        <f t="shared" si="3"/>
        <v>L</v>
      </c>
      <c r="E52" s="24">
        <f t="shared" si="8"/>
        <v>2</v>
      </c>
      <c r="F52" s="24">
        <f t="shared" si="9"/>
        <v>58.230000000000004</v>
      </c>
      <c r="G52" s="24">
        <f t="shared" si="10"/>
        <v>-2.1399999999999935</v>
      </c>
      <c r="H52" s="57">
        <f t="shared" si="11"/>
        <v>-3.6750815730722919E-2</v>
      </c>
      <c r="I52" s="57">
        <f t="shared" si="17"/>
        <v>-1.1313868613138635E-2</v>
      </c>
      <c r="J52" s="57">
        <f t="shared" si="18"/>
        <v>-1.1413868613138634E-2</v>
      </c>
      <c r="K52" s="57"/>
      <c r="L52"/>
      <c r="O52" s="29"/>
      <c r="P52" s="62" t="str">
        <f t="shared" si="6"/>
        <v/>
      </c>
      <c r="Q52" s="29" t="str">
        <f t="shared" si="7"/>
        <v/>
      </c>
      <c r="R52" s="29" t="str">
        <f t="shared" si="12"/>
        <v/>
      </c>
      <c r="S52"/>
      <c r="V52" s="1" t="s">
        <v>163</v>
      </c>
      <c r="W52" s="95">
        <v>-0.21000000000000002</v>
      </c>
      <c r="AI52" s="29"/>
      <c r="AJ52"/>
    </row>
    <row r="53" spans="1:36" x14ac:dyDescent="0.25">
      <c r="A53" s="22">
        <v>45925.935034722221</v>
      </c>
      <c r="B53" s="102">
        <v>-0.33</v>
      </c>
      <c r="C53" s="56">
        <f t="shared" si="2"/>
        <v>26.760000000000012</v>
      </c>
      <c r="D53" s="24" t="str">
        <f t="shared" si="3"/>
        <v>L</v>
      </c>
      <c r="E53" s="24">
        <f t="shared" si="8"/>
        <v>3</v>
      </c>
      <c r="F53" s="24">
        <f t="shared" si="9"/>
        <v>58.230000000000004</v>
      </c>
      <c r="G53" s="24">
        <f t="shared" si="10"/>
        <v>-2.4699999999999918</v>
      </c>
      <c r="H53" s="57">
        <f t="shared" si="11"/>
        <v>-4.2417997595740831E-2</v>
      </c>
      <c r="I53" s="57">
        <f t="shared" si="17"/>
        <v>-1.2181616832779556E-2</v>
      </c>
      <c r="J53" s="57">
        <f t="shared" si="18"/>
        <v>-1.2281616832779556E-2</v>
      </c>
      <c r="K53" s="57"/>
      <c r="L53"/>
      <c r="O53" s="29"/>
      <c r="P53" s="62" t="str">
        <f t="shared" si="6"/>
        <v/>
      </c>
      <c r="Q53" s="29" t="str">
        <f t="shared" si="7"/>
        <v/>
      </c>
      <c r="R53" s="29" t="str">
        <f t="shared" si="12"/>
        <v/>
      </c>
      <c r="S53"/>
      <c r="V53" s="1" t="s">
        <v>198</v>
      </c>
      <c r="W53" s="95">
        <v>-0.25</v>
      </c>
      <c r="AI53" s="29"/>
      <c r="AJ53"/>
    </row>
    <row r="54" spans="1:36" x14ac:dyDescent="0.25">
      <c r="A54" s="22">
        <v>45925.947881944441</v>
      </c>
      <c r="B54" s="102">
        <v>0.34</v>
      </c>
      <c r="C54" s="56">
        <f t="shared" si="2"/>
        <v>27.100000000000012</v>
      </c>
      <c r="D54" s="24" t="str">
        <f t="shared" si="3"/>
        <v>W</v>
      </c>
      <c r="E54" s="24">
        <f t="shared" si="8"/>
        <v>1</v>
      </c>
      <c r="F54" s="24">
        <f t="shared" si="9"/>
        <v>58.230000000000004</v>
      </c>
      <c r="G54" s="24">
        <f t="shared" si="10"/>
        <v>-2.1299999999999955</v>
      </c>
      <c r="H54" s="57">
        <f t="shared" si="11"/>
        <v>-3.657908294693446E-2</v>
      </c>
      <c r="I54" s="57">
        <f t="shared" si="17"/>
        <v>1.2705530642750363E-2</v>
      </c>
      <c r="J54" s="57">
        <f t="shared" si="18"/>
        <v>1.2605530642750364E-2</v>
      </c>
      <c r="K54" s="57"/>
      <c r="L54"/>
      <c r="O54" s="29"/>
      <c r="P54" s="62" t="str">
        <f t="shared" si="6"/>
        <v/>
      </c>
      <c r="Q54" s="29" t="str">
        <f t="shared" si="7"/>
        <v/>
      </c>
      <c r="R54" s="29" t="str">
        <f t="shared" si="12"/>
        <v/>
      </c>
      <c r="S54"/>
      <c r="V54" s="1" t="s">
        <v>199</v>
      </c>
      <c r="W54" s="95">
        <v>-0.31</v>
      </c>
      <c r="AI54" s="29"/>
      <c r="AJ54"/>
    </row>
    <row r="55" spans="1:36" x14ac:dyDescent="0.25">
      <c r="A55" s="22">
        <v>45925.955405092594</v>
      </c>
      <c r="B55" s="102">
        <v>-0.36</v>
      </c>
      <c r="C55" s="56">
        <f t="shared" si="2"/>
        <v>26.740000000000013</v>
      </c>
      <c r="D55" s="24" t="str">
        <f t="shared" si="3"/>
        <v>L</v>
      </c>
      <c r="E55" s="24">
        <f t="shared" si="8"/>
        <v>1</v>
      </c>
      <c r="F55" s="24">
        <f t="shared" si="9"/>
        <v>58.230000000000004</v>
      </c>
      <c r="G55" s="24">
        <f t="shared" si="10"/>
        <v>-2.4899999999999949</v>
      </c>
      <c r="H55" s="57">
        <f t="shared" si="11"/>
        <v>-4.2761463163317748E-2</v>
      </c>
      <c r="I55" s="57">
        <f t="shared" si="17"/>
        <v>-1.3284132841328386E-2</v>
      </c>
      <c r="J55" s="57">
        <f t="shared" si="18"/>
        <v>-1.3384132841328385E-2</v>
      </c>
      <c r="K55" s="57"/>
      <c r="L55"/>
      <c r="O55" s="29"/>
      <c r="P55" s="62" t="str">
        <f t="shared" si="6"/>
        <v/>
      </c>
      <c r="Q55" s="29" t="str">
        <f t="shared" si="7"/>
        <v/>
      </c>
      <c r="R55" s="29" t="str">
        <f t="shared" si="12"/>
        <v/>
      </c>
      <c r="S55"/>
      <c r="V55" s="1" t="s">
        <v>200</v>
      </c>
      <c r="W55" s="95">
        <v>-0.25</v>
      </c>
      <c r="AI55" s="29"/>
      <c r="AJ55"/>
    </row>
    <row r="56" spans="1:36" x14ac:dyDescent="0.25">
      <c r="A56" s="22">
        <v>45925.973460648151</v>
      </c>
      <c r="B56" s="102">
        <v>-0.3</v>
      </c>
      <c r="C56" s="56">
        <f t="shared" si="2"/>
        <v>26.440000000000012</v>
      </c>
      <c r="D56" s="24" t="str">
        <f t="shared" si="3"/>
        <v>L</v>
      </c>
      <c r="E56" s="24">
        <f t="shared" si="8"/>
        <v>2</v>
      </c>
      <c r="F56" s="24">
        <f t="shared" si="9"/>
        <v>58.230000000000004</v>
      </c>
      <c r="G56" s="24">
        <f t="shared" si="10"/>
        <v>-2.789999999999992</v>
      </c>
      <c r="H56" s="57">
        <f t="shared" si="11"/>
        <v>-4.7913446676970506E-2</v>
      </c>
      <c r="I56" s="57"/>
      <c r="J56" s="57"/>
      <c r="K56" s="57"/>
      <c r="L56"/>
      <c r="O56" s="29"/>
      <c r="P56" s="62" t="str">
        <f t="shared" si="6"/>
        <v/>
      </c>
      <c r="Q56" s="29" t="str">
        <f t="shared" si="7"/>
        <v/>
      </c>
      <c r="R56" s="29" t="str">
        <f t="shared" si="12"/>
        <v/>
      </c>
      <c r="S56"/>
      <c r="V56" s="1" t="s">
        <v>223</v>
      </c>
      <c r="W56" s="95">
        <v>0.2</v>
      </c>
      <c r="AI56" s="29"/>
      <c r="AJ56"/>
    </row>
    <row r="57" spans="1:36" x14ac:dyDescent="0.25">
      <c r="A57" s="22">
        <v>45925.990590277775</v>
      </c>
      <c r="B57" s="102">
        <v>0.35</v>
      </c>
      <c r="C57" s="56">
        <f t="shared" si="2"/>
        <v>26.790000000000013</v>
      </c>
      <c r="D57" s="24" t="str">
        <f t="shared" si="3"/>
        <v>W</v>
      </c>
      <c r="E57" s="24">
        <f t="shared" si="8"/>
        <v>1</v>
      </c>
      <c r="F57" s="24">
        <f t="shared" si="9"/>
        <v>58.230000000000004</v>
      </c>
      <c r="G57" s="24">
        <f t="shared" si="10"/>
        <v>-2.4399999999999906</v>
      </c>
      <c r="H57" s="57">
        <f t="shared" si="11"/>
        <v>-4.1902799244375566E-2</v>
      </c>
      <c r="I57" s="57"/>
      <c r="J57" s="57"/>
      <c r="K57" s="57"/>
      <c r="L57"/>
      <c r="O57" s="29"/>
      <c r="P57" s="62" t="str">
        <f t="shared" si="6"/>
        <v/>
      </c>
      <c r="Q57" s="29" t="str">
        <f t="shared" si="7"/>
        <v/>
      </c>
      <c r="R57" s="29" t="str">
        <f t="shared" si="12"/>
        <v/>
      </c>
      <c r="S57"/>
      <c r="V57" s="1" t="s">
        <v>224</v>
      </c>
      <c r="W57" s="95">
        <v>-0.61</v>
      </c>
      <c r="AI57" s="29"/>
      <c r="AJ57"/>
    </row>
    <row r="58" spans="1:36" x14ac:dyDescent="0.25">
      <c r="A58" s="22">
        <v>45926.011192129627</v>
      </c>
      <c r="B58" s="102">
        <v>-0.22</v>
      </c>
      <c r="C58" s="56">
        <f t="shared" si="2"/>
        <v>26.570000000000014</v>
      </c>
      <c r="D58" s="24" t="str">
        <f t="shared" si="3"/>
        <v>L</v>
      </c>
      <c r="E58" s="24">
        <f t="shared" si="8"/>
        <v>1</v>
      </c>
      <c r="F58" s="24">
        <f t="shared" si="9"/>
        <v>58.230000000000004</v>
      </c>
      <c r="G58" s="24">
        <f t="shared" si="10"/>
        <v>-2.6599999999999895</v>
      </c>
      <c r="H58" s="57">
        <f t="shared" si="11"/>
        <v>-4.5680920487720877E-2</v>
      </c>
      <c r="I58" s="57"/>
      <c r="J58" s="57"/>
      <c r="K58" s="57"/>
      <c r="L58"/>
      <c r="O58" s="29"/>
      <c r="P58" s="62" t="str">
        <f t="shared" si="6"/>
        <v/>
      </c>
      <c r="Q58" s="29" t="str">
        <f t="shared" si="7"/>
        <v/>
      </c>
      <c r="R58" s="29" t="str">
        <f t="shared" si="12"/>
        <v/>
      </c>
      <c r="S58"/>
      <c r="V58" s="1" t="s">
        <v>225</v>
      </c>
      <c r="W58" s="95">
        <v>-0.35</v>
      </c>
      <c r="AI58" s="29"/>
      <c r="AJ58"/>
    </row>
    <row r="59" spans="1:36" x14ac:dyDescent="0.25">
      <c r="A59" s="22">
        <v>45926.026469907411</v>
      </c>
      <c r="B59" s="102">
        <v>0.23</v>
      </c>
      <c r="C59" s="56">
        <f t="shared" si="2"/>
        <v>26.800000000000015</v>
      </c>
      <c r="D59" s="24" t="str">
        <f t="shared" si="3"/>
        <v>W</v>
      </c>
      <c r="E59" s="24">
        <f t="shared" si="8"/>
        <v>1</v>
      </c>
      <c r="F59" s="24">
        <f t="shared" si="9"/>
        <v>58.230000000000004</v>
      </c>
      <c r="G59" s="24">
        <f t="shared" si="10"/>
        <v>-2.4299999999999926</v>
      </c>
      <c r="H59" s="57">
        <f t="shared" si="11"/>
        <v>-4.1731066460587218E-2</v>
      </c>
      <c r="I59" s="57"/>
      <c r="J59" s="57"/>
      <c r="K59" s="57"/>
      <c r="L59"/>
      <c r="O59" s="29"/>
      <c r="P59" s="62" t="str">
        <f t="shared" si="6"/>
        <v/>
      </c>
      <c r="Q59" s="29" t="str">
        <f t="shared" si="7"/>
        <v/>
      </c>
      <c r="R59" s="29" t="str">
        <f t="shared" si="12"/>
        <v/>
      </c>
      <c r="S59"/>
      <c r="V59" s="1" t="s">
        <v>252</v>
      </c>
      <c r="W59" s="95">
        <v>4.9999999999999989E-2</v>
      </c>
      <c r="AI59" s="29"/>
      <c r="AJ59"/>
    </row>
    <row r="60" spans="1:36" x14ac:dyDescent="0.25">
      <c r="A60" s="22">
        <v>45926.046249999999</v>
      </c>
      <c r="B60" s="102">
        <v>-0.28000000000000003</v>
      </c>
      <c r="C60" s="56">
        <f t="shared" si="2"/>
        <v>26.520000000000014</v>
      </c>
      <c r="D60" s="24" t="str">
        <f t="shared" si="3"/>
        <v>L</v>
      </c>
      <c r="E60" s="24">
        <f t="shared" si="8"/>
        <v>1</v>
      </c>
      <c r="F60" s="24">
        <f t="shared" si="9"/>
        <v>58.230000000000004</v>
      </c>
      <c r="G60" s="24">
        <f t="shared" si="10"/>
        <v>-2.7099999999999937</v>
      </c>
      <c r="H60" s="57">
        <f t="shared" si="11"/>
        <v>-4.653958440666317E-2</v>
      </c>
      <c r="I60" s="57"/>
      <c r="J60" s="57"/>
      <c r="K60" s="57"/>
      <c r="L60"/>
      <c r="O60" s="29"/>
      <c r="P60" s="62" t="str">
        <f t="shared" si="6"/>
        <v/>
      </c>
      <c r="Q60" s="29" t="str">
        <f t="shared" si="7"/>
        <v/>
      </c>
      <c r="R60" s="29" t="str">
        <f t="shared" si="12"/>
        <v/>
      </c>
      <c r="S60"/>
      <c r="V60" s="1" t="s">
        <v>51</v>
      </c>
      <c r="W60" s="95">
        <v>-3.9</v>
      </c>
      <c r="AI60" s="29"/>
      <c r="AJ60"/>
    </row>
    <row r="61" spans="1:36" x14ac:dyDescent="0.25">
      <c r="A61" s="22">
        <v>45926.055509259262</v>
      </c>
      <c r="B61" s="102">
        <v>0.36</v>
      </c>
      <c r="C61" s="56">
        <f t="shared" si="2"/>
        <v>26.880000000000013</v>
      </c>
      <c r="D61" s="24" t="str">
        <f t="shared" si="3"/>
        <v>W</v>
      </c>
      <c r="E61" s="24">
        <f t="shared" si="8"/>
        <v>1</v>
      </c>
      <c r="F61" s="24">
        <f t="shared" si="9"/>
        <v>58.230000000000004</v>
      </c>
      <c r="G61" s="24">
        <f t="shared" si="10"/>
        <v>-2.3499999999999943</v>
      </c>
      <c r="H61" s="57">
        <f t="shared" si="11"/>
        <v>-4.0357204190279772E-2</v>
      </c>
      <c r="I61" s="57"/>
      <c r="J61" s="57"/>
      <c r="K61" s="57"/>
      <c r="L61"/>
      <c r="O61" s="29"/>
      <c r="P61" s="62" t="str">
        <f t="shared" si="6"/>
        <v/>
      </c>
      <c r="Q61" s="29" t="str">
        <f t="shared" si="7"/>
        <v/>
      </c>
      <c r="R61" s="29" t="str">
        <f t="shared" si="12"/>
        <v/>
      </c>
      <c r="S61"/>
      <c r="AI61" s="29"/>
      <c r="AJ61"/>
    </row>
    <row r="62" spans="1:36" x14ac:dyDescent="0.25">
      <c r="A62" s="22">
        <v>45926.086180555554</v>
      </c>
      <c r="B62" s="102">
        <v>-0.3</v>
      </c>
      <c r="C62" s="56">
        <f t="shared" si="2"/>
        <v>26.580000000000013</v>
      </c>
      <c r="D62" s="24" t="str">
        <f t="shared" si="3"/>
        <v>L</v>
      </c>
      <c r="E62" s="24">
        <f t="shared" si="8"/>
        <v>1</v>
      </c>
      <c r="F62" s="24">
        <f t="shared" si="9"/>
        <v>58.230000000000004</v>
      </c>
      <c r="G62" s="24">
        <f t="shared" si="10"/>
        <v>-2.6499999999999915</v>
      </c>
      <c r="H62" s="57">
        <f t="shared" si="11"/>
        <v>-4.550918770393253E-2</v>
      </c>
      <c r="I62" s="57"/>
      <c r="J62" s="57"/>
      <c r="K62" s="57"/>
      <c r="L62"/>
      <c r="O62" s="29"/>
      <c r="P62" s="62" t="str">
        <f t="shared" si="6"/>
        <v/>
      </c>
      <c r="Q62" s="29" t="str">
        <f t="shared" si="7"/>
        <v/>
      </c>
      <c r="R62" s="29" t="str">
        <f t="shared" si="12"/>
        <v/>
      </c>
      <c r="S62"/>
      <c r="AI62" s="29"/>
      <c r="AJ62"/>
    </row>
    <row r="63" spans="1:36" x14ac:dyDescent="0.25">
      <c r="A63" s="22">
        <v>45926.10701388889</v>
      </c>
      <c r="B63" s="102">
        <v>0.35</v>
      </c>
      <c r="C63" s="56">
        <f t="shared" si="2"/>
        <v>26.930000000000014</v>
      </c>
      <c r="D63" s="24" t="str">
        <f t="shared" si="3"/>
        <v>W</v>
      </c>
      <c r="E63" s="24">
        <f t="shared" si="8"/>
        <v>1</v>
      </c>
      <c r="F63" s="24">
        <f t="shared" si="9"/>
        <v>58.230000000000004</v>
      </c>
      <c r="G63" s="24">
        <f t="shared" si="10"/>
        <v>-2.2999999999999901</v>
      </c>
      <c r="H63" s="57">
        <f t="shared" si="11"/>
        <v>-3.949854027133759E-2</v>
      </c>
      <c r="I63" s="57"/>
      <c r="J63" s="57"/>
      <c r="K63" s="57"/>
      <c r="L63"/>
      <c r="O63" s="29"/>
      <c r="S63"/>
      <c r="AI63" s="29"/>
      <c r="AJ63"/>
    </row>
    <row r="64" spans="1:36" x14ac:dyDescent="0.25">
      <c r="A64" s="22">
        <v>45926.114074074074</v>
      </c>
      <c r="B64" s="102">
        <v>-0.3</v>
      </c>
      <c r="C64" s="56">
        <f t="shared" si="2"/>
        <v>26.630000000000013</v>
      </c>
      <c r="D64" s="24" t="str">
        <f t="shared" si="3"/>
        <v>L</v>
      </c>
      <c r="E64" s="24">
        <f t="shared" si="8"/>
        <v>1</v>
      </c>
      <c r="F64" s="24">
        <f t="shared" si="9"/>
        <v>58.230000000000004</v>
      </c>
      <c r="G64" s="24">
        <f t="shared" si="10"/>
        <v>-2.5999999999999943</v>
      </c>
      <c r="H64" s="57">
        <f t="shared" si="11"/>
        <v>-4.4650523784990459E-2</v>
      </c>
      <c r="I64" s="57"/>
      <c r="J64" s="57"/>
      <c r="K64" s="57"/>
      <c r="L64"/>
      <c r="O64" s="29"/>
      <c r="S64"/>
      <c r="AI64" s="29"/>
      <c r="AJ64"/>
    </row>
    <row r="65" spans="1:36" x14ac:dyDescent="0.25">
      <c r="A65" s="22">
        <v>45926.145902777775</v>
      </c>
      <c r="B65" s="102">
        <v>0.35</v>
      </c>
      <c r="C65" s="56">
        <f t="shared" si="2"/>
        <v>26.980000000000015</v>
      </c>
      <c r="D65" s="24" t="str">
        <f t="shared" si="3"/>
        <v>W</v>
      </c>
      <c r="E65" s="24">
        <f t="shared" si="8"/>
        <v>1</v>
      </c>
      <c r="F65" s="24">
        <f t="shared" si="9"/>
        <v>58.230000000000004</v>
      </c>
      <c r="G65" s="24">
        <f t="shared" si="10"/>
        <v>-2.2499999999999858</v>
      </c>
      <c r="H65" s="57">
        <f t="shared" si="11"/>
        <v>-3.8639876352395408E-2</v>
      </c>
      <c r="I65" s="57"/>
      <c r="J65" s="57"/>
      <c r="K65" s="57"/>
      <c r="L65"/>
      <c r="O65" s="29"/>
      <c r="S65"/>
      <c r="AI65" s="29"/>
      <c r="AJ65"/>
    </row>
    <row r="66" spans="1:36" x14ac:dyDescent="0.25">
      <c r="A66" s="22">
        <v>45926.155439814815</v>
      </c>
      <c r="B66" s="102">
        <v>-0.33</v>
      </c>
      <c r="C66" s="56">
        <f t="shared" si="2"/>
        <v>26.650000000000016</v>
      </c>
      <c r="D66" s="24" t="str">
        <f t="shared" si="3"/>
        <v>L</v>
      </c>
      <c r="E66" s="24">
        <f t="shared" si="8"/>
        <v>1</v>
      </c>
      <c r="F66" s="24">
        <f t="shared" si="9"/>
        <v>58.230000000000004</v>
      </c>
      <c r="G66" s="24">
        <f t="shared" si="10"/>
        <v>-2.5799999999999841</v>
      </c>
      <c r="H66" s="57">
        <f t="shared" si="11"/>
        <v>-4.4307058217413431E-2</v>
      </c>
      <c r="I66" s="57"/>
      <c r="J66" s="57"/>
      <c r="K66" s="57"/>
      <c r="L66"/>
      <c r="O66" s="29"/>
      <c r="S66"/>
      <c r="AI66" s="29"/>
      <c r="AJ66"/>
    </row>
    <row r="67" spans="1:36" x14ac:dyDescent="0.25">
      <c r="A67" s="22">
        <v>45926.162615740737</v>
      </c>
      <c r="B67" s="102">
        <v>-0.3</v>
      </c>
      <c r="C67" s="56">
        <f t="shared" si="2"/>
        <v>26.350000000000016</v>
      </c>
      <c r="D67" s="24" t="str">
        <f t="shared" si="3"/>
        <v>L</v>
      </c>
      <c r="E67" s="24">
        <f t="shared" si="8"/>
        <v>2</v>
      </c>
      <c r="F67" s="24">
        <f t="shared" si="9"/>
        <v>58.230000000000004</v>
      </c>
      <c r="G67" s="24">
        <f t="shared" si="10"/>
        <v>-2.8799999999999883</v>
      </c>
      <c r="H67" s="57">
        <f t="shared" si="11"/>
        <v>-4.94590417310663E-2</v>
      </c>
      <c r="I67" s="57"/>
      <c r="J67" s="57"/>
      <c r="K67" s="57"/>
      <c r="L67"/>
      <c r="O67" s="29"/>
      <c r="S67"/>
      <c r="AI67" s="29"/>
      <c r="AJ67"/>
    </row>
    <row r="68" spans="1:36" x14ac:dyDescent="0.25">
      <c r="A68" s="22">
        <v>45926.193402777775</v>
      </c>
      <c r="B68" s="102">
        <v>-0.31</v>
      </c>
      <c r="C68" s="56">
        <f t="shared" si="2"/>
        <v>26.040000000000017</v>
      </c>
      <c r="D68" s="24" t="str">
        <f t="shared" si="3"/>
        <v>L</v>
      </c>
      <c r="E68" s="24">
        <f t="shared" si="8"/>
        <v>3</v>
      </c>
      <c r="F68" s="24">
        <f t="shared" si="9"/>
        <v>58.230000000000004</v>
      </c>
      <c r="G68" s="24">
        <f t="shared" si="10"/>
        <v>-3.1899999999999835</v>
      </c>
      <c r="H68" s="57">
        <f t="shared" si="11"/>
        <v>-5.4782758028507406E-2</v>
      </c>
      <c r="I68" s="57"/>
      <c r="J68" s="57"/>
      <c r="K68" s="57"/>
      <c r="L68"/>
      <c r="O68" s="29"/>
      <c r="S68"/>
      <c r="AI68" s="29"/>
      <c r="AJ68"/>
    </row>
    <row r="69" spans="1:36" x14ac:dyDescent="0.25">
      <c r="A69" s="22">
        <v>45926.30982638889</v>
      </c>
      <c r="B69" s="102">
        <v>-0.15</v>
      </c>
      <c r="C69" s="56">
        <f t="shared" si="2"/>
        <v>25.890000000000018</v>
      </c>
      <c r="D69" s="24" t="str">
        <f t="shared" si="3"/>
        <v>L</v>
      </c>
      <c r="E69" s="24">
        <f t="shared" si="8"/>
        <v>4</v>
      </c>
      <c r="F69" s="24">
        <f t="shared" si="9"/>
        <v>58.230000000000004</v>
      </c>
      <c r="G69" s="24">
        <f t="shared" si="10"/>
        <v>-3.3399999999999892</v>
      </c>
      <c r="H69" s="57">
        <f t="shared" si="11"/>
        <v>-5.735874978533384E-2</v>
      </c>
      <c r="I69" s="57"/>
      <c r="J69" s="57"/>
      <c r="K69" s="57"/>
      <c r="L69"/>
      <c r="O69" s="29"/>
      <c r="S69"/>
      <c r="AI69" s="29"/>
      <c r="AJ69"/>
    </row>
    <row r="70" spans="1:36" x14ac:dyDescent="0.25">
      <c r="A70" s="22">
        <v>45926.31144675926</v>
      </c>
      <c r="B70" s="102">
        <v>-0.31</v>
      </c>
      <c r="C70" s="56">
        <f t="shared" si="2"/>
        <v>25.58000000000002</v>
      </c>
      <c r="D70" s="24" t="str">
        <f t="shared" si="3"/>
        <v>L</v>
      </c>
      <c r="E70" s="24">
        <f t="shared" si="8"/>
        <v>5</v>
      </c>
      <c r="F70" s="24">
        <f t="shared" si="9"/>
        <v>58.230000000000004</v>
      </c>
      <c r="G70" s="24">
        <f t="shared" si="10"/>
        <v>-3.6499999999999844</v>
      </c>
      <c r="H70" s="57">
        <f t="shared" si="11"/>
        <v>-6.2682466082774946E-2</v>
      </c>
      <c r="I70" s="57"/>
      <c r="J70" s="57"/>
      <c r="K70" s="57"/>
      <c r="L70"/>
      <c r="O70" s="29"/>
      <c r="S70"/>
      <c r="AI70" s="29"/>
      <c r="AJ70"/>
    </row>
    <row r="71" spans="1:36" x14ac:dyDescent="0.25">
      <c r="A71" s="22">
        <v>45926.332858796297</v>
      </c>
      <c r="B71" s="102">
        <v>0.36</v>
      </c>
      <c r="C71" s="56">
        <f t="shared" si="2"/>
        <v>25.940000000000019</v>
      </c>
      <c r="D71" s="24" t="str">
        <f t="shared" si="3"/>
        <v>W</v>
      </c>
      <c r="E71" s="24">
        <f t="shared" si="8"/>
        <v>1</v>
      </c>
      <c r="F71" s="24">
        <f t="shared" si="9"/>
        <v>58.230000000000004</v>
      </c>
      <c r="G71" s="24">
        <f t="shared" si="10"/>
        <v>-3.2899999999999849</v>
      </c>
      <c r="H71" s="57">
        <f t="shared" si="11"/>
        <v>-5.6500085866391658E-2</v>
      </c>
      <c r="I71" s="57"/>
      <c r="J71" s="57"/>
      <c r="K71" s="57"/>
      <c r="L71"/>
      <c r="O71" s="29"/>
      <c r="S71"/>
      <c r="AI71" s="29"/>
      <c r="AJ71"/>
    </row>
    <row r="72" spans="1:36" x14ac:dyDescent="0.25">
      <c r="A72" s="22">
        <v>45926.337141203701</v>
      </c>
      <c r="B72" s="102">
        <v>-0.31</v>
      </c>
      <c r="C72" s="56">
        <f t="shared" si="2"/>
        <v>25.63000000000002</v>
      </c>
      <c r="D72" s="24" t="str">
        <f t="shared" si="3"/>
        <v>L</v>
      </c>
      <c r="E72" s="24">
        <f t="shared" si="8"/>
        <v>1</v>
      </c>
      <c r="F72" s="24">
        <f t="shared" si="9"/>
        <v>58.230000000000004</v>
      </c>
      <c r="G72" s="24">
        <f t="shared" si="10"/>
        <v>-3.5999999999999801</v>
      </c>
      <c r="H72" s="57">
        <f t="shared" si="11"/>
        <v>-6.1823802163832764E-2</v>
      </c>
      <c r="I72" s="57"/>
      <c r="J72" s="57"/>
      <c r="K72" s="57"/>
      <c r="L72"/>
      <c r="O72" s="29"/>
      <c r="S72"/>
      <c r="AI72" s="29"/>
      <c r="AJ72"/>
    </row>
    <row r="73" spans="1:36" x14ac:dyDescent="0.25">
      <c r="A73" s="22">
        <v>45926.344548611109</v>
      </c>
      <c r="B73" s="102">
        <v>-0.3</v>
      </c>
      <c r="C73" s="56">
        <f t="shared" si="2"/>
        <v>25.33000000000002</v>
      </c>
      <c r="D73" s="24" t="str">
        <f t="shared" si="3"/>
        <v>L</v>
      </c>
      <c r="E73" s="24">
        <f t="shared" si="8"/>
        <v>2</v>
      </c>
      <c r="F73" s="24">
        <f t="shared" si="9"/>
        <v>58.230000000000004</v>
      </c>
      <c r="G73" s="24">
        <f t="shared" si="10"/>
        <v>-3.8999999999999844</v>
      </c>
      <c r="H73" s="57">
        <f t="shared" si="11"/>
        <v>-6.6975785677485522E-2</v>
      </c>
      <c r="I73" s="57"/>
      <c r="J73" s="57"/>
      <c r="K73" s="57"/>
      <c r="L73"/>
      <c r="O73" s="29"/>
      <c r="S73"/>
      <c r="AI73" s="29"/>
      <c r="AJ73"/>
    </row>
    <row r="74" spans="1:36" x14ac:dyDescent="0.25">
      <c r="A74" s="22">
        <v>45926.354733796295</v>
      </c>
      <c r="B74" s="102">
        <v>-0.3</v>
      </c>
      <c r="C74" s="56">
        <f t="shared" si="2"/>
        <v>25.030000000000019</v>
      </c>
      <c r="D74" s="24" t="str">
        <f t="shared" si="3"/>
        <v>L</v>
      </c>
      <c r="E74" s="24">
        <f t="shared" si="8"/>
        <v>3</v>
      </c>
      <c r="F74" s="24">
        <f t="shared" si="9"/>
        <v>58.230000000000004</v>
      </c>
      <c r="G74" s="24">
        <f t="shared" si="10"/>
        <v>-4.1999999999999886</v>
      </c>
      <c r="H74" s="57">
        <f t="shared" si="11"/>
        <v>-7.2127769191138391E-2</v>
      </c>
      <c r="I74" s="57"/>
      <c r="J74" s="57"/>
      <c r="K74" s="57"/>
      <c r="L74"/>
      <c r="O74" s="29"/>
      <c r="S74"/>
      <c r="AI74" s="29"/>
      <c r="AJ74"/>
    </row>
    <row r="75" spans="1:36" x14ac:dyDescent="0.25">
      <c r="A75" s="22">
        <v>45926.37394675926</v>
      </c>
      <c r="B75" s="102">
        <v>0.34</v>
      </c>
      <c r="C75" s="56">
        <f t="shared" si="2"/>
        <v>25.370000000000019</v>
      </c>
      <c r="D75" s="24" t="str">
        <f t="shared" si="3"/>
        <v>W</v>
      </c>
      <c r="E75" s="24">
        <f t="shared" si="8"/>
        <v>1</v>
      </c>
      <c r="F75" s="24">
        <f t="shared" si="9"/>
        <v>58.230000000000004</v>
      </c>
      <c r="G75" s="24">
        <f t="shared" si="10"/>
        <v>-3.8599999999999852</v>
      </c>
      <c r="H75" s="57">
        <f t="shared" si="11"/>
        <v>-6.628885454233191E-2</v>
      </c>
      <c r="I75" s="57"/>
      <c r="J75" s="57"/>
      <c r="K75" s="57"/>
      <c r="L75"/>
      <c r="O75" s="29"/>
      <c r="S75"/>
      <c r="AI75" s="29"/>
      <c r="AJ75"/>
    </row>
    <row r="76" spans="1:36" x14ac:dyDescent="0.25">
      <c r="A76" s="22">
        <v>45926.380891203706</v>
      </c>
      <c r="B76" s="102">
        <v>-0.32</v>
      </c>
      <c r="C76" s="56">
        <f t="shared" si="2"/>
        <v>25.050000000000018</v>
      </c>
      <c r="D76" s="24" t="str">
        <f t="shared" si="3"/>
        <v>L</v>
      </c>
      <c r="E76" s="24">
        <f t="shared" si="8"/>
        <v>1</v>
      </c>
      <c r="F76" s="24">
        <f t="shared" si="9"/>
        <v>58.230000000000004</v>
      </c>
      <c r="G76" s="24">
        <f t="shared" si="10"/>
        <v>-4.1799999999999855</v>
      </c>
      <c r="H76" s="57">
        <f t="shared" si="11"/>
        <v>-7.1784303623561474E-2</v>
      </c>
      <c r="I76" s="57"/>
      <c r="J76" s="57"/>
      <c r="K76" s="57"/>
      <c r="L76"/>
      <c r="O76" s="29"/>
      <c r="S76"/>
      <c r="AI76" s="29"/>
      <c r="AJ76"/>
    </row>
    <row r="77" spans="1:36" x14ac:dyDescent="0.25">
      <c r="A77" s="22">
        <v>45926.391886574071</v>
      </c>
      <c r="B77" s="102">
        <v>-0.3</v>
      </c>
      <c r="C77" s="56">
        <f t="shared" si="2"/>
        <v>24.750000000000018</v>
      </c>
      <c r="D77" s="24" t="str">
        <f t="shared" si="3"/>
        <v>L</v>
      </c>
      <c r="E77" s="24">
        <f t="shared" si="8"/>
        <v>2</v>
      </c>
      <c r="F77" s="24">
        <f t="shared" si="9"/>
        <v>58.230000000000004</v>
      </c>
      <c r="G77" s="24">
        <f t="shared" si="10"/>
        <v>-4.4799999999999898</v>
      </c>
      <c r="H77" s="57">
        <f t="shared" si="11"/>
        <v>-7.6936287137214343E-2</v>
      </c>
      <c r="I77" s="57"/>
      <c r="J77" s="57"/>
      <c r="K77" s="57"/>
      <c r="L77"/>
      <c r="O77" s="29"/>
      <c r="S77"/>
      <c r="AI77" s="29"/>
      <c r="AJ77"/>
    </row>
    <row r="78" spans="1:36" x14ac:dyDescent="0.25">
      <c r="A78" s="22">
        <v>45926.41133101852</v>
      </c>
      <c r="B78" s="102">
        <v>0.35</v>
      </c>
      <c r="C78" s="56">
        <f t="shared" si="2"/>
        <v>25.100000000000019</v>
      </c>
      <c r="D78" s="24" t="str">
        <f t="shared" si="3"/>
        <v>W</v>
      </c>
      <c r="E78" s="24">
        <f t="shared" si="8"/>
        <v>1</v>
      </c>
      <c r="F78" s="24">
        <f t="shared" si="9"/>
        <v>58.230000000000004</v>
      </c>
      <c r="G78" s="24">
        <f t="shared" si="10"/>
        <v>-4.1299999999999812</v>
      </c>
      <c r="H78" s="57">
        <f t="shared" si="11"/>
        <v>-7.0925639704619292E-2</v>
      </c>
      <c r="I78" s="57"/>
      <c r="J78" s="57"/>
      <c r="K78" s="57"/>
      <c r="L78"/>
      <c r="O78" s="29"/>
      <c r="S78"/>
      <c r="AI78" s="29"/>
      <c r="AJ78"/>
    </row>
    <row r="79" spans="1:36" x14ac:dyDescent="0.25">
      <c r="A79" s="1" t="s">
        <v>51</v>
      </c>
      <c r="B79" s="102">
        <v>-3.9</v>
      </c>
      <c r="C79" s="56" t="str">
        <f t="shared" si="2"/>
        <v/>
      </c>
      <c r="D79" s="24" t="str">
        <f t="shared" si="3"/>
        <v/>
      </c>
      <c r="E79" s="24" t="str">
        <f t="shared" si="8"/>
        <v/>
      </c>
      <c r="F79" s="24" t="str">
        <f t="shared" si="9"/>
        <v/>
      </c>
      <c r="G79" s="24">
        <f t="shared" si="10"/>
        <v>0</v>
      </c>
      <c r="H79" s="57" t="str">
        <f t="shared" si="11"/>
        <v/>
      </c>
      <c r="I79" s="57"/>
      <c r="J79" s="57"/>
      <c r="K79" s="57"/>
      <c r="L79"/>
      <c r="O79" s="29"/>
      <c r="S79"/>
      <c r="AI79" s="29"/>
      <c r="AJ79"/>
    </row>
    <row r="80" spans="1:36" x14ac:dyDescent="0.25">
      <c r="C80" s="56" t="str">
        <f t="shared" si="2"/>
        <v/>
      </c>
      <c r="D80" s="24" t="str">
        <f t="shared" si="3"/>
        <v/>
      </c>
      <c r="E80" s="24" t="str">
        <f t="shared" si="8"/>
        <v/>
      </c>
      <c r="F80" s="24" t="str">
        <f t="shared" si="9"/>
        <v/>
      </c>
      <c r="G80" s="24">
        <f t="shared" si="10"/>
        <v>0</v>
      </c>
      <c r="H80" s="57" t="str">
        <f t="shared" si="11"/>
        <v/>
      </c>
      <c r="I80" s="57"/>
      <c r="J80" s="57"/>
      <c r="K80" s="57"/>
      <c r="L80"/>
      <c r="O80" s="29"/>
      <c r="S80"/>
      <c r="AI80" s="29"/>
      <c r="AJ80"/>
    </row>
    <row r="81" spans="3:36" x14ac:dyDescent="0.25">
      <c r="C81" s="56" t="str">
        <f t="shared" si="2"/>
        <v/>
      </c>
      <c r="D81" s="24" t="str">
        <f t="shared" si="3"/>
        <v/>
      </c>
      <c r="E81" s="24" t="str">
        <f t="shared" si="8"/>
        <v/>
      </c>
      <c r="F81" s="24" t="str">
        <f t="shared" si="9"/>
        <v/>
      </c>
      <c r="G81" s="24">
        <f t="shared" si="10"/>
        <v>0</v>
      </c>
      <c r="H81" s="57" t="str">
        <f t="shared" si="11"/>
        <v/>
      </c>
      <c r="I81" s="57"/>
      <c r="J81" s="57"/>
      <c r="K81" s="57"/>
      <c r="L81"/>
      <c r="O81" s="29"/>
      <c r="S81"/>
      <c r="AI81" s="29"/>
      <c r="AJ81"/>
    </row>
    <row r="82" spans="3:36" x14ac:dyDescent="0.25">
      <c r="C82" s="56" t="str">
        <f t="shared" si="2"/>
        <v/>
      </c>
      <c r="D82" s="24" t="str">
        <f t="shared" si="3"/>
        <v/>
      </c>
      <c r="E82" s="24" t="str">
        <f t="shared" si="8"/>
        <v/>
      </c>
      <c r="F82" s="24" t="str">
        <f t="shared" si="9"/>
        <v/>
      </c>
      <c r="G82" s="24">
        <f t="shared" si="10"/>
        <v>0</v>
      </c>
      <c r="H82" s="57" t="str">
        <f t="shared" si="11"/>
        <v/>
      </c>
      <c r="I82" s="57"/>
      <c r="J82" s="57"/>
      <c r="K82" s="57"/>
      <c r="L82"/>
      <c r="O82" s="29"/>
      <c r="S82"/>
      <c r="AI82" s="29"/>
      <c r="AJ82"/>
    </row>
    <row r="83" spans="3:36" x14ac:dyDescent="0.25">
      <c r="C83" s="56" t="str">
        <f t="shared" si="2"/>
        <v/>
      </c>
      <c r="D83" s="24" t="str">
        <f t="shared" si="3"/>
        <v/>
      </c>
      <c r="E83" s="24" t="str">
        <f t="shared" si="8"/>
        <v/>
      </c>
      <c r="F83" s="24" t="str">
        <f t="shared" si="9"/>
        <v/>
      </c>
      <c r="G83" s="24">
        <f t="shared" si="10"/>
        <v>0</v>
      </c>
      <c r="H83" s="57" t="str">
        <f t="shared" si="11"/>
        <v/>
      </c>
      <c r="I83" s="57"/>
      <c r="J83" s="57"/>
      <c r="K83" s="57"/>
      <c r="L83"/>
      <c r="O83" s="29"/>
      <c r="S83"/>
      <c r="AI83" s="29"/>
      <c r="AJ83"/>
    </row>
    <row r="84" spans="3:36" x14ac:dyDescent="0.25">
      <c r="C84" s="56" t="str">
        <f t="shared" si="2"/>
        <v/>
      </c>
      <c r="D84" s="24" t="str">
        <f t="shared" si="3"/>
        <v/>
      </c>
      <c r="E84" s="24" t="str">
        <f t="shared" si="8"/>
        <v/>
      </c>
      <c r="F84" s="24" t="str">
        <f t="shared" si="9"/>
        <v/>
      </c>
      <c r="G84" s="24">
        <f t="shared" si="10"/>
        <v>0</v>
      </c>
      <c r="H84" s="57" t="str">
        <f t="shared" si="11"/>
        <v/>
      </c>
      <c r="I84" s="57"/>
      <c r="J84" s="57"/>
      <c r="K84" s="57"/>
      <c r="L84"/>
      <c r="O84" s="29"/>
      <c r="S84"/>
      <c r="AI84" s="29"/>
      <c r="AJ84"/>
    </row>
    <row r="85" spans="3:36" x14ac:dyDescent="0.25">
      <c r="C85" s="56" t="str">
        <f t="shared" si="2"/>
        <v/>
      </c>
      <c r="D85" s="24" t="str">
        <f t="shared" si="3"/>
        <v/>
      </c>
      <c r="E85" s="24" t="str">
        <f t="shared" si="8"/>
        <v/>
      </c>
      <c r="F85" s="24" t="str">
        <f t="shared" si="9"/>
        <v/>
      </c>
      <c r="G85" s="24">
        <f t="shared" si="10"/>
        <v>0</v>
      </c>
      <c r="H85" s="57" t="str">
        <f t="shared" si="11"/>
        <v/>
      </c>
      <c r="I85" s="57"/>
      <c r="J85" s="57"/>
      <c r="K85" s="57"/>
      <c r="L85"/>
      <c r="O85" s="29"/>
      <c r="S85"/>
      <c r="AI85" s="29"/>
      <c r="AJ85"/>
    </row>
    <row r="86" spans="3:36" x14ac:dyDescent="0.25">
      <c r="C86" s="56" t="str">
        <f t="shared" si="2"/>
        <v/>
      </c>
      <c r="D86" s="24" t="str">
        <f t="shared" si="3"/>
        <v/>
      </c>
      <c r="E86" s="24" t="str">
        <f t="shared" si="8"/>
        <v/>
      </c>
      <c r="F86" s="24" t="str">
        <f t="shared" si="9"/>
        <v/>
      </c>
      <c r="G86" s="24">
        <f t="shared" si="10"/>
        <v>0</v>
      </c>
      <c r="H86" s="57" t="str">
        <f t="shared" si="11"/>
        <v/>
      </c>
      <c r="I86" s="57"/>
      <c r="J86" s="57"/>
      <c r="K86" s="57"/>
      <c r="L86"/>
      <c r="O86" s="29"/>
      <c r="S86"/>
      <c r="AI86" s="29"/>
      <c r="AJ86"/>
    </row>
    <row r="87" spans="3:36" x14ac:dyDescent="0.25">
      <c r="C87" s="56" t="str">
        <f t="shared" ref="C87:C150" si="19">IF(OR(A87="Grand Total",A87=""),"",C86+B87)</f>
        <v/>
      </c>
      <c r="D87" s="24" t="str">
        <f t="shared" ref="D87:D150" si="20">IF(OR(B87="",A87="Grand Total"),"",IF(B87&lt;0,"L","W"))</f>
        <v/>
      </c>
      <c r="E87" s="24" t="str">
        <f t="shared" si="8"/>
        <v/>
      </c>
      <c r="F87" s="24" t="str">
        <f t="shared" si="9"/>
        <v/>
      </c>
      <c r="G87" s="24">
        <f t="shared" si="10"/>
        <v>0</v>
      </c>
      <c r="H87" s="57" t="str">
        <f t="shared" si="11"/>
        <v/>
      </c>
      <c r="I87" s="57"/>
      <c r="J87" s="57"/>
      <c r="K87" s="57"/>
      <c r="L87"/>
      <c r="O87" s="29"/>
      <c r="S87"/>
      <c r="AI87" s="29"/>
      <c r="AJ87"/>
    </row>
    <row r="88" spans="3:36" x14ac:dyDescent="0.25">
      <c r="C88" s="56" t="str">
        <f t="shared" si="19"/>
        <v/>
      </c>
      <c r="D88" s="24" t="str">
        <f t="shared" si="20"/>
        <v/>
      </c>
      <c r="E88" s="24" t="str">
        <f t="shared" ref="E88:E151" si="21">IF(D88="","",IF(D88=D87,E87+1,1))</f>
        <v/>
      </c>
      <c r="F88" s="24" t="str">
        <f t="shared" ref="F88:F151" si="22">IFERROR(MAX(F87,S$1+C88),"")</f>
        <v/>
      </c>
      <c r="G88" s="24">
        <f t="shared" ref="G88:G151" si="23">IFERROR((S$1+C88)-F88,0)</f>
        <v>0</v>
      </c>
      <c r="H88" s="57" t="str">
        <f t="shared" ref="H88:H151" si="24">IFERROR((S$1+C88)/F88-1,"")</f>
        <v/>
      </c>
      <c r="I88" s="57"/>
      <c r="J88" s="57"/>
      <c r="K88" s="57"/>
      <c r="L88"/>
      <c r="O88" s="29"/>
      <c r="S88"/>
      <c r="AI88" s="29"/>
      <c r="AJ88"/>
    </row>
    <row r="89" spans="3:36" x14ac:dyDescent="0.25">
      <c r="C89" s="56" t="str">
        <f t="shared" si="19"/>
        <v/>
      </c>
      <c r="D89" s="24" t="str">
        <f t="shared" si="20"/>
        <v/>
      </c>
      <c r="E89" s="24" t="str">
        <f t="shared" si="21"/>
        <v/>
      </c>
      <c r="F89" s="24" t="str">
        <f t="shared" si="22"/>
        <v/>
      </c>
      <c r="G89" s="24">
        <f t="shared" si="23"/>
        <v>0</v>
      </c>
      <c r="H89" s="57" t="str">
        <f t="shared" si="24"/>
        <v/>
      </c>
      <c r="I89" s="57"/>
      <c r="J89" s="57"/>
      <c r="K89" s="57"/>
      <c r="L89"/>
      <c r="O89" s="29"/>
      <c r="S89"/>
      <c r="AI89" s="29"/>
      <c r="AJ89"/>
    </row>
    <row r="90" spans="3:36" x14ac:dyDescent="0.25">
      <c r="C90" s="56" t="str">
        <f t="shared" si="19"/>
        <v/>
      </c>
      <c r="D90" s="24" t="str">
        <f t="shared" si="20"/>
        <v/>
      </c>
      <c r="E90" s="24" t="str">
        <f t="shared" si="21"/>
        <v/>
      </c>
      <c r="F90" s="24" t="str">
        <f t="shared" si="22"/>
        <v/>
      </c>
      <c r="G90" s="24">
        <f t="shared" si="23"/>
        <v>0</v>
      </c>
      <c r="H90" s="57" t="str">
        <f t="shared" si="24"/>
        <v/>
      </c>
      <c r="I90" s="57"/>
      <c r="J90" s="57"/>
      <c r="K90" s="57"/>
      <c r="L90"/>
      <c r="O90" s="29"/>
      <c r="S90"/>
      <c r="AI90" s="29"/>
      <c r="AJ90"/>
    </row>
    <row r="91" spans="3:36" x14ac:dyDescent="0.25">
      <c r="C91" s="56" t="str">
        <f t="shared" si="19"/>
        <v/>
      </c>
      <c r="D91" s="24" t="str">
        <f t="shared" si="20"/>
        <v/>
      </c>
      <c r="E91" s="24" t="str">
        <f t="shared" si="21"/>
        <v/>
      </c>
      <c r="F91" s="24" t="str">
        <f t="shared" si="22"/>
        <v/>
      </c>
      <c r="G91" s="24">
        <f t="shared" si="23"/>
        <v>0</v>
      </c>
      <c r="H91" s="57" t="str">
        <f t="shared" si="24"/>
        <v/>
      </c>
      <c r="I91" s="57"/>
      <c r="J91" s="57"/>
      <c r="K91" s="57"/>
      <c r="L91"/>
      <c r="O91" s="29"/>
      <c r="S91"/>
      <c r="AI91" s="29"/>
      <c r="AJ91"/>
    </row>
    <row r="92" spans="3:36" x14ac:dyDescent="0.25">
      <c r="C92" s="56" t="str">
        <f t="shared" si="19"/>
        <v/>
      </c>
      <c r="D92" s="24" t="str">
        <f t="shared" si="20"/>
        <v/>
      </c>
      <c r="E92" s="24" t="str">
        <f t="shared" si="21"/>
        <v/>
      </c>
      <c r="F92" s="24" t="str">
        <f t="shared" si="22"/>
        <v/>
      </c>
      <c r="G92" s="24">
        <f t="shared" si="23"/>
        <v>0</v>
      </c>
      <c r="H92" s="57" t="str">
        <f t="shared" si="24"/>
        <v/>
      </c>
      <c r="I92" s="57"/>
      <c r="J92" s="57"/>
      <c r="K92" s="57"/>
      <c r="L92"/>
      <c r="O92" s="29"/>
      <c r="S92"/>
      <c r="AI92" s="29"/>
      <c r="AJ92"/>
    </row>
    <row r="93" spans="3:36" x14ac:dyDescent="0.25">
      <c r="C93" s="56" t="str">
        <f t="shared" si="19"/>
        <v/>
      </c>
      <c r="D93" s="24" t="str">
        <f t="shared" si="20"/>
        <v/>
      </c>
      <c r="E93" s="24" t="str">
        <f t="shared" si="21"/>
        <v/>
      </c>
      <c r="F93" s="24" t="str">
        <f t="shared" si="22"/>
        <v/>
      </c>
      <c r="G93" s="24">
        <f t="shared" si="23"/>
        <v>0</v>
      </c>
      <c r="H93" s="57" t="str">
        <f t="shared" si="24"/>
        <v/>
      </c>
      <c r="I93" s="57"/>
      <c r="J93" s="57"/>
      <c r="K93" s="57"/>
      <c r="L93"/>
      <c r="O93" s="29"/>
      <c r="S93"/>
      <c r="AI93" s="29"/>
      <c r="AJ93"/>
    </row>
    <row r="94" spans="3:36" x14ac:dyDescent="0.25">
      <c r="C94" s="56" t="str">
        <f t="shared" si="19"/>
        <v/>
      </c>
      <c r="D94" s="24" t="str">
        <f t="shared" si="20"/>
        <v/>
      </c>
      <c r="E94" s="24" t="str">
        <f t="shared" si="21"/>
        <v/>
      </c>
      <c r="F94" s="24" t="str">
        <f t="shared" si="22"/>
        <v/>
      </c>
      <c r="G94" s="24">
        <f t="shared" si="23"/>
        <v>0</v>
      </c>
      <c r="H94" s="57" t="str">
        <f t="shared" si="24"/>
        <v/>
      </c>
      <c r="I94" s="57"/>
      <c r="J94" s="57"/>
      <c r="K94" s="57"/>
      <c r="L94"/>
      <c r="O94" s="29"/>
      <c r="S94"/>
      <c r="AI94" s="29"/>
      <c r="AJ94"/>
    </row>
    <row r="95" spans="3:36" x14ac:dyDescent="0.25">
      <c r="C95" s="56" t="str">
        <f t="shared" si="19"/>
        <v/>
      </c>
      <c r="D95" s="24" t="str">
        <f t="shared" si="20"/>
        <v/>
      </c>
      <c r="E95" s="24" t="str">
        <f t="shared" si="21"/>
        <v/>
      </c>
      <c r="F95" s="24" t="str">
        <f t="shared" si="22"/>
        <v/>
      </c>
      <c r="G95" s="24">
        <f t="shared" si="23"/>
        <v>0</v>
      </c>
      <c r="H95" s="57" t="str">
        <f t="shared" si="24"/>
        <v/>
      </c>
      <c r="I95" s="57"/>
      <c r="J95" s="57"/>
      <c r="K95" s="57"/>
      <c r="L95"/>
      <c r="O95" s="29"/>
      <c r="S95"/>
      <c r="AI95" s="29"/>
      <c r="AJ95"/>
    </row>
    <row r="96" spans="3:36" x14ac:dyDescent="0.25">
      <c r="C96" s="56" t="str">
        <f t="shared" si="19"/>
        <v/>
      </c>
      <c r="D96" s="24" t="str">
        <f t="shared" si="20"/>
        <v/>
      </c>
      <c r="E96" s="24" t="str">
        <f t="shared" si="21"/>
        <v/>
      </c>
      <c r="F96" s="24" t="str">
        <f t="shared" si="22"/>
        <v/>
      </c>
      <c r="G96" s="24">
        <f t="shared" si="23"/>
        <v>0</v>
      </c>
      <c r="H96" s="57" t="str">
        <f t="shared" si="24"/>
        <v/>
      </c>
      <c r="I96" s="57"/>
      <c r="J96" s="57"/>
      <c r="K96" s="57"/>
      <c r="L96"/>
      <c r="O96" s="29"/>
      <c r="S96"/>
      <c r="AI96" s="29"/>
      <c r="AJ96"/>
    </row>
    <row r="97" spans="3:36" x14ac:dyDescent="0.25">
      <c r="C97" s="56" t="str">
        <f t="shared" si="19"/>
        <v/>
      </c>
      <c r="D97" s="24" t="str">
        <f t="shared" si="20"/>
        <v/>
      </c>
      <c r="E97" s="24" t="str">
        <f t="shared" si="21"/>
        <v/>
      </c>
      <c r="F97" s="24" t="str">
        <f t="shared" si="22"/>
        <v/>
      </c>
      <c r="G97" s="24">
        <f t="shared" si="23"/>
        <v>0</v>
      </c>
      <c r="H97" s="57" t="str">
        <f t="shared" si="24"/>
        <v/>
      </c>
      <c r="I97" s="57"/>
      <c r="J97" s="57"/>
      <c r="K97" s="57"/>
      <c r="L97"/>
      <c r="O97" s="29"/>
      <c r="S97"/>
      <c r="AI97" s="29"/>
      <c r="AJ97"/>
    </row>
    <row r="98" spans="3:36" x14ac:dyDescent="0.25">
      <c r="C98" s="56" t="str">
        <f t="shared" si="19"/>
        <v/>
      </c>
      <c r="D98" s="24" t="str">
        <f t="shared" si="20"/>
        <v/>
      </c>
      <c r="E98" s="24" t="str">
        <f t="shared" si="21"/>
        <v/>
      </c>
      <c r="F98" s="24" t="str">
        <f t="shared" si="22"/>
        <v/>
      </c>
      <c r="G98" s="24">
        <f t="shared" si="23"/>
        <v>0</v>
      </c>
      <c r="H98" s="57" t="str">
        <f t="shared" si="24"/>
        <v/>
      </c>
      <c r="I98" s="57"/>
      <c r="J98" s="57"/>
      <c r="K98" s="57"/>
      <c r="L98"/>
      <c r="O98" s="29"/>
      <c r="S98"/>
      <c r="AI98" s="29"/>
      <c r="AJ98"/>
    </row>
    <row r="99" spans="3:36" x14ac:dyDescent="0.25">
      <c r="C99" s="56" t="str">
        <f t="shared" si="19"/>
        <v/>
      </c>
      <c r="D99" s="24" t="str">
        <f t="shared" si="20"/>
        <v/>
      </c>
      <c r="E99" s="24" t="str">
        <f t="shared" si="21"/>
        <v/>
      </c>
      <c r="F99" s="24" t="str">
        <f t="shared" si="22"/>
        <v/>
      </c>
      <c r="G99" s="24">
        <f t="shared" si="23"/>
        <v>0</v>
      </c>
      <c r="H99" s="57" t="str">
        <f t="shared" si="24"/>
        <v/>
      </c>
      <c r="I99" s="57"/>
      <c r="J99" s="57"/>
      <c r="K99" s="57"/>
      <c r="L99"/>
      <c r="O99" s="29"/>
      <c r="S99"/>
      <c r="AI99" s="29"/>
      <c r="AJ99"/>
    </row>
    <row r="100" spans="3:36" x14ac:dyDescent="0.25">
      <c r="C100" s="56" t="str">
        <f t="shared" si="19"/>
        <v/>
      </c>
      <c r="D100" s="24" t="str">
        <f t="shared" si="20"/>
        <v/>
      </c>
      <c r="E100" s="24" t="str">
        <f t="shared" si="21"/>
        <v/>
      </c>
      <c r="F100" s="24" t="str">
        <f t="shared" si="22"/>
        <v/>
      </c>
      <c r="G100" s="24">
        <f t="shared" si="23"/>
        <v>0</v>
      </c>
      <c r="H100" s="57" t="str">
        <f t="shared" si="24"/>
        <v/>
      </c>
      <c r="I100" s="57"/>
      <c r="J100" s="57"/>
      <c r="K100" s="57"/>
      <c r="L100"/>
      <c r="O100" s="29"/>
      <c r="S100"/>
      <c r="AI100" s="29"/>
      <c r="AJ100"/>
    </row>
    <row r="101" spans="3:36" x14ac:dyDescent="0.25">
      <c r="C101" s="56" t="str">
        <f t="shared" si="19"/>
        <v/>
      </c>
      <c r="D101" s="24" t="str">
        <f t="shared" si="20"/>
        <v/>
      </c>
      <c r="E101" s="24" t="str">
        <f t="shared" si="21"/>
        <v/>
      </c>
      <c r="F101" s="24" t="str">
        <f t="shared" si="22"/>
        <v/>
      </c>
      <c r="G101" s="24">
        <f t="shared" si="23"/>
        <v>0</v>
      </c>
      <c r="H101" s="57" t="str">
        <f t="shared" si="24"/>
        <v/>
      </c>
      <c r="I101" s="57"/>
      <c r="J101" s="57"/>
      <c r="K101" s="57"/>
      <c r="L101"/>
      <c r="O101" s="29"/>
      <c r="S101"/>
      <c r="AI101" s="29"/>
      <c r="AJ101"/>
    </row>
    <row r="102" spans="3:36" x14ac:dyDescent="0.25">
      <c r="C102" s="56" t="str">
        <f t="shared" si="19"/>
        <v/>
      </c>
      <c r="D102" s="24" t="str">
        <f t="shared" si="20"/>
        <v/>
      </c>
      <c r="E102" s="24" t="str">
        <f t="shared" si="21"/>
        <v/>
      </c>
      <c r="F102" s="24" t="str">
        <f t="shared" si="22"/>
        <v/>
      </c>
      <c r="G102" s="24">
        <f t="shared" si="23"/>
        <v>0</v>
      </c>
      <c r="H102" s="57" t="str">
        <f t="shared" si="24"/>
        <v/>
      </c>
      <c r="I102" s="57"/>
      <c r="J102" s="57"/>
      <c r="K102" s="57"/>
      <c r="L102"/>
      <c r="O102" s="29"/>
      <c r="S102"/>
      <c r="AI102" s="29"/>
      <c r="AJ102"/>
    </row>
    <row r="103" spans="3:36" x14ac:dyDescent="0.25">
      <c r="C103" s="56" t="str">
        <f t="shared" si="19"/>
        <v/>
      </c>
      <c r="D103" s="24" t="str">
        <f t="shared" si="20"/>
        <v/>
      </c>
      <c r="E103" s="24" t="str">
        <f t="shared" si="21"/>
        <v/>
      </c>
      <c r="F103" s="24" t="str">
        <f t="shared" si="22"/>
        <v/>
      </c>
      <c r="G103" s="24">
        <f t="shared" si="23"/>
        <v>0</v>
      </c>
      <c r="H103" s="57" t="str">
        <f t="shared" si="24"/>
        <v/>
      </c>
      <c r="I103" s="57"/>
      <c r="J103" s="57"/>
      <c r="K103" s="57"/>
      <c r="L103"/>
      <c r="O103" s="29"/>
      <c r="S103"/>
      <c r="AI103" s="29"/>
      <c r="AJ103"/>
    </row>
    <row r="104" spans="3:36" x14ac:dyDescent="0.25">
      <c r="C104" s="56" t="str">
        <f t="shared" si="19"/>
        <v/>
      </c>
      <c r="D104" s="24" t="str">
        <f t="shared" si="20"/>
        <v/>
      </c>
      <c r="E104" s="24" t="str">
        <f t="shared" si="21"/>
        <v/>
      </c>
      <c r="F104" s="24" t="str">
        <f t="shared" si="22"/>
        <v/>
      </c>
      <c r="G104" s="24">
        <f t="shared" si="23"/>
        <v>0</v>
      </c>
      <c r="H104" s="57" t="str">
        <f t="shared" si="24"/>
        <v/>
      </c>
      <c r="I104" s="57"/>
      <c r="J104" s="57"/>
      <c r="K104" s="57"/>
      <c r="L104"/>
      <c r="O104" s="29"/>
      <c r="S104"/>
      <c r="AI104" s="29"/>
      <c r="AJ104"/>
    </row>
    <row r="105" spans="3:36" x14ac:dyDescent="0.25">
      <c r="C105" s="56" t="str">
        <f t="shared" si="19"/>
        <v/>
      </c>
      <c r="D105" s="24" t="str">
        <f t="shared" si="20"/>
        <v/>
      </c>
      <c r="E105" s="24" t="str">
        <f t="shared" si="21"/>
        <v/>
      </c>
      <c r="F105" s="24" t="str">
        <f t="shared" si="22"/>
        <v/>
      </c>
      <c r="G105" s="24">
        <f t="shared" si="23"/>
        <v>0</v>
      </c>
      <c r="H105" s="57" t="str">
        <f t="shared" si="24"/>
        <v/>
      </c>
      <c r="I105" s="57"/>
      <c r="J105" s="57"/>
      <c r="K105" s="57"/>
      <c r="L105"/>
      <c r="O105" s="29"/>
      <c r="S105"/>
      <c r="AI105" s="29"/>
      <c r="AJ105"/>
    </row>
    <row r="106" spans="3:36" x14ac:dyDescent="0.25">
      <c r="C106" s="56" t="str">
        <f t="shared" si="19"/>
        <v/>
      </c>
      <c r="D106" s="24" t="str">
        <f t="shared" si="20"/>
        <v/>
      </c>
      <c r="E106" s="24" t="str">
        <f t="shared" si="21"/>
        <v/>
      </c>
      <c r="F106" s="24" t="str">
        <f t="shared" si="22"/>
        <v/>
      </c>
      <c r="G106" s="24">
        <f t="shared" si="23"/>
        <v>0</v>
      </c>
      <c r="H106" s="57" t="str">
        <f t="shared" si="24"/>
        <v/>
      </c>
      <c r="I106" s="57"/>
      <c r="J106" s="57"/>
      <c r="K106" s="57"/>
      <c r="L106"/>
      <c r="O106" s="29"/>
      <c r="S106"/>
      <c r="AI106" s="29"/>
      <c r="AJ106"/>
    </row>
    <row r="107" spans="3:36" x14ac:dyDescent="0.25">
      <c r="C107" s="56" t="str">
        <f t="shared" si="19"/>
        <v/>
      </c>
      <c r="D107" s="24" t="str">
        <f t="shared" si="20"/>
        <v/>
      </c>
      <c r="E107" s="24" t="str">
        <f t="shared" si="21"/>
        <v/>
      </c>
      <c r="F107" s="24" t="str">
        <f t="shared" si="22"/>
        <v/>
      </c>
      <c r="G107" s="24">
        <f t="shared" si="23"/>
        <v>0</v>
      </c>
      <c r="H107" s="57" t="str">
        <f t="shared" si="24"/>
        <v/>
      </c>
      <c r="I107" s="57"/>
      <c r="J107" s="57"/>
      <c r="K107" s="57"/>
      <c r="L107"/>
      <c r="O107" s="29"/>
      <c r="S107"/>
      <c r="AI107" s="29"/>
      <c r="AJ107"/>
    </row>
    <row r="108" spans="3:36" x14ac:dyDescent="0.25">
      <c r="C108" s="56" t="str">
        <f t="shared" si="19"/>
        <v/>
      </c>
      <c r="D108" s="24" t="str">
        <f t="shared" si="20"/>
        <v/>
      </c>
      <c r="E108" s="24" t="str">
        <f t="shared" si="21"/>
        <v/>
      </c>
      <c r="F108" s="24" t="str">
        <f t="shared" si="22"/>
        <v/>
      </c>
      <c r="G108" s="24">
        <f t="shared" si="23"/>
        <v>0</v>
      </c>
      <c r="H108" s="57" t="str">
        <f t="shared" si="24"/>
        <v/>
      </c>
      <c r="I108" s="57"/>
      <c r="J108" s="57"/>
      <c r="K108" s="57"/>
      <c r="L108"/>
      <c r="O108" s="29"/>
      <c r="S108"/>
      <c r="AI108" s="29"/>
      <c r="AJ108"/>
    </row>
    <row r="109" spans="3:36" x14ac:dyDescent="0.25">
      <c r="C109" s="56" t="str">
        <f t="shared" si="19"/>
        <v/>
      </c>
      <c r="D109" s="24" t="str">
        <f t="shared" si="20"/>
        <v/>
      </c>
      <c r="E109" s="24" t="str">
        <f t="shared" si="21"/>
        <v/>
      </c>
      <c r="F109" s="24" t="str">
        <f t="shared" si="22"/>
        <v/>
      </c>
      <c r="G109" s="24">
        <f t="shared" si="23"/>
        <v>0</v>
      </c>
      <c r="H109" s="57" t="str">
        <f t="shared" si="24"/>
        <v/>
      </c>
      <c r="I109" s="57"/>
      <c r="J109" s="57"/>
      <c r="K109" s="57"/>
      <c r="L109"/>
      <c r="O109" s="29"/>
      <c r="S109"/>
      <c r="AI109" s="29"/>
      <c r="AJ109"/>
    </row>
    <row r="110" spans="3:36" x14ac:dyDescent="0.25">
      <c r="C110" s="56" t="str">
        <f t="shared" si="19"/>
        <v/>
      </c>
      <c r="D110" s="24" t="str">
        <f t="shared" si="20"/>
        <v/>
      </c>
      <c r="E110" s="24" t="str">
        <f t="shared" si="21"/>
        <v/>
      </c>
      <c r="F110" s="24" t="str">
        <f t="shared" si="22"/>
        <v/>
      </c>
      <c r="G110" s="24">
        <f t="shared" si="23"/>
        <v>0</v>
      </c>
      <c r="H110" s="57" t="str">
        <f t="shared" si="24"/>
        <v/>
      </c>
      <c r="I110" s="57"/>
      <c r="J110" s="57"/>
      <c r="K110" s="57"/>
      <c r="L110"/>
      <c r="O110" s="29"/>
      <c r="S110"/>
      <c r="AI110" s="29"/>
      <c r="AJ110"/>
    </row>
    <row r="111" spans="3:36" x14ac:dyDescent="0.25">
      <c r="C111" s="56" t="str">
        <f t="shared" si="19"/>
        <v/>
      </c>
      <c r="D111" s="24" t="str">
        <f t="shared" si="20"/>
        <v/>
      </c>
      <c r="E111" s="24" t="str">
        <f t="shared" si="21"/>
        <v/>
      </c>
      <c r="F111" s="24" t="str">
        <f t="shared" si="22"/>
        <v/>
      </c>
      <c r="G111" s="24">
        <f t="shared" si="23"/>
        <v>0</v>
      </c>
      <c r="H111" s="57" t="str">
        <f t="shared" si="24"/>
        <v/>
      </c>
      <c r="I111" s="57"/>
      <c r="J111" s="57"/>
      <c r="K111" s="57"/>
      <c r="L111"/>
      <c r="O111" s="29"/>
      <c r="S111"/>
      <c r="AI111" s="29"/>
      <c r="AJ111"/>
    </row>
    <row r="112" spans="3:36" x14ac:dyDescent="0.25">
      <c r="C112" s="56" t="str">
        <f t="shared" si="19"/>
        <v/>
      </c>
      <c r="D112" s="24" t="str">
        <f t="shared" si="20"/>
        <v/>
      </c>
      <c r="E112" s="24" t="str">
        <f t="shared" si="21"/>
        <v/>
      </c>
      <c r="F112" s="24" t="str">
        <f t="shared" si="22"/>
        <v/>
      </c>
      <c r="G112" s="24">
        <f t="shared" si="23"/>
        <v>0</v>
      </c>
      <c r="H112" s="57" t="str">
        <f t="shared" si="24"/>
        <v/>
      </c>
      <c r="I112" s="57"/>
      <c r="J112" s="57"/>
      <c r="K112" s="57"/>
      <c r="L112"/>
      <c r="O112" s="29"/>
      <c r="S112"/>
      <c r="AI112" s="29"/>
      <c r="AJ112"/>
    </row>
    <row r="113" spans="3:36" x14ac:dyDescent="0.25">
      <c r="C113" s="56" t="str">
        <f t="shared" si="19"/>
        <v/>
      </c>
      <c r="D113" s="24" t="str">
        <f t="shared" si="20"/>
        <v/>
      </c>
      <c r="E113" s="24" t="str">
        <f t="shared" si="21"/>
        <v/>
      </c>
      <c r="F113" s="24" t="str">
        <f t="shared" si="22"/>
        <v/>
      </c>
      <c r="G113" s="24">
        <f t="shared" si="23"/>
        <v>0</v>
      </c>
      <c r="H113" s="57" t="str">
        <f t="shared" si="24"/>
        <v/>
      </c>
      <c r="I113" s="57"/>
      <c r="J113" s="57"/>
      <c r="K113" s="57"/>
      <c r="L113"/>
      <c r="O113" s="29"/>
      <c r="S113"/>
      <c r="AI113" s="29"/>
      <c r="AJ113"/>
    </row>
    <row r="114" spans="3:36" x14ac:dyDescent="0.25">
      <c r="C114" s="56" t="str">
        <f t="shared" si="19"/>
        <v/>
      </c>
      <c r="D114" s="24" t="str">
        <f t="shared" si="20"/>
        <v/>
      </c>
      <c r="E114" s="24" t="str">
        <f t="shared" si="21"/>
        <v/>
      </c>
      <c r="F114" s="24" t="str">
        <f t="shared" si="22"/>
        <v/>
      </c>
      <c r="G114" s="24">
        <f t="shared" si="23"/>
        <v>0</v>
      </c>
      <c r="H114" s="57" t="str">
        <f t="shared" si="24"/>
        <v/>
      </c>
      <c r="I114" s="57"/>
      <c r="J114" s="57"/>
      <c r="K114" s="57"/>
      <c r="L114"/>
      <c r="O114" s="29"/>
      <c r="S114"/>
      <c r="AI114" s="29"/>
      <c r="AJ114"/>
    </row>
    <row r="115" spans="3:36" x14ac:dyDescent="0.25">
      <c r="C115" s="56" t="str">
        <f t="shared" si="19"/>
        <v/>
      </c>
      <c r="D115" s="24" t="str">
        <f t="shared" si="20"/>
        <v/>
      </c>
      <c r="E115" s="24" t="str">
        <f t="shared" si="21"/>
        <v/>
      </c>
      <c r="F115" s="24" t="str">
        <f t="shared" si="22"/>
        <v/>
      </c>
      <c r="G115" s="24">
        <f t="shared" si="23"/>
        <v>0</v>
      </c>
      <c r="H115" s="57" t="str">
        <f t="shared" si="24"/>
        <v/>
      </c>
      <c r="I115" s="57"/>
      <c r="J115" s="57"/>
      <c r="K115" s="57"/>
      <c r="L115"/>
      <c r="O115" s="29"/>
      <c r="S115"/>
      <c r="AI115" s="29"/>
      <c r="AJ115"/>
    </row>
    <row r="116" spans="3:36" x14ac:dyDescent="0.25">
      <c r="C116" s="56" t="str">
        <f t="shared" si="19"/>
        <v/>
      </c>
      <c r="D116" s="24" t="str">
        <f t="shared" si="20"/>
        <v/>
      </c>
      <c r="E116" s="24" t="str">
        <f t="shared" si="21"/>
        <v/>
      </c>
      <c r="F116" s="24" t="str">
        <f t="shared" si="22"/>
        <v/>
      </c>
      <c r="G116" s="24">
        <f t="shared" si="23"/>
        <v>0</v>
      </c>
      <c r="H116" s="57" t="str">
        <f t="shared" si="24"/>
        <v/>
      </c>
      <c r="I116" s="57"/>
      <c r="J116" s="57"/>
      <c r="K116" s="57"/>
      <c r="L116"/>
      <c r="O116" s="29"/>
      <c r="S116"/>
      <c r="AI116" s="29"/>
      <c r="AJ116"/>
    </row>
    <row r="117" spans="3:36" x14ac:dyDescent="0.25">
      <c r="C117" s="56" t="str">
        <f t="shared" si="19"/>
        <v/>
      </c>
      <c r="D117" s="24" t="str">
        <f t="shared" si="20"/>
        <v/>
      </c>
      <c r="E117" s="24" t="str">
        <f t="shared" si="21"/>
        <v/>
      </c>
      <c r="F117" s="24" t="str">
        <f t="shared" si="22"/>
        <v/>
      </c>
      <c r="G117" s="24">
        <f t="shared" si="23"/>
        <v>0</v>
      </c>
      <c r="H117" s="57" t="str">
        <f t="shared" si="24"/>
        <v/>
      </c>
      <c r="I117" s="57"/>
      <c r="J117" s="57"/>
      <c r="K117" s="57"/>
      <c r="L117"/>
      <c r="O117" s="29"/>
      <c r="S117"/>
      <c r="AI117" s="29"/>
      <c r="AJ117"/>
    </row>
    <row r="118" spans="3:36" x14ac:dyDescent="0.25">
      <c r="C118" s="56" t="str">
        <f t="shared" si="19"/>
        <v/>
      </c>
      <c r="D118" s="24" t="str">
        <f t="shared" si="20"/>
        <v/>
      </c>
      <c r="E118" s="24" t="str">
        <f t="shared" si="21"/>
        <v/>
      </c>
      <c r="F118" s="24" t="str">
        <f t="shared" si="22"/>
        <v/>
      </c>
      <c r="G118" s="24">
        <f t="shared" si="23"/>
        <v>0</v>
      </c>
      <c r="H118" s="57" t="str">
        <f t="shared" si="24"/>
        <v/>
      </c>
      <c r="I118" s="57"/>
      <c r="J118" s="57"/>
      <c r="K118" s="57"/>
      <c r="L118"/>
      <c r="O118" s="29"/>
      <c r="S118"/>
      <c r="AI118" s="29"/>
      <c r="AJ118"/>
    </row>
    <row r="119" spans="3:36" x14ac:dyDescent="0.25">
      <c r="C119" s="56" t="str">
        <f t="shared" si="19"/>
        <v/>
      </c>
      <c r="D119" s="24" t="str">
        <f t="shared" si="20"/>
        <v/>
      </c>
      <c r="E119" s="24" t="str">
        <f t="shared" si="21"/>
        <v/>
      </c>
      <c r="F119" s="24" t="str">
        <f t="shared" si="22"/>
        <v/>
      </c>
      <c r="G119" s="24">
        <f t="shared" si="23"/>
        <v>0</v>
      </c>
      <c r="H119" s="57" t="str">
        <f t="shared" si="24"/>
        <v/>
      </c>
      <c r="I119" s="57"/>
      <c r="J119" s="57"/>
      <c r="K119" s="57"/>
      <c r="L119"/>
      <c r="O119" s="29"/>
      <c r="S119"/>
      <c r="AI119" s="29"/>
      <c r="AJ119"/>
    </row>
    <row r="120" spans="3:36" x14ac:dyDescent="0.25">
      <c r="C120" s="56" t="str">
        <f t="shared" si="19"/>
        <v/>
      </c>
      <c r="D120" s="24" t="str">
        <f t="shared" si="20"/>
        <v/>
      </c>
      <c r="E120" s="24" t="str">
        <f t="shared" si="21"/>
        <v/>
      </c>
      <c r="F120" s="24" t="str">
        <f t="shared" si="22"/>
        <v/>
      </c>
      <c r="G120" s="24">
        <f t="shared" si="23"/>
        <v>0</v>
      </c>
      <c r="H120" s="57" t="str">
        <f t="shared" si="24"/>
        <v/>
      </c>
      <c r="I120" s="57"/>
      <c r="J120" s="57"/>
      <c r="K120" s="57"/>
      <c r="L120"/>
      <c r="O120" s="29"/>
      <c r="S120"/>
      <c r="AI120" s="29"/>
      <c r="AJ120"/>
    </row>
    <row r="121" spans="3:36" x14ac:dyDescent="0.25">
      <c r="C121" s="56" t="str">
        <f t="shared" si="19"/>
        <v/>
      </c>
      <c r="D121" s="24" t="str">
        <f t="shared" si="20"/>
        <v/>
      </c>
      <c r="E121" s="24" t="str">
        <f t="shared" si="21"/>
        <v/>
      </c>
      <c r="F121" s="24" t="str">
        <f t="shared" si="22"/>
        <v/>
      </c>
      <c r="G121" s="24">
        <f t="shared" si="23"/>
        <v>0</v>
      </c>
      <c r="H121" s="57" t="str">
        <f t="shared" si="24"/>
        <v/>
      </c>
      <c r="I121" s="57"/>
      <c r="J121" s="57"/>
      <c r="K121" s="57"/>
      <c r="L121"/>
      <c r="O121" s="29"/>
      <c r="S121"/>
      <c r="AI121" s="29"/>
      <c r="AJ121"/>
    </row>
    <row r="122" spans="3:36" x14ac:dyDescent="0.25">
      <c r="C122" s="56" t="str">
        <f t="shared" si="19"/>
        <v/>
      </c>
      <c r="D122" s="24" t="str">
        <f t="shared" si="20"/>
        <v/>
      </c>
      <c r="E122" s="24" t="str">
        <f t="shared" si="21"/>
        <v/>
      </c>
      <c r="F122" s="24" t="str">
        <f t="shared" si="22"/>
        <v/>
      </c>
      <c r="G122" s="24">
        <f t="shared" si="23"/>
        <v>0</v>
      </c>
      <c r="H122" s="57" t="str">
        <f t="shared" si="24"/>
        <v/>
      </c>
      <c r="I122" s="57"/>
      <c r="J122" s="57"/>
      <c r="K122" s="57"/>
      <c r="L122"/>
      <c r="O122" s="29"/>
      <c r="S122"/>
      <c r="AI122" s="29"/>
      <c r="AJ122"/>
    </row>
    <row r="123" spans="3:36" x14ac:dyDescent="0.25">
      <c r="C123" s="56" t="str">
        <f t="shared" si="19"/>
        <v/>
      </c>
      <c r="D123" s="24" t="str">
        <f t="shared" si="20"/>
        <v/>
      </c>
      <c r="E123" s="24" t="str">
        <f t="shared" si="21"/>
        <v/>
      </c>
      <c r="F123" s="24" t="str">
        <f t="shared" si="22"/>
        <v/>
      </c>
      <c r="G123" s="24">
        <f t="shared" si="23"/>
        <v>0</v>
      </c>
      <c r="H123" s="57" t="str">
        <f t="shared" si="24"/>
        <v/>
      </c>
      <c r="I123" s="57"/>
      <c r="J123" s="57"/>
      <c r="K123" s="57"/>
      <c r="L123" s="24" t="str">
        <f>IF(E123="","",IF(E123=D122,E122+1,1))</f>
        <v/>
      </c>
    </row>
    <row r="124" spans="3:36" x14ac:dyDescent="0.25">
      <c r="C124" s="56" t="str">
        <f t="shared" si="19"/>
        <v/>
      </c>
      <c r="D124" s="24" t="str">
        <f t="shared" si="20"/>
        <v/>
      </c>
      <c r="E124" s="24" t="str">
        <f t="shared" si="21"/>
        <v/>
      </c>
      <c r="F124" s="24" t="str">
        <f t="shared" si="22"/>
        <v/>
      </c>
      <c r="G124" s="24">
        <f t="shared" si="23"/>
        <v>0</v>
      </c>
      <c r="H124" s="57" t="str">
        <f t="shared" si="24"/>
        <v/>
      </c>
      <c r="I124" s="57"/>
      <c r="J124" s="57"/>
      <c r="K124" s="57"/>
      <c r="L124" s="24" t="str">
        <f t="shared" ref="L124:L187" si="25">IF(E124="","",IF(E124=E123,L123+1,1))</f>
        <v/>
      </c>
    </row>
    <row r="125" spans="3:36" x14ac:dyDescent="0.25">
      <c r="C125" s="56" t="str">
        <f t="shared" si="19"/>
        <v/>
      </c>
      <c r="D125" s="24" t="str">
        <f t="shared" si="20"/>
        <v/>
      </c>
      <c r="E125" s="24" t="str">
        <f t="shared" si="21"/>
        <v/>
      </c>
      <c r="F125" s="24" t="str">
        <f t="shared" si="22"/>
        <v/>
      </c>
      <c r="G125" s="24">
        <f t="shared" si="23"/>
        <v>0</v>
      </c>
      <c r="H125" s="57" t="str">
        <f t="shared" si="24"/>
        <v/>
      </c>
      <c r="I125" s="57"/>
      <c r="J125" s="57"/>
      <c r="K125" s="57"/>
      <c r="L125" s="24" t="str">
        <f t="shared" si="25"/>
        <v/>
      </c>
    </row>
    <row r="126" spans="3:36" x14ac:dyDescent="0.25">
      <c r="C126" s="56" t="str">
        <f t="shared" si="19"/>
        <v/>
      </c>
      <c r="D126" s="24" t="str">
        <f t="shared" si="20"/>
        <v/>
      </c>
      <c r="E126" s="24" t="str">
        <f t="shared" si="21"/>
        <v/>
      </c>
      <c r="F126" s="24" t="str">
        <f t="shared" si="22"/>
        <v/>
      </c>
      <c r="G126" s="24">
        <f t="shared" si="23"/>
        <v>0</v>
      </c>
      <c r="H126" s="57" t="str">
        <f t="shared" si="24"/>
        <v/>
      </c>
      <c r="I126" s="57"/>
      <c r="J126" s="57"/>
      <c r="K126" s="57"/>
      <c r="L126" s="24" t="str">
        <f t="shared" si="25"/>
        <v/>
      </c>
    </row>
    <row r="127" spans="3:36" x14ac:dyDescent="0.25">
      <c r="C127" s="56" t="str">
        <f t="shared" si="19"/>
        <v/>
      </c>
      <c r="D127" s="24" t="str">
        <f t="shared" si="20"/>
        <v/>
      </c>
      <c r="E127" s="24" t="str">
        <f t="shared" si="21"/>
        <v/>
      </c>
      <c r="F127" s="24" t="str">
        <f t="shared" si="22"/>
        <v/>
      </c>
      <c r="G127" s="24">
        <f t="shared" si="23"/>
        <v>0</v>
      </c>
      <c r="H127" s="57" t="str">
        <f t="shared" si="24"/>
        <v/>
      </c>
      <c r="I127" s="57"/>
      <c r="J127" s="57"/>
      <c r="K127" s="57"/>
      <c r="L127" s="24" t="str">
        <f t="shared" si="25"/>
        <v/>
      </c>
    </row>
    <row r="128" spans="3:36" x14ac:dyDescent="0.25">
      <c r="C128" s="56" t="str">
        <f t="shared" si="19"/>
        <v/>
      </c>
      <c r="D128" s="24" t="str">
        <f t="shared" si="20"/>
        <v/>
      </c>
      <c r="E128" s="24" t="str">
        <f t="shared" si="21"/>
        <v/>
      </c>
      <c r="F128" s="24" t="str">
        <f t="shared" si="22"/>
        <v/>
      </c>
      <c r="G128" s="24">
        <f t="shared" si="23"/>
        <v>0</v>
      </c>
      <c r="H128" s="57" t="str">
        <f t="shared" si="24"/>
        <v/>
      </c>
      <c r="I128" s="57"/>
      <c r="J128" s="57"/>
      <c r="K128" s="57"/>
      <c r="L128" s="24" t="str">
        <f t="shared" si="25"/>
        <v/>
      </c>
    </row>
    <row r="129" spans="3:12" x14ac:dyDescent="0.25">
      <c r="C129" s="56" t="str">
        <f t="shared" si="19"/>
        <v/>
      </c>
      <c r="D129" s="24" t="str">
        <f t="shared" si="20"/>
        <v/>
      </c>
      <c r="E129" s="24" t="str">
        <f t="shared" si="21"/>
        <v/>
      </c>
      <c r="F129" s="24" t="str">
        <f t="shared" si="22"/>
        <v/>
      </c>
      <c r="G129" s="24">
        <f t="shared" si="23"/>
        <v>0</v>
      </c>
      <c r="H129" s="57" t="str">
        <f t="shared" si="24"/>
        <v/>
      </c>
      <c r="I129" s="57"/>
      <c r="J129" s="57"/>
      <c r="K129" s="57"/>
      <c r="L129" s="24" t="str">
        <f t="shared" si="25"/>
        <v/>
      </c>
    </row>
    <row r="130" spans="3:12" x14ac:dyDescent="0.25">
      <c r="C130" s="56" t="str">
        <f t="shared" si="19"/>
        <v/>
      </c>
      <c r="D130" s="24" t="str">
        <f t="shared" si="20"/>
        <v/>
      </c>
      <c r="E130" s="24" t="str">
        <f t="shared" si="21"/>
        <v/>
      </c>
      <c r="F130" s="24" t="str">
        <f t="shared" si="22"/>
        <v/>
      </c>
      <c r="G130" s="24">
        <f t="shared" si="23"/>
        <v>0</v>
      </c>
      <c r="H130" s="57" t="str">
        <f t="shared" si="24"/>
        <v/>
      </c>
      <c r="I130" s="57"/>
      <c r="J130" s="57"/>
      <c r="K130" s="57"/>
      <c r="L130" s="24" t="str">
        <f t="shared" si="25"/>
        <v/>
      </c>
    </row>
    <row r="131" spans="3:12" x14ac:dyDescent="0.25">
      <c r="C131" s="56" t="str">
        <f t="shared" si="19"/>
        <v/>
      </c>
      <c r="D131" s="24" t="str">
        <f t="shared" si="20"/>
        <v/>
      </c>
      <c r="E131" s="24" t="str">
        <f t="shared" si="21"/>
        <v/>
      </c>
      <c r="F131" s="24" t="str">
        <f t="shared" si="22"/>
        <v/>
      </c>
      <c r="G131" s="24">
        <f t="shared" si="23"/>
        <v>0</v>
      </c>
      <c r="H131" s="57" t="str">
        <f t="shared" si="24"/>
        <v/>
      </c>
      <c r="I131" s="57"/>
      <c r="J131" s="57"/>
      <c r="K131" s="57"/>
      <c r="L131" s="24" t="str">
        <f t="shared" si="25"/>
        <v/>
      </c>
    </row>
    <row r="132" spans="3:12" x14ac:dyDescent="0.25">
      <c r="C132" s="56" t="str">
        <f t="shared" si="19"/>
        <v/>
      </c>
      <c r="D132" s="24" t="str">
        <f t="shared" si="20"/>
        <v/>
      </c>
      <c r="E132" s="24" t="str">
        <f t="shared" si="21"/>
        <v/>
      </c>
      <c r="F132" s="24" t="str">
        <f t="shared" si="22"/>
        <v/>
      </c>
      <c r="G132" s="24">
        <f t="shared" si="23"/>
        <v>0</v>
      </c>
      <c r="H132" s="57" t="str">
        <f t="shared" si="24"/>
        <v/>
      </c>
      <c r="I132" s="57"/>
      <c r="J132" s="57"/>
      <c r="K132" s="57"/>
      <c r="L132" s="24" t="str">
        <f t="shared" si="25"/>
        <v/>
      </c>
    </row>
    <row r="133" spans="3:12" x14ac:dyDescent="0.25">
      <c r="C133" s="56" t="str">
        <f t="shared" si="19"/>
        <v/>
      </c>
      <c r="D133" s="24" t="str">
        <f t="shared" si="20"/>
        <v/>
      </c>
      <c r="E133" s="24" t="str">
        <f t="shared" si="21"/>
        <v/>
      </c>
      <c r="F133" s="24" t="str">
        <f t="shared" si="22"/>
        <v/>
      </c>
      <c r="G133" s="24">
        <f t="shared" si="23"/>
        <v>0</v>
      </c>
      <c r="H133" s="57" t="str">
        <f t="shared" si="24"/>
        <v/>
      </c>
      <c r="I133" s="57"/>
      <c r="J133" s="57"/>
      <c r="K133" s="57"/>
      <c r="L133" s="24" t="str">
        <f t="shared" si="25"/>
        <v/>
      </c>
    </row>
    <row r="134" spans="3:12" x14ac:dyDescent="0.25">
      <c r="C134" s="56" t="str">
        <f t="shared" si="19"/>
        <v/>
      </c>
      <c r="D134" s="24" t="str">
        <f t="shared" si="20"/>
        <v/>
      </c>
      <c r="E134" s="24" t="str">
        <f t="shared" si="21"/>
        <v/>
      </c>
      <c r="F134" s="24" t="str">
        <f t="shared" si="22"/>
        <v/>
      </c>
      <c r="G134" s="24">
        <f t="shared" si="23"/>
        <v>0</v>
      </c>
      <c r="H134" s="57" t="str">
        <f t="shared" si="24"/>
        <v/>
      </c>
      <c r="I134" s="57"/>
      <c r="J134" s="57"/>
      <c r="K134" s="57"/>
      <c r="L134" s="24" t="str">
        <f t="shared" si="25"/>
        <v/>
      </c>
    </row>
    <row r="135" spans="3:12" x14ac:dyDescent="0.25">
      <c r="C135" s="56" t="str">
        <f t="shared" si="19"/>
        <v/>
      </c>
      <c r="D135" s="24" t="str">
        <f t="shared" si="20"/>
        <v/>
      </c>
      <c r="E135" s="24" t="str">
        <f t="shared" si="21"/>
        <v/>
      </c>
      <c r="F135" s="24" t="str">
        <f t="shared" si="22"/>
        <v/>
      </c>
      <c r="G135" s="24">
        <f t="shared" si="23"/>
        <v>0</v>
      </c>
      <c r="H135" s="57" t="str">
        <f t="shared" si="24"/>
        <v/>
      </c>
      <c r="I135" s="57"/>
      <c r="J135" s="57"/>
      <c r="K135" s="57"/>
      <c r="L135" s="24" t="str">
        <f t="shared" si="25"/>
        <v/>
      </c>
    </row>
    <row r="136" spans="3:12" x14ac:dyDescent="0.25">
      <c r="C136" s="56" t="str">
        <f t="shared" si="19"/>
        <v/>
      </c>
      <c r="D136" s="24" t="str">
        <f t="shared" si="20"/>
        <v/>
      </c>
      <c r="E136" s="24" t="str">
        <f t="shared" si="21"/>
        <v/>
      </c>
      <c r="F136" s="24" t="str">
        <f t="shared" si="22"/>
        <v/>
      </c>
      <c r="G136" s="24">
        <f t="shared" si="23"/>
        <v>0</v>
      </c>
      <c r="H136" s="57" t="str">
        <f t="shared" si="24"/>
        <v/>
      </c>
      <c r="I136" s="57"/>
      <c r="J136" s="57"/>
      <c r="K136" s="57"/>
      <c r="L136" s="24" t="str">
        <f t="shared" si="25"/>
        <v/>
      </c>
    </row>
    <row r="137" spans="3:12" x14ac:dyDescent="0.25">
      <c r="C137" s="56" t="str">
        <f t="shared" si="19"/>
        <v/>
      </c>
      <c r="D137" s="24" t="str">
        <f t="shared" si="20"/>
        <v/>
      </c>
      <c r="E137" s="24" t="str">
        <f t="shared" si="21"/>
        <v/>
      </c>
      <c r="F137" s="24" t="str">
        <f t="shared" si="22"/>
        <v/>
      </c>
      <c r="G137" s="24">
        <f t="shared" si="23"/>
        <v>0</v>
      </c>
      <c r="H137" s="57" t="str">
        <f t="shared" si="24"/>
        <v/>
      </c>
      <c r="I137" s="57"/>
      <c r="J137" s="57"/>
      <c r="K137" s="57"/>
      <c r="L137" s="24" t="str">
        <f t="shared" si="25"/>
        <v/>
      </c>
    </row>
    <row r="138" spans="3:12" x14ac:dyDescent="0.25">
      <c r="C138" s="56" t="str">
        <f t="shared" si="19"/>
        <v/>
      </c>
      <c r="D138" s="24" t="str">
        <f t="shared" si="20"/>
        <v/>
      </c>
      <c r="E138" s="24" t="str">
        <f t="shared" si="21"/>
        <v/>
      </c>
      <c r="F138" s="24" t="str">
        <f t="shared" si="22"/>
        <v/>
      </c>
      <c r="G138" s="24">
        <f t="shared" si="23"/>
        <v>0</v>
      </c>
      <c r="H138" s="57" t="str">
        <f t="shared" si="24"/>
        <v/>
      </c>
      <c r="I138" s="57"/>
      <c r="J138" s="57"/>
      <c r="K138" s="57"/>
      <c r="L138" s="24" t="str">
        <f t="shared" si="25"/>
        <v/>
      </c>
    </row>
    <row r="139" spans="3:12" x14ac:dyDescent="0.25">
      <c r="C139" s="56" t="str">
        <f t="shared" si="19"/>
        <v/>
      </c>
      <c r="D139" s="24" t="str">
        <f t="shared" si="20"/>
        <v/>
      </c>
      <c r="E139" s="24" t="str">
        <f t="shared" si="21"/>
        <v/>
      </c>
      <c r="F139" s="24" t="str">
        <f t="shared" si="22"/>
        <v/>
      </c>
      <c r="G139" s="24">
        <f t="shared" si="23"/>
        <v>0</v>
      </c>
      <c r="H139" s="57" t="str">
        <f t="shared" si="24"/>
        <v/>
      </c>
      <c r="I139" s="57"/>
      <c r="J139" s="57"/>
      <c r="K139" s="57"/>
      <c r="L139" s="24" t="str">
        <f t="shared" si="25"/>
        <v/>
      </c>
    </row>
    <row r="140" spans="3:12" x14ac:dyDescent="0.25">
      <c r="C140" s="56" t="str">
        <f t="shared" si="19"/>
        <v/>
      </c>
      <c r="D140" s="24" t="str">
        <f t="shared" si="20"/>
        <v/>
      </c>
      <c r="E140" s="24" t="str">
        <f t="shared" si="21"/>
        <v/>
      </c>
      <c r="F140" s="24" t="str">
        <f t="shared" si="22"/>
        <v/>
      </c>
      <c r="G140" s="24">
        <f t="shared" si="23"/>
        <v>0</v>
      </c>
      <c r="H140" s="57" t="str">
        <f t="shared" si="24"/>
        <v/>
      </c>
      <c r="I140" s="57"/>
      <c r="J140" s="57"/>
      <c r="K140" s="57"/>
      <c r="L140" s="24" t="str">
        <f t="shared" si="25"/>
        <v/>
      </c>
    </row>
    <row r="141" spans="3:12" x14ac:dyDescent="0.25">
      <c r="C141" s="56" t="str">
        <f t="shared" si="19"/>
        <v/>
      </c>
      <c r="D141" s="24" t="str">
        <f t="shared" si="20"/>
        <v/>
      </c>
      <c r="E141" s="24" t="str">
        <f t="shared" si="21"/>
        <v/>
      </c>
      <c r="F141" s="24" t="str">
        <f t="shared" si="22"/>
        <v/>
      </c>
      <c r="G141" s="24">
        <f t="shared" si="23"/>
        <v>0</v>
      </c>
      <c r="H141" s="57" t="str">
        <f t="shared" si="24"/>
        <v/>
      </c>
      <c r="I141" s="57"/>
      <c r="J141" s="57"/>
      <c r="K141" s="57"/>
      <c r="L141" s="24" t="str">
        <f t="shared" si="25"/>
        <v/>
      </c>
    </row>
    <row r="142" spans="3:12" x14ac:dyDescent="0.25">
      <c r="C142" s="56" t="str">
        <f t="shared" si="19"/>
        <v/>
      </c>
      <c r="D142" s="24" t="str">
        <f t="shared" si="20"/>
        <v/>
      </c>
      <c r="E142" s="24" t="str">
        <f t="shared" si="21"/>
        <v/>
      </c>
      <c r="F142" s="24" t="str">
        <f t="shared" si="22"/>
        <v/>
      </c>
      <c r="G142" s="24">
        <f t="shared" si="23"/>
        <v>0</v>
      </c>
      <c r="H142" s="57" t="str">
        <f t="shared" si="24"/>
        <v/>
      </c>
      <c r="I142" s="57"/>
      <c r="J142" s="57"/>
      <c r="K142" s="57"/>
      <c r="L142" s="24" t="str">
        <f t="shared" si="25"/>
        <v/>
      </c>
    </row>
    <row r="143" spans="3:12" x14ac:dyDescent="0.25">
      <c r="C143" s="56" t="str">
        <f t="shared" si="19"/>
        <v/>
      </c>
      <c r="D143" s="24" t="str">
        <f t="shared" si="20"/>
        <v/>
      </c>
      <c r="E143" s="24" t="str">
        <f t="shared" si="21"/>
        <v/>
      </c>
      <c r="F143" s="24" t="str">
        <f t="shared" si="22"/>
        <v/>
      </c>
      <c r="G143" s="24">
        <f t="shared" si="23"/>
        <v>0</v>
      </c>
      <c r="H143" s="57" t="str">
        <f t="shared" si="24"/>
        <v/>
      </c>
      <c r="I143" s="57"/>
      <c r="J143" s="57"/>
      <c r="K143" s="57"/>
      <c r="L143" s="24" t="str">
        <f t="shared" si="25"/>
        <v/>
      </c>
    </row>
    <row r="144" spans="3:12" x14ac:dyDescent="0.25">
      <c r="C144" s="56" t="str">
        <f t="shared" si="19"/>
        <v/>
      </c>
      <c r="D144" s="24" t="str">
        <f t="shared" si="20"/>
        <v/>
      </c>
      <c r="E144" s="24" t="str">
        <f t="shared" si="21"/>
        <v/>
      </c>
      <c r="F144" s="24" t="str">
        <f t="shared" si="22"/>
        <v/>
      </c>
      <c r="G144" s="24">
        <f t="shared" si="23"/>
        <v>0</v>
      </c>
      <c r="H144" s="57" t="str">
        <f t="shared" si="24"/>
        <v/>
      </c>
      <c r="I144" s="57"/>
      <c r="J144" s="57"/>
      <c r="K144" s="57"/>
      <c r="L144" s="24" t="str">
        <f t="shared" si="25"/>
        <v/>
      </c>
    </row>
    <row r="145" spans="3:12" x14ac:dyDescent="0.25">
      <c r="C145" s="56" t="str">
        <f t="shared" si="19"/>
        <v/>
      </c>
      <c r="D145" s="24" t="str">
        <f t="shared" si="20"/>
        <v/>
      </c>
      <c r="E145" s="24" t="str">
        <f t="shared" si="21"/>
        <v/>
      </c>
      <c r="F145" s="24" t="str">
        <f t="shared" si="22"/>
        <v/>
      </c>
      <c r="G145" s="24">
        <f t="shared" si="23"/>
        <v>0</v>
      </c>
      <c r="H145" s="57" t="str">
        <f t="shared" si="24"/>
        <v/>
      </c>
      <c r="I145" s="57"/>
      <c r="J145" s="57"/>
      <c r="K145" s="57"/>
      <c r="L145" s="24" t="str">
        <f t="shared" si="25"/>
        <v/>
      </c>
    </row>
    <row r="146" spans="3:12" x14ac:dyDescent="0.25">
      <c r="C146" s="56" t="str">
        <f t="shared" si="19"/>
        <v/>
      </c>
      <c r="D146" s="24" t="str">
        <f t="shared" si="20"/>
        <v/>
      </c>
      <c r="E146" s="24" t="str">
        <f t="shared" si="21"/>
        <v/>
      </c>
      <c r="F146" s="24" t="str">
        <f t="shared" si="22"/>
        <v/>
      </c>
      <c r="G146" s="24">
        <f t="shared" si="23"/>
        <v>0</v>
      </c>
      <c r="H146" s="57" t="str">
        <f t="shared" si="24"/>
        <v/>
      </c>
      <c r="I146" s="57"/>
      <c r="J146" s="57"/>
      <c r="K146" s="57"/>
      <c r="L146" s="24" t="str">
        <f t="shared" si="25"/>
        <v/>
      </c>
    </row>
    <row r="147" spans="3:12" x14ac:dyDescent="0.25">
      <c r="C147" s="56" t="str">
        <f t="shared" si="19"/>
        <v/>
      </c>
      <c r="D147" s="24" t="str">
        <f t="shared" si="20"/>
        <v/>
      </c>
      <c r="E147" s="24" t="str">
        <f t="shared" si="21"/>
        <v/>
      </c>
      <c r="F147" s="24" t="str">
        <f t="shared" si="22"/>
        <v/>
      </c>
      <c r="G147" s="24">
        <f t="shared" si="23"/>
        <v>0</v>
      </c>
      <c r="H147" s="57" t="str">
        <f t="shared" si="24"/>
        <v/>
      </c>
      <c r="I147" s="57"/>
      <c r="J147" s="57"/>
      <c r="K147" s="57"/>
      <c r="L147" s="24" t="str">
        <f t="shared" si="25"/>
        <v/>
      </c>
    </row>
    <row r="148" spans="3:12" x14ac:dyDescent="0.25">
      <c r="C148" s="56" t="str">
        <f t="shared" si="19"/>
        <v/>
      </c>
      <c r="D148" s="24" t="str">
        <f t="shared" si="20"/>
        <v/>
      </c>
      <c r="E148" s="24" t="str">
        <f t="shared" si="21"/>
        <v/>
      </c>
      <c r="F148" s="24" t="str">
        <f t="shared" si="22"/>
        <v/>
      </c>
      <c r="G148" s="24">
        <f t="shared" si="23"/>
        <v>0</v>
      </c>
      <c r="H148" s="57" t="str">
        <f t="shared" si="24"/>
        <v/>
      </c>
      <c r="I148" s="57"/>
      <c r="J148" s="57"/>
      <c r="K148" s="57"/>
      <c r="L148" s="24" t="str">
        <f t="shared" si="25"/>
        <v/>
      </c>
    </row>
    <row r="149" spans="3:12" x14ac:dyDescent="0.25">
      <c r="C149" s="56" t="str">
        <f t="shared" si="19"/>
        <v/>
      </c>
      <c r="D149" s="24" t="str">
        <f t="shared" si="20"/>
        <v/>
      </c>
      <c r="E149" s="24" t="str">
        <f t="shared" si="21"/>
        <v/>
      </c>
      <c r="F149" s="24" t="str">
        <f t="shared" si="22"/>
        <v/>
      </c>
      <c r="G149" s="24">
        <f t="shared" si="23"/>
        <v>0</v>
      </c>
      <c r="H149" s="57" t="str">
        <f t="shared" si="24"/>
        <v/>
      </c>
      <c r="I149" s="57"/>
      <c r="J149" s="57"/>
      <c r="K149" s="57"/>
      <c r="L149" s="24" t="str">
        <f t="shared" si="25"/>
        <v/>
      </c>
    </row>
    <row r="150" spans="3:12" x14ac:dyDescent="0.25">
      <c r="C150" s="56" t="str">
        <f t="shared" si="19"/>
        <v/>
      </c>
      <c r="D150" s="24" t="str">
        <f t="shared" si="20"/>
        <v/>
      </c>
      <c r="E150" s="24" t="str">
        <f t="shared" si="21"/>
        <v/>
      </c>
      <c r="F150" s="24" t="str">
        <f t="shared" si="22"/>
        <v/>
      </c>
      <c r="G150" s="24">
        <f t="shared" si="23"/>
        <v>0</v>
      </c>
      <c r="H150" s="57" t="str">
        <f t="shared" si="24"/>
        <v/>
      </c>
      <c r="I150" s="57"/>
      <c r="J150" s="57"/>
      <c r="K150" s="57"/>
      <c r="L150" s="24" t="str">
        <f t="shared" si="25"/>
        <v/>
      </c>
    </row>
    <row r="151" spans="3:12" x14ac:dyDescent="0.25">
      <c r="C151" s="56" t="str">
        <f t="shared" ref="C151:C214" si="26">IF(OR(A151="Grand Total",A151=""),"",C150+B151)</f>
        <v/>
      </c>
      <c r="D151" s="24" t="str">
        <f t="shared" ref="D151:D214" si="27">IF(OR(B151="",A151="Grand Total"),"",IF(B151&lt;0,"L","W"))</f>
        <v/>
      </c>
      <c r="E151" s="24" t="str">
        <f t="shared" si="21"/>
        <v/>
      </c>
      <c r="F151" s="24" t="str">
        <f t="shared" si="22"/>
        <v/>
      </c>
      <c r="G151" s="24">
        <f t="shared" si="23"/>
        <v>0</v>
      </c>
      <c r="H151" s="57" t="str">
        <f t="shared" si="24"/>
        <v/>
      </c>
      <c r="I151" s="57"/>
      <c r="J151" s="57"/>
      <c r="K151" s="57"/>
      <c r="L151" s="24" t="str">
        <f t="shared" si="25"/>
        <v/>
      </c>
    </row>
    <row r="152" spans="3:12" x14ac:dyDescent="0.25">
      <c r="C152" s="56" t="str">
        <f t="shared" si="26"/>
        <v/>
      </c>
      <c r="D152" s="24" t="str">
        <f t="shared" si="27"/>
        <v/>
      </c>
      <c r="E152" s="24" t="str">
        <f t="shared" ref="E152:E215" si="28">IF(D152="","",IF(D152=D151,E151+1,1))</f>
        <v/>
      </c>
      <c r="F152" s="24" t="str">
        <f t="shared" ref="F152:F215" si="29">IFERROR(MAX(F151,S$1+C152),"")</f>
        <v/>
      </c>
      <c r="G152" s="24">
        <f t="shared" ref="G152:G215" si="30">IFERROR((S$1+C152)-F152,0)</f>
        <v>0</v>
      </c>
      <c r="H152" s="57" t="str">
        <f t="shared" ref="H152:H215" si="31">IFERROR((S$1+C152)/F152-1,"")</f>
        <v/>
      </c>
      <c r="I152" s="57"/>
      <c r="J152" s="57"/>
      <c r="K152" s="57"/>
      <c r="L152" s="24" t="str">
        <f t="shared" si="25"/>
        <v/>
      </c>
    </row>
    <row r="153" spans="3:12" x14ac:dyDescent="0.25">
      <c r="C153" s="56" t="str">
        <f t="shared" si="26"/>
        <v/>
      </c>
      <c r="D153" s="24" t="str">
        <f t="shared" si="27"/>
        <v/>
      </c>
      <c r="E153" s="24" t="str">
        <f t="shared" si="28"/>
        <v/>
      </c>
      <c r="F153" s="24" t="str">
        <f t="shared" si="29"/>
        <v/>
      </c>
      <c r="G153" s="24">
        <f t="shared" si="30"/>
        <v>0</v>
      </c>
      <c r="H153" s="57" t="str">
        <f t="shared" si="31"/>
        <v/>
      </c>
      <c r="I153" s="57"/>
      <c r="J153" s="57"/>
      <c r="K153" s="57"/>
      <c r="L153" s="24" t="str">
        <f t="shared" si="25"/>
        <v/>
      </c>
    </row>
    <row r="154" spans="3:12" x14ac:dyDescent="0.25">
      <c r="C154" s="56" t="str">
        <f t="shared" si="26"/>
        <v/>
      </c>
      <c r="D154" s="24" t="str">
        <f t="shared" si="27"/>
        <v/>
      </c>
      <c r="E154" s="24" t="str">
        <f t="shared" si="28"/>
        <v/>
      </c>
      <c r="F154" s="24" t="str">
        <f t="shared" si="29"/>
        <v/>
      </c>
      <c r="G154" s="24">
        <f t="shared" si="30"/>
        <v>0</v>
      </c>
      <c r="H154" s="57" t="str">
        <f t="shared" si="31"/>
        <v/>
      </c>
      <c r="I154" s="57"/>
      <c r="J154" s="57"/>
      <c r="K154" s="57"/>
      <c r="L154" s="24" t="str">
        <f t="shared" si="25"/>
        <v/>
      </c>
    </row>
    <row r="155" spans="3:12" x14ac:dyDescent="0.25">
      <c r="C155" s="56" t="str">
        <f t="shared" si="26"/>
        <v/>
      </c>
      <c r="D155" s="24" t="str">
        <f t="shared" si="27"/>
        <v/>
      </c>
      <c r="E155" s="24" t="str">
        <f t="shared" si="28"/>
        <v/>
      </c>
      <c r="F155" s="24" t="str">
        <f t="shared" si="29"/>
        <v/>
      </c>
      <c r="G155" s="24">
        <f t="shared" si="30"/>
        <v>0</v>
      </c>
      <c r="H155" s="57" t="str">
        <f t="shared" si="31"/>
        <v/>
      </c>
      <c r="I155" s="57"/>
      <c r="J155" s="57"/>
      <c r="K155" s="57"/>
      <c r="L155" s="24" t="str">
        <f t="shared" si="25"/>
        <v/>
      </c>
    </row>
    <row r="156" spans="3:12" x14ac:dyDescent="0.25">
      <c r="C156" s="56" t="str">
        <f t="shared" si="26"/>
        <v/>
      </c>
      <c r="D156" s="24" t="str">
        <f t="shared" si="27"/>
        <v/>
      </c>
      <c r="E156" s="24" t="str">
        <f t="shared" si="28"/>
        <v/>
      </c>
      <c r="F156" s="24" t="str">
        <f t="shared" si="29"/>
        <v/>
      </c>
      <c r="G156" s="24">
        <f t="shared" si="30"/>
        <v>0</v>
      </c>
      <c r="H156" s="57" t="str">
        <f t="shared" si="31"/>
        <v/>
      </c>
      <c r="I156" s="57"/>
      <c r="J156" s="57"/>
      <c r="K156" s="57"/>
      <c r="L156" s="24" t="str">
        <f t="shared" si="25"/>
        <v/>
      </c>
    </row>
    <row r="157" spans="3:12" x14ac:dyDescent="0.25">
      <c r="C157" s="56" t="str">
        <f t="shared" si="26"/>
        <v/>
      </c>
      <c r="D157" s="24" t="str">
        <f t="shared" si="27"/>
        <v/>
      </c>
      <c r="E157" s="24" t="str">
        <f t="shared" si="28"/>
        <v/>
      </c>
      <c r="F157" s="24" t="str">
        <f t="shared" si="29"/>
        <v/>
      </c>
      <c r="G157" s="24">
        <f t="shared" si="30"/>
        <v>0</v>
      </c>
      <c r="H157" s="57" t="str">
        <f t="shared" si="31"/>
        <v/>
      </c>
      <c r="I157" s="57"/>
      <c r="J157" s="57"/>
      <c r="K157" s="57"/>
      <c r="L157" s="24" t="str">
        <f t="shared" si="25"/>
        <v/>
      </c>
    </row>
    <row r="158" spans="3:12" x14ac:dyDescent="0.25">
      <c r="C158" s="56" t="str">
        <f t="shared" si="26"/>
        <v/>
      </c>
      <c r="D158" s="24" t="str">
        <f t="shared" si="27"/>
        <v/>
      </c>
      <c r="E158" s="24" t="str">
        <f t="shared" si="28"/>
        <v/>
      </c>
      <c r="F158" s="24" t="str">
        <f t="shared" si="29"/>
        <v/>
      </c>
      <c r="G158" s="24">
        <f t="shared" si="30"/>
        <v>0</v>
      </c>
      <c r="H158" s="57" t="str">
        <f t="shared" si="31"/>
        <v/>
      </c>
      <c r="I158" s="57"/>
      <c r="J158" s="57"/>
      <c r="K158" s="57"/>
      <c r="L158" s="24" t="str">
        <f t="shared" si="25"/>
        <v/>
      </c>
    </row>
    <row r="159" spans="3:12" x14ac:dyDescent="0.25">
      <c r="C159" s="56" t="str">
        <f t="shared" si="26"/>
        <v/>
      </c>
      <c r="D159" s="24" t="str">
        <f t="shared" si="27"/>
        <v/>
      </c>
      <c r="E159" s="24" t="str">
        <f t="shared" si="28"/>
        <v/>
      </c>
      <c r="F159" s="24" t="str">
        <f t="shared" si="29"/>
        <v/>
      </c>
      <c r="G159" s="24">
        <f t="shared" si="30"/>
        <v>0</v>
      </c>
      <c r="H159" s="57" t="str">
        <f t="shared" si="31"/>
        <v/>
      </c>
      <c r="I159" s="57"/>
      <c r="J159" s="57"/>
      <c r="K159" s="57"/>
      <c r="L159" s="24" t="str">
        <f t="shared" si="25"/>
        <v/>
      </c>
    </row>
    <row r="160" spans="3:12" x14ac:dyDescent="0.25">
      <c r="C160" s="56" t="str">
        <f t="shared" si="26"/>
        <v/>
      </c>
      <c r="D160" s="24" t="str">
        <f t="shared" si="27"/>
        <v/>
      </c>
      <c r="E160" s="24" t="str">
        <f t="shared" si="28"/>
        <v/>
      </c>
      <c r="F160" s="24" t="str">
        <f t="shared" si="29"/>
        <v/>
      </c>
      <c r="G160" s="24">
        <f t="shared" si="30"/>
        <v>0</v>
      </c>
      <c r="H160" s="57" t="str">
        <f t="shared" si="31"/>
        <v/>
      </c>
      <c r="I160" s="57"/>
      <c r="J160" s="57"/>
      <c r="K160" s="57"/>
      <c r="L160" s="24" t="str">
        <f t="shared" si="25"/>
        <v/>
      </c>
    </row>
    <row r="161" spans="3:12" x14ac:dyDescent="0.25">
      <c r="C161" s="56" t="str">
        <f t="shared" si="26"/>
        <v/>
      </c>
      <c r="D161" s="24" t="str">
        <f t="shared" si="27"/>
        <v/>
      </c>
      <c r="E161" s="24" t="str">
        <f t="shared" si="28"/>
        <v/>
      </c>
      <c r="F161" s="24" t="str">
        <f t="shared" si="29"/>
        <v/>
      </c>
      <c r="G161" s="24">
        <f t="shared" si="30"/>
        <v>0</v>
      </c>
      <c r="H161" s="57" t="str">
        <f t="shared" si="31"/>
        <v/>
      </c>
      <c r="I161" s="57"/>
      <c r="J161" s="57"/>
      <c r="K161" s="57"/>
      <c r="L161" s="24" t="str">
        <f t="shared" si="25"/>
        <v/>
      </c>
    </row>
    <row r="162" spans="3:12" x14ac:dyDescent="0.25">
      <c r="C162" s="56" t="str">
        <f t="shared" si="26"/>
        <v/>
      </c>
      <c r="D162" s="24" t="str">
        <f t="shared" si="27"/>
        <v/>
      </c>
      <c r="E162" s="24" t="str">
        <f t="shared" si="28"/>
        <v/>
      </c>
      <c r="F162" s="24" t="str">
        <f t="shared" si="29"/>
        <v/>
      </c>
      <c r="G162" s="24">
        <f t="shared" si="30"/>
        <v>0</v>
      </c>
      <c r="H162" s="57" t="str">
        <f t="shared" si="31"/>
        <v/>
      </c>
      <c r="I162" s="57"/>
      <c r="J162" s="57"/>
      <c r="K162" s="57"/>
      <c r="L162" s="24" t="str">
        <f t="shared" si="25"/>
        <v/>
      </c>
    </row>
    <row r="163" spans="3:12" x14ac:dyDescent="0.25">
      <c r="C163" s="56" t="str">
        <f t="shared" si="26"/>
        <v/>
      </c>
      <c r="D163" s="24" t="str">
        <f t="shared" si="27"/>
        <v/>
      </c>
      <c r="E163" s="24" t="str">
        <f t="shared" si="28"/>
        <v/>
      </c>
      <c r="F163" s="24" t="str">
        <f t="shared" si="29"/>
        <v/>
      </c>
      <c r="G163" s="24">
        <f t="shared" si="30"/>
        <v>0</v>
      </c>
      <c r="H163" s="57" t="str">
        <f t="shared" si="31"/>
        <v/>
      </c>
      <c r="I163" s="57"/>
      <c r="J163" s="57"/>
      <c r="K163" s="57"/>
      <c r="L163" s="24" t="str">
        <f t="shared" si="25"/>
        <v/>
      </c>
    </row>
    <row r="164" spans="3:12" x14ac:dyDescent="0.25">
      <c r="C164" s="56" t="str">
        <f t="shared" si="26"/>
        <v/>
      </c>
      <c r="D164" s="24" t="str">
        <f t="shared" si="27"/>
        <v/>
      </c>
      <c r="E164" s="24" t="str">
        <f t="shared" si="28"/>
        <v/>
      </c>
      <c r="F164" s="24" t="str">
        <f t="shared" si="29"/>
        <v/>
      </c>
      <c r="G164" s="24">
        <f t="shared" si="30"/>
        <v>0</v>
      </c>
      <c r="H164" s="57" t="str">
        <f t="shared" si="31"/>
        <v/>
      </c>
      <c r="I164" s="57"/>
      <c r="J164" s="57"/>
      <c r="K164" s="57"/>
      <c r="L164" s="24" t="str">
        <f t="shared" si="25"/>
        <v/>
      </c>
    </row>
    <row r="165" spans="3:12" x14ac:dyDescent="0.25">
      <c r="C165" s="56" t="str">
        <f t="shared" si="26"/>
        <v/>
      </c>
      <c r="D165" s="24" t="str">
        <f t="shared" si="27"/>
        <v/>
      </c>
      <c r="E165" s="24" t="str">
        <f t="shared" si="28"/>
        <v/>
      </c>
      <c r="F165" s="24" t="str">
        <f t="shared" si="29"/>
        <v/>
      </c>
      <c r="G165" s="24">
        <f t="shared" si="30"/>
        <v>0</v>
      </c>
      <c r="H165" s="57" t="str">
        <f t="shared" si="31"/>
        <v/>
      </c>
      <c r="I165" s="57"/>
      <c r="J165" s="57"/>
      <c r="K165" s="57"/>
      <c r="L165" s="24" t="str">
        <f t="shared" si="25"/>
        <v/>
      </c>
    </row>
    <row r="166" spans="3:12" x14ac:dyDescent="0.25">
      <c r="C166" s="56" t="str">
        <f t="shared" si="26"/>
        <v/>
      </c>
      <c r="D166" s="24" t="str">
        <f t="shared" si="27"/>
        <v/>
      </c>
      <c r="E166" s="24" t="str">
        <f t="shared" si="28"/>
        <v/>
      </c>
      <c r="F166" s="24" t="str">
        <f t="shared" si="29"/>
        <v/>
      </c>
      <c r="G166" s="24">
        <f t="shared" si="30"/>
        <v>0</v>
      </c>
      <c r="H166" s="57" t="str">
        <f t="shared" si="31"/>
        <v/>
      </c>
      <c r="I166" s="57"/>
      <c r="J166" s="57"/>
      <c r="K166" s="57"/>
      <c r="L166" s="24" t="str">
        <f t="shared" si="25"/>
        <v/>
      </c>
    </row>
    <row r="167" spans="3:12" x14ac:dyDescent="0.25">
      <c r="C167" s="56" t="str">
        <f t="shared" si="26"/>
        <v/>
      </c>
      <c r="D167" s="24" t="str">
        <f t="shared" si="27"/>
        <v/>
      </c>
      <c r="E167" s="24" t="str">
        <f t="shared" si="28"/>
        <v/>
      </c>
      <c r="F167" s="24" t="str">
        <f t="shared" si="29"/>
        <v/>
      </c>
      <c r="G167" s="24">
        <f t="shared" si="30"/>
        <v>0</v>
      </c>
      <c r="H167" s="57" t="str">
        <f t="shared" si="31"/>
        <v/>
      </c>
      <c r="I167" s="57"/>
      <c r="J167" s="57"/>
      <c r="K167" s="57"/>
      <c r="L167" s="24" t="str">
        <f t="shared" si="25"/>
        <v/>
      </c>
    </row>
    <row r="168" spans="3:12" x14ac:dyDescent="0.25">
      <c r="C168" s="56" t="str">
        <f t="shared" si="26"/>
        <v/>
      </c>
      <c r="D168" s="24" t="str">
        <f t="shared" si="27"/>
        <v/>
      </c>
      <c r="E168" s="24" t="str">
        <f t="shared" si="28"/>
        <v/>
      </c>
      <c r="F168" s="24" t="str">
        <f t="shared" si="29"/>
        <v/>
      </c>
      <c r="G168" s="24">
        <f t="shared" si="30"/>
        <v>0</v>
      </c>
      <c r="H168" s="57" t="str">
        <f t="shared" si="31"/>
        <v/>
      </c>
      <c r="I168" s="57"/>
      <c r="J168" s="57"/>
      <c r="K168" s="57"/>
      <c r="L168" s="24" t="str">
        <f t="shared" si="25"/>
        <v/>
      </c>
    </row>
    <row r="169" spans="3:12" x14ac:dyDescent="0.25">
      <c r="C169" s="56" t="str">
        <f t="shared" si="26"/>
        <v/>
      </c>
      <c r="D169" s="24" t="str">
        <f t="shared" si="27"/>
        <v/>
      </c>
      <c r="E169" s="24" t="str">
        <f t="shared" si="28"/>
        <v/>
      </c>
      <c r="F169" s="24" t="str">
        <f t="shared" si="29"/>
        <v/>
      </c>
      <c r="G169" s="24">
        <f t="shared" si="30"/>
        <v>0</v>
      </c>
      <c r="H169" s="57" t="str">
        <f t="shared" si="31"/>
        <v/>
      </c>
      <c r="I169" s="57"/>
      <c r="J169" s="57"/>
      <c r="K169" s="57"/>
      <c r="L169" s="24" t="str">
        <f t="shared" si="25"/>
        <v/>
      </c>
    </row>
    <row r="170" spans="3:12" x14ac:dyDescent="0.25">
      <c r="C170" s="56" t="str">
        <f t="shared" si="26"/>
        <v/>
      </c>
      <c r="D170" s="24" t="str">
        <f t="shared" si="27"/>
        <v/>
      </c>
      <c r="E170" s="24" t="str">
        <f t="shared" si="28"/>
        <v/>
      </c>
      <c r="F170" s="24" t="str">
        <f t="shared" si="29"/>
        <v/>
      </c>
      <c r="G170" s="24">
        <f t="shared" si="30"/>
        <v>0</v>
      </c>
      <c r="H170" s="57" t="str">
        <f t="shared" si="31"/>
        <v/>
      </c>
      <c r="I170" s="57"/>
      <c r="J170" s="57"/>
      <c r="K170" s="57"/>
      <c r="L170" s="24" t="str">
        <f t="shared" si="25"/>
        <v/>
      </c>
    </row>
    <row r="171" spans="3:12" x14ac:dyDescent="0.25">
      <c r="C171" s="56" t="str">
        <f t="shared" si="26"/>
        <v/>
      </c>
      <c r="D171" s="24" t="str">
        <f t="shared" si="27"/>
        <v/>
      </c>
      <c r="E171" s="24" t="str">
        <f t="shared" si="28"/>
        <v/>
      </c>
      <c r="F171" s="24" t="str">
        <f t="shared" si="29"/>
        <v/>
      </c>
      <c r="G171" s="24">
        <f t="shared" si="30"/>
        <v>0</v>
      </c>
      <c r="H171" s="57" t="str">
        <f t="shared" si="31"/>
        <v/>
      </c>
      <c r="I171" s="57"/>
      <c r="J171" s="57"/>
      <c r="K171" s="57"/>
      <c r="L171" s="24" t="str">
        <f t="shared" si="25"/>
        <v/>
      </c>
    </row>
    <row r="172" spans="3:12" x14ac:dyDescent="0.25">
      <c r="C172" s="56" t="str">
        <f t="shared" si="26"/>
        <v/>
      </c>
      <c r="D172" s="24" t="str">
        <f t="shared" si="27"/>
        <v/>
      </c>
      <c r="E172" s="24" t="str">
        <f t="shared" si="28"/>
        <v/>
      </c>
      <c r="F172" s="24" t="str">
        <f t="shared" si="29"/>
        <v/>
      </c>
      <c r="G172" s="24">
        <f t="shared" si="30"/>
        <v>0</v>
      </c>
      <c r="H172" s="57" t="str">
        <f t="shared" si="31"/>
        <v/>
      </c>
      <c r="I172" s="57"/>
      <c r="J172" s="57"/>
      <c r="K172" s="57"/>
      <c r="L172" s="24" t="str">
        <f t="shared" si="25"/>
        <v/>
      </c>
    </row>
    <row r="173" spans="3:12" x14ac:dyDescent="0.25">
      <c r="C173" s="56" t="str">
        <f t="shared" si="26"/>
        <v/>
      </c>
      <c r="D173" s="24" t="str">
        <f t="shared" si="27"/>
        <v/>
      </c>
      <c r="E173" s="24" t="str">
        <f t="shared" si="28"/>
        <v/>
      </c>
      <c r="F173" s="24" t="str">
        <f t="shared" si="29"/>
        <v/>
      </c>
      <c r="G173" s="24">
        <f t="shared" si="30"/>
        <v>0</v>
      </c>
      <c r="H173" s="57" t="str">
        <f t="shared" si="31"/>
        <v/>
      </c>
      <c r="I173" s="57"/>
      <c r="J173" s="57"/>
      <c r="K173" s="57"/>
      <c r="L173" s="24" t="str">
        <f t="shared" si="25"/>
        <v/>
      </c>
    </row>
    <row r="174" spans="3:12" x14ac:dyDescent="0.25">
      <c r="C174" s="56" t="str">
        <f t="shared" si="26"/>
        <v/>
      </c>
      <c r="D174" s="24" t="str">
        <f t="shared" si="27"/>
        <v/>
      </c>
      <c r="E174" s="24" t="str">
        <f t="shared" si="28"/>
        <v/>
      </c>
      <c r="F174" s="24" t="str">
        <f t="shared" si="29"/>
        <v/>
      </c>
      <c r="G174" s="24">
        <f t="shared" si="30"/>
        <v>0</v>
      </c>
      <c r="H174" s="57" t="str">
        <f t="shared" si="31"/>
        <v/>
      </c>
      <c r="I174" s="57"/>
      <c r="J174" s="57"/>
      <c r="K174" s="57"/>
      <c r="L174" s="24" t="str">
        <f t="shared" si="25"/>
        <v/>
      </c>
    </row>
    <row r="175" spans="3:12" x14ac:dyDescent="0.25">
      <c r="C175" s="56" t="str">
        <f t="shared" si="26"/>
        <v/>
      </c>
      <c r="D175" s="24" t="str">
        <f t="shared" si="27"/>
        <v/>
      </c>
      <c r="E175" s="24" t="str">
        <f t="shared" si="28"/>
        <v/>
      </c>
      <c r="F175" s="24" t="str">
        <f t="shared" si="29"/>
        <v/>
      </c>
      <c r="G175" s="24">
        <f t="shared" si="30"/>
        <v>0</v>
      </c>
      <c r="H175" s="57" t="str">
        <f t="shared" si="31"/>
        <v/>
      </c>
      <c r="I175" s="57"/>
      <c r="J175" s="57"/>
      <c r="K175" s="57"/>
      <c r="L175" s="24" t="str">
        <f t="shared" si="25"/>
        <v/>
      </c>
    </row>
    <row r="176" spans="3:12" x14ac:dyDescent="0.25">
      <c r="C176" s="56" t="str">
        <f t="shared" si="26"/>
        <v/>
      </c>
      <c r="D176" s="24" t="str">
        <f t="shared" si="27"/>
        <v/>
      </c>
      <c r="E176" s="24" t="str">
        <f t="shared" si="28"/>
        <v/>
      </c>
      <c r="F176" s="24" t="str">
        <f t="shared" si="29"/>
        <v/>
      </c>
      <c r="G176" s="24">
        <f t="shared" si="30"/>
        <v>0</v>
      </c>
      <c r="H176" s="57" t="str">
        <f t="shared" si="31"/>
        <v/>
      </c>
      <c r="I176" s="57"/>
      <c r="J176" s="57"/>
      <c r="K176" s="57"/>
      <c r="L176" s="24" t="str">
        <f t="shared" si="25"/>
        <v/>
      </c>
    </row>
    <row r="177" spans="3:12" x14ac:dyDescent="0.25">
      <c r="C177" s="56" t="str">
        <f t="shared" si="26"/>
        <v/>
      </c>
      <c r="D177" s="24" t="str">
        <f t="shared" si="27"/>
        <v/>
      </c>
      <c r="E177" s="24" t="str">
        <f t="shared" si="28"/>
        <v/>
      </c>
      <c r="F177" s="24" t="str">
        <f t="shared" si="29"/>
        <v/>
      </c>
      <c r="G177" s="24">
        <f t="shared" si="30"/>
        <v>0</v>
      </c>
      <c r="H177" s="57" t="str">
        <f t="shared" si="31"/>
        <v/>
      </c>
      <c r="I177" s="57"/>
      <c r="J177" s="57"/>
      <c r="K177" s="57"/>
      <c r="L177" s="24" t="str">
        <f t="shared" si="25"/>
        <v/>
      </c>
    </row>
    <row r="178" spans="3:12" x14ac:dyDescent="0.25">
      <c r="C178" s="56" t="str">
        <f t="shared" si="26"/>
        <v/>
      </c>
      <c r="D178" s="24" t="str">
        <f t="shared" si="27"/>
        <v/>
      </c>
      <c r="E178" s="24" t="str">
        <f t="shared" si="28"/>
        <v/>
      </c>
      <c r="F178" s="24" t="str">
        <f t="shared" si="29"/>
        <v/>
      </c>
      <c r="G178" s="24">
        <f t="shared" si="30"/>
        <v>0</v>
      </c>
      <c r="H178" s="57" t="str">
        <f t="shared" si="31"/>
        <v/>
      </c>
      <c r="I178" s="57"/>
      <c r="J178" s="57"/>
      <c r="K178" s="57"/>
      <c r="L178" s="24" t="str">
        <f t="shared" si="25"/>
        <v/>
      </c>
    </row>
    <row r="179" spans="3:12" x14ac:dyDescent="0.25">
      <c r="C179" s="56" t="str">
        <f t="shared" si="26"/>
        <v/>
      </c>
      <c r="D179" s="24" t="str">
        <f t="shared" si="27"/>
        <v/>
      </c>
      <c r="E179" s="24" t="str">
        <f t="shared" si="28"/>
        <v/>
      </c>
      <c r="F179" s="24" t="str">
        <f t="shared" si="29"/>
        <v/>
      </c>
      <c r="G179" s="24">
        <f t="shared" si="30"/>
        <v>0</v>
      </c>
      <c r="H179" s="57" t="str">
        <f t="shared" si="31"/>
        <v/>
      </c>
      <c r="I179" s="57"/>
      <c r="J179" s="57"/>
      <c r="K179" s="57"/>
      <c r="L179" s="24" t="str">
        <f t="shared" si="25"/>
        <v/>
      </c>
    </row>
    <row r="180" spans="3:12" x14ac:dyDescent="0.25">
      <c r="C180" s="56" t="str">
        <f t="shared" si="26"/>
        <v/>
      </c>
      <c r="D180" s="24" t="str">
        <f t="shared" si="27"/>
        <v/>
      </c>
      <c r="E180" s="24" t="str">
        <f t="shared" si="28"/>
        <v/>
      </c>
      <c r="F180" s="24" t="str">
        <f t="shared" si="29"/>
        <v/>
      </c>
      <c r="G180" s="24">
        <f t="shared" si="30"/>
        <v>0</v>
      </c>
      <c r="H180" s="57" t="str">
        <f t="shared" si="31"/>
        <v/>
      </c>
      <c r="I180" s="57"/>
      <c r="J180" s="57"/>
      <c r="K180" s="57"/>
      <c r="L180" s="24" t="str">
        <f t="shared" si="25"/>
        <v/>
      </c>
    </row>
    <row r="181" spans="3:12" x14ac:dyDescent="0.25">
      <c r="C181" s="56" t="str">
        <f t="shared" si="26"/>
        <v/>
      </c>
      <c r="D181" s="24" t="str">
        <f t="shared" si="27"/>
        <v/>
      </c>
      <c r="E181" s="24" t="str">
        <f t="shared" si="28"/>
        <v/>
      </c>
      <c r="F181" s="24" t="str">
        <f t="shared" si="29"/>
        <v/>
      </c>
      <c r="G181" s="24">
        <f t="shared" si="30"/>
        <v>0</v>
      </c>
      <c r="H181" s="57" t="str">
        <f t="shared" si="31"/>
        <v/>
      </c>
      <c r="I181" s="57"/>
      <c r="J181" s="57"/>
      <c r="K181" s="57"/>
      <c r="L181" s="24" t="str">
        <f t="shared" si="25"/>
        <v/>
      </c>
    </row>
    <row r="182" spans="3:12" x14ac:dyDescent="0.25">
      <c r="C182" s="56" t="str">
        <f t="shared" si="26"/>
        <v/>
      </c>
      <c r="D182" s="24" t="str">
        <f t="shared" si="27"/>
        <v/>
      </c>
      <c r="E182" s="24" t="str">
        <f t="shared" si="28"/>
        <v/>
      </c>
      <c r="F182" s="24" t="str">
        <f t="shared" si="29"/>
        <v/>
      </c>
      <c r="G182" s="24">
        <f t="shared" si="30"/>
        <v>0</v>
      </c>
      <c r="H182" s="57" t="str">
        <f t="shared" si="31"/>
        <v/>
      </c>
      <c r="I182" s="57"/>
      <c r="J182" s="57"/>
      <c r="K182" s="57"/>
      <c r="L182" s="24" t="str">
        <f t="shared" si="25"/>
        <v/>
      </c>
    </row>
    <row r="183" spans="3:12" x14ac:dyDescent="0.25">
      <c r="C183" s="56" t="str">
        <f t="shared" si="26"/>
        <v/>
      </c>
      <c r="D183" s="24" t="str">
        <f t="shared" si="27"/>
        <v/>
      </c>
      <c r="E183" s="24" t="str">
        <f t="shared" si="28"/>
        <v/>
      </c>
      <c r="F183" s="24" t="str">
        <f t="shared" si="29"/>
        <v/>
      </c>
      <c r="G183" s="24">
        <f t="shared" si="30"/>
        <v>0</v>
      </c>
      <c r="H183" s="57" t="str">
        <f t="shared" si="31"/>
        <v/>
      </c>
      <c r="I183" s="57"/>
      <c r="J183" s="57"/>
      <c r="K183" s="57"/>
      <c r="L183" s="24" t="str">
        <f t="shared" si="25"/>
        <v/>
      </c>
    </row>
    <row r="184" spans="3:12" x14ac:dyDescent="0.25">
      <c r="C184" s="56" t="str">
        <f t="shared" si="26"/>
        <v/>
      </c>
      <c r="D184" s="24" t="str">
        <f t="shared" si="27"/>
        <v/>
      </c>
      <c r="E184" s="24" t="str">
        <f t="shared" si="28"/>
        <v/>
      </c>
      <c r="F184" s="24" t="str">
        <f t="shared" si="29"/>
        <v/>
      </c>
      <c r="G184" s="24">
        <f t="shared" si="30"/>
        <v>0</v>
      </c>
      <c r="H184" s="57" t="str">
        <f t="shared" si="31"/>
        <v/>
      </c>
      <c r="I184" s="57"/>
      <c r="J184" s="57"/>
      <c r="K184" s="57"/>
      <c r="L184" s="24" t="str">
        <f t="shared" si="25"/>
        <v/>
      </c>
    </row>
    <row r="185" spans="3:12" x14ac:dyDescent="0.25">
      <c r="C185" s="56" t="str">
        <f t="shared" si="26"/>
        <v/>
      </c>
      <c r="D185" s="24" t="str">
        <f t="shared" si="27"/>
        <v/>
      </c>
      <c r="E185" s="24" t="str">
        <f t="shared" si="28"/>
        <v/>
      </c>
      <c r="F185" s="24" t="str">
        <f t="shared" si="29"/>
        <v/>
      </c>
      <c r="G185" s="24">
        <f t="shared" si="30"/>
        <v>0</v>
      </c>
      <c r="H185" s="57" t="str">
        <f t="shared" si="31"/>
        <v/>
      </c>
      <c r="I185" s="57"/>
      <c r="J185" s="57"/>
      <c r="K185" s="57"/>
      <c r="L185" s="24" t="str">
        <f t="shared" si="25"/>
        <v/>
      </c>
    </row>
    <row r="186" spans="3:12" x14ac:dyDescent="0.25">
      <c r="C186" s="56" t="str">
        <f t="shared" si="26"/>
        <v/>
      </c>
      <c r="D186" s="24" t="str">
        <f t="shared" si="27"/>
        <v/>
      </c>
      <c r="E186" s="24" t="str">
        <f t="shared" si="28"/>
        <v/>
      </c>
      <c r="F186" s="24" t="str">
        <f t="shared" si="29"/>
        <v/>
      </c>
      <c r="G186" s="24">
        <f t="shared" si="30"/>
        <v>0</v>
      </c>
      <c r="H186" s="57" t="str">
        <f t="shared" si="31"/>
        <v/>
      </c>
      <c r="I186" s="57"/>
      <c r="J186" s="57"/>
      <c r="K186" s="57"/>
      <c r="L186" s="24" t="str">
        <f t="shared" si="25"/>
        <v/>
      </c>
    </row>
    <row r="187" spans="3:12" x14ac:dyDescent="0.25">
      <c r="C187" s="56" t="str">
        <f t="shared" si="26"/>
        <v/>
      </c>
      <c r="D187" s="24" t="str">
        <f t="shared" si="27"/>
        <v/>
      </c>
      <c r="E187" s="24" t="str">
        <f t="shared" si="28"/>
        <v/>
      </c>
      <c r="F187" s="24" t="str">
        <f t="shared" si="29"/>
        <v/>
      </c>
      <c r="G187" s="24">
        <f t="shared" si="30"/>
        <v>0</v>
      </c>
      <c r="H187" s="57" t="str">
        <f t="shared" si="31"/>
        <v/>
      </c>
      <c r="I187" s="57"/>
      <c r="J187" s="57"/>
      <c r="K187" s="57"/>
      <c r="L187" s="24" t="str">
        <f t="shared" si="25"/>
        <v/>
      </c>
    </row>
    <row r="188" spans="3:12" x14ac:dyDescent="0.25">
      <c r="C188" s="56" t="str">
        <f t="shared" si="26"/>
        <v/>
      </c>
      <c r="D188" s="24" t="str">
        <f t="shared" si="27"/>
        <v/>
      </c>
      <c r="E188" s="24" t="str">
        <f t="shared" si="28"/>
        <v/>
      </c>
      <c r="F188" s="24" t="str">
        <f t="shared" si="29"/>
        <v/>
      </c>
      <c r="G188" s="24">
        <f t="shared" si="30"/>
        <v>0</v>
      </c>
      <c r="H188" s="57" t="str">
        <f t="shared" si="31"/>
        <v/>
      </c>
      <c r="I188" s="57"/>
      <c r="J188" s="57"/>
      <c r="K188" s="57"/>
      <c r="L188" s="24" t="str">
        <f t="shared" ref="L188:L251" si="32">IF(E188="","",IF(E188=E187,L187+1,1))</f>
        <v/>
      </c>
    </row>
    <row r="189" spans="3:12" x14ac:dyDescent="0.25">
      <c r="C189" s="56" t="str">
        <f t="shared" si="26"/>
        <v/>
      </c>
      <c r="D189" s="24" t="str">
        <f t="shared" si="27"/>
        <v/>
      </c>
      <c r="E189" s="24" t="str">
        <f t="shared" si="28"/>
        <v/>
      </c>
      <c r="F189" s="24" t="str">
        <f t="shared" si="29"/>
        <v/>
      </c>
      <c r="G189" s="24">
        <f t="shared" si="30"/>
        <v>0</v>
      </c>
      <c r="H189" s="57" t="str">
        <f t="shared" si="31"/>
        <v/>
      </c>
      <c r="I189" s="57"/>
      <c r="J189" s="57"/>
      <c r="K189" s="57"/>
      <c r="L189" s="24" t="str">
        <f t="shared" si="32"/>
        <v/>
      </c>
    </row>
    <row r="190" spans="3:12" x14ac:dyDescent="0.25">
      <c r="C190" s="56" t="str">
        <f t="shared" si="26"/>
        <v/>
      </c>
      <c r="D190" s="24" t="str">
        <f t="shared" si="27"/>
        <v/>
      </c>
      <c r="E190" s="24" t="str">
        <f t="shared" si="28"/>
        <v/>
      </c>
      <c r="F190" s="24" t="str">
        <f t="shared" si="29"/>
        <v/>
      </c>
      <c r="G190" s="24">
        <f t="shared" si="30"/>
        <v>0</v>
      </c>
      <c r="H190" s="57" t="str">
        <f t="shared" si="31"/>
        <v/>
      </c>
      <c r="I190" s="57"/>
      <c r="J190" s="57"/>
      <c r="K190" s="57"/>
      <c r="L190" s="24" t="str">
        <f t="shared" si="32"/>
        <v/>
      </c>
    </row>
    <row r="191" spans="3:12" x14ac:dyDescent="0.25">
      <c r="C191" s="56" t="str">
        <f t="shared" si="26"/>
        <v/>
      </c>
      <c r="D191" s="24" t="str">
        <f t="shared" si="27"/>
        <v/>
      </c>
      <c r="E191" s="24" t="str">
        <f t="shared" si="28"/>
        <v/>
      </c>
      <c r="F191" s="24" t="str">
        <f t="shared" si="29"/>
        <v/>
      </c>
      <c r="G191" s="24">
        <f t="shared" si="30"/>
        <v>0</v>
      </c>
      <c r="H191" s="57" t="str">
        <f t="shared" si="31"/>
        <v/>
      </c>
      <c r="I191" s="57"/>
      <c r="J191" s="57"/>
      <c r="K191" s="57"/>
      <c r="L191" s="24" t="str">
        <f t="shared" si="32"/>
        <v/>
      </c>
    </row>
    <row r="192" spans="3:12" x14ac:dyDescent="0.25">
      <c r="C192" s="56" t="str">
        <f t="shared" si="26"/>
        <v/>
      </c>
      <c r="D192" s="24" t="str">
        <f t="shared" si="27"/>
        <v/>
      </c>
      <c r="E192" s="24" t="str">
        <f t="shared" si="28"/>
        <v/>
      </c>
      <c r="F192" s="24" t="str">
        <f t="shared" si="29"/>
        <v/>
      </c>
      <c r="G192" s="24">
        <f t="shared" si="30"/>
        <v>0</v>
      </c>
      <c r="H192" s="57" t="str">
        <f t="shared" si="31"/>
        <v/>
      </c>
      <c r="I192" s="57"/>
      <c r="J192" s="57"/>
      <c r="K192" s="57"/>
      <c r="L192" s="24" t="str">
        <f t="shared" si="32"/>
        <v/>
      </c>
    </row>
    <row r="193" spans="3:12" x14ac:dyDescent="0.25">
      <c r="C193" s="56" t="str">
        <f t="shared" si="26"/>
        <v/>
      </c>
      <c r="D193" s="24" t="str">
        <f t="shared" si="27"/>
        <v/>
      </c>
      <c r="E193" s="24" t="str">
        <f t="shared" si="28"/>
        <v/>
      </c>
      <c r="F193" s="24" t="str">
        <f t="shared" si="29"/>
        <v/>
      </c>
      <c r="G193" s="24">
        <f t="shared" si="30"/>
        <v>0</v>
      </c>
      <c r="H193" s="57" t="str">
        <f t="shared" si="31"/>
        <v/>
      </c>
      <c r="I193" s="57"/>
      <c r="J193" s="57"/>
      <c r="K193" s="57"/>
      <c r="L193" s="24" t="str">
        <f t="shared" si="32"/>
        <v/>
      </c>
    </row>
    <row r="194" spans="3:12" x14ac:dyDescent="0.25">
      <c r="C194" s="56" t="str">
        <f t="shared" si="26"/>
        <v/>
      </c>
      <c r="D194" s="24" t="str">
        <f t="shared" si="27"/>
        <v/>
      </c>
      <c r="E194" s="24" t="str">
        <f t="shared" si="28"/>
        <v/>
      </c>
      <c r="F194" s="24" t="str">
        <f t="shared" si="29"/>
        <v/>
      </c>
      <c r="G194" s="24">
        <f t="shared" si="30"/>
        <v>0</v>
      </c>
      <c r="H194" s="57" t="str">
        <f t="shared" si="31"/>
        <v/>
      </c>
      <c r="I194" s="57"/>
      <c r="J194" s="57"/>
      <c r="K194" s="57"/>
      <c r="L194" s="24" t="str">
        <f t="shared" si="32"/>
        <v/>
      </c>
    </row>
    <row r="195" spans="3:12" x14ac:dyDescent="0.25">
      <c r="C195" s="56" t="str">
        <f t="shared" si="26"/>
        <v/>
      </c>
      <c r="D195" s="24" t="str">
        <f t="shared" si="27"/>
        <v/>
      </c>
      <c r="E195" s="24" t="str">
        <f t="shared" si="28"/>
        <v/>
      </c>
      <c r="F195" s="24" t="str">
        <f t="shared" si="29"/>
        <v/>
      </c>
      <c r="G195" s="24">
        <f t="shared" si="30"/>
        <v>0</v>
      </c>
      <c r="H195" s="57" t="str">
        <f t="shared" si="31"/>
        <v/>
      </c>
      <c r="I195" s="57"/>
      <c r="J195" s="57"/>
      <c r="K195" s="57"/>
      <c r="L195" s="24" t="str">
        <f t="shared" si="32"/>
        <v/>
      </c>
    </row>
    <row r="196" spans="3:12" x14ac:dyDescent="0.25">
      <c r="C196" s="56" t="str">
        <f t="shared" si="26"/>
        <v/>
      </c>
      <c r="D196" s="24" t="str">
        <f t="shared" si="27"/>
        <v/>
      </c>
      <c r="E196" s="24" t="str">
        <f t="shared" si="28"/>
        <v/>
      </c>
      <c r="F196" s="24" t="str">
        <f t="shared" si="29"/>
        <v/>
      </c>
      <c r="G196" s="24">
        <f t="shared" si="30"/>
        <v>0</v>
      </c>
      <c r="H196" s="57" t="str">
        <f t="shared" si="31"/>
        <v/>
      </c>
      <c r="I196" s="57"/>
      <c r="J196" s="57"/>
      <c r="K196" s="57"/>
      <c r="L196" s="24" t="str">
        <f t="shared" si="32"/>
        <v/>
      </c>
    </row>
    <row r="197" spans="3:12" x14ac:dyDescent="0.25">
      <c r="C197" s="56" t="str">
        <f t="shared" si="26"/>
        <v/>
      </c>
      <c r="D197" s="24" t="str">
        <f t="shared" si="27"/>
        <v/>
      </c>
      <c r="E197" s="24" t="str">
        <f t="shared" si="28"/>
        <v/>
      </c>
      <c r="F197" s="24" t="str">
        <f t="shared" si="29"/>
        <v/>
      </c>
      <c r="G197" s="24">
        <f t="shared" si="30"/>
        <v>0</v>
      </c>
      <c r="H197" s="57" t="str">
        <f t="shared" si="31"/>
        <v/>
      </c>
      <c r="I197" s="57"/>
      <c r="J197" s="57"/>
      <c r="K197" s="57"/>
      <c r="L197" s="24" t="str">
        <f t="shared" si="32"/>
        <v/>
      </c>
    </row>
    <row r="198" spans="3:12" x14ac:dyDescent="0.25">
      <c r="C198" s="56" t="str">
        <f t="shared" si="26"/>
        <v/>
      </c>
      <c r="D198" s="24" t="str">
        <f t="shared" si="27"/>
        <v/>
      </c>
      <c r="E198" s="24" t="str">
        <f t="shared" si="28"/>
        <v/>
      </c>
      <c r="F198" s="24" t="str">
        <f t="shared" si="29"/>
        <v/>
      </c>
      <c r="G198" s="24">
        <f t="shared" si="30"/>
        <v>0</v>
      </c>
      <c r="H198" s="57" t="str">
        <f t="shared" si="31"/>
        <v/>
      </c>
      <c r="I198" s="57"/>
      <c r="J198" s="57"/>
      <c r="K198" s="57"/>
      <c r="L198" s="24" t="str">
        <f t="shared" si="32"/>
        <v/>
      </c>
    </row>
    <row r="199" spans="3:12" x14ac:dyDescent="0.25">
      <c r="C199" s="56" t="str">
        <f t="shared" si="26"/>
        <v/>
      </c>
      <c r="D199" s="24" t="str">
        <f t="shared" si="27"/>
        <v/>
      </c>
      <c r="E199" s="24" t="str">
        <f t="shared" si="28"/>
        <v/>
      </c>
      <c r="F199" s="24" t="str">
        <f t="shared" si="29"/>
        <v/>
      </c>
      <c r="G199" s="24">
        <f t="shared" si="30"/>
        <v>0</v>
      </c>
      <c r="H199" s="57" t="str">
        <f t="shared" si="31"/>
        <v/>
      </c>
      <c r="I199" s="57"/>
      <c r="J199" s="57"/>
      <c r="K199" s="57"/>
      <c r="L199" s="24" t="str">
        <f t="shared" si="32"/>
        <v/>
      </c>
    </row>
    <row r="200" spans="3:12" x14ac:dyDescent="0.25">
      <c r="C200" s="56" t="str">
        <f t="shared" si="26"/>
        <v/>
      </c>
      <c r="D200" s="24" t="str">
        <f t="shared" si="27"/>
        <v/>
      </c>
      <c r="E200" s="24" t="str">
        <f t="shared" si="28"/>
        <v/>
      </c>
      <c r="F200" s="24" t="str">
        <f t="shared" si="29"/>
        <v/>
      </c>
      <c r="G200" s="24">
        <f t="shared" si="30"/>
        <v>0</v>
      </c>
      <c r="H200" s="57" t="str">
        <f t="shared" si="31"/>
        <v/>
      </c>
      <c r="I200" s="57"/>
      <c r="J200" s="57"/>
      <c r="K200" s="57"/>
      <c r="L200" s="24" t="str">
        <f t="shared" si="32"/>
        <v/>
      </c>
    </row>
    <row r="201" spans="3:12" x14ac:dyDescent="0.25">
      <c r="C201" s="56" t="str">
        <f t="shared" si="26"/>
        <v/>
      </c>
      <c r="D201" s="24" t="str">
        <f t="shared" si="27"/>
        <v/>
      </c>
      <c r="E201" s="24" t="str">
        <f t="shared" si="28"/>
        <v/>
      </c>
      <c r="F201" s="24" t="str">
        <f t="shared" si="29"/>
        <v/>
      </c>
      <c r="G201" s="24">
        <f t="shared" si="30"/>
        <v>0</v>
      </c>
      <c r="H201" s="57" t="str">
        <f t="shared" si="31"/>
        <v/>
      </c>
      <c r="I201" s="57"/>
      <c r="J201" s="57"/>
      <c r="K201" s="57"/>
      <c r="L201" s="24" t="str">
        <f t="shared" si="32"/>
        <v/>
      </c>
    </row>
    <row r="202" spans="3:12" x14ac:dyDescent="0.25">
      <c r="C202" s="56" t="str">
        <f t="shared" si="26"/>
        <v/>
      </c>
      <c r="D202" s="24" t="str">
        <f t="shared" si="27"/>
        <v/>
      </c>
      <c r="E202" s="24" t="str">
        <f t="shared" si="28"/>
        <v/>
      </c>
      <c r="F202" s="24" t="str">
        <f t="shared" si="29"/>
        <v/>
      </c>
      <c r="G202" s="24">
        <f t="shared" si="30"/>
        <v>0</v>
      </c>
      <c r="H202" s="57" t="str">
        <f t="shared" si="31"/>
        <v/>
      </c>
      <c r="I202" s="57"/>
      <c r="J202" s="57"/>
      <c r="K202" s="57"/>
      <c r="L202" s="24" t="str">
        <f t="shared" si="32"/>
        <v/>
      </c>
    </row>
    <row r="203" spans="3:12" x14ac:dyDescent="0.25">
      <c r="C203" s="56" t="str">
        <f t="shared" si="26"/>
        <v/>
      </c>
      <c r="D203" s="24" t="str">
        <f t="shared" si="27"/>
        <v/>
      </c>
      <c r="E203" s="24" t="str">
        <f t="shared" si="28"/>
        <v/>
      </c>
      <c r="F203" s="24" t="str">
        <f t="shared" si="29"/>
        <v/>
      </c>
      <c r="G203" s="24">
        <f t="shared" si="30"/>
        <v>0</v>
      </c>
      <c r="H203" s="57" t="str">
        <f t="shared" si="31"/>
        <v/>
      </c>
      <c r="I203" s="57"/>
      <c r="J203" s="57"/>
      <c r="K203" s="57"/>
      <c r="L203" s="24" t="str">
        <f t="shared" si="32"/>
        <v/>
      </c>
    </row>
    <row r="204" spans="3:12" x14ac:dyDescent="0.25">
      <c r="C204" s="56" t="str">
        <f t="shared" si="26"/>
        <v/>
      </c>
      <c r="D204" s="24" t="str">
        <f t="shared" si="27"/>
        <v/>
      </c>
      <c r="E204" s="24" t="str">
        <f t="shared" si="28"/>
        <v/>
      </c>
      <c r="F204" s="24" t="str">
        <f t="shared" si="29"/>
        <v/>
      </c>
      <c r="G204" s="24">
        <f t="shared" si="30"/>
        <v>0</v>
      </c>
      <c r="H204" s="57" t="str">
        <f t="shared" si="31"/>
        <v/>
      </c>
      <c r="I204" s="57"/>
      <c r="J204" s="57"/>
      <c r="K204" s="57"/>
      <c r="L204" s="24" t="str">
        <f t="shared" si="32"/>
        <v/>
      </c>
    </row>
    <row r="205" spans="3:12" x14ac:dyDescent="0.25">
      <c r="C205" s="56" t="str">
        <f t="shared" si="26"/>
        <v/>
      </c>
      <c r="D205" s="24" t="str">
        <f t="shared" si="27"/>
        <v/>
      </c>
      <c r="E205" s="24" t="str">
        <f t="shared" si="28"/>
        <v/>
      </c>
      <c r="F205" s="24" t="str">
        <f t="shared" si="29"/>
        <v/>
      </c>
      <c r="G205" s="24">
        <f t="shared" si="30"/>
        <v>0</v>
      </c>
      <c r="H205" s="57" t="str">
        <f t="shared" si="31"/>
        <v/>
      </c>
      <c r="I205" s="57"/>
      <c r="J205" s="57"/>
      <c r="K205" s="57"/>
      <c r="L205" s="24" t="str">
        <f t="shared" si="32"/>
        <v/>
      </c>
    </row>
    <row r="206" spans="3:12" x14ac:dyDescent="0.25">
      <c r="C206" s="56" t="str">
        <f t="shared" si="26"/>
        <v/>
      </c>
      <c r="D206" s="24" t="str">
        <f t="shared" si="27"/>
        <v/>
      </c>
      <c r="E206" s="24" t="str">
        <f t="shared" si="28"/>
        <v/>
      </c>
      <c r="F206" s="24" t="str">
        <f t="shared" si="29"/>
        <v/>
      </c>
      <c r="G206" s="24">
        <f t="shared" si="30"/>
        <v>0</v>
      </c>
      <c r="H206" s="57" t="str">
        <f t="shared" si="31"/>
        <v/>
      </c>
      <c r="I206" s="57"/>
      <c r="J206" s="57"/>
      <c r="K206" s="57"/>
      <c r="L206" s="24" t="str">
        <f t="shared" si="32"/>
        <v/>
      </c>
    </row>
    <row r="207" spans="3:12" x14ac:dyDescent="0.25">
      <c r="C207" s="56" t="str">
        <f t="shared" si="26"/>
        <v/>
      </c>
      <c r="D207" s="24" t="str">
        <f t="shared" si="27"/>
        <v/>
      </c>
      <c r="E207" s="24" t="str">
        <f t="shared" si="28"/>
        <v/>
      </c>
      <c r="F207" s="24" t="str">
        <f t="shared" si="29"/>
        <v/>
      </c>
      <c r="G207" s="24">
        <f t="shared" si="30"/>
        <v>0</v>
      </c>
      <c r="H207" s="57" t="str">
        <f t="shared" si="31"/>
        <v/>
      </c>
      <c r="I207" s="57"/>
      <c r="J207" s="57"/>
      <c r="K207" s="57"/>
      <c r="L207" s="24" t="str">
        <f t="shared" si="32"/>
        <v/>
      </c>
    </row>
    <row r="208" spans="3:12" x14ac:dyDescent="0.25">
      <c r="C208" s="56" t="str">
        <f t="shared" si="26"/>
        <v/>
      </c>
      <c r="D208" s="24" t="str">
        <f t="shared" si="27"/>
        <v/>
      </c>
      <c r="E208" s="24" t="str">
        <f t="shared" si="28"/>
        <v/>
      </c>
      <c r="F208" s="24" t="str">
        <f t="shared" si="29"/>
        <v/>
      </c>
      <c r="G208" s="24">
        <f t="shared" si="30"/>
        <v>0</v>
      </c>
      <c r="H208" s="57" t="str">
        <f t="shared" si="31"/>
        <v/>
      </c>
      <c r="I208" s="57"/>
      <c r="J208" s="57"/>
      <c r="K208" s="57"/>
      <c r="L208" s="24" t="str">
        <f t="shared" si="32"/>
        <v/>
      </c>
    </row>
    <row r="209" spans="3:12" x14ac:dyDescent="0.25">
      <c r="C209" s="56" t="str">
        <f t="shared" si="26"/>
        <v/>
      </c>
      <c r="D209" s="24" t="str">
        <f t="shared" si="27"/>
        <v/>
      </c>
      <c r="E209" s="24" t="str">
        <f t="shared" si="28"/>
        <v/>
      </c>
      <c r="F209" s="24" t="str">
        <f t="shared" si="29"/>
        <v/>
      </c>
      <c r="G209" s="24">
        <f t="shared" si="30"/>
        <v>0</v>
      </c>
      <c r="H209" s="57" t="str">
        <f t="shared" si="31"/>
        <v/>
      </c>
      <c r="I209" s="57"/>
      <c r="J209" s="57"/>
      <c r="K209" s="57"/>
      <c r="L209" s="24" t="str">
        <f t="shared" si="32"/>
        <v/>
      </c>
    </row>
    <row r="210" spans="3:12" x14ac:dyDescent="0.25">
      <c r="C210" s="56" t="str">
        <f t="shared" si="26"/>
        <v/>
      </c>
      <c r="D210" s="24" t="str">
        <f t="shared" si="27"/>
        <v/>
      </c>
      <c r="E210" s="24" t="str">
        <f t="shared" si="28"/>
        <v/>
      </c>
      <c r="F210" s="24" t="str">
        <f t="shared" si="29"/>
        <v/>
      </c>
      <c r="G210" s="24">
        <f t="shared" si="30"/>
        <v>0</v>
      </c>
      <c r="H210" s="57" t="str">
        <f t="shared" si="31"/>
        <v/>
      </c>
      <c r="I210" s="57"/>
      <c r="J210" s="57"/>
      <c r="K210" s="57"/>
      <c r="L210" s="24" t="str">
        <f t="shared" si="32"/>
        <v/>
      </c>
    </row>
    <row r="211" spans="3:12" x14ac:dyDescent="0.25">
      <c r="C211" s="56" t="str">
        <f t="shared" si="26"/>
        <v/>
      </c>
      <c r="D211" s="24" t="str">
        <f t="shared" si="27"/>
        <v/>
      </c>
      <c r="E211" s="24" t="str">
        <f t="shared" si="28"/>
        <v/>
      </c>
      <c r="F211" s="24" t="str">
        <f t="shared" si="29"/>
        <v/>
      </c>
      <c r="G211" s="24">
        <f t="shared" si="30"/>
        <v>0</v>
      </c>
      <c r="H211" s="57" t="str">
        <f t="shared" si="31"/>
        <v/>
      </c>
      <c r="I211" s="57"/>
      <c r="J211" s="57"/>
      <c r="K211" s="57"/>
      <c r="L211" s="24" t="str">
        <f t="shared" si="32"/>
        <v/>
      </c>
    </row>
    <row r="212" spans="3:12" x14ac:dyDescent="0.25">
      <c r="C212" s="56" t="str">
        <f t="shared" si="26"/>
        <v/>
      </c>
      <c r="D212" s="24" t="str">
        <f t="shared" si="27"/>
        <v/>
      </c>
      <c r="E212" s="24" t="str">
        <f t="shared" si="28"/>
        <v/>
      </c>
      <c r="F212" s="24" t="str">
        <f t="shared" si="29"/>
        <v/>
      </c>
      <c r="G212" s="24">
        <f t="shared" si="30"/>
        <v>0</v>
      </c>
      <c r="H212" s="57" t="str">
        <f t="shared" si="31"/>
        <v/>
      </c>
      <c r="I212" s="57"/>
      <c r="J212" s="57"/>
      <c r="K212" s="57"/>
      <c r="L212" s="24" t="str">
        <f t="shared" si="32"/>
        <v/>
      </c>
    </row>
    <row r="213" spans="3:12" x14ac:dyDescent="0.25">
      <c r="C213" s="56" t="str">
        <f t="shared" si="26"/>
        <v/>
      </c>
      <c r="D213" s="24" t="str">
        <f t="shared" si="27"/>
        <v/>
      </c>
      <c r="E213" s="24" t="str">
        <f t="shared" si="28"/>
        <v/>
      </c>
      <c r="F213" s="24" t="str">
        <f t="shared" si="29"/>
        <v/>
      </c>
      <c r="G213" s="24">
        <f t="shared" si="30"/>
        <v>0</v>
      </c>
      <c r="H213" s="57" t="str">
        <f t="shared" si="31"/>
        <v/>
      </c>
      <c r="I213" s="57"/>
      <c r="J213" s="57"/>
      <c r="K213" s="57"/>
      <c r="L213" s="24" t="str">
        <f t="shared" si="32"/>
        <v/>
      </c>
    </row>
    <row r="214" spans="3:12" x14ac:dyDescent="0.25">
      <c r="C214" s="56" t="str">
        <f t="shared" si="26"/>
        <v/>
      </c>
      <c r="D214" s="24" t="str">
        <f t="shared" si="27"/>
        <v/>
      </c>
      <c r="E214" s="24" t="str">
        <f t="shared" si="28"/>
        <v/>
      </c>
      <c r="F214" s="24" t="str">
        <f t="shared" si="29"/>
        <v/>
      </c>
      <c r="G214" s="24">
        <f t="shared" si="30"/>
        <v>0</v>
      </c>
      <c r="H214" s="57" t="str">
        <f t="shared" si="31"/>
        <v/>
      </c>
      <c r="I214" s="57"/>
      <c r="J214" s="57"/>
      <c r="K214" s="57"/>
      <c r="L214" s="24" t="str">
        <f t="shared" si="32"/>
        <v/>
      </c>
    </row>
    <row r="215" spans="3:12" x14ac:dyDescent="0.25">
      <c r="C215" s="56" t="str">
        <f t="shared" ref="C215:C278" si="33">IF(OR(A215="Grand Total",A215=""),"",C214+B215)</f>
        <v/>
      </c>
      <c r="D215" s="24" t="str">
        <f t="shared" ref="D215:D278" si="34">IF(OR(B215="",A215="Grand Total"),"",IF(B215&lt;0,"L","W"))</f>
        <v/>
      </c>
      <c r="E215" s="24" t="str">
        <f t="shared" si="28"/>
        <v/>
      </c>
      <c r="F215" s="24" t="str">
        <f t="shared" si="29"/>
        <v/>
      </c>
      <c r="G215" s="24">
        <f t="shared" si="30"/>
        <v>0</v>
      </c>
      <c r="H215" s="57" t="str">
        <f t="shared" si="31"/>
        <v/>
      </c>
      <c r="I215" s="57"/>
      <c r="J215" s="57"/>
      <c r="K215" s="57"/>
      <c r="L215" s="24" t="str">
        <f t="shared" si="32"/>
        <v/>
      </c>
    </row>
    <row r="216" spans="3:12" x14ac:dyDescent="0.25">
      <c r="C216" s="56" t="str">
        <f t="shared" si="33"/>
        <v/>
      </c>
      <c r="D216" s="24" t="str">
        <f t="shared" si="34"/>
        <v/>
      </c>
      <c r="E216" s="24" t="str">
        <f t="shared" ref="E216:E279" si="35">IF(D216="","",IF(D216=D215,E215+1,1))</f>
        <v/>
      </c>
      <c r="F216" s="24" t="str">
        <f t="shared" ref="F216:F279" si="36">IFERROR(MAX(F215,S$1+C216),"")</f>
        <v/>
      </c>
      <c r="G216" s="24">
        <f t="shared" ref="G216:G279" si="37">IFERROR((S$1+C216)-F216,0)</f>
        <v>0</v>
      </c>
      <c r="H216" s="57" t="str">
        <f t="shared" ref="H216:H279" si="38">IFERROR((S$1+C216)/F216-1,"")</f>
        <v/>
      </c>
      <c r="I216" s="57"/>
      <c r="J216" s="57"/>
      <c r="K216" s="57"/>
      <c r="L216" s="24" t="str">
        <f t="shared" si="32"/>
        <v/>
      </c>
    </row>
    <row r="217" spans="3:12" x14ac:dyDescent="0.25">
      <c r="C217" s="56" t="str">
        <f t="shared" si="33"/>
        <v/>
      </c>
      <c r="D217" s="24" t="str">
        <f t="shared" si="34"/>
        <v/>
      </c>
      <c r="E217" s="24" t="str">
        <f t="shared" si="35"/>
        <v/>
      </c>
      <c r="F217" s="24" t="str">
        <f t="shared" si="36"/>
        <v/>
      </c>
      <c r="G217" s="24">
        <f t="shared" si="37"/>
        <v>0</v>
      </c>
      <c r="H217" s="57" t="str">
        <f t="shared" si="38"/>
        <v/>
      </c>
      <c r="I217" s="57"/>
      <c r="J217" s="57"/>
      <c r="K217" s="57"/>
      <c r="L217" s="24" t="str">
        <f t="shared" si="32"/>
        <v/>
      </c>
    </row>
    <row r="218" spans="3:12" x14ac:dyDescent="0.25">
      <c r="C218" s="56" t="str">
        <f t="shared" si="33"/>
        <v/>
      </c>
      <c r="D218" s="24" t="str">
        <f t="shared" si="34"/>
        <v/>
      </c>
      <c r="E218" s="24" t="str">
        <f t="shared" si="35"/>
        <v/>
      </c>
      <c r="F218" s="24" t="str">
        <f t="shared" si="36"/>
        <v/>
      </c>
      <c r="G218" s="24">
        <f t="shared" si="37"/>
        <v>0</v>
      </c>
      <c r="H218" s="57" t="str">
        <f t="shared" si="38"/>
        <v/>
      </c>
      <c r="I218" s="57"/>
      <c r="J218" s="57"/>
      <c r="K218" s="57"/>
      <c r="L218" s="24" t="str">
        <f t="shared" si="32"/>
        <v/>
      </c>
    </row>
    <row r="219" spans="3:12" x14ac:dyDescent="0.25">
      <c r="C219" s="56" t="str">
        <f t="shared" si="33"/>
        <v/>
      </c>
      <c r="D219" s="24" t="str">
        <f t="shared" si="34"/>
        <v/>
      </c>
      <c r="E219" s="24" t="str">
        <f t="shared" si="35"/>
        <v/>
      </c>
      <c r="F219" s="24" t="str">
        <f t="shared" si="36"/>
        <v/>
      </c>
      <c r="G219" s="24">
        <f t="shared" si="37"/>
        <v>0</v>
      </c>
      <c r="H219" s="57" t="str">
        <f t="shared" si="38"/>
        <v/>
      </c>
      <c r="I219" s="57"/>
      <c r="J219" s="57"/>
      <c r="K219" s="57"/>
      <c r="L219" s="24" t="str">
        <f t="shared" si="32"/>
        <v/>
      </c>
    </row>
    <row r="220" spans="3:12" x14ac:dyDescent="0.25">
      <c r="C220" s="56" t="str">
        <f t="shared" si="33"/>
        <v/>
      </c>
      <c r="D220" s="24" t="str">
        <f t="shared" si="34"/>
        <v/>
      </c>
      <c r="E220" s="24" t="str">
        <f t="shared" si="35"/>
        <v/>
      </c>
      <c r="F220" s="24" t="str">
        <f t="shared" si="36"/>
        <v/>
      </c>
      <c r="G220" s="24">
        <f t="shared" si="37"/>
        <v>0</v>
      </c>
      <c r="H220" s="57" t="str">
        <f t="shared" si="38"/>
        <v/>
      </c>
      <c r="I220" s="57"/>
      <c r="J220" s="57"/>
      <c r="K220" s="57"/>
      <c r="L220" s="24" t="str">
        <f t="shared" si="32"/>
        <v/>
      </c>
    </row>
    <row r="221" spans="3:12" x14ac:dyDescent="0.25">
      <c r="C221" s="56" t="str">
        <f t="shared" si="33"/>
        <v/>
      </c>
      <c r="D221" s="24" t="str">
        <f t="shared" si="34"/>
        <v/>
      </c>
      <c r="E221" s="24" t="str">
        <f t="shared" si="35"/>
        <v/>
      </c>
      <c r="F221" s="24" t="str">
        <f t="shared" si="36"/>
        <v/>
      </c>
      <c r="G221" s="24">
        <f t="shared" si="37"/>
        <v>0</v>
      </c>
      <c r="H221" s="57" t="str">
        <f t="shared" si="38"/>
        <v/>
      </c>
      <c r="I221" s="57"/>
      <c r="J221" s="57"/>
      <c r="K221" s="57"/>
      <c r="L221" s="24" t="str">
        <f t="shared" si="32"/>
        <v/>
      </c>
    </row>
    <row r="222" spans="3:12" x14ac:dyDescent="0.25">
      <c r="C222" s="56" t="str">
        <f t="shared" si="33"/>
        <v/>
      </c>
      <c r="D222" s="24" t="str">
        <f t="shared" si="34"/>
        <v/>
      </c>
      <c r="E222" s="24" t="str">
        <f t="shared" si="35"/>
        <v/>
      </c>
      <c r="F222" s="24" t="str">
        <f t="shared" si="36"/>
        <v/>
      </c>
      <c r="G222" s="24">
        <f t="shared" si="37"/>
        <v>0</v>
      </c>
      <c r="H222" s="57" t="str">
        <f t="shared" si="38"/>
        <v/>
      </c>
      <c r="I222" s="57"/>
      <c r="J222" s="57"/>
      <c r="K222" s="57"/>
      <c r="L222" s="24" t="str">
        <f t="shared" si="32"/>
        <v/>
      </c>
    </row>
    <row r="223" spans="3:12" x14ac:dyDescent="0.25">
      <c r="C223" s="56" t="str">
        <f t="shared" si="33"/>
        <v/>
      </c>
      <c r="D223" s="24" t="str">
        <f t="shared" si="34"/>
        <v/>
      </c>
      <c r="E223" s="24" t="str">
        <f t="shared" si="35"/>
        <v/>
      </c>
      <c r="F223" s="24" t="str">
        <f t="shared" si="36"/>
        <v/>
      </c>
      <c r="G223" s="24">
        <f t="shared" si="37"/>
        <v>0</v>
      </c>
      <c r="H223" s="57" t="str">
        <f t="shared" si="38"/>
        <v/>
      </c>
      <c r="I223" s="57"/>
      <c r="J223" s="57"/>
      <c r="K223" s="57"/>
      <c r="L223" s="24" t="str">
        <f t="shared" si="32"/>
        <v/>
      </c>
    </row>
    <row r="224" spans="3:12" x14ac:dyDescent="0.25">
      <c r="C224" s="56" t="str">
        <f t="shared" si="33"/>
        <v/>
      </c>
      <c r="D224" s="24" t="str">
        <f t="shared" si="34"/>
        <v/>
      </c>
      <c r="E224" s="24" t="str">
        <f t="shared" si="35"/>
        <v/>
      </c>
      <c r="F224" s="24" t="str">
        <f t="shared" si="36"/>
        <v/>
      </c>
      <c r="G224" s="24">
        <f t="shared" si="37"/>
        <v>0</v>
      </c>
      <c r="H224" s="57" t="str">
        <f t="shared" si="38"/>
        <v/>
      </c>
      <c r="I224" s="57"/>
      <c r="J224" s="57"/>
      <c r="K224" s="57"/>
      <c r="L224" s="24" t="str">
        <f t="shared" si="32"/>
        <v/>
      </c>
    </row>
    <row r="225" spans="3:12" x14ac:dyDescent="0.25">
      <c r="C225" s="56" t="str">
        <f t="shared" si="33"/>
        <v/>
      </c>
      <c r="D225" s="24" t="str">
        <f t="shared" si="34"/>
        <v/>
      </c>
      <c r="E225" s="24" t="str">
        <f t="shared" si="35"/>
        <v/>
      </c>
      <c r="F225" s="24" t="str">
        <f t="shared" si="36"/>
        <v/>
      </c>
      <c r="G225" s="24">
        <f t="shared" si="37"/>
        <v>0</v>
      </c>
      <c r="H225" s="57" t="str">
        <f t="shared" si="38"/>
        <v/>
      </c>
      <c r="I225" s="57"/>
      <c r="J225" s="57"/>
      <c r="K225" s="57"/>
      <c r="L225" s="24" t="str">
        <f t="shared" si="32"/>
        <v/>
      </c>
    </row>
    <row r="226" spans="3:12" x14ac:dyDescent="0.25">
      <c r="C226" s="56" t="str">
        <f t="shared" si="33"/>
        <v/>
      </c>
      <c r="D226" s="24" t="str">
        <f t="shared" si="34"/>
        <v/>
      </c>
      <c r="E226" s="24" t="str">
        <f t="shared" si="35"/>
        <v/>
      </c>
      <c r="F226" s="24" t="str">
        <f t="shared" si="36"/>
        <v/>
      </c>
      <c r="G226" s="24">
        <f t="shared" si="37"/>
        <v>0</v>
      </c>
      <c r="H226" s="57" t="str">
        <f t="shared" si="38"/>
        <v/>
      </c>
      <c r="I226" s="57"/>
      <c r="J226" s="57"/>
      <c r="K226" s="57"/>
      <c r="L226" s="24" t="str">
        <f t="shared" si="32"/>
        <v/>
      </c>
    </row>
    <row r="227" spans="3:12" x14ac:dyDescent="0.25">
      <c r="C227" s="56" t="str">
        <f t="shared" si="33"/>
        <v/>
      </c>
      <c r="D227" s="24" t="str">
        <f t="shared" si="34"/>
        <v/>
      </c>
      <c r="E227" s="24" t="str">
        <f t="shared" si="35"/>
        <v/>
      </c>
      <c r="F227" s="24" t="str">
        <f t="shared" si="36"/>
        <v/>
      </c>
      <c r="G227" s="24">
        <f t="shared" si="37"/>
        <v>0</v>
      </c>
      <c r="H227" s="57" t="str">
        <f t="shared" si="38"/>
        <v/>
      </c>
      <c r="I227" s="57"/>
      <c r="J227" s="57"/>
      <c r="K227" s="57"/>
      <c r="L227" s="24" t="str">
        <f t="shared" si="32"/>
        <v/>
      </c>
    </row>
    <row r="228" spans="3:12" x14ac:dyDescent="0.25">
      <c r="C228" s="56" t="str">
        <f t="shared" si="33"/>
        <v/>
      </c>
      <c r="D228" s="24" t="str">
        <f t="shared" si="34"/>
        <v/>
      </c>
      <c r="E228" s="24" t="str">
        <f t="shared" si="35"/>
        <v/>
      </c>
      <c r="F228" s="24" t="str">
        <f t="shared" si="36"/>
        <v/>
      </c>
      <c r="G228" s="24">
        <f t="shared" si="37"/>
        <v>0</v>
      </c>
      <c r="H228" s="57" t="str">
        <f t="shared" si="38"/>
        <v/>
      </c>
      <c r="I228" s="57"/>
      <c r="J228" s="57"/>
      <c r="K228" s="57"/>
      <c r="L228" s="24" t="str">
        <f t="shared" si="32"/>
        <v/>
      </c>
    </row>
    <row r="229" spans="3:12" x14ac:dyDescent="0.25">
      <c r="C229" s="56" t="str">
        <f t="shared" si="33"/>
        <v/>
      </c>
      <c r="D229" s="24" t="str">
        <f t="shared" si="34"/>
        <v/>
      </c>
      <c r="E229" s="24" t="str">
        <f t="shared" si="35"/>
        <v/>
      </c>
      <c r="F229" s="24" t="str">
        <f t="shared" si="36"/>
        <v/>
      </c>
      <c r="G229" s="24">
        <f t="shared" si="37"/>
        <v>0</v>
      </c>
      <c r="H229" s="57" t="str">
        <f t="shared" si="38"/>
        <v/>
      </c>
      <c r="I229" s="57"/>
      <c r="J229" s="57"/>
      <c r="K229" s="57"/>
      <c r="L229" s="24" t="str">
        <f t="shared" si="32"/>
        <v/>
      </c>
    </row>
    <row r="230" spans="3:12" x14ac:dyDescent="0.25">
      <c r="C230" s="56" t="str">
        <f t="shared" si="33"/>
        <v/>
      </c>
      <c r="D230" s="24" t="str">
        <f t="shared" si="34"/>
        <v/>
      </c>
      <c r="E230" s="24" t="str">
        <f t="shared" si="35"/>
        <v/>
      </c>
      <c r="F230" s="24" t="str">
        <f t="shared" si="36"/>
        <v/>
      </c>
      <c r="G230" s="24">
        <f t="shared" si="37"/>
        <v>0</v>
      </c>
      <c r="H230" s="57" t="str">
        <f t="shared" si="38"/>
        <v/>
      </c>
      <c r="I230" s="57"/>
      <c r="J230" s="57"/>
      <c r="K230" s="57"/>
      <c r="L230" s="24" t="str">
        <f t="shared" si="32"/>
        <v/>
      </c>
    </row>
    <row r="231" spans="3:12" x14ac:dyDescent="0.25">
      <c r="C231" s="56" t="str">
        <f t="shared" si="33"/>
        <v/>
      </c>
      <c r="D231" s="24" t="str">
        <f t="shared" si="34"/>
        <v/>
      </c>
      <c r="E231" s="24" t="str">
        <f t="shared" si="35"/>
        <v/>
      </c>
      <c r="F231" s="24" t="str">
        <f t="shared" si="36"/>
        <v/>
      </c>
      <c r="G231" s="24">
        <f t="shared" si="37"/>
        <v>0</v>
      </c>
      <c r="H231" s="57" t="str">
        <f t="shared" si="38"/>
        <v/>
      </c>
      <c r="I231" s="57"/>
      <c r="J231" s="57"/>
      <c r="K231" s="57"/>
      <c r="L231" s="24" t="str">
        <f t="shared" si="32"/>
        <v/>
      </c>
    </row>
    <row r="232" spans="3:12" x14ac:dyDescent="0.25">
      <c r="C232" s="56" t="str">
        <f t="shared" si="33"/>
        <v/>
      </c>
      <c r="D232" s="24" t="str">
        <f t="shared" si="34"/>
        <v/>
      </c>
      <c r="E232" s="24" t="str">
        <f t="shared" si="35"/>
        <v/>
      </c>
      <c r="F232" s="24" t="str">
        <f t="shared" si="36"/>
        <v/>
      </c>
      <c r="G232" s="24">
        <f t="shared" si="37"/>
        <v>0</v>
      </c>
      <c r="H232" s="57" t="str">
        <f t="shared" si="38"/>
        <v/>
      </c>
      <c r="I232" s="57"/>
      <c r="J232" s="57"/>
      <c r="K232" s="57"/>
      <c r="L232" s="24" t="str">
        <f t="shared" si="32"/>
        <v/>
      </c>
    </row>
    <row r="233" spans="3:12" x14ac:dyDescent="0.25">
      <c r="C233" s="56" t="str">
        <f t="shared" si="33"/>
        <v/>
      </c>
      <c r="D233" s="24" t="str">
        <f t="shared" si="34"/>
        <v/>
      </c>
      <c r="E233" s="24" t="str">
        <f t="shared" si="35"/>
        <v/>
      </c>
      <c r="F233" s="24" t="str">
        <f t="shared" si="36"/>
        <v/>
      </c>
      <c r="G233" s="24">
        <f t="shared" si="37"/>
        <v>0</v>
      </c>
      <c r="H233" s="57" t="str">
        <f t="shared" si="38"/>
        <v/>
      </c>
      <c r="I233" s="57"/>
      <c r="J233" s="57"/>
      <c r="K233" s="57"/>
      <c r="L233" s="24" t="str">
        <f t="shared" si="32"/>
        <v/>
      </c>
    </row>
    <row r="234" spans="3:12" x14ac:dyDescent="0.25">
      <c r="C234" s="56" t="str">
        <f t="shared" si="33"/>
        <v/>
      </c>
      <c r="D234" s="24" t="str">
        <f t="shared" si="34"/>
        <v/>
      </c>
      <c r="E234" s="24" t="str">
        <f t="shared" si="35"/>
        <v/>
      </c>
      <c r="F234" s="24" t="str">
        <f t="shared" si="36"/>
        <v/>
      </c>
      <c r="G234" s="24">
        <f t="shared" si="37"/>
        <v>0</v>
      </c>
      <c r="H234" s="57" t="str">
        <f t="shared" si="38"/>
        <v/>
      </c>
      <c r="I234" s="57"/>
      <c r="J234" s="57"/>
      <c r="K234" s="57"/>
      <c r="L234" s="24" t="str">
        <f t="shared" si="32"/>
        <v/>
      </c>
    </row>
    <row r="235" spans="3:12" x14ac:dyDescent="0.25">
      <c r="C235" s="56" t="str">
        <f t="shared" si="33"/>
        <v/>
      </c>
      <c r="D235" s="24" t="str">
        <f t="shared" si="34"/>
        <v/>
      </c>
      <c r="E235" s="24" t="str">
        <f t="shared" si="35"/>
        <v/>
      </c>
      <c r="F235" s="24" t="str">
        <f t="shared" si="36"/>
        <v/>
      </c>
      <c r="G235" s="24">
        <f t="shared" si="37"/>
        <v>0</v>
      </c>
      <c r="H235" s="57" t="str">
        <f t="shared" si="38"/>
        <v/>
      </c>
      <c r="I235" s="57"/>
      <c r="J235" s="57"/>
      <c r="K235" s="57"/>
      <c r="L235" s="24" t="str">
        <f t="shared" si="32"/>
        <v/>
      </c>
    </row>
    <row r="236" spans="3:12" x14ac:dyDescent="0.25">
      <c r="C236" s="56" t="str">
        <f t="shared" si="33"/>
        <v/>
      </c>
      <c r="D236" s="24" t="str">
        <f t="shared" si="34"/>
        <v/>
      </c>
      <c r="E236" s="24" t="str">
        <f t="shared" si="35"/>
        <v/>
      </c>
      <c r="F236" s="24" t="str">
        <f t="shared" si="36"/>
        <v/>
      </c>
      <c r="G236" s="24">
        <f t="shared" si="37"/>
        <v>0</v>
      </c>
      <c r="H236" s="57" t="str">
        <f t="shared" si="38"/>
        <v/>
      </c>
      <c r="I236" s="57"/>
      <c r="J236" s="57"/>
      <c r="K236" s="57"/>
      <c r="L236" s="24" t="str">
        <f t="shared" si="32"/>
        <v/>
      </c>
    </row>
    <row r="237" spans="3:12" x14ac:dyDescent="0.25">
      <c r="C237" s="56" t="str">
        <f t="shared" si="33"/>
        <v/>
      </c>
      <c r="D237" s="24" t="str">
        <f t="shared" si="34"/>
        <v/>
      </c>
      <c r="E237" s="24" t="str">
        <f t="shared" si="35"/>
        <v/>
      </c>
      <c r="F237" s="24" t="str">
        <f t="shared" si="36"/>
        <v/>
      </c>
      <c r="G237" s="24">
        <f t="shared" si="37"/>
        <v>0</v>
      </c>
      <c r="H237" s="57" t="str">
        <f t="shared" si="38"/>
        <v/>
      </c>
      <c r="I237" s="57"/>
      <c r="J237" s="57"/>
      <c r="K237" s="57"/>
      <c r="L237" s="24" t="str">
        <f t="shared" si="32"/>
        <v/>
      </c>
    </row>
    <row r="238" spans="3:12" x14ac:dyDescent="0.25">
      <c r="C238" s="56" t="str">
        <f t="shared" si="33"/>
        <v/>
      </c>
      <c r="D238" s="24" t="str">
        <f t="shared" si="34"/>
        <v/>
      </c>
      <c r="E238" s="24" t="str">
        <f t="shared" si="35"/>
        <v/>
      </c>
      <c r="F238" s="24" t="str">
        <f t="shared" si="36"/>
        <v/>
      </c>
      <c r="G238" s="24">
        <f t="shared" si="37"/>
        <v>0</v>
      </c>
      <c r="H238" s="57" t="str">
        <f t="shared" si="38"/>
        <v/>
      </c>
      <c r="I238" s="57"/>
      <c r="J238" s="57"/>
      <c r="K238" s="57"/>
      <c r="L238" s="24" t="str">
        <f t="shared" si="32"/>
        <v/>
      </c>
    </row>
    <row r="239" spans="3:12" x14ac:dyDescent="0.25">
      <c r="C239" s="56" t="str">
        <f t="shared" si="33"/>
        <v/>
      </c>
      <c r="D239" s="24" t="str">
        <f t="shared" si="34"/>
        <v/>
      </c>
      <c r="E239" s="24" t="str">
        <f t="shared" si="35"/>
        <v/>
      </c>
      <c r="F239" s="24" t="str">
        <f t="shared" si="36"/>
        <v/>
      </c>
      <c r="G239" s="24">
        <f t="shared" si="37"/>
        <v>0</v>
      </c>
      <c r="H239" s="57" t="str">
        <f t="shared" si="38"/>
        <v/>
      </c>
      <c r="I239" s="57"/>
      <c r="J239" s="57"/>
      <c r="K239" s="57"/>
      <c r="L239" s="24" t="str">
        <f t="shared" si="32"/>
        <v/>
      </c>
    </row>
    <row r="240" spans="3:12" x14ac:dyDescent="0.25">
      <c r="C240" s="56" t="str">
        <f t="shared" si="33"/>
        <v/>
      </c>
      <c r="D240" s="24" t="str">
        <f t="shared" si="34"/>
        <v/>
      </c>
      <c r="E240" s="24" t="str">
        <f t="shared" si="35"/>
        <v/>
      </c>
      <c r="F240" s="24" t="str">
        <f t="shared" si="36"/>
        <v/>
      </c>
      <c r="G240" s="24">
        <f t="shared" si="37"/>
        <v>0</v>
      </c>
      <c r="H240" s="57" t="str">
        <f t="shared" si="38"/>
        <v/>
      </c>
      <c r="I240" s="57"/>
      <c r="J240" s="57"/>
      <c r="K240" s="57"/>
      <c r="L240" s="24" t="str">
        <f t="shared" si="32"/>
        <v/>
      </c>
    </row>
    <row r="241" spans="3:12" x14ac:dyDescent="0.25">
      <c r="C241" s="56" t="str">
        <f t="shared" si="33"/>
        <v/>
      </c>
      <c r="D241" s="24" t="str">
        <f t="shared" si="34"/>
        <v/>
      </c>
      <c r="E241" s="24" t="str">
        <f t="shared" si="35"/>
        <v/>
      </c>
      <c r="F241" s="24" t="str">
        <f t="shared" si="36"/>
        <v/>
      </c>
      <c r="G241" s="24">
        <f t="shared" si="37"/>
        <v>0</v>
      </c>
      <c r="H241" s="57" t="str">
        <f t="shared" si="38"/>
        <v/>
      </c>
      <c r="I241" s="57"/>
      <c r="J241" s="57"/>
      <c r="K241" s="57"/>
      <c r="L241" s="24" t="str">
        <f t="shared" si="32"/>
        <v/>
      </c>
    </row>
    <row r="242" spans="3:12" x14ac:dyDescent="0.25">
      <c r="C242" s="56" t="str">
        <f t="shared" si="33"/>
        <v/>
      </c>
      <c r="D242" s="24" t="str">
        <f t="shared" si="34"/>
        <v/>
      </c>
      <c r="E242" s="24" t="str">
        <f t="shared" si="35"/>
        <v/>
      </c>
      <c r="F242" s="24" t="str">
        <f t="shared" si="36"/>
        <v/>
      </c>
      <c r="G242" s="24">
        <f t="shared" si="37"/>
        <v>0</v>
      </c>
      <c r="H242" s="57" t="str">
        <f t="shared" si="38"/>
        <v/>
      </c>
      <c r="I242" s="57"/>
      <c r="J242" s="57"/>
      <c r="K242" s="57"/>
      <c r="L242" s="24" t="str">
        <f t="shared" si="32"/>
        <v/>
      </c>
    </row>
    <row r="243" spans="3:12" x14ac:dyDescent="0.25">
      <c r="C243" s="56" t="str">
        <f t="shared" si="33"/>
        <v/>
      </c>
      <c r="D243" s="24" t="str">
        <f t="shared" si="34"/>
        <v/>
      </c>
      <c r="E243" s="24" t="str">
        <f t="shared" si="35"/>
        <v/>
      </c>
      <c r="F243" s="24" t="str">
        <f t="shared" si="36"/>
        <v/>
      </c>
      <c r="G243" s="24">
        <f t="shared" si="37"/>
        <v>0</v>
      </c>
      <c r="H243" s="57" t="str">
        <f t="shared" si="38"/>
        <v/>
      </c>
      <c r="I243" s="57"/>
      <c r="J243" s="57"/>
      <c r="K243" s="57"/>
      <c r="L243" s="24" t="str">
        <f t="shared" si="32"/>
        <v/>
      </c>
    </row>
    <row r="244" spans="3:12" x14ac:dyDescent="0.25">
      <c r="C244" s="56" t="str">
        <f t="shared" si="33"/>
        <v/>
      </c>
      <c r="D244" s="24" t="str">
        <f t="shared" si="34"/>
        <v/>
      </c>
      <c r="E244" s="24" t="str">
        <f t="shared" si="35"/>
        <v/>
      </c>
      <c r="F244" s="24" t="str">
        <f t="shared" si="36"/>
        <v/>
      </c>
      <c r="G244" s="24">
        <f t="shared" si="37"/>
        <v>0</v>
      </c>
      <c r="H244" s="57" t="str">
        <f t="shared" si="38"/>
        <v/>
      </c>
      <c r="I244" s="57"/>
      <c r="J244" s="57"/>
      <c r="K244" s="57"/>
      <c r="L244" s="24" t="str">
        <f t="shared" si="32"/>
        <v/>
      </c>
    </row>
    <row r="245" spans="3:12" x14ac:dyDescent="0.25">
      <c r="C245" s="56" t="str">
        <f t="shared" si="33"/>
        <v/>
      </c>
      <c r="D245" s="24" t="str">
        <f t="shared" si="34"/>
        <v/>
      </c>
      <c r="E245" s="24" t="str">
        <f t="shared" si="35"/>
        <v/>
      </c>
      <c r="F245" s="24" t="str">
        <f t="shared" si="36"/>
        <v/>
      </c>
      <c r="G245" s="24">
        <f t="shared" si="37"/>
        <v>0</v>
      </c>
      <c r="H245" s="57" t="str">
        <f t="shared" si="38"/>
        <v/>
      </c>
      <c r="I245" s="57"/>
      <c r="J245" s="57"/>
      <c r="K245" s="57"/>
      <c r="L245" s="24" t="str">
        <f t="shared" si="32"/>
        <v/>
      </c>
    </row>
    <row r="246" spans="3:12" x14ac:dyDescent="0.25">
      <c r="C246" s="56" t="str">
        <f t="shared" si="33"/>
        <v/>
      </c>
      <c r="D246" s="24" t="str">
        <f t="shared" si="34"/>
        <v/>
      </c>
      <c r="E246" s="24" t="str">
        <f t="shared" si="35"/>
        <v/>
      </c>
      <c r="F246" s="24" t="str">
        <f t="shared" si="36"/>
        <v/>
      </c>
      <c r="G246" s="24">
        <f t="shared" si="37"/>
        <v>0</v>
      </c>
      <c r="H246" s="57" t="str">
        <f t="shared" si="38"/>
        <v/>
      </c>
      <c r="I246" s="57"/>
      <c r="J246" s="57"/>
      <c r="K246" s="57"/>
      <c r="L246" s="24" t="str">
        <f t="shared" si="32"/>
        <v/>
      </c>
    </row>
    <row r="247" spans="3:12" x14ac:dyDescent="0.25">
      <c r="C247" s="56" t="str">
        <f t="shared" si="33"/>
        <v/>
      </c>
      <c r="D247" s="24" t="str">
        <f t="shared" si="34"/>
        <v/>
      </c>
      <c r="E247" s="24" t="str">
        <f t="shared" si="35"/>
        <v/>
      </c>
      <c r="F247" s="24" t="str">
        <f t="shared" si="36"/>
        <v/>
      </c>
      <c r="G247" s="24">
        <f t="shared" si="37"/>
        <v>0</v>
      </c>
      <c r="H247" s="57" t="str">
        <f t="shared" si="38"/>
        <v/>
      </c>
      <c r="I247" s="57"/>
      <c r="J247" s="57"/>
      <c r="K247" s="57"/>
      <c r="L247" s="24" t="str">
        <f t="shared" si="32"/>
        <v/>
      </c>
    </row>
    <row r="248" spans="3:12" x14ac:dyDescent="0.25">
      <c r="C248" s="56" t="str">
        <f t="shared" si="33"/>
        <v/>
      </c>
      <c r="D248" s="24" t="str">
        <f t="shared" si="34"/>
        <v/>
      </c>
      <c r="E248" s="24" t="str">
        <f t="shared" si="35"/>
        <v/>
      </c>
      <c r="F248" s="24" t="str">
        <f t="shared" si="36"/>
        <v/>
      </c>
      <c r="G248" s="24">
        <f t="shared" si="37"/>
        <v>0</v>
      </c>
      <c r="H248" s="57" t="str">
        <f t="shared" si="38"/>
        <v/>
      </c>
      <c r="I248" s="57"/>
      <c r="J248" s="57"/>
      <c r="K248" s="57"/>
      <c r="L248" s="24" t="str">
        <f t="shared" si="32"/>
        <v/>
      </c>
    </row>
    <row r="249" spans="3:12" x14ac:dyDescent="0.25">
      <c r="C249" s="56" t="str">
        <f t="shared" si="33"/>
        <v/>
      </c>
      <c r="D249" s="24" t="str">
        <f t="shared" si="34"/>
        <v/>
      </c>
      <c r="E249" s="24" t="str">
        <f t="shared" si="35"/>
        <v/>
      </c>
      <c r="F249" s="24" t="str">
        <f t="shared" si="36"/>
        <v/>
      </c>
      <c r="G249" s="24">
        <f t="shared" si="37"/>
        <v>0</v>
      </c>
      <c r="H249" s="57" t="str">
        <f t="shared" si="38"/>
        <v/>
      </c>
      <c r="I249" s="57"/>
      <c r="J249" s="57"/>
      <c r="K249" s="57"/>
      <c r="L249" s="24" t="str">
        <f t="shared" si="32"/>
        <v/>
      </c>
    </row>
    <row r="250" spans="3:12" x14ac:dyDescent="0.25">
      <c r="C250" s="56" t="str">
        <f t="shared" si="33"/>
        <v/>
      </c>
      <c r="D250" s="24" t="str">
        <f t="shared" si="34"/>
        <v/>
      </c>
      <c r="E250" s="24" t="str">
        <f t="shared" si="35"/>
        <v/>
      </c>
      <c r="F250" s="24" t="str">
        <f t="shared" si="36"/>
        <v/>
      </c>
      <c r="G250" s="24">
        <f t="shared" si="37"/>
        <v>0</v>
      </c>
      <c r="H250" s="57" t="str">
        <f t="shared" si="38"/>
        <v/>
      </c>
      <c r="I250" s="57"/>
      <c r="J250" s="57"/>
      <c r="K250" s="57"/>
      <c r="L250" s="24" t="str">
        <f t="shared" si="32"/>
        <v/>
      </c>
    </row>
    <row r="251" spans="3:12" x14ac:dyDescent="0.25">
      <c r="C251" s="56" t="str">
        <f t="shared" si="33"/>
        <v/>
      </c>
      <c r="D251" s="24" t="str">
        <f t="shared" si="34"/>
        <v/>
      </c>
      <c r="E251" s="24" t="str">
        <f t="shared" si="35"/>
        <v/>
      </c>
      <c r="F251" s="24" t="str">
        <f t="shared" si="36"/>
        <v/>
      </c>
      <c r="G251" s="24">
        <f t="shared" si="37"/>
        <v>0</v>
      </c>
      <c r="H251" s="57" t="str">
        <f t="shared" si="38"/>
        <v/>
      </c>
      <c r="I251" s="57"/>
      <c r="J251" s="57"/>
      <c r="K251" s="57"/>
      <c r="L251" s="24" t="str">
        <f t="shared" si="32"/>
        <v/>
      </c>
    </row>
    <row r="252" spans="3:12" x14ac:dyDescent="0.25">
      <c r="C252" s="56" t="str">
        <f t="shared" si="33"/>
        <v/>
      </c>
      <c r="D252" s="24" t="str">
        <f t="shared" si="34"/>
        <v/>
      </c>
      <c r="E252" s="24" t="str">
        <f t="shared" si="35"/>
        <v/>
      </c>
      <c r="F252" s="24" t="str">
        <f t="shared" si="36"/>
        <v/>
      </c>
      <c r="G252" s="24">
        <f t="shared" si="37"/>
        <v>0</v>
      </c>
      <c r="H252" s="57" t="str">
        <f t="shared" si="38"/>
        <v/>
      </c>
      <c r="I252" s="57"/>
      <c r="J252" s="57"/>
      <c r="K252" s="57"/>
      <c r="L252" s="24" t="str">
        <f t="shared" ref="L252:L300" si="39">IF(E252="","",IF(E252=E251,L251+1,1))</f>
        <v/>
      </c>
    </row>
    <row r="253" spans="3:12" x14ac:dyDescent="0.25">
      <c r="C253" s="56" t="str">
        <f t="shared" si="33"/>
        <v/>
      </c>
      <c r="D253" s="24" t="str">
        <f t="shared" si="34"/>
        <v/>
      </c>
      <c r="E253" s="24" t="str">
        <f t="shared" si="35"/>
        <v/>
      </c>
      <c r="F253" s="24" t="str">
        <f t="shared" si="36"/>
        <v/>
      </c>
      <c r="G253" s="24">
        <f t="shared" si="37"/>
        <v>0</v>
      </c>
      <c r="H253" s="57" t="str">
        <f t="shared" si="38"/>
        <v/>
      </c>
      <c r="I253" s="57"/>
      <c r="J253" s="57"/>
      <c r="K253" s="57"/>
      <c r="L253" s="24" t="str">
        <f t="shared" si="39"/>
        <v/>
      </c>
    </row>
    <row r="254" spans="3:12" x14ac:dyDescent="0.25">
      <c r="C254" s="56" t="str">
        <f t="shared" si="33"/>
        <v/>
      </c>
      <c r="D254" s="24" t="str">
        <f t="shared" si="34"/>
        <v/>
      </c>
      <c r="E254" s="24" t="str">
        <f t="shared" si="35"/>
        <v/>
      </c>
      <c r="F254" s="24" t="str">
        <f t="shared" si="36"/>
        <v/>
      </c>
      <c r="G254" s="24">
        <f t="shared" si="37"/>
        <v>0</v>
      </c>
      <c r="H254" s="57" t="str">
        <f t="shared" si="38"/>
        <v/>
      </c>
      <c r="I254" s="57"/>
      <c r="J254" s="57"/>
      <c r="K254" s="57"/>
      <c r="L254" s="24" t="str">
        <f t="shared" si="39"/>
        <v/>
      </c>
    </row>
    <row r="255" spans="3:12" x14ac:dyDescent="0.25">
      <c r="C255" s="56" t="str">
        <f t="shared" si="33"/>
        <v/>
      </c>
      <c r="D255" s="24" t="str">
        <f t="shared" si="34"/>
        <v/>
      </c>
      <c r="E255" s="24" t="str">
        <f t="shared" si="35"/>
        <v/>
      </c>
      <c r="F255" s="24" t="str">
        <f t="shared" si="36"/>
        <v/>
      </c>
      <c r="G255" s="24">
        <f t="shared" si="37"/>
        <v>0</v>
      </c>
      <c r="H255" s="57" t="str">
        <f t="shared" si="38"/>
        <v/>
      </c>
      <c r="I255" s="57"/>
      <c r="J255" s="57"/>
      <c r="K255" s="57"/>
      <c r="L255" s="24" t="str">
        <f t="shared" si="39"/>
        <v/>
      </c>
    </row>
    <row r="256" spans="3:12" x14ac:dyDescent="0.25">
      <c r="C256" s="56" t="str">
        <f t="shared" si="33"/>
        <v/>
      </c>
      <c r="D256" s="24" t="str">
        <f t="shared" si="34"/>
        <v/>
      </c>
      <c r="E256" s="24" t="str">
        <f t="shared" si="35"/>
        <v/>
      </c>
      <c r="F256" s="24" t="str">
        <f t="shared" si="36"/>
        <v/>
      </c>
      <c r="G256" s="24">
        <f t="shared" si="37"/>
        <v>0</v>
      </c>
      <c r="H256" s="57" t="str">
        <f t="shared" si="38"/>
        <v/>
      </c>
      <c r="I256" s="57"/>
      <c r="J256" s="57"/>
      <c r="K256" s="57"/>
      <c r="L256" s="24" t="str">
        <f t="shared" si="39"/>
        <v/>
      </c>
    </row>
    <row r="257" spans="3:12" x14ac:dyDescent="0.25">
      <c r="C257" s="56" t="str">
        <f t="shared" si="33"/>
        <v/>
      </c>
      <c r="D257" s="24" t="str">
        <f t="shared" si="34"/>
        <v/>
      </c>
      <c r="E257" s="24" t="str">
        <f t="shared" si="35"/>
        <v/>
      </c>
      <c r="F257" s="24" t="str">
        <f t="shared" si="36"/>
        <v/>
      </c>
      <c r="G257" s="24">
        <f t="shared" si="37"/>
        <v>0</v>
      </c>
      <c r="H257" s="57" t="str">
        <f t="shared" si="38"/>
        <v/>
      </c>
      <c r="I257" s="57"/>
      <c r="J257" s="57"/>
      <c r="K257" s="57"/>
      <c r="L257" s="24" t="str">
        <f t="shared" si="39"/>
        <v/>
      </c>
    </row>
    <row r="258" spans="3:12" x14ac:dyDescent="0.25">
      <c r="C258" s="56" t="str">
        <f t="shared" si="33"/>
        <v/>
      </c>
      <c r="D258" s="24" t="str">
        <f t="shared" si="34"/>
        <v/>
      </c>
      <c r="E258" s="24" t="str">
        <f t="shared" si="35"/>
        <v/>
      </c>
      <c r="F258" s="24" t="str">
        <f t="shared" si="36"/>
        <v/>
      </c>
      <c r="G258" s="24">
        <f t="shared" si="37"/>
        <v>0</v>
      </c>
      <c r="H258" s="57" t="str">
        <f t="shared" si="38"/>
        <v/>
      </c>
      <c r="I258" s="57"/>
      <c r="J258" s="57"/>
      <c r="K258" s="57"/>
      <c r="L258" s="24" t="str">
        <f t="shared" si="39"/>
        <v/>
      </c>
    </row>
    <row r="259" spans="3:12" x14ac:dyDescent="0.25">
      <c r="C259" s="56" t="str">
        <f t="shared" si="33"/>
        <v/>
      </c>
      <c r="D259" s="24" t="str">
        <f t="shared" si="34"/>
        <v/>
      </c>
      <c r="E259" s="24" t="str">
        <f t="shared" si="35"/>
        <v/>
      </c>
      <c r="F259" s="24" t="str">
        <f t="shared" si="36"/>
        <v/>
      </c>
      <c r="G259" s="24">
        <f t="shared" si="37"/>
        <v>0</v>
      </c>
      <c r="H259" s="57" t="str">
        <f t="shared" si="38"/>
        <v/>
      </c>
      <c r="I259" s="57"/>
      <c r="J259" s="57"/>
      <c r="K259" s="57"/>
      <c r="L259" s="24" t="str">
        <f t="shared" si="39"/>
        <v/>
      </c>
    </row>
    <row r="260" spans="3:12" x14ac:dyDescent="0.25">
      <c r="C260" s="56" t="str">
        <f t="shared" si="33"/>
        <v/>
      </c>
      <c r="D260" s="24" t="str">
        <f t="shared" si="34"/>
        <v/>
      </c>
      <c r="E260" s="24" t="str">
        <f t="shared" si="35"/>
        <v/>
      </c>
      <c r="F260" s="24" t="str">
        <f t="shared" si="36"/>
        <v/>
      </c>
      <c r="G260" s="24">
        <f t="shared" si="37"/>
        <v>0</v>
      </c>
      <c r="H260" s="57" t="str">
        <f t="shared" si="38"/>
        <v/>
      </c>
      <c r="I260" s="57"/>
      <c r="J260" s="57"/>
      <c r="K260" s="57"/>
      <c r="L260" s="24" t="str">
        <f t="shared" si="39"/>
        <v/>
      </c>
    </row>
    <row r="261" spans="3:12" x14ac:dyDescent="0.25">
      <c r="C261" s="56" t="str">
        <f t="shared" si="33"/>
        <v/>
      </c>
      <c r="D261" s="24" t="str">
        <f t="shared" si="34"/>
        <v/>
      </c>
      <c r="E261" s="24" t="str">
        <f t="shared" si="35"/>
        <v/>
      </c>
      <c r="F261" s="24" t="str">
        <f t="shared" si="36"/>
        <v/>
      </c>
      <c r="G261" s="24">
        <f t="shared" si="37"/>
        <v>0</v>
      </c>
      <c r="H261" s="57" t="str">
        <f t="shared" si="38"/>
        <v/>
      </c>
      <c r="I261" s="57"/>
      <c r="J261" s="57"/>
      <c r="K261" s="57"/>
      <c r="L261" s="24" t="str">
        <f t="shared" si="39"/>
        <v/>
      </c>
    </row>
    <row r="262" spans="3:12" x14ac:dyDescent="0.25">
      <c r="C262" s="56" t="str">
        <f t="shared" si="33"/>
        <v/>
      </c>
      <c r="D262" s="24" t="str">
        <f t="shared" si="34"/>
        <v/>
      </c>
      <c r="E262" s="24" t="str">
        <f t="shared" si="35"/>
        <v/>
      </c>
      <c r="F262" s="24" t="str">
        <f t="shared" si="36"/>
        <v/>
      </c>
      <c r="G262" s="24">
        <f t="shared" si="37"/>
        <v>0</v>
      </c>
      <c r="H262" s="57" t="str">
        <f t="shared" si="38"/>
        <v/>
      </c>
      <c r="I262" s="57"/>
      <c r="J262" s="57"/>
      <c r="K262" s="57"/>
      <c r="L262" s="24" t="str">
        <f t="shared" si="39"/>
        <v/>
      </c>
    </row>
    <row r="263" spans="3:12" x14ac:dyDescent="0.25">
      <c r="C263" s="56" t="str">
        <f t="shared" si="33"/>
        <v/>
      </c>
      <c r="D263" s="24" t="str">
        <f t="shared" si="34"/>
        <v/>
      </c>
      <c r="E263" s="24" t="str">
        <f t="shared" si="35"/>
        <v/>
      </c>
      <c r="F263" s="24" t="str">
        <f t="shared" si="36"/>
        <v/>
      </c>
      <c r="G263" s="24">
        <f t="shared" si="37"/>
        <v>0</v>
      </c>
      <c r="H263" s="57" t="str">
        <f t="shared" si="38"/>
        <v/>
      </c>
      <c r="I263" s="57"/>
      <c r="J263" s="57"/>
      <c r="K263" s="57"/>
      <c r="L263" s="24" t="str">
        <f t="shared" si="39"/>
        <v/>
      </c>
    </row>
    <row r="264" spans="3:12" x14ac:dyDescent="0.25">
      <c r="C264" s="56" t="str">
        <f t="shared" si="33"/>
        <v/>
      </c>
      <c r="D264" s="24" t="str">
        <f t="shared" si="34"/>
        <v/>
      </c>
      <c r="E264" s="24" t="str">
        <f t="shared" si="35"/>
        <v/>
      </c>
      <c r="F264" s="24" t="str">
        <f t="shared" si="36"/>
        <v/>
      </c>
      <c r="G264" s="24">
        <f t="shared" si="37"/>
        <v>0</v>
      </c>
      <c r="H264" s="57" t="str">
        <f t="shared" si="38"/>
        <v/>
      </c>
      <c r="I264" s="57"/>
      <c r="J264" s="57"/>
      <c r="K264" s="57"/>
      <c r="L264" s="24" t="str">
        <f t="shared" si="39"/>
        <v/>
      </c>
    </row>
    <row r="265" spans="3:12" x14ac:dyDescent="0.25">
      <c r="C265" s="56" t="str">
        <f t="shared" si="33"/>
        <v/>
      </c>
      <c r="D265" s="24" t="str">
        <f t="shared" si="34"/>
        <v/>
      </c>
      <c r="E265" s="24" t="str">
        <f t="shared" si="35"/>
        <v/>
      </c>
      <c r="F265" s="24" t="str">
        <f t="shared" si="36"/>
        <v/>
      </c>
      <c r="G265" s="24">
        <f t="shared" si="37"/>
        <v>0</v>
      </c>
      <c r="H265" s="57" t="str">
        <f t="shared" si="38"/>
        <v/>
      </c>
      <c r="I265" s="57"/>
      <c r="J265" s="57"/>
      <c r="K265" s="57"/>
      <c r="L265" s="24" t="str">
        <f t="shared" si="39"/>
        <v/>
      </c>
    </row>
    <row r="266" spans="3:12" x14ac:dyDescent="0.25">
      <c r="C266" s="56" t="str">
        <f t="shared" si="33"/>
        <v/>
      </c>
      <c r="D266" s="24" t="str">
        <f t="shared" si="34"/>
        <v/>
      </c>
      <c r="E266" s="24" t="str">
        <f t="shared" si="35"/>
        <v/>
      </c>
      <c r="F266" s="24" t="str">
        <f t="shared" si="36"/>
        <v/>
      </c>
      <c r="G266" s="24">
        <f t="shared" si="37"/>
        <v>0</v>
      </c>
      <c r="H266" s="57" t="str">
        <f t="shared" si="38"/>
        <v/>
      </c>
      <c r="I266" s="57"/>
      <c r="J266" s="57"/>
      <c r="K266" s="57"/>
      <c r="L266" s="24" t="str">
        <f t="shared" si="39"/>
        <v/>
      </c>
    </row>
    <row r="267" spans="3:12" x14ac:dyDescent="0.25">
      <c r="C267" s="56" t="str">
        <f t="shared" si="33"/>
        <v/>
      </c>
      <c r="D267" s="24" t="str">
        <f t="shared" si="34"/>
        <v/>
      </c>
      <c r="E267" s="24" t="str">
        <f t="shared" si="35"/>
        <v/>
      </c>
      <c r="F267" s="24" t="str">
        <f t="shared" si="36"/>
        <v/>
      </c>
      <c r="G267" s="24">
        <f t="shared" si="37"/>
        <v>0</v>
      </c>
      <c r="H267" s="57" t="str">
        <f t="shared" si="38"/>
        <v/>
      </c>
      <c r="I267" s="57"/>
      <c r="J267" s="57"/>
      <c r="K267" s="57"/>
      <c r="L267" s="24" t="str">
        <f t="shared" si="39"/>
        <v/>
      </c>
    </row>
    <row r="268" spans="3:12" x14ac:dyDescent="0.25">
      <c r="C268" s="56" t="str">
        <f t="shared" si="33"/>
        <v/>
      </c>
      <c r="D268" s="24" t="str">
        <f t="shared" si="34"/>
        <v/>
      </c>
      <c r="E268" s="24" t="str">
        <f t="shared" si="35"/>
        <v/>
      </c>
      <c r="F268" s="24" t="str">
        <f t="shared" si="36"/>
        <v/>
      </c>
      <c r="G268" s="24">
        <f t="shared" si="37"/>
        <v>0</v>
      </c>
      <c r="H268" s="57" t="str">
        <f t="shared" si="38"/>
        <v/>
      </c>
      <c r="I268" s="57"/>
      <c r="J268" s="57"/>
      <c r="K268" s="57"/>
      <c r="L268" s="24" t="str">
        <f t="shared" si="39"/>
        <v/>
      </c>
    </row>
    <row r="269" spans="3:12" x14ac:dyDescent="0.25">
      <c r="C269" s="56" t="str">
        <f t="shared" si="33"/>
        <v/>
      </c>
      <c r="D269" s="24" t="str">
        <f t="shared" si="34"/>
        <v/>
      </c>
      <c r="E269" s="24" t="str">
        <f t="shared" si="35"/>
        <v/>
      </c>
      <c r="F269" s="24" t="str">
        <f t="shared" si="36"/>
        <v/>
      </c>
      <c r="G269" s="24">
        <f t="shared" si="37"/>
        <v>0</v>
      </c>
      <c r="H269" s="57" t="str">
        <f t="shared" si="38"/>
        <v/>
      </c>
      <c r="I269" s="57"/>
      <c r="J269" s="57"/>
      <c r="K269" s="57"/>
      <c r="L269" s="24" t="str">
        <f t="shared" si="39"/>
        <v/>
      </c>
    </row>
    <row r="270" spans="3:12" x14ac:dyDescent="0.25">
      <c r="C270" s="56" t="str">
        <f t="shared" si="33"/>
        <v/>
      </c>
      <c r="D270" s="24" t="str">
        <f t="shared" si="34"/>
        <v/>
      </c>
      <c r="E270" s="24" t="str">
        <f t="shared" si="35"/>
        <v/>
      </c>
      <c r="F270" s="24" t="str">
        <f t="shared" si="36"/>
        <v/>
      </c>
      <c r="G270" s="24">
        <f t="shared" si="37"/>
        <v>0</v>
      </c>
      <c r="H270" s="57" t="str">
        <f t="shared" si="38"/>
        <v/>
      </c>
      <c r="I270" s="57"/>
      <c r="J270" s="57"/>
      <c r="K270" s="57"/>
      <c r="L270" s="24" t="str">
        <f t="shared" si="39"/>
        <v/>
      </c>
    </row>
    <row r="271" spans="3:12" x14ac:dyDescent="0.25">
      <c r="C271" s="56" t="str">
        <f t="shared" si="33"/>
        <v/>
      </c>
      <c r="D271" s="24" t="str">
        <f t="shared" si="34"/>
        <v/>
      </c>
      <c r="E271" s="24" t="str">
        <f t="shared" si="35"/>
        <v/>
      </c>
      <c r="F271" s="24" t="str">
        <f t="shared" si="36"/>
        <v/>
      </c>
      <c r="G271" s="24">
        <f t="shared" si="37"/>
        <v>0</v>
      </c>
      <c r="H271" s="57" t="str">
        <f t="shared" si="38"/>
        <v/>
      </c>
      <c r="I271" s="57"/>
      <c r="J271" s="57"/>
      <c r="K271" s="57"/>
      <c r="L271" s="24" t="str">
        <f t="shared" si="39"/>
        <v/>
      </c>
    </row>
    <row r="272" spans="3:12" x14ac:dyDescent="0.25">
      <c r="C272" s="56" t="str">
        <f t="shared" si="33"/>
        <v/>
      </c>
      <c r="D272" s="24" t="str">
        <f t="shared" si="34"/>
        <v/>
      </c>
      <c r="E272" s="24" t="str">
        <f t="shared" si="35"/>
        <v/>
      </c>
      <c r="F272" s="24" t="str">
        <f t="shared" si="36"/>
        <v/>
      </c>
      <c r="G272" s="24">
        <f t="shared" si="37"/>
        <v>0</v>
      </c>
      <c r="H272" s="57" t="str">
        <f t="shared" si="38"/>
        <v/>
      </c>
      <c r="I272" s="57"/>
      <c r="J272" s="57"/>
      <c r="K272" s="57"/>
      <c r="L272" s="24" t="str">
        <f t="shared" si="39"/>
        <v/>
      </c>
    </row>
    <row r="273" spans="3:12" x14ac:dyDescent="0.25">
      <c r="C273" s="56" t="str">
        <f t="shared" si="33"/>
        <v/>
      </c>
      <c r="D273" s="24" t="str">
        <f t="shared" si="34"/>
        <v/>
      </c>
      <c r="E273" s="24" t="str">
        <f t="shared" si="35"/>
        <v/>
      </c>
      <c r="F273" s="24" t="str">
        <f t="shared" si="36"/>
        <v/>
      </c>
      <c r="G273" s="24">
        <f t="shared" si="37"/>
        <v>0</v>
      </c>
      <c r="H273" s="57" t="str">
        <f t="shared" si="38"/>
        <v/>
      </c>
      <c r="I273" s="57"/>
      <c r="J273" s="57"/>
      <c r="K273" s="57"/>
      <c r="L273" s="24" t="str">
        <f t="shared" si="39"/>
        <v/>
      </c>
    </row>
    <row r="274" spans="3:12" x14ac:dyDescent="0.25">
      <c r="C274" s="56" t="str">
        <f t="shared" si="33"/>
        <v/>
      </c>
      <c r="D274" s="24" t="str">
        <f t="shared" si="34"/>
        <v/>
      </c>
      <c r="E274" s="24" t="str">
        <f t="shared" si="35"/>
        <v/>
      </c>
      <c r="F274" s="24" t="str">
        <f t="shared" si="36"/>
        <v/>
      </c>
      <c r="G274" s="24">
        <f t="shared" si="37"/>
        <v>0</v>
      </c>
      <c r="H274" s="57" t="str">
        <f t="shared" si="38"/>
        <v/>
      </c>
      <c r="I274" s="57"/>
      <c r="J274" s="57"/>
      <c r="K274" s="57"/>
      <c r="L274" s="24" t="str">
        <f t="shared" si="39"/>
        <v/>
      </c>
    </row>
    <row r="275" spans="3:12" x14ac:dyDescent="0.25">
      <c r="C275" s="56" t="str">
        <f t="shared" si="33"/>
        <v/>
      </c>
      <c r="D275" s="24" t="str">
        <f t="shared" si="34"/>
        <v/>
      </c>
      <c r="E275" s="24" t="str">
        <f t="shared" si="35"/>
        <v/>
      </c>
      <c r="F275" s="24" t="str">
        <f t="shared" si="36"/>
        <v/>
      </c>
      <c r="G275" s="24">
        <f t="shared" si="37"/>
        <v>0</v>
      </c>
      <c r="H275" s="57" t="str">
        <f t="shared" si="38"/>
        <v/>
      </c>
      <c r="I275" s="57"/>
      <c r="J275" s="57"/>
      <c r="K275" s="57"/>
      <c r="L275" s="24" t="str">
        <f t="shared" si="39"/>
        <v/>
      </c>
    </row>
    <row r="276" spans="3:12" x14ac:dyDescent="0.25">
      <c r="C276" s="56" t="str">
        <f t="shared" si="33"/>
        <v/>
      </c>
      <c r="D276" s="24" t="str">
        <f t="shared" si="34"/>
        <v/>
      </c>
      <c r="E276" s="24" t="str">
        <f t="shared" si="35"/>
        <v/>
      </c>
      <c r="F276" s="24" t="str">
        <f t="shared" si="36"/>
        <v/>
      </c>
      <c r="G276" s="24">
        <f t="shared" si="37"/>
        <v>0</v>
      </c>
      <c r="H276" s="57" t="str">
        <f t="shared" si="38"/>
        <v/>
      </c>
      <c r="I276" s="57"/>
      <c r="J276" s="57"/>
      <c r="K276" s="57"/>
      <c r="L276" s="24" t="str">
        <f t="shared" si="39"/>
        <v/>
      </c>
    </row>
    <row r="277" spans="3:12" x14ac:dyDescent="0.25">
      <c r="C277" s="56" t="str">
        <f t="shared" si="33"/>
        <v/>
      </c>
      <c r="D277" s="24" t="str">
        <f t="shared" si="34"/>
        <v/>
      </c>
      <c r="E277" s="24" t="str">
        <f t="shared" si="35"/>
        <v/>
      </c>
      <c r="F277" s="24" t="str">
        <f t="shared" si="36"/>
        <v/>
      </c>
      <c r="G277" s="24">
        <f t="shared" si="37"/>
        <v>0</v>
      </c>
      <c r="H277" s="57" t="str">
        <f t="shared" si="38"/>
        <v/>
      </c>
      <c r="I277" s="57"/>
      <c r="J277" s="57"/>
      <c r="K277" s="57"/>
      <c r="L277" s="24" t="str">
        <f t="shared" si="39"/>
        <v/>
      </c>
    </row>
    <row r="278" spans="3:12" x14ac:dyDescent="0.25">
      <c r="C278" s="56" t="str">
        <f t="shared" si="33"/>
        <v/>
      </c>
      <c r="D278" s="24" t="str">
        <f t="shared" si="34"/>
        <v/>
      </c>
      <c r="E278" s="24" t="str">
        <f t="shared" si="35"/>
        <v/>
      </c>
      <c r="F278" s="24" t="str">
        <f t="shared" si="36"/>
        <v/>
      </c>
      <c r="G278" s="24">
        <f t="shared" si="37"/>
        <v>0</v>
      </c>
      <c r="H278" s="57" t="str">
        <f t="shared" si="38"/>
        <v/>
      </c>
      <c r="I278" s="57"/>
      <c r="J278" s="57"/>
      <c r="K278" s="57"/>
      <c r="L278" s="24" t="str">
        <f t="shared" si="39"/>
        <v/>
      </c>
    </row>
    <row r="279" spans="3:12" x14ac:dyDescent="0.25">
      <c r="C279" s="56" t="str">
        <f t="shared" ref="C279:C321" si="40">IF(OR(A279="Grand Total",A279=""),"",C278+B279)</f>
        <v/>
      </c>
      <c r="D279" s="24" t="str">
        <f t="shared" ref="D279:D321" si="41">IF(OR(B279="",A279="Grand Total"),"",IF(B279&lt;0,"L","W"))</f>
        <v/>
      </c>
      <c r="E279" s="24" t="str">
        <f t="shared" si="35"/>
        <v/>
      </c>
      <c r="F279" s="24" t="str">
        <f t="shared" si="36"/>
        <v/>
      </c>
      <c r="G279" s="24">
        <f t="shared" si="37"/>
        <v>0</v>
      </c>
      <c r="H279" s="57" t="str">
        <f t="shared" si="38"/>
        <v/>
      </c>
      <c r="I279" s="57"/>
      <c r="J279" s="57"/>
      <c r="K279" s="57"/>
      <c r="L279" s="24" t="str">
        <f t="shared" si="39"/>
        <v/>
      </c>
    </row>
    <row r="280" spans="3:12" x14ac:dyDescent="0.25">
      <c r="C280" s="56" t="str">
        <f t="shared" si="40"/>
        <v/>
      </c>
      <c r="D280" s="24" t="str">
        <f t="shared" si="41"/>
        <v/>
      </c>
      <c r="E280" s="24" t="str">
        <f t="shared" ref="E280:E321" si="42">IF(D280="","",IF(D280=D279,E279+1,1))</f>
        <v/>
      </c>
      <c r="F280" s="24" t="str">
        <f t="shared" ref="F280:F327" si="43">IFERROR(MAX(F279,S$1+C280),"")</f>
        <v/>
      </c>
      <c r="G280" s="24">
        <f t="shared" ref="G280:G327" si="44">IFERROR((S$1+C280)-F280,0)</f>
        <v>0</v>
      </c>
      <c r="H280" s="57" t="str">
        <f t="shared" ref="H280:H327" si="45">IFERROR((S$1+C280)/F280-1,"")</f>
        <v/>
      </c>
      <c r="I280" s="57"/>
      <c r="J280" s="57"/>
      <c r="K280" s="57"/>
      <c r="L280" s="24" t="str">
        <f t="shared" si="39"/>
        <v/>
      </c>
    </row>
    <row r="281" spans="3:12" x14ac:dyDescent="0.25">
      <c r="C281" s="56" t="str">
        <f t="shared" si="40"/>
        <v/>
      </c>
      <c r="D281" s="24" t="str">
        <f t="shared" si="41"/>
        <v/>
      </c>
      <c r="E281" s="24" t="str">
        <f t="shared" si="42"/>
        <v/>
      </c>
      <c r="F281" s="24" t="str">
        <f t="shared" si="43"/>
        <v/>
      </c>
      <c r="G281" s="24">
        <f t="shared" si="44"/>
        <v>0</v>
      </c>
      <c r="H281" s="57" t="str">
        <f t="shared" si="45"/>
        <v/>
      </c>
      <c r="I281" s="57"/>
      <c r="J281" s="57"/>
      <c r="K281" s="57"/>
      <c r="L281" s="24" t="str">
        <f t="shared" si="39"/>
        <v/>
      </c>
    </row>
    <row r="282" spans="3:12" x14ac:dyDescent="0.25">
      <c r="C282" s="56" t="str">
        <f t="shared" si="40"/>
        <v/>
      </c>
      <c r="D282" s="24" t="str">
        <f t="shared" si="41"/>
        <v/>
      </c>
      <c r="E282" s="24" t="str">
        <f t="shared" si="42"/>
        <v/>
      </c>
      <c r="F282" s="24" t="str">
        <f t="shared" si="43"/>
        <v/>
      </c>
      <c r="G282" s="24">
        <f t="shared" si="44"/>
        <v>0</v>
      </c>
      <c r="H282" s="57" t="str">
        <f t="shared" si="45"/>
        <v/>
      </c>
      <c r="I282" s="57"/>
      <c r="J282" s="57"/>
      <c r="K282" s="57"/>
      <c r="L282" s="24" t="str">
        <f t="shared" si="39"/>
        <v/>
      </c>
    </row>
    <row r="283" spans="3:12" x14ac:dyDescent="0.25">
      <c r="C283" s="56" t="str">
        <f t="shared" si="40"/>
        <v/>
      </c>
      <c r="D283" s="24" t="str">
        <f t="shared" si="41"/>
        <v/>
      </c>
      <c r="E283" s="24" t="str">
        <f t="shared" si="42"/>
        <v/>
      </c>
      <c r="F283" s="24" t="str">
        <f t="shared" si="43"/>
        <v/>
      </c>
      <c r="G283" s="24">
        <f t="shared" si="44"/>
        <v>0</v>
      </c>
      <c r="H283" s="57" t="str">
        <f t="shared" si="45"/>
        <v/>
      </c>
      <c r="I283" s="57"/>
      <c r="J283" s="57"/>
      <c r="K283" s="57"/>
      <c r="L283" s="24" t="str">
        <f t="shared" si="39"/>
        <v/>
      </c>
    </row>
    <row r="284" spans="3:12" x14ac:dyDescent="0.25">
      <c r="C284" s="56" t="str">
        <f t="shared" si="40"/>
        <v/>
      </c>
      <c r="D284" s="24" t="str">
        <f t="shared" si="41"/>
        <v/>
      </c>
      <c r="E284" s="24" t="str">
        <f t="shared" si="42"/>
        <v/>
      </c>
      <c r="F284" s="24" t="str">
        <f t="shared" si="43"/>
        <v/>
      </c>
      <c r="G284" s="24">
        <f t="shared" si="44"/>
        <v>0</v>
      </c>
      <c r="H284" s="57" t="str">
        <f t="shared" si="45"/>
        <v/>
      </c>
      <c r="I284" s="57"/>
      <c r="J284" s="57"/>
      <c r="K284" s="57"/>
      <c r="L284" s="24" t="str">
        <f t="shared" si="39"/>
        <v/>
      </c>
    </row>
    <row r="285" spans="3:12" x14ac:dyDescent="0.25">
      <c r="C285" s="56" t="str">
        <f t="shared" si="40"/>
        <v/>
      </c>
      <c r="D285" s="24" t="str">
        <f t="shared" si="41"/>
        <v/>
      </c>
      <c r="E285" s="24" t="str">
        <f t="shared" si="42"/>
        <v/>
      </c>
      <c r="F285" s="24" t="str">
        <f t="shared" si="43"/>
        <v/>
      </c>
      <c r="G285" s="24">
        <f t="shared" si="44"/>
        <v>0</v>
      </c>
      <c r="H285" s="57" t="str">
        <f t="shared" si="45"/>
        <v/>
      </c>
      <c r="I285" s="57"/>
      <c r="J285" s="57"/>
      <c r="K285" s="57"/>
      <c r="L285" s="24" t="str">
        <f t="shared" si="39"/>
        <v/>
      </c>
    </row>
    <row r="286" spans="3:12" x14ac:dyDescent="0.25">
      <c r="C286" s="56" t="str">
        <f t="shared" si="40"/>
        <v/>
      </c>
      <c r="D286" s="24" t="str">
        <f t="shared" si="41"/>
        <v/>
      </c>
      <c r="E286" s="24" t="str">
        <f t="shared" si="42"/>
        <v/>
      </c>
      <c r="F286" s="24" t="str">
        <f t="shared" si="43"/>
        <v/>
      </c>
      <c r="G286" s="24">
        <f t="shared" si="44"/>
        <v>0</v>
      </c>
      <c r="H286" s="57" t="str">
        <f t="shared" si="45"/>
        <v/>
      </c>
      <c r="I286" s="57"/>
      <c r="J286" s="57"/>
      <c r="K286" s="57"/>
      <c r="L286" s="24" t="str">
        <f t="shared" si="39"/>
        <v/>
      </c>
    </row>
    <row r="287" spans="3:12" x14ac:dyDescent="0.25">
      <c r="C287" s="56" t="str">
        <f t="shared" si="40"/>
        <v/>
      </c>
      <c r="D287" s="24" t="str">
        <f t="shared" si="41"/>
        <v/>
      </c>
      <c r="E287" s="24" t="str">
        <f t="shared" si="42"/>
        <v/>
      </c>
      <c r="F287" s="24" t="str">
        <f t="shared" si="43"/>
        <v/>
      </c>
      <c r="G287" s="24">
        <f t="shared" si="44"/>
        <v>0</v>
      </c>
      <c r="H287" s="57" t="str">
        <f t="shared" si="45"/>
        <v/>
      </c>
      <c r="I287" s="57"/>
      <c r="J287" s="57"/>
      <c r="K287" s="57"/>
      <c r="L287" s="24" t="str">
        <f t="shared" si="39"/>
        <v/>
      </c>
    </row>
    <row r="288" spans="3:12" x14ac:dyDescent="0.25">
      <c r="C288" s="56" t="str">
        <f t="shared" si="40"/>
        <v/>
      </c>
      <c r="D288" s="24" t="str">
        <f t="shared" si="41"/>
        <v/>
      </c>
      <c r="E288" s="24" t="str">
        <f t="shared" si="42"/>
        <v/>
      </c>
      <c r="F288" s="24" t="str">
        <f t="shared" si="43"/>
        <v/>
      </c>
      <c r="G288" s="24">
        <f t="shared" si="44"/>
        <v>0</v>
      </c>
      <c r="H288" s="57" t="str">
        <f t="shared" si="45"/>
        <v/>
      </c>
      <c r="I288" s="57"/>
      <c r="J288" s="57"/>
      <c r="K288" s="57"/>
      <c r="L288" s="24" t="str">
        <f t="shared" si="39"/>
        <v/>
      </c>
    </row>
    <row r="289" spans="3:12" x14ac:dyDescent="0.25">
      <c r="C289" s="56" t="str">
        <f t="shared" si="40"/>
        <v/>
      </c>
      <c r="D289" s="24" t="str">
        <f t="shared" si="41"/>
        <v/>
      </c>
      <c r="E289" s="24" t="str">
        <f t="shared" si="42"/>
        <v/>
      </c>
      <c r="F289" s="24" t="str">
        <f t="shared" si="43"/>
        <v/>
      </c>
      <c r="G289" s="24">
        <f t="shared" si="44"/>
        <v>0</v>
      </c>
      <c r="H289" s="57" t="str">
        <f t="shared" si="45"/>
        <v/>
      </c>
      <c r="I289" s="57"/>
      <c r="J289" s="57"/>
      <c r="K289" s="57"/>
      <c r="L289" s="24" t="str">
        <f t="shared" si="39"/>
        <v/>
      </c>
    </row>
    <row r="290" spans="3:12" x14ac:dyDescent="0.25">
      <c r="C290" s="56" t="str">
        <f t="shared" si="40"/>
        <v/>
      </c>
      <c r="D290" s="24" t="str">
        <f t="shared" si="41"/>
        <v/>
      </c>
      <c r="E290" s="24" t="str">
        <f t="shared" si="42"/>
        <v/>
      </c>
      <c r="F290" s="24" t="str">
        <f t="shared" si="43"/>
        <v/>
      </c>
      <c r="G290" s="24">
        <f t="shared" si="44"/>
        <v>0</v>
      </c>
      <c r="H290" s="57" t="str">
        <f t="shared" si="45"/>
        <v/>
      </c>
      <c r="I290" s="57"/>
      <c r="J290" s="57"/>
      <c r="K290" s="57"/>
      <c r="L290" s="24" t="str">
        <f t="shared" si="39"/>
        <v/>
      </c>
    </row>
    <row r="291" spans="3:12" x14ac:dyDescent="0.25">
      <c r="C291" s="56" t="str">
        <f t="shared" si="40"/>
        <v/>
      </c>
      <c r="D291" s="24" t="str">
        <f t="shared" si="41"/>
        <v/>
      </c>
      <c r="E291" s="24" t="str">
        <f t="shared" si="42"/>
        <v/>
      </c>
      <c r="F291" s="24" t="str">
        <f t="shared" si="43"/>
        <v/>
      </c>
      <c r="G291" s="24">
        <f t="shared" si="44"/>
        <v>0</v>
      </c>
      <c r="H291" s="57" t="str">
        <f t="shared" si="45"/>
        <v/>
      </c>
      <c r="I291" s="57"/>
      <c r="J291" s="57"/>
      <c r="K291" s="57"/>
      <c r="L291" s="24" t="str">
        <f t="shared" si="39"/>
        <v/>
      </c>
    </row>
    <row r="292" spans="3:12" x14ac:dyDescent="0.25">
      <c r="C292" s="56" t="str">
        <f t="shared" si="40"/>
        <v/>
      </c>
      <c r="D292" s="24" t="str">
        <f t="shared" si="41"/>
        <v/>
      </c>
      <c r="E292" s="24" t="str">
        <f t="shared" si="42"/>
        <v/>
      </c>
      <c r="F292" s="24" t="str">
        <f t="shared" si="43"/>
        <v/>
      </c>
      <c r="G292" s="24">
        <f t="shared" si="44"/>
        <v>0</v>
      </c>
      <c r="H292" s="57" t="str">
        <f t="shared" si="45"/>
        <v/>
      </c>
      <c r="I292" s="57"/>
      <c r="J292" s="57"/>
      <c r="K292" s="57"/>
      <c r="L292" s="24" t="str">
        <f t="shared" si="39"/>
        <v/>
      </c>
    </row>
    <row r="293" spans="3:12" x14ac:dyDescent="0.25">
      <c r="C293" s="56" t="str">
        <f t="shared" si="40"/>
        <v/>
      </c>
      <c r="D293" s="24" t="str">
        <f t="shared" si="41"/>
        <v/>
      </c>
      <c r="E293" s="24" t="str">
        <f t="shared" si="42"/>
        <v/>
      </c>
      <c r="F293" s="24" t="str">
        <f t="shared" si="43"/>
        <v/>
      </c>
      <c r="G293" s="24">
        <f t="shared" si="44"/>
        <v>0</v>
      </c>
      <c r="H293" s="57" t="str">
        <f t="shared" si="45"/>
        <v/>
      </c>
      <c r="I293" s="57"/>
      <c r="J293" s="57"/>
      <c r="K293" s="57"/>
      <c r="L293" s="24" t="str">
        <f t="shared" si="39"/>
        <v/>
      </c>
    </row>
    <row r="294" spans="3:12" x14ac:dyDescent="0.25">
      <c r="C294" s="56" t="str">
        <f t="shared" si="40"/>
        <v/>
      </c>
      <c r="D294" s="24" t="str">
        <f t="shared" si="41"/>
        <v/>
      </c>
      <c r="E294" s="24" t="str">
        <f t="shared" si="42"/>
        <v/>
      </c>
      <c r="F294" s="24" t="str">
        <f t="shared" si="43"/>
        <v/>
      </c>
      <c r="G294" s="24">
        <f t="shared" si="44"/>
        <v>0</v>
      </c>
      <c r="H294" s="57" t="str">
        <f t="shared" si="45"/>
        <v/>
      </c>
      <c r="I294" s="57"/>
      <c r="J294" s="57"/>
      <c r="K294" s="57"/>
      <c r="L294" s="24" t="str">
        <f t="shared" si="39"/>
        <v/>
      </c>
    </row>
    <row r="295" spans="3:12" x14ac:dyDescent="0.25">
      <c r="C295" s="56" t="str">
        <f t="shared" si="40"/>
        <v/>
      </c>
      <c r="D295" s="24" t="str">
        <f t="shared" si="41"/>
        <v/>
      </c>
      <c r="E295" s="24" t="str">
        <f t="shared" si="42"/>
        <v/>
      </c>
      <c r="F295" s="24" t="str">
        <f t="shared" si="43"/>
        <v/>
      </c>
      <c r="G295" s="24">
        <f t="shared" si="44"/>
        <v>0</v>
      </c>
      <c r="H295" s="57" t="str">
        <f t="shared" si="45"/>
        <v/>
      </c>
      <c r="I295" s="57"/>
      <c r="J295" s="57"/>
      <c r="K295" s="57"/>
      <c r="L295" s="24" t="str">
        <f t="shared" si="39"/>
        <v/>
      </c>
    </row>
    <row r="296" spans="3:12" x14ac:dyDescent="0.25">
      <c r="C296" s="56" t="str">
        <f t="shared" si="40"/>
        <v/>
      </c>
      <c r="D296" s="24" t="str">
        <f t="shared" si="41"/>
        <v/>
      </c>
      <c r="E296" s="24" t="str">
        <f t="shared" si="42"/>
        <v/>
      </c>
      <c r="F296" s="24" t="str">
        <f t="shared" si="43"/>
        <v/>
      </c>
      <c r="G296" s="24">
        <f t="shared" si="44"/>
        <v>0</v>
      </c>
      <c r="H296" s="57" t="str">
        <f t="shared" si="45"/>
        <v/>
      </c>
      <c r="I296" s="57"/>
      <c r="J296" s="57"/>
      <c r="K296" s="57"/>
      <c r="L296" s="24" t="str">
        <f t="shared" si="39"/>
        <v/>
      </c>
    </row>
    <row r="297" spans="3:12" x14ac:dyDescent="0.25">
      <c r="C297" s="56" t="str">
        <f t="shared" si="40"/>
        <v/>
      </c>
      <c r="D297" s="24" t="str">
        <f t="shared" si="41"/>
        <v/>
      </c>
      <c r="E297" s="24" t="str">
        <f t="shared" si="42"/>
        <v/>
      </c>
      <c r="F297" s="24" t="str">
        <f t="shared" si="43"/>
        <v/>
      </c>
      <c r="G297" s="24">
        <f t="shared" si="44"/>
        <v>0</v>
      </c>
      <c r="H297" s="57" t="str">
        <f t="shared" si="45"/>
        <v/>
      </c>
      <c r="I297" s="57"/>
      <c r="J297" s="57"/>
      <c r="K297" s="57"/>
      <c r="L297" s="24" t="str">
        <f t="shared" si="39"/>
        <v/>
      </c>
    </row>
    <row r="298" spans="3:12" x14ac:dyDescent="0.25">
      <c r="C298" s="56" t="str">
        <f t="shared" si="40"/>
        <v/>
      </c>
      <c r="D298" s="24" t="str">
        <f t="shared" si="41"/>
        <v/>
      </c>
      <c r="E298" s="24" t="str">
        <f t="shared" si="42"/>
        <v/>
      </c>
      <c r="F298" s="24" t="str">
        <f t="shared" si="43"/>
        <v/>
      </c>
      <c r="G298" s="24">
        <f t="shared" si="44"/>
        <v>0</v>
      </c>
      <c r="H298" s="57" t="str">
        <f t="shared" si="45"/>
        <v/>
      </c>
      <c r="I298" s="57"/>
      <c r="J298" s="57"/>
      <c r="K298" s="57"/>
      <c r="L298" s="24" t="str">
        <f t="shared" si="39"/>
        <v/>
      </c>
    </row>
    <row r="299" spans="3:12" x14ac:dyDescent="0.25">
      <c r="C299" s="56" t="str">
        <f t="shared" si="40"/>
        <v/>
      </c>
      <c r="D299" s="24" t="str">
        <f t="shared" si="41"/>
        <v/>
      </c>
      <c r="E299" s="24" t="str">
        <f t="shared" si="42"/>
        <v/>
      </c>
      <c r="F299" s="24" t="str">
        <f t="shared" si="43"/>
        <v/>
      </c>
      <c r="G299" s="24">
        <f t="shared" si="44"/>
        <v>0</v>
      </c>
      <c r="H299" s="57" t="str">
        <f t="shared" si="45"/>
        <v/>
      </c>
      <c r="I299" s="57"/>
      <c r="J299" s="57"/>
      <c r="K299" s="57"/>
      <c r="L299" s="24" t="str">
        <f t="shared" si="39"/>
        <v/>
      </c>
    </row>
    <row r="300" spans="3:12" x14ac:dyDescent="0.25">
      <c r="C300" s="56" t="str">
        <f t="shared" si="40"/>
        <v/>
      </c>
      <c r="D300" s="24" t="str">
        <f t="shared" si="41"/>
        <v/>
      </c>
      <c r="E300" s="24" t="str">
        <f t="shared" si="42"/>
        <v/>
      </c>
      <c r="F300" s="24" t="str">
        <f t="shared" si="43"/>
        <v/>
      </c>
      <c r="G300" s="24">
        <f t="shared" si="44"/>
        <v>0</v>
      </c>
      <c r="H300" s="57" t="str">
        <f t="shared" si="45"/>
        <v/>
      </c>
      <c r="I300" s="57"/>
      <c r="J300" s="57"/>
      <c r="K300" s="57"/>
      <c r="L300" s="24" t="str">
        <f t="shared" si="39"/>
        <v/>
      </c>
    </row>
    <row r="301" spans="3:12" x14ac:dyDescent="0.25">
      <c r="C301" s="56" t="str">
        <f t="shared" si="40"/>
        <v/>
      </c>
      <c r="D301" s="24" t="str">
        <f t="shared" si="41"/>
        <v/>
      </c>
      <c r="E301" s="24" t="str">
        <f t="shared" si="42"/>
        <v/>
      </c>
      <c r="F301" s="24" t="str">
        <f t="shared" si="43"/>
        <v/>
      </c>
      <c r="G301" s="24">
        <f t="shared" si="44"/>
        <v>0</v>
      </c>
      <c r="H301" s="57" t="str">
        <f t="shared" si="45"/>
        <v/>
      </c>
      <c r="I301" s="57"/>
      <c r="J301" s="57"/>
      <c r="K301" s="57"/>
    </row>
    <row r="302" spans="3:12" x14ac:dyDescent="0.25">
      <c r="C302" s="56" t="str">
        <f t="shared" si="40"/>
        <v/>
      </c>
      <c r="D302" s="24" t="str">
        <f t="shared" si="41"/>
        <v/>
      </c>
      <c r="E302" s="24" t="str">
        <f t="shared" si="42"/>
        <v/>
      </c>
      <c r="F302" s="24" t="str">
        <f t="shared" si="43"/>
        <v/>
      </c>
      <c r="G302" s="24">
        <f t="shared" si="44"/>
        <v>0</v>
      </c>
      <c r="H302" s="57" t="str">
        <f t="shared" si="45"/>
        <v/>
      </c>
      <c r="I302" s="57"/>
      <c r="J302" s="57"/>
      <c r="K302" s="57"/>
    </row>
    <row r="303" spans="3:12" x14ac:dyDescent="0.25">
      <c r="C303" s="56" t="str">
        <f t="shared" si="40"/>
        <v/>
      </c>
      <c r="D303" s="24" t="str">
        <f t="shared" si="41"/>
        <v/>
      </c>
      <c r="E303" s="24" t="str">
        <f t="shared" si="42"/>
        <v/>
      </c>
      <c r="F303" s="24" t="str">
        <f t="shared" si="43"/>
        <v/>
      </c>
      <c r="G303" s="24">
        <f t="shared" si="44"/>
        <v>0</v>
      </c>
      <c r="H303" s="57" t="str">
        <f t="shared" si="45"/>
        <v/>
      </c>
      <c r="I303" s="57"/>
      <c r="J303" s="57"/>
      <c r="K303" s="57"/>
    </row>
    <row r="304" spans="3:12" x14ac:dyDescent="0.25">
      <c r="C304" s="56" t="str">
        <f t="shared" si="40"/>
        <v/>
      </c>
      <c r="D304" s="24" t="str">
        <f t="shared" si="41"/>
        <v/>
      </c>
      <c r="E304" s="24" t="str">
        <f t="shared" si="42"/>
        <v/>
      </c>
      <c r="F304" s="24" t="str">
        <f t="shared" si="43"/>
        <v/>
      </c>
      <c r="G304" s="24">
        <f t="shared" si="44"/>
        <v>0</v>
      </c>
      <c r="H304" s="57" t="str">
        <f t="shared" si="45"/>
        <v/>
      </c>
      <c r="I304" s="57"/>
      <c r="J304" s="57"/>
      <c r="K304" s="57"/>
    </row>
    <row r="305" spans="3:11" x14ac:dyDescent="0.25">
      <c r="C305" s="56" t="str">
        <f t="shared" si="40"/>
        <v/>
      </c>
      <c r="D305" s="24" t="str">
        <f t="shared" si="41"/>
        <v/>
      </c>
      <c r="E305" s="24" t="str">
        <f t="shared" si="42"/>
        <v/>
      </c>
      <c r="F305" s="24" t="str">
        <f t="shared" si="43"/>
        <v/>
      </c>
      <c r="G305" s="24">
        <f t="shared" si="44"/>
        <v>0</v>
      </c>
      <c r="H305" s="57" t="str">
        <f t="shared" si="45"/>
        <v/>
      </c>
      <c r="I305" s="57"/>
      <c r="J305" s="57"/>
      <c r="K305" s="57"/>
    </row>
    <row r="306" spans="3:11" x14ac:dyDescent="0.25">
      <c r="C306" s="56" t="str">
        <f t="shared" si="40"/>
        <v/>
      </c>
      <c r="D306" s="24" t="str">
        <f t="shared" si="41"/>
        <v/>
      </c>
      <c r="E306" s="24" t="str">
        <f t="shared" si="42"/>
        <v/>
      </c>
      <c r="F306" s="24" t="str">
        <f t="shared" si="43"/>
        <v/>
      </c>
      <c r="G306" s="24">
        <f t="shared" si="44"/>
        <v>0</v>
      </c>
      <c r="H306" s="57" t="str">
        <f t="shared" si="45"/>
        <v/>
      </c>
      <c r="I306" s="57"/>
      <c r="J306" s="57"/>
      <c r="K306" s="57"/>
    </row>
    <row r="307" spans="3:11" x14ac:dyDescent="0.25">
      <c r="C307" s="56" t="str">
        <f t="shared" si="40"/>
        <v/>
      </c>
      <c r="D307" s="24" t="str">
        <f t="shared" si="41"/>
        <v/>
      </c>
      <c r="E307" s="24" t="str">
        <f t="shared" si="42"/>
        <v/>
      </c>
      <c r="F307" s="24" t="str">
        <f t="shared" si="43"/>
        <v/>
      </c>
      <c r="G307" s="24">
        <f t="shared" si="44"/>
        <v>0</v>
      </c>
      <c r="H307" s="57" t="str">
        <f t="shared" si="45"/>
        <v/>
      </c>
      <c r="I307" s="57"/>
      <c r="J307" s="57"/>
      <c r="K307" s="57"/>
    </row>
    <row r="308" spans="3:11" x14ac:dyDescent="0.25">
      <c r="C308" s="56" t="str">
        <f t="shared" si="40"/>
        <v/>
      </c>
      <c r="D308" s="24" t="str">
        <f t="shared" si="41"/>
        <v/>
      </c>
      <c r="E308" s="24" t="str">
        <f t="shared" si="42"/>
        <v/>
      </c>
      <c r="F308" s="24" t="str">
        <f t="shared" si="43"/>
        <v/>
      </c>
      <c r="G308" s="24">
        <f t="shared" si="44"/>
        <v>0</v>
      </c>
      <c r="H308" s="57" t="str">
        <f t="shared" si="45"/>
        <v/>
      </c>
      <c r="I308" s="57"/>
      <c r="J308" s="57"/>
      <c r="K308" s="57"/>
    </row>
    <row r="309" spans="3:11" x14ac:dyDescent="0.25">
      <c r="C309" s="56" t="str">
        <f t="shared" si="40"/>
        <v/>
      </c>
      <c r="D309" s="24" t="str">
        <f t="shared" si="41"/>
        <v/>
      </c>
      <c r="E309" s="24" t="str">
        <f t="shared" si="42"/>
        <v/>
      </c>
      <c r="F309" s="24" t="str">
        <f t="shared" si="43"/>
        <v/>
      </c>
      <c r="G309" s="24">
        <f t="shared" si="44"/>
        <v>0</v>
      </c>
      <c r="H309" s="57" t="str">
        <f t="shared" si="45"/>
        <v/>
      </c>
      <c r="I309" s="57"/>
      <c r="J309" s="57"/>
      <c r="K309" s="57"/>
    </row>
    <row r="310" spans="3:11" x14ac:dyDescent="0.25">
      <c r="C310" s="56" t="str">
        <f t="shared" si="40"/>
        <v/>
      </c>
      <c r="D310" s="24" t="str">
        <f t="shared" si="41"/>
        <v/>
      </c>
      <c r="E310" s="24" t="str">
        <f t="shared" si="42"/>
        <v/>
      </c>
      <c r="F310" s="24" t="str">
        <f t="shared" si="43"/>
        <v/>
      </c>
      <c r="G310" s="24">
        <f t="shared" si="44"/>
        <v>0</v>
      </c>
      <c r="H310" s="57" t="str">
        <f t="shared" si="45"/>
        <v/>
      </c>
      <c r="I310" s="57"/>
      <c r="J310" s="57"/>
      <c r="K310" s="57"/>
    </row>
    <row r="311" spans="3:11" x14ac:dyDescent="0.25">
      <c r="C311" s="56" t="str">
        <f t="shared" si="40"/>
        <v/>
      </c>
      <c r="D311" s="24" t="str">
        <f t="shared" si="41"/>
        <v/>
      </c>
      <c r="E311" s="24" t="str">
        <f t="shared" si="42"/>
        <v/>
      </c>
      <c r="F311" s="24" t="str">
        <f t="shared" si="43"/>
        <v/>
      </c>
      <c r="G311" s="24">
        <f t="shared" si="44"/>
        <v>0</v>
      </c>
      <c r="H311" s="57" t="str">
        <f t="shared" si="45"/>
        <v/>
      </c>
      <c r="I311" s="57"/>
      <c r="J311" s="57"/>
      <c r="K311" s="57"/>
    </row>
    <row r="312" spans="3:11" x14ac:dyDescent="0.25">
      <c r="C312" s="56" t="str">
        <f t="shared" si="40"/>
        <v/>
      </c>
      <c r="D312" s="24" t="str">
        <f t="shared" si="41"/>
        <v/>
      </c>
      <c r="E312" s="24" t="str">
        <f t="shared" si="42"/>
        <v/>
      </c>
      <c r="F312" s="24" t="str">
        <f t="shared" si="43"/>
        <v/>
      </c>
      <c r="G312" s="24">
        <f t="shared" si="44"/>
        <v>0</v>
      </c>
      <c r="H312" s="57" t="str">
        <f t="shared" si="45"/>
        <v/>
      </c>
      <c r="I312" s="57"/>
      <c r="J312" s="57"/>
      <c r="K312" s="57"/>
    </row>
    <row r="313" spans="3:11" x14ac:dyDescent="0.25">
      <c r="C313" s="56" t="str">
        <f t="shared" si="40"/>
        <v/>
      </c>
      <c r="D313" s="24" t="str">
        <f t="shared" si="41"/>
        <v/>
      </c>
      <c r="E313" s="24" t="str">
        <f t="shared" si="42"/>
        <v/>
      </c>
      <c r="F313" s="24" t="str">
        <f t="shared" si="43"/>
        <v/>
      </c>
      <c r="G313" s="24">
        <f t="shared" si="44"/>
        <v>0</v>
      </c>
      <c r="H313" s="57" t="str">
        <f t="shared" si="45"/>
        <v/>
      </c>
      <c r="I313" s="57"/>
      <c r="J313" s="57"/>
      <c r="K313" s="57"/>
    </row>
    <row r="314" spans="3:11" x14ac:dyDescent="0.25">
      <c r="C314" s="56" t="str">
        <f t="shared" si="40"/>
        <v/>
      </c>
      <c r="D314" s="24" t="str">
        <f t="shared" si="41"/>
        <v/>
      </c>
      <c r="E314" s="24" t="str">
        <f t="shared" si="42"/>
        <v/>
      </c>
      <c r="F314" s="24" t="str">
        <f t="shared" si="43"/>
        <v/>
      </c>
      <c r="G314" s="24">
        <f t="shared" si="44"/>
        <v>0</v>
      </c>
      <c r="H314" s="57" t="str">
        <f t="shared" si="45"/>
        <v/>
      </c>
      <c r="I314" s="57"/>
      <c r="J314" s="57"/>
      <c r="K314" s="57"/>
    </row>
    <row r="315" spans="3:11" x14ac:dyDescent="0.25">
      <c r="C315" s="56" t="str">
        <f t="shared" si="40"/>
        <v/>
      </c>
      <c r="D315" s="24" t="str">
        <f t="shared" si="41"/>
        <v/>
      </c>
      <c r="E315" s="24" t="str">
        <f t="shared" si="42"/>
        <v/>
      </c>
      <c r="F315" s="24" t="str">
        <f t="shared" si="43"/>
        <v/>
      </c>
      <c r="G315" s="24">
        <f t="shared" si="44"/>
        <v>0</v>
      </c>
      <c r="H315" s="57" t="str">
        <f t="shared" si="45"/>
        <v/>
      </c>
      <c r="I315" s="57"/>
      <c r="J315" s="57"/>
      <c r="K315" s="57"/>
    </row>
    <row r="316" spans="3:11" x14ac:dyDescent="0.25">
      <c r="C316" s="56" t="str">
        <f t="shared" si="40"/>
        <v/>
      </c>
      <c r="D316" s="24" t="str">
        <f t="shared" si="41"/>
        <v/>
      </c>
      <c r="E316" s="24" t="str">
        <f t="shared" si="42"/>
        <v/>
      </c>
      <c r="F316" s="24" t="str">
        <f t="shared" si="43"/>
        <v/>
      </c>
      <c r="G316" s="24">
        <f t="shared" si="44"/>
        <v>0</v>
      </c>
      <c r="H316" s="57" t="str">
        <f t="shared" si="45"/>
        <v/>
      </c>
      <c r="I316" s="57"/>
      <c r="J316" s="57"/>
      <c r="K316" s="57"/>
    </row>
    <row r="317" spans="3:11" x14ac:dyDescent="0.25">
      <c r="C317" s="56" t="str">
        <f t="shared" si="40"/>
        <v/>
      </c>
      <c r="D317" s="24" t="str">
        <f t="shared" si="41"/>
        <v/>
      </c>
      <c r="E317" s="24" t="str">
        <f t="shared" si="42"/>
        <v/>
      </c>
      <c r="F317" s="24" t="str">
        <f t="shared" si="43"/>
        <v/>
      </c>
      <c r="G317" s="24">
        <f t="shared" si="44"/>
        <v>0</v>
      </c>
      <c r="H317" s="57" t="str">
        <f t="shared" si="45"/>
        <v/>
      </c>
      <c r="I317" s="57"/>
      <c r="J317" s="57"/>
      <c r="K317" s="57"/>
    </row>
    <row r="318" spans="3:11" x14ac:dyDescent="0.25">
      <c r="C318" s="56" t="str">
        <f t="shared" si="40"/>
        <v/>
      </c>
      <c r="D318" s="24" t="str">
        <f t="shared" si="41"/>
        <v/>
      </c>
      <c r="E318" s="24" t="str">
        <f t="shared" si="42"/>
        <v/>
      </c>
      <c r="F318" s="24" t="str">
        <f t="shared" si="43"/>
        <v/>
      </c>
      <c r="G318" s="24">
        <f t="shared" si="44"/>
        <v>0</v>
      </c>
      <c r="H318" s="57" t="str">
        <f t="shared" si="45"/>
        <v/>
      </c>
      <c r="I318" s="57"/>
      <c r="J318" s="57"/>
      <c r="K318" s="57"/>
    </row>
    <row r="319" spans="3:11" x14ac:dyDescent="0.25">
      <c r="C319" s="56" t="str">
        <f t="shared" si="40"/>
        <v/>
      </c>
      <c r="D319" s="24" t="str">
        <f t="shared" si="41"/>
        <v/>
      </c>
      <c r="E319" s="24" t="str">
        <f t="shared" si="42"/>
        <v/>
      </c>
      <c r="F319" s="24" t="str">
        <f t="shared" si="43"/>
        <v/>
      </c>
      <c r="G319" s="24">
        <f t="shared" si="44"/>
        <v>0</v>
      </c>
      <c r="H319" s="57" t="str">
        <f t="shared" si="45"/>
        <v/>
      </c>
      <c r="I319" s="57"/>
      <c r="J319" s="57"/>
      <c r="K319" s="57"/>
    </row>
    <row r="320" spans="3:11" x14ac:dyDescent="0.25">
      <c r="C320" s="56" t="str">
        <f t="shared" si="40"/>
        <v/>
      </c>
      <c r="D320" s="24" t="str">
        <f t="shared" si="41"/>
        <v/>
      </c>
      <c r="E320" s="24" t="str">
        <f t="shared" si="42"/>
        <v/>
      </c>
      <c r="F320" s="24" t="str">
        <f t="shared" si="43"/>
        <v/>
      </c>
      <c r="G320" s="24">
        <f t="shared" si="44"/>
        <v>0</v>
      </c>
      <c r="H320" s="57" t="str">
        <f t="shared" si="45"/>
        <v/>
      </c>
      <c r="I320" s="57"/>
      <c r="J320" s="57"/>
      <c r="K320" s="57"/>
    </row>
    <row r="321" spans="3:11" x14ac:dyDescent="0.25">
      <c r="C321" s="56" t="str">
        <f t="shared" si="40"/>
        <v/>
      </c>
      <c r="D321" s="24" t="str">
        <f t="shared" si="41"/>
        <v/>
      </c>
      <c r="E321" s="24" t="str">
        <f t="shared" si="42"/>
        <v/>
      </c>
      <c r="F321" s="24" t="str">
        <f t="shared" si="43"/>
        <v/>
      </c>
      <c r="G321" s="24">
        <f t="shared" si="44"/>
        <v>0</v>
      </c>
      <c r="H321" s="57" t="str">
        <f t="shared" si="45"/>
        <v/>
      </c>
      <c r="I321" s="57"/>
      <c r="J321" s="57"/>
      <c r="K321" s="57"/>
    </row>
    <row r="322" spans="3:11" x14ac:dyDescent="0.25">
      <c r="D322" s="56" t="str">
        <f t="shared" ref="D322:D327" si="46">IF(OR(B322="Grand Total",B322=""),"",D321+C322)</f>
        <v/>
      </c>
      <c r="E322" s="24" t="str">
        <f t="shared" ref="E322:E327" si="47">IF(OR(C322="",B322="Grand Total"),"",IF(C322&lt;0,"L","W"))</f>
        <v/>
      </c>
      <c r="F322" s="24">
        <f t="shared" si="43"/>
        <v>29</v>
      </c>
      <c r="G322" s="24">
        <f t="shared" si="44"/>
        <v>0</v>
      </c>
      <c r="H322" s="57">
        <f t="shared" si="45"/>
        <v>0</v>
      </c>
      <c r="I322" s="57"/>
      <c r="J322" s="57"/>
      <c r="K322" s="57"/>
    </row>
    <row r="323" spans="3:11" x14ac:dyDescent="0.25">
      <c r="D323" s="56" t="str">
        <f t="shared" si="46"/>
        <v/>
      </c>
      <c r="E323" s="24" t="str">
        <f t="shared" si="47"/>
        <v/>
      </c>
      <c r="F323" s="24">
        <f t="shared" si="43"/>
        <v>29</v>
      </c>
      <c r="G323" s="24">
        <f t="shared" si="44"/>
        <v>0</v>
      </c>
      <c r="H323" s="57">
        <f t="shared" si="45"/>
        <v>0</v>
      </c>
      <c r="I323" s="57"/>
      <c r="J323" s="57"/>
      <c r="K323" s="57"/>
    </row>
    <row r="324" spans="3:11" x14ac:dyDescent="0.25">
      <c r="D324" s="56" t="str">
        <f t="shared" si="46"/>
        <v/>
      </c>
      <c r="E324" s="24" t="str">
        <f t="shared" si="47"/>
        <v/>
      </c>
      <c r="F324" s="24">
        <f t="shared" si="43"/>
        <v>29</v>
      </c>
      <c r="G324" s="24">
        <f t="shared" si="44"/>
        <v>0</v>
      </c>
      <c r="H324" s="57">
        <f t="shared" si="45"/>
        <v>0</v>
      </c>
      <c r="I324" s="57"/>
      <c r="J324" s="57"/>
      <c r="K324" s="57"/>
    </row>
    <row r="325" spans="3:11" x14ac:dyDescent="0.25">
      <c r="D325" s="56" t="str">
        <f t="shared" si="46"/>
        <v/>
      </c>
      <c r="E325" s="24" t="str">
        <f t="shared" si="47"/>
        <v/>
      </c>
      <c r="F325" s="24">
        <f t="shared" si="43"/>
        <v>29</v>
      </c>
      <c r="G325" s="24">
        <f t="shared" si="44"/>
        <v>0</v>
      </c>
      <c r="H325" s="57">
        <f t="shared" si="45"/>
        <v>0</v>
      </c>
      <c r="I325" s="57"/>
      <c r="J325" s="57"/>
      <c r="K325" s="57"/>
    </row>
    <row r="326" spans="3:11" x14ac:dyDescent="0.25">
      <c r="D326" s="56" t="str">
        <f t="shared" si="46"/>
        <v/>
      </c>
      <c r="E326" s="24" t="str">
        <f t="shared" si="47"/>
        <v/>
      </c>
      <c r="F326" s="24">
        <f t="shared" si="43"/>
        <v>29</v>
      </c>
      <c r="G326" s="24">
        <f t="shared" si="44"/>
        <v>0</v>
      </c>
      <c r="H326" s="57">
        <f t="shared" si="45"/>
        <v>0</v>
      </c>
      <c r="I326" s="57"/>
      <c r="J326" s="57"/>
      <c r="K326" s="57"/>
    </row>
    <row r="327" spans="3:11" x14ac:dyDescent="0.25">
      <c r="D327" s="56" t="str">
        <f t="shared" si="46"/>
        <v/>
      </c>
      <c r="E327" s="24" t="str">
        <f t="shared" si="47"/>
        <v/>
      </c>
      <c r="F327" s="24">
        <f t="shared" si="43"/>
        <v>29</v>
      </c>
      <c r="G327" s="24">
        <f t="shared" si="44"/>
        <v>0</v>
      </c>
      <c r="H327" s="57">
        <f t="shared" si="45"/>
        <v>0</v>
      </c>
      <c r="I327" s="57"/>
      <c r="J327" s="57"/>
      <c r="K327" s="57"/>
    </row>
  </sheetData>
  <conditionalFormatting sqref="P22:P62 D322:D327 AJ20:AJ35 C23:C321 AK13:AK19">
    <cfRule type="cellIs" dxfId="321" priority="20" operator="greaterThan">
      <formula>$S$1</formula>
    </cfRule>
    <cfRule type="cellIs" dxfId="320" priority="21" operator="greaterThan">
      <formula>"31.555$G$1"</formula>
    </cfRule>
  </conditionalFormatting>
  <conditionalFormatting sqref="P22:P62 D322:D327 AJ20:AJ35 C23:C321 AK13:AK19">
    <cfRule type="cellIs" dxfId="319" priority="19" operator="lessThan">
      <formula>0</formula>
    </cfRule>
  </conditionalFormatting>
  <conditionalFormatting sqref="P22:P62">
    <cfRule type="cellIs" dxfId="318" priority="18" operator="lessThan">
      <formula>0</formula>
    </cfRule>
  </conditionalFormatting>
  <conditionalFormatting sqref="C22:C55">
    <cfRule type="cellIs" dxfId="317" priority="16" operator="greaterThan">
      <formula>$S$1</formula>
    </cfRule>
    <cfRule type="cellIs" dxfId="316" priority="17" operator="greaterThan">
      <formula>"31.555$G$1"</formula>
    </cfRule>
  </conditionalFormatting>
  <conditionalFormatting sqref="C22:C55">
    <cfRule type="cellIs" dxfId="315" priority="15" operator="lessThan">
      <formula>0</formula>
    </cfRule>
  </conditionalFormatting>
  <conditionalFormatting sqref="C22:C55">
    <cfRule type="cellIs" dxfId="314" priority="14" operator="lessThan">
      <formula>0</formula>
    </cfRule>
  </conditionalFormatting>
  <conditionalFormatting sqref="E322:E327 D22:D321">
    <cfRule type="cellIs" dxfId="313" priority="12" operator="equal">
      <formula>"L"</formula>
    </cfRule>
    <cfRule type="cellIs" dxfId="312" priority="13" operator="equal">
      <formula>"W"</formula>
    </cfRule>
  </conditionalFormatting>
  <conditionalFormatting sqref="L123:L300 E22:E321">
    <cfRule type="cellIs" dxfId="311" priority="11" operator="equal">
      <formula>8</formula>
    </cfRule>
  </conditionalFormatting>
  <conditionalFormatting pivot="1" sqref="AE13">
    <cfRule type="cellIs" dxfId="310" priority="10" operator="greaterThan">
      <formula>0</formula>
    </cfRule>
  </conditionalFormatting>
  <conditionalFormatting pivot="1" sqref="AE13">
    <cfRule type="cellIs" dxfId="309" priority="9" operator="lessThan">
      <formula>0</formula>
    </cfRule>
  </conditionalFormatting>
  <conditionalFormatting pivot="1" sqref="AI13">
    <cfRule type="cellIs" dxfId="308" priority="8" operator="greaterThan">
      <formula>0</formula>
    </cfRule>
  </conditionalFormatting>
  <conditionalFormatting pivot="1" sqref="AI13">
    <cfRule type="cellIs" dxfId="307" priority="7" operator="lessThan">
      <formula>0</formula>
    </cfRule>
  </conditionalFormatting>
  <conditionalFormatting pivot="1" sqref="AG13">
    <cfRule type="cellIs" dxfId="306" priority="6" operator="greaterThan">
      <formula>0</formula>
    </cfRule>
  </conditionalFormatting>
  <conditionalFormatting pivot="1" sqref="AG13">
    <cfRule type="cellIs" dxfId="305" priority="5" operator="lessThan">
      <formula>0</formula>
    </cfRule>
  </conditionalFormatting>
  <conditionalFormatting sqref="H22:K327">
    <cfRule type="cellIs" dxfId="304" priority="4" operator="equal">
      <formula>MIN(H$22:$H$299)</formula>
    </cfRule>
  </conditionalFormatting>
  <conditionalFormatting sqref="AN13:AN14">
    <cfRule type="cellIs" dxfId="303" priority="3" operator="equal">
      <formula>MIN($H$22:AN$299)</formula>
    </cfRule>
  </conditionalFormatting>
  <conditionalFormatting pivot="1" sqref="B22:B44">
    <cfRule type="cellIs" dxfId="302" priority="1" operator="lessThan">
      <formula>0</formula>
    </cfRule>
    <cfRule type="cellIs" dxfId="301" priority="2" operator="greaterThan">
      <formula>0</formula>
    </cfRule>
  </conditionalFormatting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AC326"/>
  <sheetViews>
    <sheetView showGridLines="0" topLeftCell="A16" workbookViewId="0">
      <selection activeCell="D50" sqref="D50"/>
    </sheetView>
  </sheetViews>
  <sheetFormatPr defaultRowHeight="15" customHeight="1" x14ac:dyDescent="0.25"/>
  <cols>
    <col min="2" max="2" width="21.7109375" bestFit="1" customWidth="1"/>
    <col min="3" max="3" width="16.28515625" bestFit="1" customWidth="1"/>
    <col min="4" max="4" width="16.7109375" style="29" bestFit="1" customWidth="1"/>
    <col min="5" max="5" width="14.7109375" bestFit="1" customWidth="1"/>
    <col min="6" max="6" width="16.28515625" style="29" bestFit="1" customWidth="1"/>
    <col min="7" max="9" width="3" bestFit="1" customWidth="1"/>
    <col min="10" max="10" width="2" bestFit="1" customWidth="1"/>
    <col min="11" max="11" width="21.7109375" bestFit="1" customWidth="1"/>
    <col min="12" max="12" width="17.85546875" bestFit="1" customWidth="1"/>
    <col min="13" max="13" width="16.7109375" style="29" bestFit="1" customWidth="1"/>
    <col min="14" max="14" width="11.28515625" bestFit="1" customWidth="1"/>
    <col min="15" max="15" width="16.7109375" style="29" customWidth="1"/>
    <col min="16" max="16" width="9.7109375" customWidth="1"/>
    <col min="17" max="18" width="18.28515625" style="29" customWidth="1"/>
    <col min="19" max="20" width="14.7109375" bestFit="1" customWidth="1"/>
    <col min="21" max="21" width="16.28515625" bestFit="1" customWidth="1"/>
    <col min="22" max="27" width="13.5703125" customWidth="1"/>
    <col min="28" max="28" width="20" customWidth="1"/>
    <col min="29" max="29" width="13.5703125" customWidth="1"/>
  </cols>
  <sheetData>
    <row r="1" spans="2:13" ht="18.75" x14ac:dyDescent="0.25">
      <c r="K1" t="s">
        <v>55</v>
      </c>
      <c r="M1" s="60">
        <v>29</v>
      </c>
    </row>
    <row r="2" spans="2:13" x14ac:dyDescent="0.25"/>
    <row r="3" spans="2:13" x14ac:dyDescent="0.25"/>
    <row r="4" spans="2:13" x14ac:dyDescent="0.25">
      <c r="B4" s="27" t="s">
        <v>57</v>
      </c>
      <c r="C4" s="28"/>
      <c r="E4" s="29"/>
      <c r="I4" s="48"/>
      <c r="K4" s="27" t="s">
        <v>57</v>
      </c>
      <c r="L4" s="28"/>
    </row>
    <row r="5" spans="2:13" x14ac:dyDescent="0.25">
      <c r="B5" s="30" t="s">
        <v>58</v>
      </c>
      <c r="C5" s="31">
        <f>MEDIAN(C22:C125)</f>
        <v>-0.3</v>
      </c>
      <c r="K5" s="30" t="s">
        <v>58</v>
      </c>
      <c r="L5" s="31">
        <f>MEDIAN(L22:L59)</f>
        <v>-0.3</v>
      </c>
    </row>
    <row r="6" spans="2:13" x14ac:dyDescent="0.25">
      <c r="B6" s="30" t="s">
        <v>60</v>
      </c>
      <c r="C6" s="31">
        <f>AVERAGE(C22:C125)</f>
        <v>-0.13448275862068965</v>
      </c>
      <c r="K6" s="30" t="s">
        <v>60</v>
      </c>
      <c r="L6" s="31">
        <f>AVERAGE(L22:L59)</f>
        <v>-0.23297297297297295</v>
      </c>
    </row>
    <row r="7" spans="2:13" x14ac:dyDescent="0.25">
      <c r="B7" s="30" t="s">
        <v>61</v>
      </c>
      <c r="C7" s="31">
        <f>MIN(C22:C125)</f>
        <v>-3.9</v>
      </c>
      <c r="K7" s="30" t="s">
        <v>61</v>
      </c>
      <c r="L7" s="31">
        <f>MIN(L22:L59)</f>
        <v>-4.3099999999999996</v>
      </c>
    </row>
    <row r="8" spans="2:13" x14ac:dyDescent="0.25">
      <c r="B8" s="30" t="s">
        <v>62</v>
      </c>
      <c r="C8" s="31">
        <f>MAX(C22:C125)</f>
        <v>0.38</v>
      </c>
      <c r="K8" s="30" t="s">
        <v>62</v>
      </c>
      <c r="L8" s="31">
        <f>MAX(L22:L59)</f>
        <v>0.69</v>
      </c>
    </row>
    <row r="9" spans="2:13" x14ac:dyDescent="0.25">
      <c r="B9" s="30" t="s">
        <v>59</v>
      </c>
      <c r="C9" s="32">
        <f>COUNTIF(E:E,"W")/(COUNTIF(E:E,"W")+COUNTIF(E:E,"L"))</f>
        <v>0.36842105263157893</v>
      </c>
      <c r="K9" s="30" t="s">
        <v>59</v>
      </c>
      <c r="L9" s="32">
        <f>COUNTIF(N:N,"W")/(COUNTIF(N:N,"W")+COUNTIF(N:N,"L"))</f>
        <v>0.25</v>
      </c>
    </row>
    <row r="10" spans="2:13" x14ac:dyDescent="0.25">
      <c r="B10" s="28"/>
      <c r="C10" s="33"/>
      <c r="E10" s="29"/>
    </row>
    <row r="11" spans="2:13" x14ac:dyDescent="0.25">
      <c r="B11" s="27"/>
    </row>
    <row r="12" spans="2:13" x14ac:dyDescent="0.25">
      <c r="B12" s="27"/>
    </row>
    <row r="13" spans="2:13" x14ac:dyDescent="0.25">
      <c r="B13" s="21" t="s">
        <v>50</v>
      </c>
      <c r="C13" t="s">
        <v>82</v>
      </c>
    </row>
    <row r="14" spans="2:13" x14ac:dyDescent="0.25">
      <c r="B14" s="1" t="s">
        <v>67</v>
      </c>
      <c r="C14">
        <v>6</v>
      </c>
    </row>
    <row r="15" spans="2:13" x14ac:dyDescent="0.25">
      <c r="B15" s="1" t="s">
        <v>66</v>
      </c>
      <c r="C15">
        <v>9</v>
      </c>
      <c r="E15" s="29"/>
    </row>
    <row r="16" spans="2:13" x14ac:dyDescent="0.25">
      <c r="B16" s="1" t="s">
        <v>51</v>
      </c>
      <c r="C16">
        <v>9</v>
      </c>
      <c r="E16" s="29"/>
    </row>
    <row r="17" spans="2:29" x14ac:dyDescent="0.25">
      <c r="E17" s="26" t="s">
        <v>56</v>
      </c>
      <c r="T17" s="49" t="s">
        <v>49</v>
      </c>
    </row>
    <row r="18" spans="2:29" x14ac:dyDescent="0.25">
      <c r="B18" s="21" t="s">
        <v>29</v>
      </c>
      <c r="C18" t="s">
        <v>93</v>
      </c>
      <c r="K18" s="21" t="s">
        <v>29</v>
      </c>
      <c r="L18" t="s">
        <v>118</v>
      </c>
      <c r="T18" s="21" t="s">
        <v>81</v>
      </c>
      <c r="U18" s="21" t="s">
        <v>74</v>
      </c>
    </row>
    <row r="19" spans="2:29" x14ac:dyDescent="0.25">
      <c r="B19" s="21" t="s">
        <v>34</v>
      </c>
      <c r="C19" t="s">
        <v>70</v>
      </c>
      <c r="K19" s="21" t="s">
        <v>34</v>
      </c>
      <c r="L19" t="s">
        <v>80</v>
      </c>
      <c r="T19" s="21" t="s">
        <v>50</v>
      </c>
      <c r="U19">
        <v>1</v>
      </c>
      <c r="V19">
        <v>2</v>
      </c>
      <c r="W19">
        <v>3</v>
      </c>
      <c r="X19">
        <v>4</v>
      </c>
      <c r="Y19">
        <v>5</v>
      </c>
      <c r="Z19">
        <v>6</v>
      </c>
      <c r="AA19">
        <v>7</v>
      </c>
      <c r="AB19" s="50" t="s">
        <v>51</v>
      </c>
    </row>
    <row r="20" spans="2:29" x14ac:dyDescent="0.25">
      <c r="T20" s="1" t="s">
        <v>67</v>
      </c>
      <c r="U20">
        <v>28</v>
      </c>
      <c r="V20">
        <v>9</v>
      </c>
      <c r="W20">
        <v>3</v>
      </c>
      <c r="AB20" s="50">
        <v>40</v>
      </c>
    </row>
    <row r="21" spans="2:29" x14ac:dyDescent="0.25">
      <c r="B21" s="21" t="s">
        <v>50</v>
      </c>
      <c r="C21" t="s">
        <v>52</v>
      </c>
      <c r="D21" s="61" t="s">
        <v>53</v>
      </c>
      <c r="E21" s="23" t="s">
        <v>26</v>
      </c>
      <c r="F21" s="61" t="s">
        <v>54</v>
      </c>
      <c r="K21" s="21" t="s">
        <v>50</v>
      </c>
      <c r="L21" t="s">
        <v>52</v>
      </c>
      <c r="M21" s="61" t="s">
        <v>53</v>
      </c>
      <c r="N21" s="23" t="s">
        <v>26</v>
      </c>
      <c r="O21" s="61" t="s">
        <v>54</v>
      </c>
      <c r="Q21" s="29" t="s">
        <v>49</v>
      </c>
      <c r="R21" s="29" t="s">
        <v>65</v>
      </c>
      <c r="S21" s="29"/>
      <c r="T21" s="1" t="s">
        <v>66</v>
      </c>
      <c r="U21">
        <v>28</v>
      </c>
      <c r="V21">
        <v>19</v>
      </c>
      <c r="W21">
        <v>8</v>
      </c>
      <c r="X21">
        <v>5</v>
      </c>
      <c r="Y21">
        <v>4</v>
      </c>
      <c r="Z21">
        <v>3</v>
      </c>
      <c r="AA21">
        <v>1</v>
      </c>
      <c r="AB21" s="50">
        <v>68</v>
      </c>
    </row>
    <row r="22" spans="2:29" x14ac:dyDescent="0.25">
      <c r="B22" s="22">
        <v>45925.490381944444</v>
      </c>
      <c r="C22" s="95">
        <v>-0.3</v>
      </c>
      <c r="D22" s="62">
        <f>$M$1+C22</f>
        <v>28.7</v>
      </c>
      <c r="E22" s="24" t="str">
        <f>IF(OR(C22="",B22="Grand Total"),"",IF(C22&lt;0,"L","W"))</f>
        <v>L</v>
      </c>
      <c r="F22" s="29">
        <v>1</v>
      </c>
      <c r="H22" s="29" t="str">
        <f>IF(D22&gt;M22,"&gt;","&lt;")</f>
        <v>&gt;</v>
      </c>
      <c r="K22" s="22">
        <v>45925.475798611114</v>
      </c>
      <c r="L22" s="95">
        <v>-0.31</v>
      </c>
      <c r="M22" s="62">
        <f>$M$1+L22</f>
        <v>28.69</v>
      </c>
      <c r="N22" s="24" t="str">
        <f>IF(OR(L22="",K22="Grand Total"),"",IF(L22&lt;0,"L","W"))</f>
        <v>L</v>
      </c>
      <c r="O22" s="29">
        <v>1</v>
      </c>
      <c r="Q22" s="29">
        <f>D22</f>
        <v>28.7</v>
      </c>
      <c r="R22" s="29">
        <f>M22</f>
        <v>28.69</v>
      </c>
      <c r="S22" s="29" t="str">
        <f>IF(D22&gt;M22,"&gt;","&lt;")</f>
        <v>&gt;</v>
      </c>
      <c r="T22" s="1" t="s">
        <v>51</v>
      </c>
      <c r="U22">
        <v>56</v>
      </c>
      <c r="V22">
        <v>28</v>
      </c>
      <c r="W22">
        <v>11</v>
      </c>
      <c r="X22">
        <v>5</v>
      </c>
      <c r="Y22">
        <v>4</v>
      </c>
      <c r="Z22">
        <v>3</v>
      </c>
      <c r="AA22">
        <v>1</v>
      </c>
      <c r="AB22" s="50">
        <v>108</v>
      </c>
    </row>
    <row r="23" spans="2:29" x14ac:dyDescent="0.25">
      <c r="B23" s="22">
        <v>45925.49732638889</v>
      </c>
      <c r="C23" s="95">
        <v>0.23</v>
      </c>
      <c r="D23" s="62">
        <f t="shared" ref="D23:D86" si="0">IF(OR(B23="Grand Total",B23=""),"",D22+C23)</f>
        <v>28.93</v>
      </c>
      <c r="E23" s="24" t="str">
        <f t="shared" ref="E23:E86" si="1">IF(OR(C23="",B23="Grand Total"),"",IF(C23&lt;0,"L","W"))</f>
        <v>W</v>
      </c>
      <c r="F23" s="29">
        <f>IF(E23="","",IF(E23=E22,F22+1,1))</f>
        <v>1</v>
      </c>
      <c r="H23" s="29" t="str">
        <f t="shared" ref="H23:H86" si="2">IF(D23&gt;M23,"&gt;","&lt;")</f>
        <v>&gt;</v>
      </c>
      <c r="K23" s="22">
        <v>45925.496747685182</v>
      </c>
      <c r="L23" s="95">
        <v>-0.31</v>
      </c>
      <c r="M23" s="62">
        <f t="shared" ref="M23:M86" si="3">IF(OR(K23="Grand Total",K23=""),"",M22+L23)</f>
        <v>28.380000000000003</v>
      </c>
      <c r="N23" s="24" t="str">
        <f t="shared" ref="N23:N86" si="4">IF(OR(L23="",K23="Grand Total"),"",IF(L23&lt;0,"L","W"))</f>
        <v>L</v>
      </c>
      <c r="O23" s="29">
        <f>IF(N23="","",IF(N23=N22,O22+1,1))</f>
        <v>2</v>
      </c>
      <c r="Q23" s="29">
        <f t="shared" ref="Q23:Q86" si="5">D23</f>
        <v>28.93</v>
      </c>
      <c r="R23" s="29">
        <f t="shared" ref="R23:R86" si="6">M23</f>
        <v>28.380000000000003</v>
      </c>
      <c r="S23" s="29" t="str">
        <f t="shared" ref="S23:S86" si="7">IF(D23&gt;M23,"&gt;","&lt;")</f>
        <v>&gt;</v>
      </c>
    </row>
    <row r="24" spans="2:29" x14ac:dyDescent="0.25">
      <c r="B24" s="22">
        <v>45925.507847222223</v>
      </c>
      <c r="C24" s="95">
        <v>-0.3</v>
      </c>
      <c r="D24" s="62">
        <f t="shared" si="0"/>
        <v>28.63</v>
      </c>
      <c r="E24" s="24" t="str">
        <f t="shared" si="1"/>
        <v>L</v>
      </c>
      <c r="F24" s="29">
        <f t="shared" ref="F24:F87" si="8">IF(E24="","",IF(E24=E23,F23+1,1))</f>
        <v>1</v>
      </c>
      <c r="H24" s="29" t="str">
        <f t="shared" si="2"/>
        <v>&gt;</v>
      </c>
      <c r="K24" s="22">
        <v>45925.525787037041</v>
      </c>
      <c r="L24" s="95">
        <v>-0.3</v>
      </c>
      <c r="M24" s="62">
        <f t="shared" si="3"/>
        <v>28.080000000000002</v>
      </c>
      <c r="N24" s="24" t="str">
        <f t="shared" si="4"/>
        <v>L</v>
      </c>
      <c r="O24" s="29">
        <f t="shared" ref="O24:O87" si="9">IF(N24="","",IF(N24=N23,O23+1,1))</f>
        <v>3</v>
      </c>
      <c r="Q24" s="29">
        <f t="shared" si="5"/>
        <v>28.63</v>
      </c>
      <c r="R24" s="29">
        <f t="shared" si="6"/>
        <v>28.080000000000002</v>
      </c>
      <c r="S24" s="29" t="str">
        <f t="shared" si="7"/>
        <v>&gt;</v>
      </c>
    </row>
    <row r="25" spans="2:29" x14ac:dyDescent="0.25">
      <c r="B25" s="22">
        <v>45925.527754629627</v>
      </c>
      <c r="C25" s="95">
        <v>-0.3</v>
      </c>
      <c r="D25" s="62">
        <f t="shared" si="0"/>
        <v>28.33</v>
      </c>
      <c r="E25" s="24" t="str">
        <f t="shared" si="1"/>
        <v>L</v>
      </c>
      <c r="F25" s="29">
        <f t="shared" si="8"/>
        <v>2</v>
      </c>
      <c r="H25" s="29" t="str">
        <f t="shared" si="2"/>
        <v>&gt;</v>
      </c>
      <c r="K25" s="22">
        <v>45925.547083333331</v>
      </c>
      <c r="L25" s="95">
        <v>-0.3</v>
      </c>
      <c r="M25" s="62">
        <f t="shared" si="3"/>
        <v>27.78</v>
      </c>
      <c r="N25" s="24" t="str">
        <f t="shared" si="4"/>
        <v>L</v>
      </c>
      <c r="O25" s="29">
        <f t="shared" si="9"/>
        <v>4</v>
      </c>
      <c r="Q25" s="29">
        <f t="shared" si="5"/>
        <v>28.33</v>
      </c>
      <c r="R25" s="29">
        <f t="shared" si="6"/>
        <v>27.78</v>
      </c>
      <c r="S25" s="29" t="str">
        <f t="shared" si="7"/>
        <v>&gt;</v>
      </c>
    </row>
    <row r="26" spans="2:29" x14ac:dyDescent="0.25">
      <c r="B26" s="22">
        <v>45925.550092592595</v>
      </c>
      <c r="C26" s="95">
        <v>-0.3</v>
      </c>
      <c r="D26" s="62">
        <f t="shared" si="0"/>
        <v>28.029999999999998</v>
      </c>
      <c r="E26" s="24" t="str">
        <f t="shared" si="1"/>
        <v>L</v>
      </c>
      <c r="F26" s="29">
        <f t="shared" si="8"/>
        <v>3</v>
      </c>
      <c r="H26" s="29" t="str">
        <f t="shared" si="2"/>
        <v>&lt;</v>
      </c>
      <c r="K26" s="22">
        <v>45925.569537037038</v>
      </c>
      <c r="L26" s="95">
        <v>0.69</v>
      </c>
      <c r="M26" s="62">
        <f t="shared" si="3"/>
        <v>28.470000000000002</v>
      </c>
      <c r="N26" s="24" t="str">
        <f t="shared" si="4"/>
        <v>W</v>
      </c>
      <c r="O26" s="29">
        <f t="shared" si="9"/>
        <v>1</v>
      </c>
      <c r="Q26" s="29">
        <f t="shared" si="5"/>
        <v>28.029999999999998</v>
      </c>
      <c r="R26" s="29">
        <f t="shared" si="6"/>
        <v>28.470000000000002</v>
      </c>
      <c r="S26" s="29" t="str">
        <f t="shared" si="7"/>
        <v>&lt;</v>
      </c>
    </row>
    <row r="27" spans="2:29" x14ac:dyDescent="0.25">
      <c r="B27" s="22">
        <v>45925.568148148152</v>
      </c>
      <c r="C27" s="95">
        <v>0.35</v>
      </c>
      <c r="D27" s="62">
        <f t="shared" si="0"/>
        <v>28.38</v>
      </c>
      <c r="E27" s="24" t="str">
        <f t="shared" si="1"/>
        <v>W</v>
      </c>
      <c r="F27" s="29">
        <f t="shared" si="8"/>
        <v>1</v>
      </c>
      <c r="H27" s="29" t="str">
        <f t="shared" si="2"/>
        <v>&gt;</v>
      </c>
      <c r="K27" s="22">
        <v>45925.592800925922</v>
      </c>
      <c r="L27" s="95">
        <v>-0.31</v>
      </c>
      <c r="M27" s="62">
        <f t="shared" si="3"/>
        <v>28.160000000000004</v>
      </c>
      <c r="N27" s="24" t="str">
        <f t="shared" si="4"/>
        <v>L</v>
      </c>
      <c r="O27" s="29">
        <f t="shared" si="9"/>
        <v>1</v>
      </c>
      <c r="Q27" s="29">
        <f t="shared" si="5"/>
        <v>28.38</v>
      </c>
      <c r="R27" s="29">
        <f t="shared" si="6"/>
        <v>28.160000000000004</v>
      </c>
      <c r="S27" s="29" t="str">
        <f t="shared" si="7"/>
        <v>&gt;</v>
      </c>
    </row>
    <row r="28" spans="2:29" x14ac:dyDescent="0.25">
      <c r="B28" s="22">
        <v>45925.597893518519</v>
      </c>
      <c r="C28" s="95">
        <v>-0.32</v>
      </c>
      <c r="D28" s="62">
        <f t="shared" si="0"/>
        <v>28.06</v>
      </c>
      <c r="E28" s="24" t="str">
        <f t="shared" si="1"/>
        <v>L</v>
      </c>
      <c r="F28" s="29">
        <f t="shared" si="8"/>
        <v>1</v>
      </c>
      <c r="H28" s="29" t="str">
        <f t="shared" si="2"/>
        <v>&gt;</v>
      </c>
      <c r="K28" s="22">
        <v>45925.613055555557</v>
      </c>
      <c r="L28" s="95">
        <v>-0.3</v>
      </c>
      <c r="M28" s="62">
        <f t="shared" si="3"/>
        <v>27.860000000000003</v>
      </c>
      <c r="N28" s="24" t="str">
        <f t="shared" si="4"/>
        <v>L</v>
      </c>
      <c r="O28" s="29">
        <f t="shared" si="9"/>
        <v>2</v>
      </c>
      <c r="Q28" s="29">
        <f t="shared" si="5"/>
        <v>28.06</v>
      </c>
      <c r="R28" s="29">
        <f t="shared" si="6"/>
        <v>27.860000000000003</v>
      </c>
      <c r="S28" s="29" t="str">
        <f t="shared" si="7"/>
        <v>&gt;</v>
      </c>
    </row>
    <row r="29" spans="2:29" x14ac:dyDescent="0.25">
      <c r="B29" s="22">
        <v>45925.620925925927</v>
      </c>
      <c r="C29" s="95">
        <v>-0.3</v>
      </c>
      <c r="D29" s="62">
        <f t="shared" si="0"/>
        <v>27.759999999999998</v>
      </c>
      <c r="E29" s="24" t="str">
        <f t="shared" si="1"/>
        <v>L</v>
      </c>
      <c r="F29" s="29">
        <f t="shared" si="8"/>
        <v>2</v>
      </c>
      <c r="H29" s="29" t="str">
        <f t="shared" si="2"/>
        <v>&lt;</v>
      </c>
      <c r="K29" s="22">
        <v>45925.63689814815</v>
      </c>
      <c r="L29" s="95">
        <v>0.61</v>
      </c>
      <c r="M29" s="62">
        <f t="shared" si="3"/>
        <v>28.470000000000002</v>
      </c>
      <c r="N29" s="24" t="str">
        <f t="shared" si="4"/>
        <v>W</v>
      </c>
      <c r="O29" s="29">
        <f t="shared" si="9"/>
        <v>1</v>
      </c>
      <c r="Q29" s="29">
        <f t="shared" si="5"/>
        <v>27.759999999999998</v>
      </c>
      <c r="R29" s="29">
        <f t="shared" si="6"/>
        <v>28.470000000000002</v>
      </c>
      <c r="S29" s="29" t="str">
        <f t="shared" si="7"/>
        <v>&lt;</v>
      </c>
      <c r="T29" s="49" t="s">
        <v>65</v>
      </c>
    </row>
    <row r="30" spans="2:29" x14ac:dyDescent="0.25">
      <c r="B30" s="22">
        <v>45925.637592592589</v>
      </c>
      <c r="C30" s="95">
        <v>0.35</v>
      </c>
      <c r="D30" s="62">
        <f t="shared" si="0"/>
        <v>28.11</v>
      </c>
      <c r="E30" s="24" t="str">
        <f t="shared" si="1"/>
        <v>W</v>
      </c>
      <c r="F30" s="29">
        <f t="shared" si="8"/>
        <v>1</v>
      </c>
      <c r="H30" s="29" t="str">
        <f t="shared" si="2"/>
        <v>&lt;</v>
      </c>
      <c r="K30" s="22">
        <v>45925.652986111112</v>
      </c>
      <c r="L30" s="95">
        <v>0.23</v>
      </c>
      <c r="M30" s="62">
        <f t="shared" si="3"/>
        <v>28.700000000000003</v>
      </c>
      <c r="N30" s="24" t="str">
        <f t="shared" si="4"/>
        <v>W</v>
      </c>
      <c r="O30" s="29">
        <f t="shared" si="9"/>
        <v>2</v>
      </c>
      <c r="Q30" s="29">
        <f t="shared" si="5"/>
        <v>28.11</v>
      </c>
      <c r="R30" s="29">
        <f t="shared" si="6"/>
        <v>28.700000000000003</v>
      </c>
      <c r="S30" s="29" t="str">
        <f t="shared" si="7"/>
        <v>&lt;</v>
      </c>
      <c r="T30" s="21" t="s">
        <v>81</v>
      </c>
      <c r="U30" s="21" t="s">
        <v>74</v>
      </c>
    </row>
    <row r="31" spans="2:29" x14ac:dyDescent="0.25">
      <c r="B31" s="22">
        <v>45925.654374999998</v>
      </c>
      <c r="C31" s="95">
        <v>0.35</v>
      </c>
      <c r="D31" s="62">
        <f t="shared" si="0"/>
        <v>28.46</v>
      </c>
      <c r="E31" s="24" t="str">
        <f t="shared" si="1"/>
        <v>W</v>
      </c>
      <c r="F31" s="29">
        <f t="shared" si="8"/>
        <v>2</v>
      </c>
      <c r="H31" s="29" t="str">
        <f t="shared" si="2"/>
        <v>&gt;</v>
      </c>
      <c r="K31" s="22">
        <v>45925.657962962963</v>
      </c>
      <c r="L31" s="95">
        <v>-0.32</v>
      </c>
      <c r="M31" s="62">
        <f t="shared" si="3"/>
        <v>28.380000000000003</v>
      </c>
      <c r="N31" s="24" t="str">
        <f t="shared" si="4"/>
        <v>L</v>
      </c>
      <c r="O31" s="29">
        <f t="shared" si="9"/>
        <v>1</v>
      </c>
      <c r="Q31" s="29">
        <f t="shared" si="5"/>
        <v>28.46</v>
      </c>
      <c r="R31" s="29">
        <f t="shared" si="6"/>
        <v>28.380000000000003</v>
      </c>
      <c r="S31" s="29" t="str">
        <f t="shared" si="7"/>
        <v>&gt;</v>
      </c>
      <c r="T31" s="21" t="s">
        <v>50</v>
      </c>
      <c r="U31">
        <v>1</v>
      </c>
      <c r="V31">
        <v>2</v>
      </c>
      <c r="W31">
        <v>3</v>
      </c>
      <c r="X31">
        <v>4</v>
      </c>
      <c r="Y31">
        <v>5</v>
      </c>
      <c r="Z31">
        <v>6</v>
      </c>
      <c r="AA31">
        <v>7</v>
      </c>
      <c r="AB31">
        <v>8</v>
      </c>
      <c r="AC31" s="50" t="s">
        <v>51</v>
      </c>
    </row>
    <row r="32" spans="2:29" x14ac:dyDescent="0.25">
      <c r="B32" s="22">
        <v>45925.661203703705</v>
      </c>
      <c r="C32" s="95">
        <v>-0.3</v>
      </c>
      <c r="D32" s="62">
        <f t="shared" si="0"/>
        <v>28.16</v>
      </c>
      <c r="E32" s="24" t="str">
        <f t="shared" si="1"/>
        <v>L</v>
      </c>
      <c r="F32" s="29">
        <f t="shared" si="8"/>
        <v>1</v>
      </c>
      <c r="H32" s="29" t="str">
        <f t="shared" si="2"/>
        <v>&lt;</v>
      </c>
      <c r="K32" s="22">
        <v>45925.670925925922</v>
      </c>
      <c r="L32" s="95">
        <v>0.5</v>
      </c>
      <c r="M32" s="62">
        <f t="shared" si="3"/>
        <v>28.880000000000003</v>
      </c>
      <c r="N32" s="24" t="str">
        <f t="shared" si="4"/>
        <v>W</v>
      </c>
      <c r="O32" s="29">
        <f t="shared" si="9"/>
        <v>1</v>
      </c>
      <c r="Q32" s="29">
        <f t="shared" si="5"/>
        <v>28.16</v>
      </c>
      <c r="R32" s="29">
        <f t="shared" si="6"/>
        <v>28.880000000000003</v>
      </c>
      <c r="S32" s="29" t="str">
        <f t="shared" si="7"/>
        <v>&lt;</v>
      </c>
      <c r="T32" s="1" t="s">
        <v>67</v>
      </c>
      <c r="U32">
        <v>26</v>
      </c>
      <c r="V32">
        <v>7</v>
      </c>
      <c r="W32">
        <v>1</v>
      </c>
      <c r="AC32" s="50">
        <v>34</v>
      </c>
    </row>
    <row r="33" spans="2:29" x14ac:dyDescent="0.25">
      <c r="B33" s="22">
        <v>45925.662592592591</v>
      </c>
      <c r="C33" s="95">
        <v>0.36</v>
      </c>
      <c r="D33" s="62">
        <f t="shared" si="0"/>
        <v>28.52</v>
      </c>
      <c r="E33" s="24" t="str">
        <f t="shared" si="1"/>
        <v>W</v>
      </c>
      <c r="F33" s="29">
        <f t="shared" si="8"/>
        <v>1</v>
      </c>
      <c r="H33" s="29" t="str">
        <f t="shared" si="2"/>
        <v>&lt;</v>
      </c>
      <c r="K33" s="22">
        <v>45925.679837962962</v>
      </c>
      <c r="L33" s="95">
        <v>-0.3</v>
      </c>
      <c r="M33" s="62">
        <f t="shared" si="3"/>
        <v>28.580000000000002</v>
      </c>
      <c r="N33" s="24" t="str">
        <f t="shared" si="4"/>
        <v>L</v>
      </c>
      <c r="O33" s="29">
        <f t="shared" si="9"/>
        <v>1</v>
      </c>
      <c r="Q33" s="29">
        <f t="shared" si="5"/>
        <v>28.52</v>
      </c>
      <c r="R33" s="29">
        <f t="shared" si="6"/>
        <v>28.580000000000002</v>
      </c>
      <c r="S33" s="29" t="str">
        <f t="shared" si="7"/>
        <v>&lt;</v>
      </c>
      <c r="T33" s="1" t="s">
        <v>66</v>
      </c>
      <c r="U33">
        <v>26</v>
      </c>
      <c r="V33">
        <v>19</v>
      </c>
      <c r="W33">
        <v>13</v>
      </c>
      <c r="X33">
        <v>9</v>
      </c>
      <c r="Y33">
        <v>5</v>
      </c>
      <c r="Z33">
        <v>5</v>
      </c>
      <c r="AA33">
        <v>5</v>
      </c>
      <c r="AB33">
        <v>2</v>
      </c>
      <c r="AC33" s="50">
        <v>84</v>
      </c>
    </row>
    <row r="34" spans="2:29" x14ac:dyDescent="0.25">
      <c r="B34" s="22">
        <v>45925.669652777775</v>
      </c>
      <c r="C34" s="95">
        <v>0.35</v>
      </c>
      <c r="D34" s="62">
        <f t="shared" si="0"/>
        <v>28.87</v>
      </c>
      <c r="E34" s="24" t="str">
        <f t="shared" si="1"/>
        <v>W</v>
      </c>
      <c r="F34" s="29">
        <f t="shared" si="8"/>
        <v>2</v>
      </c>
      <c r="H34" s="29" t="str">
        <f t="shared" si="2"/>
        <v>&lt;</v>
      </c>
      <c r="K34" s="22">
        <v>45925.687245370369</v>
      </c>
      <c r="L34" s="95">
        <v>0.36</v>
      </c>
      <c r="M34" s="62">
        <f t="shared" si="3"/>
        <v>28.94</v>
      </c>
      <c r="N34" s="24" t="str">
        <f t="shared" si="4"/>
        <v>W</v>
      </c>
      <c r="O34" s="29">
        <f t="shared" si="9"/>
        <v>1</v>
      </c>
      <c r="Q34" s="29">
        <f t="shared" si="5"/>
        <v>28.87</v>
      </c>
      <c r="R34" s="29">
        <f t="shared" si="6"/>
        <v>28.94</v>
      </c>
      <c r="S34" s="29" t="str">
        <f t="shared" si="7"/>
        <v>&lt;</v>
      </c>
      <c r="T34" s="1" t="s">
        <v>51</v>
      </c>
      <c r="U34">
        <v>52</v>
      </c>
      <c r="V34">
        <v>26</v>
      </c>
      <c r="W34">
        <v>14</v>
      </c>
      <c r="X34">
        <v>9</v>
      </c>
      <c r="Y34">
        <v>5</v>
      </c>
      <c r="Z34">
        <v>5</v>
      </c>
      <c r="AA34">
        <v>5</v>
      </c>
      <c r="AB34">
        <v>2</v>
      </c>
      <c r="AC34" s="50">
        <v>118</v>
      </c>
    </row>
    <row r="35" spans="2:29" x14ac:dyDescent="0.25">
      <c r="B35" s="22">
        <v>45925.674861111111</v>
      </c>
      <c r="C35" s="95">
        <v>0.36</v>
      </c>
      <c r="D35" s="62">
        <f t="shared" si="0"/>
        <v>29.23</v>
      </c>
      <c r="E35" s="24" t="str">
        <f t="shared" si="1"/>
        <v>W</v>
      </c>
      <c r="F35" s="29">
        <f t="shared" si="8"/>
        <v>3</v>
      </c>
      <c r="H35" s="29" t="str">
        <f t="shared" si="2"/>
        <v>&gt;</v>
      </c>
      <c r="K35" s="22">
        <v>45925.691990740743</v>
      </c>
      <c r="L35" s="95">
        <v>-0.3</v>
      </c>
      <c r="M35" s="62">
        <f t="shared" si="3"/>
        <v>28.64</v>
      </c>
      <c r="N35" s="24" t="str">
        <f t="shared" si="4"/>
        <v>L</v>
      </c>
      <c r="O35" s="29">
        <f t="shared" si="9"/>
        <v>1</v>
      </c>
      <c r="Q35" s="29">
        <f t="shared" si="5"/>
        <v>29.23</v>
      </c>
      <c r="R35" s="29">
        <f t="shared" si="6"/>
        <v>28.64</v>
      </c>
      <c r="S35" s="29" t="str">
        <f t="shared" si="7"/>
        <v>&gt;</v>
      </c>
    </row>
    <row r="36" spans="2:29" x14ac:dyDescent="0.25">
      <c r="B36" s="22">
        <v>45925.680648148147</v>
      </c>
      <c r="C36" s="95">
        <v>-0.31</v>
      </c>
      <c r="D36" s="62">
        <f t="shared" si="0"/>
        <v>28.92</v>
      </c>
      <c r="E36" s="24" t="str">
        <f t="shared" si="1"/>
        <v>L</v>
      </c>
      <c r="F36" s="29">
        <f t="shared" si="8"/>
        <v>1</v>
      </c>
      <c r="H36" s="29" t="str">
        <f t="shared" si="2"/>
        <v>&gt;</v>
      </c>
      <c r="K36" s="22">
        <v>45925.705300925925</v>
      </c>
      <c r="L36" s="95">
        <v>-0.32</v>
      </c>
      <c r="M36" s="62">
        <f t="shared" si="3"/>
        <v>28.32</v>
      </c>
      <c r="N36" s="24" t="str">
        <f t="shared" si="4"/>
        <v>L</v>
      </c>
      <c r="O36" s="29">
        <f t="shared" si="9"/>
        <v>2</v>
      </c>
      <c r="Q36" s="29">
        <f t="shared" si="5"/>
        <v>28.92</v>
      </c>
      <c r="R36" s="29">
        <f t="shared" si="6"/>
        <v>28.32</v>
      </c>
      <c r="S36" s="29" t="str">
        <f t="shared" si="7"/>
        <v>&gt;</v>
      </c>
    </row>
    <row r="37" spans="2:29" x14ac:dyDescent="0.25">
      <c r="B37" s="22">
        <v>45925.695925925924</v>
      </c>
      <c r="C37" s="95">
        <v>-0.31</v>
      </c>
      <c r="D37" s="62">
        <f t="shared" si="0"/>
        <v>28.610000000000003</v>
      </c>
      <c r="E37" s="24" t="str">
        <f t="shared" si="1"/>
        <v>L</v>
      </c>
      <c r="F37" s="29">
        <f t="shared" si="8"/>
        <v>2</v>
      </c>
      <c r="H37" s="29" t="str">
        <f t="shared" si="2"/>
        <v>&gt;</v>
      </c>
      <c r="K37" s="22">
        <v>45925.71398148148</v>
      </c>
      <c r="L37" s="95">
        <v>-0.3</v>
      </c>
      <c r="M37" s="62">
        <f t="shared" si="3"/>
        <v>28.02</v>
      </c>
      <c r="N37" s="24" t="str">
        <f t="shared" si="4"/>
        <v>L</v>
      </c>
      <c r="O37" s="29">
        <f t="shared" si="9"/>
        <v>3</v>
      </c>
      <c r="Q37" s="29">
        <f t="shared" si="5"/>
        <v>28.610000000000003</v>
      </c>
      <c r="R37" s="29">
        <f t="shared" si="6"/>
        <v>28.02</v>
      </c>
      <c r="S37" s="29" t="str">
        <f t="shared" si="7"/>
        <v>&gt;</v>
      </c>
    </row>
    <row r="38" spans="2:29" x14ac:dyDescent="0.25">
      <c r="B38" s="22">
        <v>45925.705879629626</v>
      </c>
      <c r="C38" s="95">
        <v>-0.3</v>
      </c>
      <c r="D38" s="62">
        <f t="shared" si="0"/>
        <v>28.310000000000002</v>
      </c>
      <c r="E38" s="24" t="str">
        <f t="shared" si="1"/>
        <v>L</v>
      </c>
      <c r="F38" s="29">
        <f t="shared" si="8"/>
        <v>3</v>
      </c>
      <c r="H38" s="29" t="str">
        <f t="shared" si="2"/>
        <v>&gt;</v>
      </c>
      <c r="K38" s="22">
        <v>45925.724398148152</v>
      </c>
      <c r="L38" s="95">
        <v>-0.3</v>
      </c>
      <c r="M38" s="62">
        <f t="shared" si="3"/>
        <v>27.72</v>
      </c>
      <c r="N38" s="24" t="str">
        <f t="shared" si="4"/>
        <v>L</v>
      </c>
      <c r="O38" s="29">
        <f t="shared" si="9"/>
        <v>4</v>
      </c>
      <c r="Q38" s="29">
        <f t="shared" si="5"/>
        <v>28.310000000000002</v>
      </c>
      <c r="R38" s="29">
        <f t="shared" si="6"/>
        <v>27.72</v>
      </c>
      <c r="S38" s="29" t="str">
        <f t="shared" si="7"/>
        <v>&gt;</v>
      </c>
    </row>
    <row r="39" spans="2:29" x14ac:dyDescent="0.25">
      <c r="B39" s="22">
        <v>45925.725092592591</v>
      </c>
      <c r="C39" s="95">
        <v>0.38</v>
      </c>
      <c r="D39" s="62">
        <f t="shared" si="0"/>
        <v>28.69</v>
      </c>
      <c r="E39" s="24" t="str">
        <f t="shared" si="1"/>
        <v>W</v>
      </c>
      <c r="F39" s="29">
        <f t="shared" si="8"/>
        <v>1</v>
      </c>
      <c r="H39" s="29" t="str">
        <f t="shared" si="2"/>
        <v>&gt;</v>
      </c>
      <c r="K39" s="22">
        <v>45925.741759259261</v>
      </c>
      <c r="L39" s="95">
        <v>-0.28999999999999998</v>
      </c>
      <c r="M39" s="62">
        <f t="shared" si="3"/>
        <v>27.43</v>
      </c>
      <c r="N39" s="24" t="str">
        <f t="shared" si="4"/>
        <v>L</v>
      </c>
      <c r="O39" s="29">
        <f t="shared" si="9"/>
        <v>5</v>
      </c>
      <c r="Q39" s="29">
        <f t="shared" si="5"/>
        <v>28.69</v>
      </c>
      <c r="R39" s="29">
        <f t="shared" si="6"/>
        <v>27.43</v>
      </c>
      <c r="S39" s="29" t="str">
        <f t="shared" si="7"/>
        <v>&gt;</v>
      </c>
    </row>
    <row r="40" spans="2:29" x14ac:dyDescent="0.25">
      <c r="B40" s="22">
        <v>45925.729722222219</v>
      </c>
      <c r="C40" s="95">
        <v>-0.32</v>
      </c>
      <c r="D40" s="62">
        <f t="shared" si="0"/>
        <v>28.37</v>
      </c>
      <c r="E40" s="24" t="str">
        <f t="shared" si="1"/>
        <v>L</v>
      </c>
      <c r="F40" s="29">
        <f t="shared" si="8"/>
        <v>1</v>
      </c>
      <c r="H40" s="29" t="str">
        <f t="shared" si="2"/>
        <v>&gt;</v>
      </c>
      <c r="K40" s="22">
        <v>45925.74962962963</v>
      </c>
      <c r="L40" s="95">
        <v>-0.32</v>
      </c>
      <c r="M40" s="62">
        <f t="shared" si="3"/>
        <v>27.11</v>
      </c>
      <c r="N40" s="24" t="str">
        <f t="shared" si="4"/>
        <v>L</v>
      </c>
      <c r="O40" s="29">
        <f t="shared" si="9"/>
        <v>6</v>
      </c>
      <c r="Q40" s="29">
        <f t="shared" si="5"/>
        <v>28.37</v>
      </c>
      <c r="R40" s="29">
        <f t="shared" si="6"/>
        <v>27.11</v>
      </c>
      <c r="S40" s="29" t="str">
        <f t="shared" si="7"/>
        <v>&gt;</v>
      </c>
    </row>
    <row r="41" spans="2:29" x14ac:dyDescent="0.25">
      <c r="B41" s="22">
        <v>45925.744884259257</v>
      </c>
      <c r="C41" s="95">
        <v>-0.31</v>
      </c>
      <c r="D41" s="62">
        <f t="shared" si="0"/>
        <v>28.060000000000002</v>
      </c>
      <c r="E41" s="24" t="str">
        <f t="shared" si="1"/>
        <v>L</v>
      </c>
      <c r="F41" s="29">
        <f t="shared" si="8"/>
        <v>2</v>
      </c>
      <c r="H41" s="29" t="str">
        <f t="shared" si="2"/>
        <v>&gt;</v>
      </c>
      <c r="K41" s="22">
        <v>45926.04451388889</v>
      </c>
      <c r="L41" s="95">
        <v>-0.34</v>
      </c>
      <c r="M41" s="62">
        <f t="shared" si="3"/>
        <v>26.77</v>
      </c>
      <c r="N41" s="24" t="str">
        <f t="shared" si="4"/>
        <v>L</v>
      </c>
      <c r="O41" s="29">
        <f t="shared" si="9"/>
        <v>7</v>
      </c>
      <c r="Q41" s="29">
        <f t="shared" si="5"/>
        <v>28.060000000000002</v>
      </c>
      <c r="R41" s="29">
        <f t="shared" si="6"/>
        <v>26.77</v>
      </c>
      <c r="S41" s="29" t="str">
        <f t="shared" si="7"/>
        <v>&gt;</v>
      </c>
    </row>
    <row r="42" spans="2:29" x14ac:dyDescent="0.25">
      <c r="B42" s="22">
        <v>45925.751481481479</v>
      </c>
      <c r="C42" s="95">
        <v>-0.31</v>
      </c>
      <c r="D42" s="62">
        <f t="shared" si="0"/>
        <v>27.750000000000004</v>
      </c>
      <c r="E42" s="24" t="str">
        <f t="shared" si="1"/>
        <v>L</v>
      </c>
      <c r="F42" s="29">
        <f t="shared" si="8"/>
        <v>3</v>
      </c>
      <c r="H42" s="29" t="str">
        <f t="shared" si="2"/>
        <v>&gt;</v>
      </c>
      <c r="K42" s="22">
        <v>45926.054583333331</v>
      </c>
      <c r="L42" s="95">
        <v>-0.3</v>
      </c>
      <c r="M42" s="62">
        <f t="shared" si="3"/>
        <v>26.47</v>
      </c>
      <c r="N42" s="24" t="str">
        <f t="shared" si="4"/>
        <v>L</v>
      </c>
      <c r="O42" s="29">
        <f t="shared" si="9"/>
        <v>8</v>
      </c>
      <c r="Q42" s="29">
        <f t="shared" si="5"/>
        <v>27.750000000000004</v>
      </c>
      <c r="R42" s="29">
        <f t="shared" si="6"/>
        <v>26.47</v>
      </c>
      <c r="S42" s="29" t="str">
        <f t="shared" si="7"/>
        <v>&gt;</v>
      </c>
    </row>
    <row r="43" spans="2:29" x14ac:dyDescent="0.25">
      <c r="B43" s="22">
        <v>45925.803090277775</v>
      </c>
      <c r="C43" s="95">
        <v>-0.3</v>
      </c>
      <c r="D43" s="62">
        <f t="shared" si="0"/>
        <v>27.450000000000003</v>
      </c>
      <c r="E43" s="24" t="str">
        <f t="shared" si="1"/>
        <v>L</v>
      </c>
      <c r="F43" s="29">
        <f t="shared" si="8"/>
        <v>4</v>
      </c>
      <c r="H43" s="29" t="str">
        <f t="shared" si="2"/>
        <v>&gt;</v>
      </c>
      <c r="K43" s="22">
        <v>45926.063958333332</v>
      </c>
      <c r="L43" s="95">
        <v>-0.32</v>
      </c>
      <c r="M43" s="62">
        <f t="shared" si="3"/>
        <v>26.15</v>
      </c>
      <c r="N43" s="24" t="str">
        <f t="shared" si="4"/>
        <v>L</v>
      </c>
      <c r="O43" s="29">
        <f t="shared" si="9"/>
        <v>9</v>
      </c>
      <c r="Q43" s="29">
        <f t="shared" si="5"/>
        <v>27.450000000000003</v>
      </c>
      <c r="R43" s="29">
        <f t="shared" si="6"/>
        <v>26.15</v>
      </c>
      <c r="S43" s="29" t="str">
        <f t="shared" si="7"/>
        <v>&gt;</v>
      </c>
    </row>
    <row r="44" spans="2:29" x14ac:dyDescent="0.25">
      <c r="B44" s="22">
        <v>45925.807141203702</v>
      </c>
      <c r="C44" s="95">
        <v>-0.31</v>
      </c>
      <c r="D44" s="62">
        <f t="shared" si="0"/>
        <v>27.140000000000004</v>
      </c>
      <c r="E44" s="24" t="str">
        <f t="shared" si="1"/>
        <v>L</v>
      </c>
      <c r="F44" s="29">
        <f t="shared" si="8"/>
        <v>5</v>
      </c>
      <c r="H44" s="29" t="str">
        <f t="shared" si="2"/>
        <v>&gt;</v>
      </c>
      <c r="K44" s="22">
        <v>45926.066041666665</v>
      </c>
      <c r="L44" s="95">
        <v>-0.27</v>
      </c>
      <c r="M44" s="62">
        <f t="shared" si="3"/>
        <v>25.88</v>
      </c>
      <c r="N44" s="24" t="str">
        <f t="shared" si="4"/>
        <v>L</v>
      </c>
      <c r="O44" s="29">
        <f t="shared" si="9"/>
        <v>10</v>
      </c>
      <c r="Q44" s="29">
        <f t="shared" si="5"/>
        <v>27.140000000000004</v>
      </c>
      <c r="R44" s="29">
        <f t="shared" si="6"/>
        <v>25.88</v>
      </c>
      <c r="S44" s="29" t="str">
        <f t="shared" si="7"/>
        <v>&gt;</v>
      </c>
    </row>
    <row r="45" spans="2:29" x14ac:dyDescent="0.25">
      <c r="B45" s="22">
        <v>45925.825775462959</v>
      </c>
      <c r="C45" s="95">
        <v>0.36</v>
      </c>
      <c r="D45" s="62">
        <f t="shared" si="0"/>
        <v>27.500000000000004</v>
      </c>
      <c r="E45" s="24" t="str">
        <f t="shared" si="1"/>
        <v>W</v>
      </c>
      <c r="F45" s="29">
        <f t="shared" si="8"/>
        <v>1</v>
      </c>
      <c r="H45" s="29" t="str">
        <f t="shared" si="2"/>
        <v>&gt;</v>
      </c>
      <c r="K45" s="22">
        <v>45926.082708333335</v>
      </c>
      <c r="L45" s="95">
        <v>-0.3</v>
      </c>
      <c r="M45" s="62">
        <f t="shared" si="3"/>
        <v>25.58</v>
      </c>
      <c r="N45" s="24" t="str">
        <f t="shared" si="4"/>
        <v>L</v>
      </c>
      <c r="O45" s="29">
        <f t="shared" si="9"/>
        <v>11</v>
      </c>
      <c r="Q45" s="29">
        <f t="shared" si="5"/>
        <v>27.500000000000004</v>
      </c>
      <c r="R45" s="29">
        <f t="shared" si="6"/>
        <v>25.58</v>
      </c>
      <c r="S45" s="29" t="str">
        <f t="shared" si="7"/>
        <v>&gt;</v>
      </c>
    </row>
    <row r="46" spans="2:29" x14ac:dyDescent="0.25">
      <c r="B46" s="22">
        <v>45925.850081018521</v>
      </c>
      <c r="C46" s="95">
        <v>-0.57999999999999996</v>
      </c>
      <c r="D46" s="62">
        <f t="shared" si="0"/>
        <v>26.920000000000005</v>
      </c>
      <c r="E46" s="24" t="str">
        <f t="shared" si="1"/>
        <v>L</v>
      </c>
      <c r="F46" s="29">
        <f t="shared" si="8"/>
        <v>1</v>
      </c>
      <c r="H46" s="29" t="str">
        <f t="shared" si="2"/>
        <v>&gt;</v>
      </c>
      <c r="K46" s="22">
        <v>45926.092083333337</v>
      </c>
      <c r="L46" s="95">
        <v>-0.28999999999999998</v>
      </c>
      <c r="M46" s="62">
        <f t="shared" si="3"/>
        <v>25.29</v>
      </c>
      <c r="N46" s="24" t="str">
        <f t="shared" si="4"/>
        <v>L</v>
      </c>
      <c r="O46" s="29">
        <f t="shared" si="9"/>
        <v>12</v>
      </c>
      <c r="Q46" s="29">
        <f t="shared" si="5"/>
        <v>26.920000000000005</v>
      </c>
      <c r="R46" s="29">
        <f t="shared" si="6"/>
        <v>25.29</v>
      </c>
      <c r="S46" s="29" t="str">
        <f t="shared" si="7"/>
        <v>&gt;</v>
      </c>
    </row>
    <row r="47" spans="2:29" x14ac:dyDescent="0.25">
      <c r="B47" s="22">
        <v>45925.862581018519</v>
      </c>
      <c r="C47" s="95">
        <v>0.35</v>
      </c>
      <c r="D47" s="62">
        <f t="shared" si="0"/>
        <v>27.270000000000007</v>
      </c>
      <c r="E47" s="24" t="str">
        <f t="shared" si="1"/>
        <v>W</v>
      </c>
      <c r="F47" s="29">
        <f t="shared" si="8"/>
        <v>1</v>
      </c>
      <c r="H47" s="29" t="str">
        <f t="shared" si="2"/>
        <v>&gt;</v>
      </c>
      <c r="K47" s="22">
        <v>45926.102268518516</v>
      </c>
      <c r="L47" s="95">
        <v>0.27</v>
      </c>
      <c r="M47" s="62">
        <f t="shared" si="3"/>
        <v>25.56</v>
      </c>
      <c r="N47" s="24" t="str">
        <f t="shared" si="4"/>
        <v>W</v>
      </c>
      <c r="O47" s="29">
        <f t="shared" si="9"/>
        <v>1</v>
      </c>
      <c r="Q47" s="29">
        <f t="shared" si="5"/>
        <v>27.270000000000007</v>
      </c>
      <c r="R47" s="29">
        <f t="shared" si="6"/>
        <v>25.56</v>
      </c>
      <c r="S47" s="29" t="str">
        <f t="shared" si="7"/>
        <v>&gt;</v>
      </c>
    </row>
    <row r="48" spans="2:29" x14ac:dyDescent="0.25">
      <c r="B48" s="22">
        <v>45925.864085648151</v>
      </c>
      <c r="C48" s="95">
        <v>0.37</v>
      </c>
      <c r="D48" s="62">
        <f t="shared" si="0"/>
        <v>27.640000000000008</v>
      </c>
      <c r="E48" s="24" t="str">
        <f t="shared" si="1"/>
        <v>W</v>
      </c>
      <c r="F48" s="29">
        <f t="shared" si="8"/>
        <v>2</v>
      </c>
      <c r="H48" s="29" t="str">
        <f t="shared" si="2"/>
        <v>&gt;</v>
      </c>
      <c r="K48" s="22">
        <v>45926.104467592595</v>
      </c>
      <c r="L48" s="95">
        <v>0.66</v>
      </c>
      <c r="M48" s="62">
        <f t="shared" si="3"/>
        <v>26.22</v>
      </c>
      <c r="N48" s="24" t="str">
        <f t="shared" si="4"/>
        <v>W</v>
      </c>
      <c r="O48" s="29">
        <f t="shared" si="9"/>
        <v>2</v>
      </c>
      <c r="Q48" s="29">
        <f t="shared" si="5"/>
        <v>27.640000000000008</v>
      </c>
      <c r="R48" s="29">
        <f t="shared" si="6"/>
        <v>26.22</v>
      </c>
      <c r="S48" s="29" t="str">
        <f t="shared" si="7"/>
        <v>&gt;</v>
      </c>
    </row>
    <row r="49" spans="2:19" x14ac:dyDescent="0.25">
      <c r="B49" s="22">
        <v>45925.87195601852</v>
      </c>
      <c r="C49" s="95">
        <v>-0.31</v>
      </c>
      <c r="D49" s="62">
        <f t="shared" si="0"/>
        <v>27.330000000000009</v>
      </c>
      <c r="E49" s="24" t="str">
        <f t="shared" si="1"/>
        <v>L</v>
      </c>
      <c r="F49" s="29">
        <f t="shared" si="8"/>
        <v>1</v>
      </c>
      <c r="H49" s="29" t="str">
        <f t="shared" si="2"/>
        <v>&gt;</v>
      </c>
      <c r="K49" s="22">
        <v>45926.112569444442</v>
      </c>
      <c r="L49" s="95">
        <v>-0.31</v>
      </c>
      <c r="M49" s="62">
        <f t="shared" si="3"/>
        <v>25.91</v>
      </c>
      <c r="N49" s="24" t="str">
        <f t="shared" si="4"/>
        <v>L</v>
      </c>
      <c r="O49" s="29">
        <f t="shared" si="9"/>
        <v>1</v>
      </c>
      <c r="Q49" s="29">
        <f t="shared" si="5"/>
        <v>27.330000000000009</v>
      </c>
      <c r="R49" s="29">
        <f t="shared" si="6"/>
        <v>25.91</v>
      </c>
      <c r="S49" s="29" t="str">
        <f t="shared" si="7"/>
        <v>&gt;</v>
      </c>
    </row>
    <row r="50" spans="2:19" x14ac:dyDescent="0.25">
      <c r="B50" s="22">
        <v>45925.873576388891</v>
      </c>
      <c r="C50" s="95">
        <v>0.37</v>
      </c>
      <c r="D50" s="62">
        <f t="shared" si="0"/>
        <v>27.70000000000001</v>
      </c>
      <c r="E50" s="24" t="str">
        <f t="shared" si="1"/>
        <v>W</v>
      </c>
      <c r="F50" s="29">
        <f t="shared" si="8"/>
        <v>1</v>
      </c>
      <c r="H50" s="29" t="str">
        <f t="shared" si="2"/>
        <v>&gt;</v>
      </c>
      <c r="K50" s="22">
        <v>45926.12703703704</v>
      </c>
      <c r="L50" s="95">
        <v>-0.28999999999999998</v>
      </c>
      <c r="M50" s="62">
        <f t="shared" si="3"/>
        <v>25.62</v>
      </c>
      <c r="N50" s="24" t="str">
        <f t="shared" si="4"/>
        <v>L</v>
      </c>
      <c r="O50" s="29">
        <f t="shared" si="9"/>
        <v>2</v>
      </c>
      <c r="Q50" s="29">
        <f t="shared" si="5"/>
        <v>27.70000000000001</v>
      </c>
      <c r="R50" s="29">
        <f t="shared" si="6"/>
        <v>25.62</v>
      </c>
      <c r="S50" s="29" t="str">
        <f t="shared" si="7"/>
        <v>&gt;</v>
      </c>
    </row>
    <row r="51" spans="2:19" x14ac:dyDescent="0.25">
      <c r="B51" s="22">
        <v>45925.893136574072</v>
      </c>
      <c r="C51" s="95">
        <v>-0.3</v>
      </c>
      <c r="D51" s="62">
        <f t="shared" si="0"/>
        <v>27.400000000000009</v>
      </c>
      <c r="E51" s="24" t="str">
        <f t="shared" si="1"/>
        <v>L</v>
      </c>
      <c r="F51" s="29">
        <f t="shared" si="8"/>
        <v>1</v>
      </c>
      <c r="H51" s="29" t="str">
        <f t="shared" si="2"/>
        <v>&gt;</v>
      </c>
      <c r="K51" s="22">
        <v>45926.132013888891</v>
      </c>
      <c r="L51" s="95">
        <v>-0.3</v>
      </c>
      <c r="M51" s="62">
        <f t="shared" si="3"/>
        <v>25.32</v>
      </c>
      <c r="N51" s="24" t="str">
        <f t="shared" si="4"/>
        <v>L</v>
      </c>
      <c r="O51" s="29">
        <f t="shared" si="9"/>
        <v>3</v>
      </c>
      <c r="Q51" s="29">
        <f t="shared" si="5"/>
        <v>27.400000000000009</v>
      </c>
      <c r="R51" s="29">
        <f t="shared" si="6"/>
        <v>25.32</v>
      </c>
      <c r="S51" s="29" t="str">
        <f t="shared" si="7"/>
        <v>&gt;</v>
      </c>
    </row>
    <row r="52" spans="2:19" x14ac:dyDescent="0.25">
      <c r="B52" s="22">
        <v>45925.910844907405</v>
      </c>
      <c r="C52" s="95">
        <v>-0.31</v>
      </c>
      <c r="D52" s="62">
        <f t="shared" si="0"/>
        <v>27.090000000000011</v>
      </c>
      <c r="E52" s="24" t="str">
        <f t="shared" si="1"/>
        <v>L</v>
      </c>
      <c r="F52" s="29">
        <f t="shared" si="8"/>
        <v>2</v>
      </c>
      <c r="H52" s="29" t="str">
        <f t="shared" si="2"/>
        <v>&gt;</v>
      </c>
      <c r="K52" s="22">
        <v>45926.141041666669</v>
      </c>
      <c r="L52" s="95">
        <v>0.25</v>
      </c>
      <c r="M52" s="62">
        <f t="shared" si="3"/>
        <v>25.57</v>
      </c>
      <c r="N52" s="24" t="str">
        <f t="shared" si="4"/>
        <v>W</v>
      </c>
      <c r="O52" s="29">
        <f t="shared" si="9"/>
        <v>1</v>
      </c>
      <c r="Q52" s="29">
        <f t="shared" si="5"/>
        <v>27.090000000000011</v>
      </c>
      <c r="R52" s="29">
        <f t="shared" si="6"/>
        <v>25.57</v>
      </c>
      <c r="S52" s="29" t="str">
        <f t="shared" si="7"/>
        <v>&gt;</v>
      </c>
    </row>
    <row r="53" spans="2:19" x14ac:dyDescent="0.25">
      <c r="B53" s="22">
        <v>45925.935034722221</v>
      </c>
      <c r="C53" s="95">
        <v>-0.33</v>
      </c>
      <c r="D53" s="62">
        <f t="shared" si="0"/>
        <v>26.760000000000012</v>
      </c>
      <c r="E53" s="24" t="str">
        <f t="shared" si="1"/>
        <v>L</v>
      </c>
      <c r="F53" s="29">
        <f t="shared" si="8"/>
        <v>3</v>
      </c>
      <c r="H53" s="29" t="str">
        <f t="shared" si="2"/>
        <v>&gt;</v>
      </c>
      <c r="K53" s="22">
        <v>45926.148449074077</v>
      </c>
      <c r="L53" s="95">
        <v>0.34</v>
      </c>
      <c r="M53" s="62">
        <f t="shared" si="3"/>
        <v>25.91</v>
      </c>
      <c r="N53" s="24" t="str">
        <f t="shared" si="4"/>
        <v>W</v>
      </c>
      <c r="O53" s="29">
        <f t="shared" si="9"/>
        <v>2</v>
      </c>
      <c r="Q53" s="29">
        <f t="shared" si="5"/>
        <v>26.760000000000012</v>
      </c>
      <c r="R53" s="29">
        <f t="shared" si="6"/>
        <v>25.91</v>
      </c>
      <c r="S53" s="29" t="str">
        <f t="shared" si="7"/>
        <v>&gt;</v>
      </c>
    </row>
    <row r="54" spans="2:19" x14ac:dyDescent="0.25">
      <c r="B54" s="22">
        <v>45925.947881944441</v>
      </c>
      <c r="C54" s="95">
        <v>0.34</v>
      </c>
      <c r="D54" s="62">
        <f t="shared" si="0"/>
        <v>27.100000000000012</v>
      </c>
      <c r="E54" s="24" t="str">
        <f t="shared" si="1"/>
        <v>W</v>
      </c>
      <c r="F54" s="29">
        <f t="shared" si="8"/>
        <v>1</v>
      </c>
      <c r="H54" s="29" t="str">
        <f t="shared" si="2"/>
        <v>&gt;</v>
      </c>
      <c r="K54" s="22">
        <v>45926.154583333337</v>
      </c>
      <c r="L54" s="95">
        <v>-0.31</v>
      </c>
      <c r="M54" s="62">
        <f t="shared" si="3"/>
        <v>25.6</v>
      </c>
      <c r="N54" s="24" t="str">
        <f t="shared" si="4"/>
        <v>L</v>
      </c>
      <c r="O54" s="29">
        <f t="shared" si="9"/>
        <v>1</v>
      </c>
      <c r="Q54" s="29">
        <f t="shared" si="5"/>
        <v>27.100000000000012</v>
      </c>
      <c r="R54" s="29">
        <f t="shared" si="6"/>
        <v>25.6</v>
      </c>
      <c r="S54" s="29" t="str">
        <f t="shared" si="7"/>
        <v>&gt;</v>
      </c>
    </row>
    <row r="55" spans="2:19" x14ac:dyDescent="0.25">
      <c r="B55" s="22">
        <v>45925.955405092594</v>
      </c>
      <c r="C55" s="95">
        <v>-0.36</v>
      </c>
      <c r="D55" s="62">
        <f t="shared" si="0"/>
        <v>26.740000000000013</v>
      </c>
      <c r="E55" s="24" t="str">
        <f t="shared" si="1"/>
        <v>L</v>
      </c>
      <c r="F55" s="29">
        <f t="shared" si="8"/>
        <v>1</v>
      </c>
      <c r="H55" s="29" t="str">
        <f t="shared" si="2"/>
        <v>&gt;</v>
      </c>
      <c r="K55" s="22">
        <v>45926.159259259257</v>
      </c>
      <c r="L55" s="95">
        <v>-0.3</v>
      </c>
      <c r="M55" s="62">
        <f t="shared" si="3"/>
        <v>25.3</v>
      </c>
      <c r="N55" s="24" t="str">
        <f t="shared" si="4"/>
        <v>L</v>
      </c>
      <c r="O55" s="29">
        <f t="shared" si="9"/>
        <v>2</v>
      </c>
      <c r="Q55" s="29">
        <f t="shared" si="5"/>
        <v>26.740000000000013</v>
      </c>
      <c r="R55" s="29">
        <f t="shared" si="6"/>
        <v>25.3</v>
      </c>
      <c r="S55" s="29" t="str">
        <f t="shared" si="7"/>
        <v>&gt;</v>
      </c>
    </row>
    <row r="56" spans="2:19" x14ac:dyDescent="0.25">
      <c r="B56" s="22">
        <v>45925.973460648151</v>
      </c>
      <c r="C56" s="95">
        <v>-0.3</v>
      </c>
      <c r="D56" s="62">
        <f t="shared" si="0"/>
        <v>26.440000000000012</v>
      </c>
      <c r="E56" s="24" t="str">
        <f t="shared" si="1"/>
        <v>L</v>
      </c>
      <c r="F56" s="29">
        <f t="shared" si="8"/>
        <v>2</v>
      </c>
      <c r="H56" s="29" t="str">
        <f t="shared" si="2"/>
        <v>&gt;</v>
      </c>
      <c r="K56" s="22">
        <v>45926.163310185184</v>
      </c>
      <c r="L56" s="95">
        <v>-0.31</v>
      </c>
      <c r="M56" s="62">
        <f t="shared" si="3"/>
        <v>24.990000000000002</v>
      </c>
      <c r="N56" s="24" t="str">
        <f t="shared" si="4"/>
        <v>L</v>
      </c>
      <c r="O56" s="29">
        <f t="shared" si="9"/>
        <v>3</v>
      </c>
      <c r="Q56" s="29">
        <f t="shared" si="5"/>
        <v>26.440000000000012</v>
      </c>
      <c r="R56" s="29">
        <f t="shared" si="6"/>
        <v>24.990000000000002</v>
      </c>
      <c r="S56" s="29" t="str">
        <f t="shared" si="7"/>
        <v>&gt;</v>
      </c>
    </row>
    <row r="57" spans="2:19" x14ac:dyDescent="0.25">
      <c r="B57" s="22">
        <v>45925.990590277775</v>
      </c>
      <c r="C57" s="95">
        <v>0.35</v>
      </c>
      <c r="D57" s="62">
        <f t="shared" si="0"/>
        <v>26.790000000000013</v>
      </c>
      <c r="E57" s="24" t="str">
        <f t="shared" si="1"/>
        <v>W</v>
      </c>
      <c r="F57" s="29">
        <f t="shared" si="8"/>
        <v>1</v>
      </c>
      <c r="H57" s="29" t="str">
        <f t="shared" si="2"/>
        <v>&gt;</v>
      </c>
      <c r="K57" s="22">
        <v>45926.17800925926</v>
      </c>
      <c r="L57" s="95">
        <v>-0.3</v>
      </c>
      <c r="M57" s="62">
        <f t="shared" si="3"/>
        <v>24.69</v>
      </c>
      <c r="N57" s="24" t="str">
        <f t="shared" si="4"/>
        <v>L</v>
      </c>
      <c r="O57" s="29">
        <f t="shared" si="9"/>
        <v>4</v>
      </c>
      <c r="Q57" s="29">
        <f t="shared" si="5"/>
        <v>26.790000000000013</v>
      </c>
      <c r="R57" s="29">
        <f t="shared" si="6"/>
        <v>24.69</v>
      </c>
      <c r="S57" s="29" t="str">
        <f t="shared" si="7"/>
        <v>&gt;</v>
      </c>
    </row>
    <row r="58" spans="2:19" x14ac:dyDescent="0.25">
      <c r="B58" s="22">
        <v>45926.011192129627</v>
      </c>
      <c r="C58" s="95">
        <v>-0.22</v>
      </c>
      <c r="D58" s="62">
        <f t="shared" si="0"/>
        <v>26.570000000000014</v>
      </c>
      <c r="E58" s="24" t="str">
        <f t="shared" si="1"/>
        <v>L</v>
      </c>
      <c r="F58" s="29">
        <f t="shared" si="8"/>
        <v>1</v>
      </c>
      <c r="H58" s="29" t="str">
        <f t="shared" si="2"/>
        <v>&lt;</v>
      </c>
      <c r="K58" s="1" t="s">
        <v>51</v>
      </c>
      <c r="L58" s="95">
        <v>-4.3099999999999996</v>
      </c>
      <c r="M58" s="62" t="str">
        <f t="shared" si="3"/>
        <v/>
      </c>
      <c r="N58" s="24" t="str">
        <f t="shared" si="4"/>
        <v/>
      </c>
      <c r="O58" s="29" t="str">
        <f t="shared" si="9"/>
        <v/>
      </c>
      <c r="Q58" s="29">
        <f t="shared" si="5"/>
        <v>26.570000000000014</v>
      </c>
      <c r="R58" s="29" t="str">
        <f t="shared" si="6"/>
        <v/>
      </c>
      <c r="S58" s="29" t="str">
        <f t="shared" si="7"/>
        <v>&lt;</v>
      </c>
    </row>
    <row r="59" spans="2:19" x14ac:dyDescent="0.25">
      <c r="B59" s="22">
        <v>45926.026469907411</v>
      </c>
      <c r="C59" s="95">
        <v>0.23</v>
      </c>
      <c r="D59" s="62">
        <f t="shared" si="0"/>
        <v>26.800000000000015</v>
      </c>
      <c r="E59" s="24" t="str">
        <f t="shared" si="1"/>
        <v>W</v>
      </c>
      <c r="F59" s="29">
        <f t="shared" si="8"/>
        <v>1</v>
      </c>
      <c r="H59" s="29" t="str">
        <f t="shared" si="2"/>
        <v>&lt;</v>
      </c>
      <c r="M59" s="62" t="str">
        <f t="shared" si="3"/>
        <v/>
      </c>
      <c r="N59" s="24" t="str">
        <f t="shared" si="4"/>
        <v/>
      </c>
      <c r="O59" s="29" t="str">
        <f t="shared" si="9"/>
        <v/>
      </c>
      <c r="Q59" s="29">
        <f t="shared" si="5"/>
        <v>26.800000000000015</v>
      </c>
      <c r="R59" s="29" t="str">
        <f t="shared" si="6"/>
        <v/>
      </c>
      <c r="S59" s="29" t="str">
        <f t="shared" si="7"/>
        <v>&lt;</v>
      </c>
    </row>
    <row r="60" spans="2:19" x14ac:dyDescent="0.25">
      <c r="B60" s="22">
        <v>45926.046249999999</v>
      </c>
      <c r="C60" s="95">
        <v>-0.28000000000000003</v>
      </c>
      <c r="D60" s="62">
        <f t="shared" si="0"/>
        <v>26.520000000000014</v>
      </c>
      <c r="E60" s="24" t="str">
        <f t="shared" si="1"/>
        <v>L</v>
      </c>
      <c r="F60" s="29">
        <f t="shared" si="8"/>
        <v>1</v>
      </c>
      <c r="H60" s="29" t="str">
        <f t="shared" si="2"/>
        <v>&lt;</v>
      </c>
      <c r="M60" s="62" t="str">
        <f t="shared" si="3"/>
        <v/>
      </c>
      <c r="N60" s="24" t="str">
        <f t="shared" si="4"/>
        <v/>
      </c>
      <c r="O60" s="29" t="str">
        <f t="shared" si="9"/>
        <v/>
      </c>
      <c r="Q60" s="29">
        <f t="shared" si="5"/>
        <v>26.520000000000014</v>
      </c>
      <c r="R60" s="29" t="str">
        <f t="shared" si="6"/>
        <v/>
      </c>
      <c r="S60" s="29" t="str">
        <f t="shared" si="7"/>
        <v>&lt;</v>
      </c>
    </row>
    <row r="61" spans="2:19" x14ac:dyDescent="0.25">
      <c r="B61" s="22">
        <v>45926.055509259262</v>
      </c>
      <c r="C61" s="95">
        <v>0.36</v>
      </c>
      <c r="D61" s="62">
        <f t="shared" si="0"/>
        <v>26.880000000000013</v>
      </c>
      <c r="E61" s="24" t="str">
        <f t="shared" si="1"/>
        <v>W</v>
      </c>
      <c r="F61" s="29">
        <f t="shared" si="8"/>
        <v>1</v>
      </c>
      <c r="H61" s="29" t="str">
        <f t="shared" si="2"/>
        <v>&lt;</v>
      </c>
      <c r="M61" s="62" t="str">
        <f t="shared" si="3"/>
        <v/>
      </c>
      <c r="N61" s="24" t="str">
        <f t="shared" si="4"/>
        <v/>
      </c>
      <c r="O61" s="29" t="str">
        <f t="shared" si="9"/>
        <v/>
      </c>
      <c r="Q61" s="29">
        <f t="shared" si="5"/>
        <v>26.880000000000013</v>
      </c>
      <c r="R61" s="29" t="str">
        <f t="shared" si="6"/>
        <v/>
      </c>
      <c r="S61" s="29" t="str">
        <f t="shared" si="7"/>
        <v>&lt;</v>
      </c>
    </row>
    <row r="62" spans="2:19" x14ac:dyDescent="0.25">
      <c r="B62" s="22">
        <v>45926.086180555554</v>
      </c>
      <c r="C62" s="95">
        <v>-0.3</v>
      </c>
      <c r="D62" s="62">
        <f t="shared" si="0"/>
        <v>26.580000000000013</v>
      </c>
      <c r="E62" s="24" t="str">
        <f t="shared" si="1"/>
        <v>L</v>
      </c>
      <c r="F62" s="29">
        <f t="shared" si="8"/>
        <v>1</v>
      </c>
      <c r="H62" s="29" t="str">
        <f t="shared" si="2"/>
        <v>&lt;</v>
      </c>
      <c r="M62" s="62" t="str">
        <f t="shared" si="3"/>
        <v/>
      </c>
      <c r="N62" s="24" t="str">
        <f t="shared" si="4"/>
        <v/>
      </c>
      <c r="O62" s="29" t="str">
        <f t="shared" si="9"/>
        <v/>
      </c>
      <c r="Q62" s="29">
        <f t="shared" si="5"/>
        <v>26.580000000000013</v>
      </c>
      <c r="R62" s="29" t="str">
        <f t="shared" si="6"/>
        <v/>
      </c>
      <c r="S62" s="29" t="str">
        <f t="shared" si="7"/>
        <v>&lt;</v>
      </c>
    </row>
    <row r="63" spans="2:19" x14ac:dyDescent="0.25">
      <c r="B63" s="22">
        <v>45926.10701388889</v>
      </c>
      <c r="C63" s="95">
        <v>0.35</v>
      </c>
      <c r="D63" s="62">
        <f t="shared" si="0"/>
        <v>26.930000000000014</v>
      </c>
      <c r="E63" s="24" t="str">
        <f t="shared" si="1"/>
        <v>W</v>
      </c>
      <c r="F63" s="29">
        <f t="shared" si="8"/>
        <v>1</v>
      </c>
      <c r="H63" s="29" t="str">
        <f t="shared" si="2"/>
        <v>&lt;</v>
      </c>
      <c r="M63" s="62" t="str">
        <f t="shared" si="3"/>
        <v/>
      </c>
      <c r="N63" s="24" t="str">
        <f t="shared" si="4"/>
        <v/>
      </c>
      <c r="O63" s="29" t="str">
        <f t="shared" si="9"/>
        <v/>
      </c>
      <c r="Q63" s="29">
        <f t="shared" si="5"/>
        <v>26.930000000000014</v>
      </c>
      <c r="R63" s="29" t="str">
        <f t="shared" si="6"/>
        <v/>
      </c>
      <c r="S63" s="29" t="str">
        <f t="shared" si="7"/>
        <v>&lt;</v>
      </c>
    </row>
    <row r="64" spans="2:19" x14ac:dyDescent="0.25">
      <c r="B64" s="22">
        <v>45926.114074074074</v>
      </c>
      <c r="C64" s="95">
        <v>-0.3</v>
      </c>
      <c r="D64" s="62">
        <f t="shared" si="0"/>
        <v>26.630000000000013</v>
      </c>
      <c r="E64" s="24" t="str">
        <f t="shared" si="1"/>
        <v>L</v>
      </c>
      <c r="F64" s="29">
        <f t="shared" si="8"/>
        <v>1</v>
      </c>
      <c r="H64" s="29" t="str">
        <f t="shared" si="2"/>
        <v>&lt;</v>
      </c>
      <c r="M64" s="62" t="str">
        <f t="shared" si="3"/>
        <v/>
      </c>
      <c r="N64" s="24" t="str">
        <f t="shared" si="4"/>
        <v/>
      </c>
      <c r="O64" s="29" t="str">
        <f t="shared" si="9"/>
        <v/>
      </c>
      <c r="Q64" s="29">
        <f t="shared" si="5"/>
        <v>26.630000000000013</v>
      </c>
      <c r="R64" s="29" t="str">
        <f t="shared" si="6"/>
        <v/>
      </c>
      <c r="S64" s="29" t="str">
        <f t="shared" si="7"/>
        <v>&lt;</v>
      </c>
    </row>
    <row r="65" spans="2:19" x14ac:dyDescent="0.25">
      <c r="B65" s="22">
        <v>45926.145902777775</v>
      </c>
      <c r="C65" s="95">
        <v>0.35</v>
      </c>
      <c r="D65" s="62">
        <f t="shared" si="0"/>
        <v>26.980000000000015</v>
      </c>
      <c r="E65" s="24" t="str">
        <f t="shared" si="1"/>
        <v>W</v>
      </c>
      <c r="F65" s="29">
        <f t="shared" si="8"/>
        <v>1</v>
      </c>
      <c r="H65" s="29" t="str">
        <f t="shared" si="2"/>
        <v>&lt;</v>
      </c>
      <c r="M65" s="62" t="str">
        <f t="shared" si="3"/>
        <v/>
      </c>
      <c r="N65" s="24" t="str">
        <f t="shared" si="4"/>
        <v/>
      </c>
      <c r="O65" s="29" t="str">
        <f t="shared" si="9"/>
        <v/>
      </c>
      <c r="Q65" s="29">
        <f t="shared" si="5"/>
        <v>26.980000000000015</v>
      </c>
      <c r="R65" s="29" t="str">
        <f t="shared" si="6"/>
        <v/>
      </c>
      <c r="S65" s="29" t="str">
        <f t="shared" si="7"/>
        <v>&lt;</v>
      </c>
    </row>
    <row r="66" spans="2:19" x14ac:dyDescent="0.25">
      <c r="B66" s="22">
        <v>45926.155439814815</v>
      </c>
      <c r="C66" s="95">
        <v>-0.33</v>
      </c>
      <c r="D66" s="62">
        <f t="shared" si="0"/>
        <v>26.650000000000016</v>
      </c>
      <c r="E66" s="24" t="str">
        <f t="shared" si="1"/>
        <v>L</v>
      </c>
      <c r="F66" s="29">
        <f t="shared" si="8"/>
        <v>1</v>
      </c>
      <c r="H66" s="29" t="str">
        <f t="shared" si="2"/>
        <v>&lt;</v>
      </c>
      <c r="M66" s="62" t="str">
        <f t="shared" si="3"/>
        <v/>
      </c>
      <c r="N66" s="24" t="str">
        <f t="shared" si="4"/>
        <v/>
      </c>
      <c r="O66" s="29" t="str">
        <f t="shared" si="9"/>
        <v/>
      </c>
      <c r="Q66" s="29">
        <f t="shared" si="5"/>
        <v>26.650000000000016</v>
      </c>
      <c r="R66" s="29" t="str">
        <f t="shared" si="6"/>
        <v/>
      </c>
      <c r="S66" s="29" t="str">
        <f t="shared" si="7"/>
        <v>&lt;</v>
      </c>
    </row>
    <row r="67" spans="2:19" x14ac:dyDescent="0.25">
      <c r="B67" s="22">
        <v>45926.162615740737</v>
      </c>
      <c r="C67" s="95">
        <v>-0.3</v>
      </c>
      <c r="D67" s="62">
        <f t="shared" si="0"/>
        <v>26.350000000000016</v>
      </c>
      <c r="E67" s="24" t="str">
        <f t="shared" si="1"/>
        <v>L</v>
      </c>
      <c r="F67" s="29">
        <f t="shared" si="8"/>
        <v>2</v>
      </c>
      <c r="H67" s="29" t="str">
        <f t="shared" si="2"/>
        <v>&lt;</v>
      </c>
      <c r="M67" s="62" t="str">
        <f t="shared" si="3"/>
        <v/>
      </c>
      <c r="N67" s="24" t="str">
        <f t="shared" si="4"/>
        <v/>
      </c>
      <c r="O67" s="29" t="str">
        <f t="shared" si="9"/>
        <v/>
      </c>
      <c r="Q67" s="29">
        <f t="shared" si="5"/>
        <v>26.350000000000016</v>
      </c>
      <c r="R67" s="29" t="str">
        <f t="shared" si="6"/>
        <v/>
      </c>
      <c r="S67" s="29" t="str">
        <f t="shared" si="7"/>
        <v>&lt;</v>
      </c>
    </row>
    <row r="68" spans="2:19" x14ac:dyDescent="0.25">
      <c r="B68" s="22">
        <v>45926.193402777775</v>
      </c>
      <c r="C68" s="95">
        <v>-0.31</v>
      </c>
      <c r="D68" s="62">
        <f t="shared" si="0"/>
        <v>26.040000000000017</v>
      </c>
      <c r="E68" s="24" t="str">
        <f t="shared" si="1"/>
        <v>L</v>
      </c>
      <c r="F68" s="29">
        <f t="shared" si="8"/>
        <v>3</v>
      </c>
      <c r="H68" s="29" t="str">
        <f t="shared" si="2"/>
        <v>&lt;</v>
      </c>
      <c r="M68" s="62" t="str">
        <f t="shared" si="3"/>
        <v/>
      </c>
      <c r="N68" s="24" t="str">
        <f t="shared" si="4"/>
        <v/>
      </c>
      <c r="O68" s="29" t="str">
        <f t="shared" si="9"/>
        <v/>
      </c>
      <c r="Q68" s="29">
        <f t="shared" si="5"/>
        <v>26.040000000000017</v>
      </c>
      <c r="R68" s="29" t="str">
        <f t="shared" si="6"/>
        <v/>
      </c>
      <c r="S68" s="29" t="str">
        <f t="shared" si="7"/>
        <v>&lt;</v>
      </c>
    </row>
    <row r="69" spans="2:19" x14ac:dyDescent="0.25">
      <c r="B69" s="22">
        <v>45926.30982638889</v>
      </c>
      <c r="C69" s="95">
        <v>-0.15</v>
      </c>
      <c r="D69" s="62">
        <f t="shared" si="0"/>
        <v>25.890000000000018</v>
      </c>
      <c r="E69" s="24" t="str">
        <f t="shared" si="1"/>
        <v>L</v>
      </c>
      <c r="F69" s="29">
        <f t="shared" si="8"/>
        <v>4</v>
      </c>
      <c r="H69" s="29" t="str">
        <f t="shared" si="2"/>
        <v>&lt;</v>
      </c>
      <c r="M69" s="62" t="str">
        <f t="shared" si="3"/>
        <v/>
      </c>
      <c r="N69" s="24" t="str">
        <f t="shared" si="4"/>
        <v/>
      </c>
      <c r="O69" s="29" t="str">
        <f t="shared" si="9"/>
        <v/>
      </c>
      <c r="Q69" s="29">
        <f t="shared" si="5"/>
        <v>25.890000000000018</v>
      </c>
      <c r="R69" s="29" t="str">
        <f t="shared" si="6"/>
        <v/>
      </c>
      <c r="S69" s="29" t="str">
        <f t="shared" si="7"/>
        <v>&lt;</v>
      </c>
    </row>
    <row r="70" spans="2:19" x14ac:dyDescent="0.25">
      <c r="B70" s="22">
        <v>45926.31144675926</v>
      </c>
      <c r="C70" s="95">
        <v>-0.31</v>
      </c>
      <c r="D70" s="62">
        <f t="shared" si="0"/>
        <v>25.58000000000002</v>
      </c>
      <c r="E70" s="24" t="str">
        <f t="shared" si="1"/>
        <v>L</v>
      </c>
      <c r="F70" s="29">
        <f t="shared" si="8"/>
        <v>5</v>
      </c>
      <c r="H70" s="29" t="str">
        <f t="shared" si="2"/>
        <v>&lt;</v>
      </c>
      <c r="M70" s="62" t="str">
        <f t="shared" si="3"/>
        <v/>
      </c>
      <c r="N70" s="24" t="str">
        <f t="shared" si="4"/>
        <v/>
      </c>
      <c r="O70" s="29" t="str">
        <f t="shared" si="9"/>
        <v/>
      </c>
      <c r="Q70" s="29">
        <f t="shared" si="5"/>
        <v>25.58000000000002</v>
      </c>
      <c r="R70" s="29" t="str">
        <f t="shared" si="6"/>
        <v/>
      </c>
      <c r="S70" s="29" t="str">
        <f t="shared" si="7"/>
        <v>&lt;</v>
      </c>
    </row>
    <row r="71" spans="2:19" x14ac:dyDescent="0.25">
      <c r="B71" s="22">
        <v>45926.332858796297</v>
      </c>
      <c r="C71" s="95">
        <v>0.36</v>
      </c>
      <c r="D71" s="62">
        <f t="shared" si="0"/>
        <v>25.940000000000019</v>
      </c>
      <c r="E71" s="24" t="str">
        <f t="shared" si="1"/>
        <v>W</v>
      </c>
      <c r="F71" s="29">
        <f t="shared" si="8"/>
        <v>1</v>
      </c>
      <c r="H71" s="29" t="str">
        <f t="shared" si="2"/>
        <v>&lt;</v>
      </c>
      <c r="M71" s="62" t="str">
        <f t="shared" si="3"/>
        <v/>
      </c>
      <c r="N71" s="24" t="str">
        <f t="shared" si="4"/>
        <v/>
      </c>
      <c r="O71" s="29" t="str">
        <f t="shared" si="9"/>
        <v/>
      </c>
      <c r="Q71" s="29">
        <f t="shared" si="5"/>
        <v>25.940000000000019</v>
      </c>
      <c r="R71" s="29" t="str">
        <f t="shared" si="6"/>
        <v/>
      </c>
      <c r="S71" s="29" t="str">
        <f t="shared" si="7"/>
        <v>&lt;</v>
      </c>
    </row>
    <row r="72" spans="2:19" x14ac:dyDescent="0.25">
      <c r="B72" s="22">
        <v>45926.337141203701</v>
      </c>
      <c r="C72" s="95">
        <v>-0.31</v>
      </c>
      <c r="D72" s="62">
        <f t="shared" si="0"/>
        <v>25.63000000000002</v>
      </c>
      <c r="E72" s="24" t="str">
        <f t="shared" si="1"/>
        <v>L</v>
      </c>
      <c r="F72" s="29">
        <f t="shared" si="8"/>
        <v>1</v>
      </c>
      <c r="H72" s="29" t="str">
        <f t="shared" si="2"/>
        <v>&lt;</v>
      </c>
      <c r="M72" s="62" t="str">
        <f t="shared" si="3"/>
        <v/>
      </c>
      <c r="N72" s="24" t="str">
        <f t="shared" si="4"/>
        <v/>
      </c>
      <c r="O72" s="29" t="str">
        <f t="shared" si="9"/>
        <v/>
      </c>
      <c r="Q72" s="29">
        <f t="shared" si="5"/>
        <v>25.63000000000002</v>
      </c>
      <c r="R72" s="29" t="str">
        <f t="shared" si="6"/>
        <v/>
      </c>
      <c r="S72" s="29" t="str">
        <f t="shared" si="7"/>
        <v>&lt;</v>
      </c>
    </row>
    <row r="73" spans="2:19" x14ac:dyDescent="0.25">
      <c r="B73" s="22">
        <v>45926.344548611109</v>
      </c>
      <c r="C73" s="95">
        <v>-0.3</v>
      </c>
      <c r="D73" s="62">
        <f t="shared" si="0"/>
        <v>25.33000000000002</v>
      </c>
      <c r="E73" s="24" t="str">
        <f t="shared" si="1"/>
        <v>L</v>
      </c>
      <c r="F73" s="29">
        <f t="shared" si="8"/>
        <v>2</v>
      </c>
      <c r="H73" s="29" t="str">
        <f t="shared" si="2"/>
        <v>&lt;</v>
      </c>
      <c r="M73" s="62" t="str">
        <f t="shared" si="3"/>
        <v/>
      </c>
      <c r="N73" s="24" t="str">
        <f t="shared" si="4"/>
        <v/>
      </c>
      <c r="O73" s="29" t="str">
        <f t="shared" si="9"/>
        <v/>
      </c>
      <c r="Q73" s="29">
        <f t="shared" si="5"/>
        <v>25.33000000000002</v>
      </c>
      <c r="R73" s="29" t="str">
        <f t="shared" si="6"/>
        <v/>
      </c>
      <c r="S73" s="29" t="str">
        <f t="shared" si="7"/>
        <v>&lt;</v>
      </c>
    </row>
    <row r="74" spans="2:19" x14ac:dyDescent="0.25">
      <c r="B74" s="22">
        <v>45926.354733796295</v>
      </c>
      <c r="C74" s="95">
        <v>-0.3</v>
      </c>
      <c r="D74" s="62">
        <f t="shared" si="0"/>
        <v>25.030000000000019</v>
      </c>
      <c r="E74" s="24" t="str">
        <f t="shared" si="1"/>
        <v>L</v>
      </c>
      <c r="F74" s="29">
        <f t="shared" si="8"/>
        <v>3</v>
      </c>
      <c r="H74" s="29" t="str">
        <f t="shared" si="2"/>
        <v>&lt;</v>
      </c>
      <c r="M74" s="62" t="str">
        <f t="shared" si="3"/>
        <v/>
      </c>
      <c r="N74" s="24" t="str">
        <f t="shared" si="4"/>
        <v/>
      </c>
      <c r="O74" s="29" t="str">
        <f t="shared" si="9"/>
        <v/>
      </c>
      <c r="Q74" s="29">
        <f t="shared" si="5"/>
        <v>25.030000000000019</v>
      </c>
      <c r="R74" s="29" t="str">
        <f t="shared" si="6"/>
        <v/>
      </c>
      <c r="S74" s="29" t="str">
        <f t="shared" si="7"/>
        <v>&lt;</v>
      </c>
    </row>
    <row r="75" spans="2:19" x14ac:dyDescent="0.25">
      <c r="B75" s="22">
        <v>45926.37394675926</v>
      </c>
      <c r="C75" s="95">
        <v>0.34</v>
      </c>
      <c r="D75" s="62">
        <f t="shared" si="0"/>
        <v>25.370000000000019</v>
      </c>
      <c r="E75" s="24" t="str">
        <f t="shared" si="1"/>
        <v>W</v>
      </c>
      <c r="F75" s="29">
        <f t="shared" si="8"/>
        <v>1</v>
      </c>
      <c r="H75" s="29" t="str">
        <f t="shared" si="2"/>
        <v>&lt;</v>
      </c>
      <c r="M75" s="62" t="str">
        <f t="shared" si="3"/>
        <v/>
      </c>
      <c r="N75" s="24" t="str">
        <f t="shared" si="4"/>
        <v/>
      </c>
      <c r="O75" s="29" t="str">
        <f t="shared" si="9"/>
        <v/>
      </c>
      <c r="Q75" s="29">
        <f t="shared" si="5"/>
        <v>25.370000000000019</v>
      </c>
      <c r="R75" s="29" t="str">
        <f t="shared" si="6"/>
        <v/>
      </c>
      <c r="S75" s="29" t="str">
        <f t="shared" si="7"/>
        <v>&lt;</v>
      </c>
    </row>
    <row r="76" spans="2:19" x14ac:dyDescent="0.25">
      <c r="B76" s="22">
        <v>45926.380891203706</v>
      </c>
      <c r="C76" s="95">
        <v>-0.32</v>
      </c>
      <c r="D76" s="62">
        <f t="shared" si="0"/>
        <v>25.050000000000018</v>
      </c>
      <c r="E76" s="24" t="str">
        <f t="shared" si="1"/>
        <v>L</v>
      </c>
      <c r="F76" s="29">
        <f t="shared" si="8"/>
        <v>1</v>
      </c>
      <c r="H76" s="29" t="str">
        <f t="shared" si="2"/>
        <v>&lt;</v>
      </c>
      <c r="M76" s="62" t="str">
        <f t="shared" si="3"/>
        <v/>
      </c>
      <c r="N76" s="24" t="str">
        <f t="shared" si="4"/>
        <v/>
      </c>
      <c r="O76" s="29" t="str">
        <f t="shared" si="9"/>
        <v/>
      </c>
      <c r="Q76" s="29">
        <f t="shared" si="5"/>
        <v>25.050000000000018</v>
      </c>
      <c r="R76" s="29" t="str">
        <f t="shared" si="6"/>
        <v/>
      </c>
      <c r="S76" s="29" t="str">
        <f t="shared" si="7"/>
        <v>&lt;</v>
      </c>
    </row>
    <row r="77" spans="2:19" x14ac:dyDescent="0.25">
      <c r="B77" s="22">
        <v>45926.391886574071</v>
      </c>
      <c r="C77" s="95">
        <v>-0.3</v>
      </c>
      <c r="D77" s="62">
        <f t="shared" si="0"/>
        <v>24.750000000000018</v>
      </c>
      <c r="E77" s="24" t="str">
        <f t="shared" si="1"/>
        <v>L</v>
      </c>
      <c r="F77" s="29">
        <f t="shared" si="8"/>
        <v>2</v>
      </c>
      <c r="H77" s="29" t="str">
        <f t="shared" si="2"/>
        <v>&lt;</v>
      </c>
      <c r="M77" s="62" t="str">
        <f t="shared" si="3"/>
        <v/>
      </c>
      <c r="N77" s="24" t="str">
        <f t="shared" si="4"/>
        <v/>
      </c>
      <c r="O77" s="29" t="str">
        <f t="shared" si="9"/>
        <v/>
      </c>
      <c r="Q77" s="29">
        <f t="shared" si="5"/>
        <v>24.750000000000018</v>
      </c>
      <c r="R77" s="29" t="str">
        <f t="shared" si="6"/>
        <v/>
      </c>
      <c r="S77" s="29" t="str">
        <f t="shared" si="7"/>
        <v>&lt;</v>
      </c>
    </row>
    <row r="78" spans="2:19" x14ac:dyDescent="0.25">
      <c r="B78" s="22">
        <v>45926.41133101852</v>
      </c>
      <c r="C78" s="95">
        <v>0.35</v>
      </c>
      <c r="D78" s="62">
        <f t="shared" si="0"/>
        <v>25.100000000000019</v>
      </c>
      <c r="E78" s="24" t="str">
        <f t="shared" si="1"/>
        <v>W</v>
      </c>
      <c r="F78" s="29">
        <f t="shared" si="8"/>
        <v>1</v>
      </c>
      <c r="H78" s="29" t="str">
        <f t="shared" si="2"/>
        <v>&lt;</v>
      </c>
      <c r="M78" s="62" t="str">
        <f t="shared" si="3"/>
        <v/>
      </c>
      <c r="N78" s="24" t="str">
        <f t="shared" si="4"/>
        <v/>
      </c>
      <c r="O78" s="29" t="str">
        <f t="shared" si="9"/>
        <v/>
      </c>
      <c r="Q78" s="29">
        <f t="shared" si="5"/>
        <v>25.100000000000019</v>
      </c>
      <c r="R78" s="29" t="str">
        <f t="shared" si="6"/>
        <v/>
      </c>
      <c r="S78" s="29" t="str">
        <f t="shared" si="7"/>
        <v>&lt;</v>
      </c>
    </row>
    <row r="79" spans="2:19" x14ac:dyDescent="0.25">
      <c r="B79" s="1" t="s">
        <v>51</v>
      </c>
      <c r="C79" s="95">
        <v>-3.9</v>
      </c>
      <c r="D79" s="62" t="str">
        <f t="shared" si="0"/>
        <v/>
      </c>
      <c r="E79" s="24" t="str">
        <f t="shared" si="1"/>
        <v/>
      </c>
      <c r="F79" s="29" t="str">
        <f t="shared" si="8"/>
        <v/>
      </c>
      <c r="H79" s="29" t="str">
        <f t="shared" si="2"/>
        <v>&lt;</v>
      </c>
      <c r="M79" s="62" t="str">
        <f t="shared" si="3"/>
        <v/>
      </c>
      <c r="N79" s="24" t="str">
        <f t="shared" si="4"/>
        <v/>
      </c>
      <c r="O79" s="29" t="str">
        <f t="shared" si="9"/>
        <v/>
      </c>
      <c r="Q79" s="29" t="str">
        <f t="shared" si="5"/>
        <v/>
      </c>
      <c r="R79" s="29" t="str">
        <f t="shared" si="6"/>
        <v/>
      </c>
      <c r="S79" s="29" t="str">
        <f t="shared" si="7"/>
        <v>&lt;</v>
      </c>
    </row>
    <row r="80" spans="2:19" x14ac:dyDescent="0.25">
      <c r="D80" s="62" t="str">
        <f t="shared" si="0"/>
        <v/>
      </c>
      <c r="E80" s="24" t="str">
        <f t="shared" si="1"/>
        <v/>
      </c>
      <c r="F80" s="29" t="str">
        <f t="shared" si="8"/>
        <v/>
      </c>
      <c r="H80" s="29" t="str">
        <f t="shared" si="2"/>
        <v>&lt;</v>
      </c>
      <c r="M80" s="62" t="str">
        <f t="shared" si="3"/>
        <v/>
      </c>
      <c r="N80" s="24" t="str">
        <f t="shared" si="4"/>
        <v/>
      </c>
      <c r="O80" s="29" t="str">
        <f t="shared" si="9"/>
        <v/>
      </c>
      <c r="Q80" s="29" t="str">
        <f t="shared" si="5"/>
        <v/>
      </c>
      <c r="R80" s="29" t="str">
        <f t="shared" si="6"/>
        <v/>
      </c>
      <c r="S80" s="29" t="str">
        <f t="shared" si="7"/>
        <v>&lt;</v>
      </c>
    </row>
    <row r="81" spans="4:19" x14ac:dyDescent="0.25">
      <c r="D81" s="62" t="str">
        <f t="shared" si="0"/>
        <v/>
      </c>
      <c r="E81" s="24" t="str">
        <f t="shared" si="1"/>
        <v/>
      </c>
      <c r="F81" s="29" t="str">
        <f t="shared" si="8"/>
        <v/>
      </c>
      <c r="H81" s="29" t="str">
        <f t="shared" si="2"/>
        <v>&lt;</v>
      </c>
      <c r="M81" s="62" t="str">
        <f t="shared" si="3"/>
        <v/>
      </c>
      <c r="N81" s="24" t="str">
        <f t="shared" si="4"/>
        <v/>
      </c>
      <c r="O81" s="29" t="str">
        <f t="shared" si="9"/>
        <v/>
      </c>
      <c r="Q81" s="29" t="str">
        <f t="shared" si="5"/>
        <v/>
      </c>
      <c r="R81" s="29" t="str">
        <f t="shared" si="6"/>
        <v/>
      </c>
      <c r="S81" s="29" t="str">
        <f t="shared" si="7"/>
        <v>&lt;</v>
      </c>
    </row>
    <row r="82" spans="4:19" x14ac:dyDescent="0.25">
      <c r="D82" s="62" t="str">
        <f t="shared" si="0"/>
        <v/>
      </c>
      <c r="E82" s="24" t="str">
        <f t="shared" si="1"/>
        <v/>
      </c>
      <c r="F82" s="29" t="str">
        <f t="shared" si="8"/>
        <v/>
      </c>
      <c r="H82" s="29" t="str">
        <f t="shared" si="2"/>
        <v>&lt;</v>
      </c>
      <c r="M82" s="62" t="str">
        <f t="shared" si="3"/>
        <v/>
      </c>
      <c r="N82" s="24" t="str">
        <f t="shared" si="4"/>
        <v/>
      </c>
      <c r="O82" s="29" t="str">
        <f t="shared" si="9"/>
        <v/>
      </c>
      <c r="Q82" s="29" t="str">
        <f t="shared" si="5"/>
        <v/>
      </c>
      <c r="R82" s="29" t="str">
        <f t="shared" si="6"/>
        <v/>
      </c>
      <c r="S82" s="29" t="str">
        <f t="shared" si="7"/>
        <v>&lt;</v>
      </c>
    </row>
    <row r="83" spans="4:19" x14ac:dyDescent="0.25">
      <c r="D83" s="62" t="str">
        <f t="shared" si="0"/>
        <v/>
      </c>
      <c r="E83" s="24" t="str">
        <f t="shared" si="1"/>
        <v/>
      </c>
      <c r="F83" s="29" t="str">
        <f t="shared" si="8"/>
        <v/>
      </c>
      <c r="H83" s="29" t="str">
        <f t="shared" si="2"/>
        <v>&lt;</v>
      </c>
      <c r="M83" s="62" t="str">
        <f t="shared" si="3"/>
        <v/>
      </c>
      <c r="N83" s="24" t="str">
        <f t="shared" si="4"/>
        <v/>
      </c>
      <c r="O83" s="29" t="str">
        <f t="shared" si="9"/>
        <v/>
      </c>
      <c r="Q83" s="29" t="str">
        <f t="shared" si="5"/>
        <v/>
      </c>
      <c r="R83" s="29" t="str">
        <f t="shared" si="6"/>
        <v/>
      </c>
      <c r="S83" s="29" t="str">
        <f t="shared" si="7"/>
        <v>&lt;</v>
      </c>
    </row>
    <row r="84" spans="4:19" x14ac:dyDescent="0.25">
      <c r="D84" s="62" t="str">
        <f t="shared" si="0"/>
        <v/>
      </c>
      <c r="E84" s="24" t="str">
        <f t="shared" si="1"/>
        <v/>
      </c>
      <c r="F84" s="29" t="str">
        <f t="shared" si="8"/>
        <v/>
      </c>
      <c r="H84" s="29" t="str">
        <f t="shared" si="2"/>
        <v>&lt;</v>
      </c>
      <c r="M84" s="62" t="str">
        <f t="shared" si="3"/>
        <v/>
      </c>
      <c r="N84" s="24" t="str">
        <f t="shared" si="4"/>
        <v/>
      </c>
      <c r="O84" s="29" t="str">
        <f t="shared" si="9"/>
        <v/>
      </c>
      <c r="Q84" s="29" t="str">
        <f t="shared" si="5"/>
        <v/>
      </c>
      <c r="R84" s="29" t="str">
        <f t="shared" si="6"/>
        <v/>
      </c>
      <c r="S84" s="29" t="str">
        <f t="shared" si="7"/>
        <v>&lt;</v>
      </c>
    </row>
    <row r="85" spans="4:19" x14ac:dyDescent="0.25">
      <c r="D85" s="62" t="str">
        <f t="shared" si="0"/>
        <v/>
      </c>
      <c r="E85" s="24" t="str">
        <f t="shared" si="1"/>
        <v/>
      </c>
      <c r="F85" s="29" t="str">
        <f t="shared" si="8"/>
        <v/>
      </c>
      <c r="H85" s="29" t="str">
        <f t="shared" si="2"/>
        <v>&lt;</v>
      </c>
      <c r="M85" s="62" t="str">
        <f t="shared" si="3"/>
        <v/>
      </c>
      <c r="N85" s="24" t="str">
        <f t="shared" si="4"/>
        <v/>
      </c>
      <c r="O85" s="29" t="str">
        <f t="shared" si="9"/>
        <v/>
      </c>
      <c r="Q85" s="29" t="str">
        <f t="shared" si="5"/>
        <v/>
      </c>
      <c r="R85" s="29" t="str">
        <f t="shared" si="6"/>
        <v/>
      </c>
      <c r="S85" s="29" t="str">
        <f t="shared" si="7"/>
        <v>&lt;</v>
      </c>
    </row>
    <row r="86" spans="4:19" x14ac:dyDescent="0.25">
      <c r="D86" s="62" t="str">
        <f t="shared" si="0"/>
        <v/>
      </c>
      <c r="E86" s="24" t="str">
        <f t="shared" si="1"/>
        <v/>
      </c>
      <c r="F86" s="29" t="str">
        <f t="shared" si="8"/>
        <v/>
      </c>
      <c r="H86" s="29" t="str">
        <f t="shared" si="2"/>
        <v>&lt;</v>
      </c>
      <c r="M86" s="62" t="str">
        <f t="shared" si="3"/>
        <v/>
      </c>
      <c r="N86" s="24" t="str">
        <f t="shared" si="4"/>
        <v/>
      </c>
      <c r="O86" s="29" t="str">
        <f t="shared" si="9"/>
        <v/>
      </c>
      <c r="Q86" s="29" t="str">
        <f t="shared" si="5"/>
        <v/>
      </c>
      <c r="R86" s="29" t="str">
        <f t="shared" si="6"/>
        <v/>
      </c>
      <c r="S86" s="29" t="str">
        <f t="shared" si="7"/>
        <v>&lt;</v>
      </c>
    </row>
    <row r="87" spans="4:19" x14ac:dyDescent="0.25">
      <c r="D87" s="62" t="str">
        <f t="shared" ref="D87:D150" si="10">IF(OR(B87="Grand Total",B87=""),"",D86+C87)</f>
        <v/>
      </c>
      <c r="E87" s="24" t="str">
        <f t="shared" ref="E87:E150" si="11">IF(OR(C87="",B87="Grand Total"),"",IF(C87&lt;0,"L","W"))</f>
        <v/>
      </c>
      <c r="F87" s="29" t="str">
        <f t="shared" si="8"/>
        <v/>
      </c>
      <c r="H87" s="29" t="str">
        <f t="shared" ref="H87:H135" si="12">IF(D87&gt;M87,"&gt;","&lt;")</f>
        <v>&lt;</v>
      </c>
      <c r="M87" s="62" t="str">
        <f t="shared" ref="M87:M150" si="13">IF(OR(K87="Grand Total",K87=""),"",M86+L87)</f>
        <v/>
      </c>
      <c r="N87" s="24" t="str">
        <f t="shared" ref="N87:N150" si="14">IF(OR(L87="",K87="Grand Total"),"",IF(L87&lt;0,"L","W"))</f>
        <v/>
      </c>
      <c r="O87" s="29" t="str">
        <f t="shared" si="9"/>
        <v/>
      </c>
      <c r="Q87" s="29" t="str">
        <f t="shared" ref="Q87:Q145" si="15">D87</f>
        <v/>
      </c>
      <c r="R87" s="29" t="str">
        <f t="shared" ref="R87:R140" si="16">M87</f>
        <v/>
      </c>
      <c r="S87" s="29" t="str">
        <f t="shared" ref="S87:S139" si="17">IF(D87&gt;M87,"&gt;","&lt;")</f>
        <v>&lt;</v>
      </c>
    </row>
    <row r="88" spans="4:19" x14ac:dyDescent="0.25">
      <c r="D88" s="62" t="str">
        <f t="shared" si="10"/>
        <v/>
      </c>
      <c r="E88" s="24" t="str">
        <f t="shared" si="11"/>
        <v/>
      </c>
      <c r="F88" s="29" t="str">
        <f t="shared" ref="F88:F151" si="18">IF(E88="","",IF(E88=E87,F87+1,1))</f>
        <v/>
      </c>
      <c r="H88" s="29" t="str">
        <f t="shared" si="12"/>
        <v>&lt;</v>
      </c>
      <c r="M88" s="62" t="str">
        <f t="shared" si="13"/>
        <v/>
      </c>
      <c r="N88" s="24" t="str">
        <f t="shared" si="14"/>
        <v/>
      </c>
      <c r="O88" s="29" t="str">
        <f t="shared" ref="O88:O151" si="19">IF(N88="","",IF(N88=N87,O87+1,1))</f>
        <v/>
      </c>
      <c r="Q88" s="29" t="str">
        <f t="shared" si="15"/>
        <v/>
      </c>
      <c r="R88" s="29" t="str">
        <f t="shared" si="16"/>
        <v/>
      </c>
      <c r="S88" s="29" t="str">
        <f t="shared" si="17"/>
        <v>&lt;</v>
      </c>
    </row>
    <row r="89" spans="4:19" x14ac:dyDescent="0.25">
      <c r="D89" s="62" t="str">
        <f t="shared" si="10"/>
        <v/>
      </c>
      <c r="E89" s="24" t="str">
        <f t="shared" si="11"/>
        <v/>
      </c>
      <c r="F89" s="29" t="str">
        <f t="shared" si="18"/>
        <v/>
      </c>
      <c r="H89" s="29" t="str">
        <f t="shared" si="12"/>
        <v>&lt;</v>
      </c>
      <c r="M89" s="62" t="str">
        <f t="shared" si="13"/>
        <v/>
      </c>
      <c r="N89" s="24" t="str">
        <f t="shared" si="14"/>
        <v/>
      </c>
      <c r="O89" s="29" t="str">
        <f t="shared" si="19"/>
        <v/>
      </c>
      <c r="Q89" s="29" t="str">
        <f t="shared" si="15"/>
        <v/>
      </c>
      <c r="R89" s="29" t="str">
        <f t="shared" si="16"/>
        <v/>
      </c>
      <c r="S89" s="29" t="str">
        <f t="shared" si="17"/>
        <v>&lt;</v>
      </c>
    </row>
    <row r="90" spans="4:19" x14ac:dyDescent="0.25">
      <c r="D90" s="62" t="str">
        <f t="shared" si="10"/>
        <v/>
      </c>
      <c r="E90" s="24" t="str">
        <f t="shared" si="11"/>
        <v/>
      </c>
      <c r="F90" s="29" t="str">
        <f t="shared" si="18"/>
        <v/>
      </c>
      <c r="H90" s="29" t="str">
        <f t="shared" si="12"/>
        <v>&lt;</v>
      </c>
      <c r="M90" s="62" t="str">
        <f t="shared" si="13"/>
        <v/>
      </c>
      <c r="N90" s="24" t="str">
        <f t="shared" si="14"/>
        <v/>
      </c>
      <c r="O90" s="29" t="str">
        <f t="shared" si="19"/>
        <v/>
      </c>
      <c r="Q90" s="29" t="str">
        <f t="shared" si="15"/>
        <v/>
      </c>
      <c r="R90" s="29" t="str">
        <f t="shared" si="16"/>
        <v/>
      </c>
      <c r="S90" s="29" t="str">
        <f t="shared" si="17"/>
        <v>&lt;</v>
      </c>
    </row>
    <row r="91" spans="4:19" x14ac:dyDescent="0.25">
      <c r="D91" s="62" t="str">
        <f t="shared" si="10"/>
        <v/>
      </c>
      <c r="E91" s="24" t="str">
        <f t="shared" si="11"/>
        <v/>
      </c>
      <c r="F91" s="29" t="str">
        <f t="shared" si="18"/>
        <v/>
      </c>
      <c r="H91" s="29" t="str">
        <f t="shared" si="12"/>
        <v>&lt;</v>
      </c>
      <c r="M91" s="62" t="str">
        <f t="shared" si="13"/>
        <v/>
      </c>
      <c r="N91" s="24" t="str">
        <f t="shared" si="14"/>
        <v/>
      </c>
      <c r="O91" s="29" t="str">
        <f t="shared" si="19"/>
        <v/>
      </c>
      <c r="Q91" s="29" t="str">
        <f t="shared" si="15"/>
        <v/>
      </c>
      <c r="R91" s="29" t="str">
        <f t="shared" si="16"/>
        <v/>
      </c>
      <c r="S91" s="29" t="str">
        <f t="shared" si="17"/>
        <v>&lt;</v>
      </c>
    </row>
    <row r="92" spans="4:19" x14ac:dyDescent="0.25">
      <c r="D92" s="62" t="str">
        <f t="shared" si="10"/>
        <v/>
      </c>
      <c r="E92" s="24" t="str">
        <f t="shared" si="11"/>
        <v/>
      </c>
      <c r="F92" s="29" t="str">
        <f t="shared" si="18"/>
        <v/>
      </c>
      <c r="H92" s="29" t="str">
        <f t="shared" si="12"/>
        <v>&lt;</v>
      </c>
      <c r="M92" s="62" t="str">
        <f t="shared" si="13"/>
        <v/>
      </c>
      <c r="N92" s="24" t="str">
        <f t="shared" si="14"/>
        <v/>
      </c>
      <c r="O92" s="29" t="str">
        <f t="shared" si="19"/>
        <v/>
      </c>
      <c r="Q92" s="29" t="str">
        <f t="shared" si="15"/>
        <v/>
      </c>
      <c r="R92" s="29" t="str">
        <f t="shared" si="16"/>
        <v/>
      </c>
      <c r="S92" s="29" t="str">
        <f t="shared" si="17"/>
        <v>&lt;</v>
      </c>
    </row>
    <row r="93" spans="4:19" x14ac:dyDescent="0.25">
      <c r="D93" s="62" t="str">
        <f t="shared" si="10"/>
        <v/>
      </c>
      <c r="E93" s="24" t="str">
        <f t="shared" si="11"/>
        <v/>
      </c>
      <c r="F93" s="29" t="str">
        <f t="shared" si="18"/>
        <v/>
      </c>
      <c r="H93" s="29" t="str">
        <f t="shared" si="12"/>
        <v>&lt;</v>
      </c>
      <c r="M93" s="62" t="str">
        <f t="shared" si="13"/>
        <v/>
      </c>
      <c r="N93" s="24" t="str">
        <f t="shared" si="14"/>
        <v/>
      </c>
      <c r="O93" s="29" t="str">
        <f t="shared" si="19"/>
        <v/>
      </c>
      <c r="Q93" s="29" t="str">
        <f t="shared" si="15"/>
        <v/>
      </c>
      <c r="R93" s="29" t="str">
        <f t="shared" si="16"/>
        <v/>
      </c>
      <c r="S93" s="29" t="str">
        <f t="shared" si="17"/>
        <v>&lt;</v>
      </c>
    </row>
    <row r="94" spans="4:19" x14ac:dyDescent="0.25">
      <c r="D94" s="62" t="str">
        <f t="shared" si="10"/>
        <v/>
      </c>
      <c r="E94" s="24" t="str">
        <f t="shared" si="11"/>
        <v/>
      </c>
      <c r="F94" s="29" t="str">
        <f t="shared" si="18"/>
        <v/>
      </c>
      <c r="H94" s="29" t="str">
        <f t="shared" si="12"/>
        <v>&lt;</v>
      </c>
      <c r="M94" s="62" t="str">
        <f t="shared" si="13"/>
        <v/>
      </c>
      <c r="N94" s="24" t="str">
        <f t="shared" si="14"/>
        <v/>
      </c>
      <c r="O94" s="29" t="str">
        <f t="shared" si="19"/>
        <v/>
      </c>
      <c r="Q94" s="29" t="str">
        <f t="shared" si="15"/>
        <v/>
      </c>
      <c r="R94" s="29" t="str">
        <f t="shared" si="16"/>
        <v/>
      </c>
      <c r="S94" s="29" t="str">
        <f t="shared" si="17"/>
        <v>&lt;</v>
      </c>
    </row>
    <row r="95" spans="4:19" x14ac:dyDescent="0.25">
      <c r="D95" s="62" t="str">
        <f t="shared" si="10"/>
        <v/>
      </c>
      <c r="E95" s="24" t="str">
        <f t="shared" si="11"/>
        <v/>
      </c>
      <c r="F95" s="29" t="str">
        <f t="shared" si="18"/>
        <v/>
      </c>
      <c r="H95" s="29" t="str">
        <f t="shared" si="12"/>
        <v>&lt;</v>
      </c>
      <c r="M95" s="62" t="str">
        <f t="shared" si="13"/>
        <v/>
      </c>
      <c r="N95" s="24" t="str">
        <f t="shared" si="14"/>
        <v/>
      </c>
      <c r="O95" s="29" t="str">
        <f t="shared" si="19"/>
        <v/>
      </c>
      <c r="Q95" s="29" t="str">
        <f t="shared" si="15"/>
        <v/>
      </c>
      <c r="R95" s="29" t="str">
        <f t="shared" si="16"/>
        <v/>
      </c>
      <c r="S95" s="29" t="str">
        <f t="shared" si="17"/>
        <v>&lt;</v>
      </c>
    </row>
    <row r="96" spans="4:19" x14ac:dyDescent="0.25">
      <c r="D96" s="62" t="str">
        <f t="shared" si="10"/>
        <v/>
      </c>
      <c r="E96" s="24" t="str">
        <f t="shared" si="11"/>
        <v/>
      </c>
      <c r="F96" s="29" t="str">
        <f t="shared" si="18"/>
        <v/>
      </c>
      <c r="H96" s="29" t="str">
        <f t="shared" si="12"/>
        <v>&lt;</v>
      </c>
      <c r="M96" s="62" t="str">
        <f t="shared" si="13"/>
        <v/>
      </c>
      <c r="N96" s="24" t="str">
        <f t="shared" si="14"/>
        <v/>
      </c>
      <c r="O96" s="29" t="str">
        <f t="shared" si="19"/>
        <v/>
      </c>
      <c r="Q96" s="29" t="str">
        <f t="shared" si="15"/>
        <v/>
      </c>
      <c r="R96" s="29" t="str">
        <f t="shared" si="16"/>
        <v/>
      </c>
      <c r="S96" s="29" t="str">
        <f t="shared" si="17"/>
        <v>&lt;</v>
      </c>
    </row>
    <row r="97" spans="4:19" x14ac:dyDescent="0.25">
      <c r="D97" s="62" t="str">
        <f t="shared" si="10"/>
        <v/>
      </c>
      <c r="E97" s="24" t="str">
        <f t="shared" si="11"/>
        <v/>
      </c>
      <c r="F97" s="29" t="str">
        <f t="shared" si="18"/>
        <v/>
      </c>
      <c r="H97" s="29" t="str">
        <f t="shared" si="12"/>
        <v>&lt;</v>
      </c>
      <c r="M97" s="62" t="str">
        <f t="shared" si="13"/>
        <v/>
      </c>
      <c r="N97" s="24" t="str">
        <f t="shared" si="14"/>
        <v/>
      </c>
      <c r="O97" s="29" t="str">
        <f t="shared" si="19"/>
        <v/>
      </c>
      <c r="Q97" s="29" t="str">
        <f t="shared" si="15"/>
        <v/>
      </c>
      <c r="R97" s="29" t="str">
        <f t="shared" si="16"/>
        <v/>
      </c>
      <c r="S97" s="29" t="str">
        <f t="shared" si="17"/>
        <v>&lt;</v>
      </c>
    </row>
    <row r="98" spans="4:19" x14ac:dyDescent="0.25">
      <c r="D98" s="62" t="str">
        <f t="shared" si="10"/>
        <v/>
      </c>
      <c r="E98" s="24" t="str">
        <f t="shared" si="11"/>
        <v/>
      </c>
      <c r="F98" s="29" t="str">
        <f t="shared" si="18"/>
        <v/>
      </c>
      <c r="H98" s="29" t="str">
        <f t="shared" si="12"/>
        <v>&lt;</v>
      </c>
      <c r="M98" s="62" t="str">
        <f t="shared" si="13"/>
        <v/>
      </c>
      <c r="N98" s="24" t="str">
        <f t="shared" si="14"/>
        <v/>
      </c>
      <c r="O98" s="29" t="str">
        <f t="shared" si="19"/>
        <v/>
      </c>
      <c r="Q98" s="29" t="str">
        <f t="shared" si="15"/>
        <v/>
      </c>
      <c r="R98" s="29" t="str">
        <f t="shared" si="16"/>
        <v/>
      </c>
      <c r="S98" s="29" t="str">
        <f t="shared" si="17"/>
        <v>&lt;</v>
      </c>
    </row>
    <row r="99" spans="4:19" x14ac:dyDescent="0.25">
      <c r="D99" s="62" t="str">
        <f t="shared" si="10"/>
        <v/>
      </c>
      <c r="E99" s="24" t="str">
        <f t="shared" si="11"/>
        <v/>
      </c>
      <c r="F99" s="29" t="str">
        <f t="shared" si="18"/>
        <v/>
      </c>
      <c r="H99" s="29" t="str">
        <f t="shared" si="12"/>
        <v>&lt;</v>
      </c>
      <c r="M99" s="62" t="str">
        <f t="shared" si="13"/>
        <v/>
      </c>
      <c r="N99" s="24" t="str">
        <f t="shared" si="14"/>
        <v/>
      </c>
      <c r="O99" s="29" t="str">
        <f t="shared" si="19"/>
        <v/>
      </c>
      <c r="Q99" s="29" t="str">
        <f t="shared" si="15"/>
        <v/>
      </c>
      <c r="R99" s="29" t="str">
        <f t="shared" si="16"/>
        <v/>
      </c>
      <c r="S99" s="29" t="str">
        <f t="shared" si="17"/>
        <v>&lt;</v>
      </c>
    </row>
    <row r="100" spans="4:19" x14ac:dyDescent="0.25">
      <c r="D100" s="62" t="str">
        <f t="shared" si="10"/>
        <v/>
      </c>
      <c r="E100" s="24" t="str">
        <f t="shared" si="11"/>
        <v/>
      </c>
      <c r="F100" s="29" t="str">
        <f t="shared" si="18"/>
        <v/>
      </c>
      <c r="H100" s="29" t="str">
        <f t="shared" si="12"/>
        <v>&lt;</v>
      </c>
      <c r="M100" s="62" t="str">
        <f t="shared" si="13"/>
        <v/>
      </c>
      <c r="N100" s="24" t="str">
        <f t="shared" si="14"/>
        <v/>
      </c>
      <c r="O100" s="29" t="str">
        <f t="shared" si="19"/>
        <v/>
      </c>
      <c r="Q100" s="29" t="str">
        <f t="shared" si="15"/>
        <v/>
      </c>
      <c r="R100" s="29" t="str">
        <f t="shared" si="16"/>
        <v/>
      </c>
      <c r="S100" s="29" t="str">
        <f t="shared" si="17"/>
        <v>&lt;</v>
      </c>
    </row>
    <row r="101" spans="4:19" x14ac:dyDescent="0.25">
      <c r="D101" s="62" t="str">
        <f t="shared" si="10"/>
        <v/>
      </c>
      <c r="E101" s="24" t="str">
        <f t="shared" si="11"/>
        <v/>
      </c>
      <c r="F101" s="29" t="str">
        <f t="shared" si="18"/>
        <v/>
      </c>
      <c r="H101" s="29" t="str">
        <f t="shared" si="12"/>
        <v>&lt;</v>
      </c>
      <c r="M101" s="62" t="str">
        <f t="shared" si="13"/>
        <v/>
      </c>
      <c r="N101" s="24" t="str">
        <f t="shared" si="14"/>
        <v/>
      </c>
      <c r="O101" s="29" t="str">
        <f t="shared" si="19"/>
        <v/>
      </c>
      <c r="Q101" s="29" t="str">
        <f t="shared" si="15"/>
        <v/>
      </c>
      <c r="R101" s="29" t="str">
        <f t="shared" si="16"/>
        <v/>
      </c>
      <c r="S101" s="29" t="str">
        <f t="shared" si="17"/>
        <v>&lt;</v>
      </c>
    </row>
    <row r="102" spans="4:19" x14ac:dyDescent="0.25">
      <c r="D102" s="62" t="str">
        <f t="shared" si="10"/>
        <v/>
      </c>
      <c r="E102" s="24" t="str">
        <f t="shared" si="11"/>
        <v/>
      </c>
      <c r="F102" s="29" t="str">
        <f t="shared" si="18"/>
        <v/>
      </c>
      <c r="H102" s="29" t="str">
        <f t="shared" si="12"/>
        <v>&lt;</v>
      </c>
      <c r="M102" s="62" t="str">
        <f t="shared" si="13"/>
        <v/>
      </c>
      <c r="N102" s="24" t="str">
        <f t="shared" si="14"/>
        <v/>
      </c>
      <c r="O102" s="29" t="str">
        <f t="shared" si="19"/>
        <v/>
      </c>
      <c r="Q102" s="29" t="str">
        <f t="shared" si="15"/>
        <v/>
      </c>
      <c r="R102" s="29" t="str">
        <f t="shared" si="16"/>
        <v/>
      </c>
      <c r="S102" s="29" t="str">
        <f t="shared" si="17"/>
        <v>&lt;</v>
      </c>
    </row>
    <row r="103" spans="4:19" x14ac:dyDescent="0.25">
      <c r="D103" s="62" t="str">
        <f t="shared" si="10"/>
        <v/>
      </c>
      <c r="E103" s="24" t="str">
        <f t="shared" si="11"/>
        <v/>
      </c>
      <c r="F103" s="29" t="str">
        <f t="shared" si="18"/>
        <v/>
      </c>
      <c r="H103" s="29" t="str">
        <f t="shared" si="12"/>
        <v>&lt;</v>
      </c>
      <c r="M103" s="62" t="str">
        <f t="shared" si="13"/>
        <v/>
      </c>
      <c r="N103" s="24" t="str">
        <f t="shared" si="14"/>
        <v/>
      </c>
      <c r="O103" s="29" t="str">
        <f t="shared" si="19"/>
        <v/>
      </c>
      <c r="Q103" s="29" t="str">
        <f t="shared" si="15"/>
        <v/>
      </c>
      <c r="R103" s="29" t="str">
        <f t="shared" si="16"/>
        <v/>
      </c>
      <c r="S103" s="29" t="str">
        <f t="shared" si="17"/>
        <v>&lt;</v>
      </c>
    </row>
    <row r="104" spans="4:19" x14ac:dyDescent="0.25">
      <c r="D104" s="62" t="str">
        <f t="shared" si="10"/>
        <v/>
      </c>
      <c r="E104" s="24" t="str">
        <f t="shared" si="11"/>
        <v/>
      </c>
      <c r="F104" s="29" t="str">
        <f t="shared" si="18"/>
        <v/>
      </c>
      <c r="H104" s="29" t="str">
        <f t="shared" si="12"/>
        <v>&lt;</v>
      </c>
      <c r="M104" s="62" t="str">
        <f t="shared" si="13"/>
        <v/>
      </c>
      <c r="N104" s="24" t="str">
        <f t="shared" si="14"/>
        <v/>
      </c>
      <c r="O104" s="29" t="str">
        <f t="shared" si="19"/>
        <v/>
      </c>
      <c r="Q104" s="29" t="str">
        <f t="shared" si="15"/>
        <v/>
      </c>
      <c r="R104" s="29" t="str">
        <f t="shared" si="16"/>
        <v/>
      </c>
      <c r="S104" s="29" t="str">
        <f t="shared" si="17"/>
        <v>&lt;</v>
      </c>
    </row>
    <row r="105" spans="4:19" x14ac:dyDescent="0.25">
      <c r="D105" s="62" t="str">
        <f t="shared" si="10"/>
        <v/>
      </c>
      <c r="E105" s="24" t="str">
        <f t="shared" si="11"/>
        <v/>
      </c>
      <c r="F105" s="29" t="str">
        <f t="shared" si="18"/>
        <v/>
      </c>
      <c r="H105" s="29" t="str">
        <f t="shared" si="12"/>
        <v>&lt;</v>
      </c>
      <c r="M105" s="62" t="str">
        <f t="shared" si="13"/>
        <v/>
      </c>
      <c r="N105" s="24" t="str">
        <f t="shared" si="14"/>
        <v/>
      </c>
      <c r="O105" s="29" t="str">
        <f t="shared" si="19"/>
        <v/>
      </c>
      <c r="Q105" s="29" t="str">
        <f t="shared" si="15"/>
        <v/>
      </c>
      <c r="R105" s="29" t="str">
        <f t="shared" si="16"/>
        <v/>
      </c>
      <c r="S105" s="29" t="str">
        <f t="shared" si="17"/>
        <v>&lt;</v>
      </c>
    </row>
    <row r="106" spans="4:19" x14ac:dyDescent="0.25">
      <c r="D106" s="62" t="str">
        <f t="shared" si="10"/>
        <v/>
      </c>
      <c r="E106" s="24" t="str">
        <f t="shared" si="11"/>
        <v/>
      </c>
      <c r="F106" s="29" t="str">
        <f t="shared" si="18"/>
        <v/>
      </c>
      <c r="H106" s="29" t="str">
        <f t="shared" si="12"/>
        <v>&lt;</v>
      </c>
      <c r="M106" s="62" t="str">
        <f t="shared" si="13"/>
        <v/>
      </c>
      <c r="N106" s="24" t="str">
        <f t="shared" si="14"/>
        <v/>
      </c>
      <c r="O106" s="29" t="str">
        <f t="shared" si="19"/>
        <v/>
      </c>
      <c r="Q106" s="29" t="str">
        <f t="shared" si="15"/>
        <v/>
      </c>
      <c r="R106" s="29" t="str">
        <f t="shared" si="16"/>
        <v/>
      </c>
      <c r="S106" s="29" t="str">
        <f t="shared" si="17"/>
        <v>&lt;</v>
      </c>
    </row>
    <row r="107" spans="4:19" x14ac:dyDescent="0.25">
      <c r="D107" s="62" t="str">
        <f t="shared" si="10"/>
        <v/>
      </c>
      <c r="E107" s="24" t="str">
        <f t="shared" si="11"/>
        <v/>
      </c>
      <c r="F107" s="29" t="str">
        <f t="shared" si="18"/>
        <v/>
      </c>
      <c r="H107" s="29" t="str">
        <f t="shared" si="12"/>
        <v>&lt;</v>
      </c>
      <c r="M107" s="62" t="str">
        <f t="shared" si="13"/>
        <v/>
      </c>
      <c r="N107" s="24" t="str">
        <f t="shared" si="14"/>
        <v/>
      </c>
      <c r="O107" s="29" t="str">
        <f t="shared" si="19"/>
        <v/>
      </c>
      <c r="Q107" s="29" t="str">
        <f t="shared" si="15"/>
        <v/>
      </c>
      <c r="R107" s="29" t="str">
        <f t="shared" si="16"/>
        <v/>
      </c>
      <c r="S107" s="29" t="str">
        <f t="shared" si="17"/>
        <v>&lt;</v>
      </c>
    </row>
    <row r="108" spans="4:19" x14ac:dyDescent="0.25">
      <c r="D108" s="62" t="str">
        <f t="shared" si="10"/>
        <v/>
      </c>
      <c r="E108" s="24" t="str">
        <f t="shared" si="11"/>
        <v/>
      </c>
      <c r="F108" s="29" t="str">
        <f t="shared" si="18"/>
        <v/>
      </c>
      <c r="H108" s="29" t="str">
        <f t="shared" si="12"/>
        <v>&lt;</v>
      </c>
      <c r="M108" s="62" t="str">
        <f t="shared" si="13"/>
        <v/>
      </c>
      <c r="N108" s="24" t="str">
        <f t="shared" si="14"/>
        <v/>
      </c>
      <c r="O108" s="29" t="str">
        <f t="shared" si="19"/>
        <v/>
      </c>
      <c r="Q108" s="29" t="str">
        <f t="shared" si="15"/>
        <v/>
      </c>
      <c r="R108" s="29" t="str">
        <f t="shared" si="16"/>
        <v/>
      </c>
      <c r="S108" s="29" t="str">
        <f t="shared" si="17"/>
        <v>&lt;</v>
      </c>
    </row>
    <row r="109" spans="4:19" x14ac:dyDescent="0.25">
      <c r="D109" s="62" t="str">
        <f t="shared" si="10"/>
        <v/>
      </c>
      <c r="E109" s="24" t="str">
        <f t="shared" si="11"/>
        <v/>
      </c>
      <c r="F109" s="29" t="str">
        <f t="shared" si="18"/>
        <v/>
      </c>
      <c r="H109" s="29" t="str">
        <f t="shared" si="12"/>
        <v>&lt;</v>
      </c>
      <c r="M109" s="62" t="str">
        <f t="shared" si="13"/>
        <v/>
      </c>
      <c r="N109" s="24" t="str">
        <f t="shared" si="14"/>
        <v/>
      </c>
      <c r="O109" s="29" t="str">
        <f t="shared" si="19"/>
        <v/>
      </c>
      <c r="Q109" s="29" t="str">
        <f t="shared" si="15"/>
        <v/>
      </c>
      <c r="R109" s="29" t="str">
        <f t="shared" si="16"/>
        <v/>
      </c>
      <c r="S109" s="29" t="str">
        <f t="shared" si="17"/>
        <v>&lt;</v>
      </c>
    </row>
    <row r="110" spans="4:19" x14ac:dyDescent="0.25">
      <c r="D110" s="62" t="str">
        <f t="shared" si="10"/>
        <v/>
      </c>
      <c r="E110" s="24" t="str">
        <f t="shared" si="11"/>
        <v/>
      </c>
      <c r="F110" s="29" t="str">
        <f t="shared" si="18"/>
        <v/>
      </c>
      <c r="H110" s="29" t="str">
        <f t="shared" si="12"/>
        <v>&lt;</v>
      </c>
      <c r="M110" s="62" t="str">
        <f t="shared" si="13"/>
        <v/>
      </c>
      <c r="N110" s="24" t="str">
        <f t="shared" si="14"/>
        <v/>
      </c>
      <c r="O110" s="29" t="str">
        <f t="shared" si="19"/>
        <v/>
      </c>
      <c r="Q110" s="29" t="str">
        <f t="shared" si="15"/>
        <v/>
      </c>
      <c r="R110" s="29" t="str">
        <f t="shared" si="16"/>
        <v/>
      </c>
      <c r="S110" s="29" t="str">
        <f t="shared" si="17"/>
        <v>&lt;</v>
      </c>
    </row>
    <row r="111" spans="4:19" x14ac:dyDescent="0.25">
      <c r="D111" s="62" t="str">
        <f t="shared" si="10"/>
        <v/>
      </c>
      <c r="E111" s="24" t="str">
        <f t="shared" si="11"/>
        <v/>
      </c>
      <c r="F111" s="29" t="str">
        <f t="shared" si="18"/>
        <v/>
      </c>
      <c r="H111" s="29" t="str">
        <f t="shared" si="12"/>
        <v>&lt;</v>
      </c>
      <c r="M111" s="62" t="str">
        <f t="shared" si="13"/>
        <v/>
      </c>
      <c r="N111" s="24" t="str">
        <f t="shared" si="14"/>
        <v/>
      </c>
      <c r="O111" s="29" t="str">
        <f t="shared" si="19"/>
        <v/>
      </c>
      <c r="Q111" s="29" t="str">
        <f t="shared" si="15"/>
        <v/>
      </c>
      <c r="R111" s="29" t="str">
        <f t="shared" si="16"/>
        <v/>
      </c>
      <c r="S111" s="29" t="str">
        <f t="shared" si="17"/>
        <v>&lt;</v>
      </c>
    </row>
    <row r="112" spans="4:19" x14ac:dyDescent="0.25">
      <c r="D112" s="62" t="str">
        <f t="shared" si="10"/>
        <v/>
      </c>
      <c r="E112" s="24" t="str">
        <f t="shared" si="11"/>
        <v/>
      </c>
      <c r="F112" s="29" t="str">
        <f t="shared" si="18"/>
        <v/>
      </c>
      <c r="H112" s="29" t="str">
        <f t="shared" si="12"/>
        <v>&lt;</v>
      </c>
      <c r="M112" s="62" t="str">
        <f t="shared" si="13"/>
        <v/>
      </c>
      <c r="N112" s="24" t="str">
        <f t="shared" si="14"/>
        <v/>
      </c>
      <c r="O112" s="29" t="str">
        <f t="shared" si="19"/>
        <v/>
      </c>
      <c r="Q112" s="29" t="str">
        <f t="shared" si="15"/>
        <v/>
      </c>
      <c r="R112" s="29" t="str">
        <f t="shared" si="16"/>
        <v/>
      </c>
      <c r="S112" s="29" t="str">
        <f t="shared" si="17"/>
        <v>&lt;</v>
      </c>
    </row>
    <row r="113" spans="4:19" x14ac:dyDescent="0.25">
      <c r="D113" s="62" t="str">
        <f t="shared" si="10"/>
        <v/>
      </c>
      <c r="E113" s="24" t="str">
        <f t="shared" si="11"/>
        <v/>
      </c>
      <c r="F113" s="29" t="str">
        <f t="shared" si="18"/>
        <v/>
      </c>
      <c r="H113" s="29" t="str">
        <f t="shared" si="12"/>
        <v>&lt;</v>
      </c>
      <c r="M113" s="62" t="str">
        <f t="shared" si="13"/>
        <v/>
      </c>
      <c r="N113" s="24" t="str">
        <f t="shared" si="14"/>
        <v/>
      </c>
      <c r="O113" s="29" t="str">
        <f t="shared" si="19"/>
        <v/>
      </c>
      <c r="Q113" s="29" t="str">
        <f t="shared" si="15"/>
        <v/>
      </c>
      <c r="R113" s="29" t="str">
        <f t="shared" si="16"/>
        <v/>
      </c>
      <c r="S113" s="29" t="str">
        <f t="shared" si="17"/>
        <v>&lt;</v>
      </c>
    </row>
    <row r="114" spans="4:19" x14ac:dyDescent="0.25">
      <c r="D114" s="62" t="str">
        <f t="shared" si="10"/>
        <v/>
      </c>
      <c r="E114" s="24" t="str">
        <f t="shared" si="11"/>
        <v/>
      </c>
      <c r="F114" s="29" t="str">
        <f t="shared" si="18"/>
        <v/>
      </c>
      <c r="H114" s="29" t="str">
        <f t="shared" si="12"/>
        <v>&lt;</v>
      </c>
      <c r="M114" s="62" t="str">
        <f t="shared" si="13"/>
        <v/>
      </c>
      <c r="N114" s="24" t="str">
        <f t="shared" si="14"/>
        <v/>
      </c>
      <c r="O114" s="29" t="str">
        <f t="shared" si="19"/>
        <v/>
      </c>
      <c r="Q114" s="29" t="str">
        <f t="shared" si="15"/>
        <v/>
      </c>
      <c r="R114" s="29" t="str">
        <f t="shared" si="16"/>
        <v/>
      </c>
      <c r="S114" s="29" t="str">
        <f t="shared" si="17"/>
        <v>&lt;</v>
      </c>
    </row>
    <row r="115" spans="4:19" x14ac:dyDescent="0.25">
      <c r="D115" s="62" t="str">
        <f t="shared" si="10"/>
        <v/>
      </c>
      <c r="E115" s="24" t="str">
        <f t="shared" si="11"/>
        <v/>
      </c>
      <c r="F115" s="29" t="str">
        <f t="shared" si="18"/>
        <v/>
      </c>
      <c r="H115" s="29" t="str">
        <f t="shared" si="12"/>
        <v>&lt;</v>
      </c>
      <c r="M115" s="62" t="str">
        <f t="shared" si="13"/>
        <v/>
      </c>
      <c r="N115" s="24" t="str">
        <f t="shared" si="14"/>
        <v/>
      </c>
      <c r="O115" s="29" t="str">
        <f t="shared" si="19"/>
        <v/>
      </c>
      <c r="Q115" s="29" t="str">
        <f t="shared" si="15"/>
        <v/>
      </c>
      <c r="R115" s="29" t="str">
        <f t="shared" si="16"/>
        <v/>
      </c>
      <c r="S115" s="29" t="str">
        <f t="shared" si="17"/>
        <v>&lt;</v>
      </c>
    </row>
    <row r="116" spans="4:19" x14ac:dyDescent="0.25">
      <c r="D116" s="62" t="str">
        <f t="shared" si="10"/>
        <v/>
      </c>
      <c r="E116" s="24" t="str">
        <f t="shared" si="11"/>
        <v/>
      </c>
      <c r="F116" s="29" t="str">
        <f t="shared" si="18"/>
        <v/>
      </c>
      <c r="H116" s="29" t="str">
        <f t="shared" si="12"/>
        <v>&lt;</v>
      </c>
      <c r="M116" s="62" t="str">
        <f t="shared" si="13"/>
        <v/>
      </c>
      <c r="N116" s="24" t="str">
        <f t="shared" si="14"/>
        <v/>
      </c>
      <c r="O116" s="29" t="str">
        <f t="shared" si="19"/>
        <v/>
      </c>
      <c r="Q116" s="29" t="str">
        <f t="shared" si="15"/>
        <v/>
      </c>
      <c r="R116" s="29" t="str">
        <f t="shared" si="16"/>
        <v/>
      </c>
      <c r="S116" s="29" t="str">
        <f t="shared" si="17"/>
        <v>&lt;</v>
      </c>
    </row>
    <row r="117" spans="4:19" x14ac:dyDescent="0.25">
      <c r="D117" s="62" t="str">
        <f t="shared" si="10"/>
        <v/>
      </c>
      <c r="E117" s="24" t="str">
        <f t="shared" si="11"/>
        <v/>
      </c>
      <c r="F117" s="29" t="str">
        <f t="shared" si="18"/>
        <v/>
      </c>
      <c r="H117" s="29" t="str">
        <f t="shared" si="12"/>
        <v>&lt;</v>
      </c>
      <c r="M117" s="62" t="str">
        <f t="shared" si="13"/>
        <v/>
      </c>
      <c r="N117" s="24" t="str">
        <f t="shared" si="14"/>
        <v/>
      </c>
      <c r="O117" s="29" t="str">
        <f t="shared" si="19"/>
        <v/>
      </c>
      <c r="Q117" s="29" t="str">
        <f t="shared" si="15"/>
        <v/>
      </c>
      <c r="R117" s="29" t="str">
        <f t="shared" si="16"/>
        <v/>
      </c>
      <c r="S117" s="29" t="str">
        <f t="shared" si="17"/>
        <v>&lt;</v>
      </c>
    </row>
    <row r="118" spans="4:19" x14ac:dyDescent="0.25">
      <c r="D118" s="62" t="str">
        <f t="shared" si="10"/>
        <v/>
      </c>
      <c r="E118" s="24" t="str">
        <f t="shared" si="11"/>
        <v/>
      </c>
      <c r="F118" s="29" t="str">
        <f t="shared" si="18"/>
        <v/>
      </c>
      <c r="H118" s="29" t="str">
        <f t="shared" si="12"/>
        <v>&lt;</v>
      </c>
      <c r="M118" s="62" t="str">
        <f t="shared" si="13"/>
        <v/>
      </c>
      <c r="N118" s="24" t="str">
        <f t="shared" si="14"/>
        <v/>
      </c>
      <c r="O118" s="29" t="str">
        <f t="shared" si="19"/>
        <v/>
      </c>
      <c r="Q118" s="29" t="str">
        <f t="shared" si="15"/>
        <v/>
      </c>
      <c r="R118" s="29" t="str">
        <f t="shared" si="16"/>
        <v/>
      </c>
      <c r="S118" s="29" t="str">
        <f t="shared" si="17"/>
        <v>&lt;</v>
      </c>
    </row>
    <row r="119" spans="4:19" x14ac:dyDescent="0.25">
      <c r="D119" s="62" t="str">
        <f t="shared" si="10"/>
        <v/>
      </c>
      <c r="E119" s="24" t="str">
        <f t="shared" si="11"/>
        <v/>
      </c>
      <c r="F119" s="29" t="str">
        <f t="shared" si="18"/>
        <v/>
      </c>
      <c r="H119" s="29" t="str">
        <f t="shared" si="12"/>
        <v>&lt;</v>
      </c>
      <c r="M119" s="62" t="str">
        <f t="shared" si="13"/>
        <v/>
      </c>
      <c r="N119" s="24" t="str">
        <f t="shared" si="14"/>
        <v/>
      </c>
      <c r="O119" s="29" t="str">
        <f t="shared" si="19"/>
        <v/>
      </c>
      <c r="Q119" s="29" t="str">
        <f t="shared" si="15"/>
        <v/>
      </c>
      <c r="R119" s="29" t="str">
        <f t="shared" si="16"/>
        <v/>
      </c>
      <c r="S119" s="29" t="str">
        <f t="shared" si="17"/>
        <v>&lt;</v>
      </c>
    </row>
    <row r="120" spans="4:19" x14ac:dyDescent="0.25">
      <c r="D120" s="62" t="str">
        <f t="shared" si="10"/>
        <v/>
      </c>
      <c r="E120" s="24" t="str">
        <f t="shared" si="11"/>
        <v/>
      </c>
      <c r="F120" s="29" t="str">
        <f t="shared" si="18"/>
        <v/>
      </c>
      <c r="H120" s="29" t="str">
        <f t="shared" si="12"/>
        <v>&lt;</v>
      </c>
      <c r="M120" s="62" t="str">
        <f t="shared" si="13"/>
        <v/>
      </c>
      <c r="N120" s="24" t="str">
        <f t="shared" si="14"/>
        <v/>
      </c>
      <c r="O120" s="29" t="str">
        <f t="shared" si="19"/>
        <v/>
      </c>
      <c r="Q120" s="29" t="str">
        <f t="shared" si="15"/>
        <v/>
      </c>
      <c r="R120" s="29" t="str">
        <f t="shared" si="16"/>
        <v/>
      </c>
      <c r="S120" s="29" t="str">
        <f t="shared" si="17"/>
        <v>&lt;</v>
      </c>
    </row>
    <row r="121" spans="4:19" x14ac:dyDescent="0.25">
      <c r="D121" s="62" t="str">
        <f t="shared" si="10"/>
        <v/>
      </c>
      <c r="E121" s="24" t="str">
        <f t="shared" si="11"/>
        <v/>
      </c>
      <c r="F121" s="29" t="str">
        <f t="shared" si="18"/>
        <v/>
      </c>
      <c r="H121" s="29" t="str">
        <f t="shared" si="12"/>
        <v>&lt;</v>
      </c>
      <c r="M121" s="62" t="str">
        <f t="shared" si="13"/>
        <v/>
      </c>
      <c r="N121" s="24" t="str">
        <f t="shared" si="14"/>
        <v/>
      </c>
      <c r="O121" s="29" t="str">
        <f t="shared" si="19"/>
        <v/>
      </c>
      <c r="Q121" s="29" t="str">
        <f t="shared" si="15"/>
        <v/>
      </c>
      <c r="R121" s="29" t="str">
        <f t="shared" si="16"/>
        <v/>
      </c>
      <c r="S121" s="29" t="str">
        <f t="shared" si="17"/>
        <v>&lt;</v>
      </c>
    </row>
    <row r="122" spans="4:19" x14ac:dyDescent="0.25">
      <c r="D122" s="62" t="str">
        <f t="shared" si="10"/>
        <v/>
      </c>
      <c r="E122" s="24" t="str">
        <f t="shared" si="11"/>
        <v/>
      </c>
      <c r="F122" s="29" t="str">
        <f t="shared" si="18"/>
        <v/>
      </c>
      <c r="H122" s="29" t="str">
        <f t="shared" si="12"/>
        <v>&lt;</v>
      </c>
      <c r="M122" s="62" t="str">
        <f t="shared" si="13"/>
        <v/>
      </c>
      <c r="N122" s="24" t="str">
        <f t="shared" si="14"/>
        <v/>
      </c>
      <c r="O122" s="29" t="str">
        <f t="shared" si="19"/>
        <v/>
      </c>
      <c r="Q122" s="29" t="str">
        <f t="shared" si="15"/>
        <v/>
      </c>
      <c r="R122" s="29" t="str">
        <f t="shared" si="16"/>
        <v/>
      </c>
      <c r="S122" s="29" t="str">
        <f t="shared" si="17"/>
        <v>&lt;</v>
      </c>
    </row>
    <row r="123" spans="4:19" x14ac:dyDescent="0.25">
      <c r="D123" s="62" t="str">
        <f t="shared" si="10"/>
        <v/>
      </c>
      <c r="E123" s="24" t="str">
        <f t="shared" si="11"/>
        <v/>
      </c>
      <c r="F123" s="29" t="str">
        <f t="shared" si="18"/>
        <v/>
      </c>
      <c r="H123" s="29" t="str">
        <f t="shared" si="12"/>
        <v>&lt;</v>
      </c>
      <c r="M123" s="62" t="str">
        <f t="shared" si="13"/>
        <v/>
      </c>
      <c r="N123" s="24" t="str">
        <f t="shared" si="14"/>
        <v/>
      </c>
      <c r="O123" s="29" t="str">
        <f t="shared" si="19"/>
        <v/>
      </c>
      <c r="Q123" s="29" t="str">
        <f t="shared" si="15"/>
        <v/>
      </c>
      <c r="R123" s="29" t="str">
        <f t="shared" si="16"/>
        <v/>
      </c>
      <c r="S123" s="29" t="str">
        <f t="shared" si="17"/>
        <v>&lt;</v>
      </c>
    </row>
    <row r="124" spans="4:19" x14ac:dyDescent="0.25">
      <c r="D124" s="62" t="str">
        <f t="shared" si="10"/>
        <v/>
      </c>
      <c r="E124" s="24" t="str">
        <f t="shared" si="11"/>
        <v/>
      </c>
      <c r="F124" s="29" t="str">
        <f t="shared" si="18"/>
        <v/>
      </c>
      <c r="H124" s="29" t="str">
        <f t="shared" si="12"/>
        <v>&lt;</v>
      </c>
      <c r="M124" s="62" t="str">
        <f t="shared" si="13"/>
        <v/>
      </c>
      <c r="N124" s="24" t="str">
        <f t="shared" si="14"/>
        <v/>
      </c>
      <c r="O124" s="29" t="str">
        <f t="shared" si="19"/>
        <v/>
      </c>
      <c r="Q124" s="29" t="str">
        <f t="shared" si="15"/>
        <v/>
      </c>
      <c r="R124" s="29" t="str">
        <f t="shared" si="16"/>
        <v/>
      </c>
      <c r="S124" s="29" t="str">
        <f t="shared" si="17"/>
        <v>&lt;</v>
      </c>
    </row>
    <row r="125" spans="4:19" x14ac:dyDescent="0.25">
      <c r="D125" s="62" t="str">
        <f t="shared" si="10"/>
        <v/>
      </c>
      <c r="E125" s="24" t="str">
        <f t="shared" si="11"/>
        <v/>
      </c>
      <c r="F125" s="29" t="str">
        <f t="shared" si="18"/>
        <v/>
      </c>
      <c r="H125" s="29" t="str">
        <f t="shared" si="12"/>
        <v>&lt;</v>
      </c>
      <c r="M125" s="62" t="str">
        <f t="shared" si="13"/>
        <v/>
      </c>
      <c r="N125" s="24" t="str">
        <f t="shared" si="14"/>
        <v/>
      </c>
      <c r="O125" s="29" t="str">
        <f t="shared" si="19"/>
        <v/>
      </c>
      <c r="Q125" s="29" t="str">
        <f t="shared" si="15"/>
        <v/>
      </c>
      <c r="R125" s="29" t="str">
        <f t="shared" si="16"/>
        <v/>
      </c>
      <c r="S125" s="29" t="str">
        <f t="shared" si="17"/>
        <v>&lt;</v>
      </c>
    </row>
    <row r="126" spans="4:19" x14ac:dyDescent="0.25">
      <c r="D126" s="62" t="str">
        <f t="shared" si="10"/>
        <v/>
      </c>
      <c r="E126" s="24" t="str">
        <f t="shared" si="11"/>
        <v/>
      </c>
      <c r="F126" s="29" t="str">
        <f t="shared" si="18"/>
        <v/>
      </c>
      <c r="H126" s="29" t="str">
        <f t="shared" si="12"/>
        <v>&lt;</v>
      </c>
      <c r="M126" s="62" t="str">
        <f t="shared" si="13"/>
        <v/>
      </c>
      <c r="N126" s="24" t="str">
        <f t="shared" si="14"/>
        <v/>
      </c>
      <c r="O126" s="29" t="str">
        <f t="shared" si="19"/>
        <v/>
      </c>
      <c r="Q126" s="29" t="str">
        <f t="shared" si="15"/>
        <v/>
      </c>
      <c r="R126" s="29" t="str">
        <f t="shared" si="16"/>
        <v/>
      </c>
      <c r="S126" s="29" t="str">
        <f t="shared" si="17"/>
        <v>&lt;</v>
      </c>
    </row>
    <row r="127" spans="4:19" x14ac:dyDescent="0.25">
      <c r="D127" s="62" t="str">
        <f t="shared" si="10"/>
        <v/>
      </c>
      <c r="E127" s="24" t="str">
        <f t="shared" si="11"/>
        <v/>
      </c>
      <c r="F127" s="29" t="str">
        <f t="shared" si="18"/>
        <v/>
      </c>
      <c r="H127" s="29" t="str">
        <f t="shared" si="12"/>
        <v>&lt;</v>
      </c>
      <c r="M127" s="62" t="str">
        <f t="shared" si="13"/>
        <v/>
      </c>
      <c r="N127" s="24" t="str">
        <f t="shared" si="14"/>
        <v/>
      </c>
      <c r="O127" s="29" t="str">
        <f t="shared" si="19"/>
        <v/>
      </c>
      <c r="Q127" s="29" t="str">
        <f t="shared" si="15"/>
        <v/>
      </c>
      <c r="R127" s="29" t="str">
        <f t="shared" si="16"/>
        <v/>
      </c>
      <c r="S127" s="29" t="str">
        <f t="shared" si="17"/>
        <v>&lt;</v>
      </c>
    </row>
    <row r="128" spans="4:19" x14ac:dyDescent="0.25">
      <c r="D128" s="62" t="str">
        <f t="shared" si="10"/>
        <v/>
      </c>
      <c r="E128" s="24" t="str">
        <f t="shared" si="11"/>
        <v/>
      </c>
      <c r="F128" s="29" t="str">
        <f t="shared" si="18"/>
        <v/>
      </c>
      <c r="H128" s="29" t="str">
        <f t="shared" si="12"/>
        <v>&lt;</v>
      </c>
      <c r="M128" s="62" t="str">
        <f t="shared" si="13"/>
        <v/>
      </c>
      <c r="N128" s="24" t="str">
        <f t="shared" si="14"/>
        <v/>
      </c>
      <c r="O128" s="29" t="str">
        <f t="shared" si="19"/>
        <v/>
      </c>
      <c r="Q128" s="29" t="str">
        <f t="shared" si="15"/>
        <v/>
      </c>
      <c r="R128" s="29" t="str">
        <f t="shared" si="16"/>
        <v/>
      </c>
      <c r="S128" s="29" t="str">
        <f t="shared" si="17"/>
        <v>&lt;</v>
      </c>
    </row>
    <row r="129" spans="4:19" x14ac:dyDescent="0.25">
      <c r="D129" s="62" t="str">
        <f t="shared" si="10"/>
        <v/>
      </c>
      <c r="E129" s="24" t="str">
        <f t="shared" si="11"/>
        <v/>
      </c>
      <c r="F129" s="29" t="str">
        <f t="shared" si="18"/>
        <v/>
      </c>
      <c r="H129" s="29" t="str">
        <f t="shared" si="12"/>
        <v>&lt;</v>
      </c>
      <c r="M129" s="62" t="str">
        <f t="shared" si="13"/>
        <v/>
      </c>
      <c r="N129" s="24" t="str">
        <f t="shared" si="14"/>
        <v/>
      </c>
      <c r="O129" s="29" t="str">
        <f t="shared" si="19"/>
        <v/>
      </c>
      <c r="Q129" s="29" t="str">
        <f t="shared" si="15"/>
        <v/>
      </c>
      <c r="R129" s="29" t="str">
        <f t="shared" si="16"/>
        <v/>
      </c>
      <c r="S129" s="29" t="str">
        <f t="shared" si="17"/>
        <v>&lt;</v>
      </c>
    </row>
    <row r="130" spans="4:19" x14ac:dyDescent="0.25">
      <c r="D130" s="62" t="str">
        <f t="shared" si="10"/>
        <v/>
      </c>
      <c r="E130" s="24" t="str">
        <f t="shared" si="11"/>
        <v/>
      </c>
      <c r="F130" s="29" t="str">
        <f t="shared" si="18"/>
        <v/>
      </c>
      <c r="H130" s="29" t="str">
        <f t="shared" si="12"/>
        <v>&lt;</v>
      </c>
      <c r="M130" s="62" t="str">
        <f t="shared" si="13"/>
        <v/>
      </c>
      <c r="N130" s="24" t="str">
        <f t="shared" si="14"/>
        <v/>
      </c>
      <c r="O130" s="29" t="str">
        <f t="shared" si="19"/>
        <v/>
      </c>
      <c r="Q130" s="29" t="str">
        <f t="shared" si="15"/>
        <v/>
      </c>
      <c r="R130" s="29" t="str">
        <f t="shared" si="16"/>
        <v/>
      </c>
      <c r="S130" s="29" t="str">
        <f t="shared" si="17"/>
        <v>&lt;</v>
      </c>
    </row>
    <row r="131" spans="4:19" x14ac:dyDescent="0.25">
      <c r="D131" s="62" t="str">
        <f t="shared" si="10"/>
        <v/>
      </c>
      <c r="E131" s="24" t="str">
        <f t="shared" si="11"/>
        <v/>
      </c>
      <c r="F131" s="29" t="str">
        <f t="shared" si="18"/>
        <v/>
      </c>
      <c r="H131" s="29" t="str">
        <f t="shared" si="12"/>
        <v>&lt;</v>
      </c>
      <c r="M131" s="62" t="str">
        <f t="shared" si="13"/>
        <v/>
      </c>
      <c r="N131" s="24" t="str">
        <f t="shared" si="14"/>
        <v/>
      </c>
      <c r="O131" s="29" t="str">
        <f t="shared" si="19"/>
        <v/>
      </c>
      <c r="Q131" s="29" t="str">
        <f t="shared" si="15"/>
        <v/>
      </c>
      <c r="R131" s="29" t="str">
        <f t="shared" si="16"/>
        <v/>
      </c>
      <c r="S131" s="29" t="str">
        <f t="shared" si="17"/>
        <v>&lt;</v>
      </c>
    </row>
    <row r="132" spans="4:19" x14ac:dyDescent="0.25">
      <c r="D132" s="62" t="str">
        <f t="shared" si="10"/>
        <v/>
      </c>
      <c r="E132" s="24" t="str">
        <f t="shared" si="11"/>
        <v/>
      </c>
      <c r="F132" s="29" t="str">
        <f t="shared" si="18"/>
        <v/>
      </c>
      <c r="H132" s="29" t="str">
        <f t="shared" si="12"/>
        <v>&lt;</v>
      </c>
      <c r="M132" s="62" t="str">
        <f t="shared" si="13"/>
        <v/>
      </c>
      <c r="N132" s="24" t="str">
        <f t="shared" si="14"/>
        <v/>
      </c>
      <c r="O132" s="29" t="str">
        <f t="shared" si="19"/>
        <v/>
      </c>
      <c r="Q132" s="29" t="str">
        <f t="shared" si="15"/>
        <v/>
      </c>
      <c r="R132" s="29" t="str">
        <f t="shared" si="16"/>
        <v/>
      </c>
      <c r="S132" s="29" t="str">
        <f t="shared" si="17"/>
        <v>&lt;</v>
      </c>
    </row>
    <row r="133" spans="4:19" x14ac:dyDescent="0.25">
      <c r="D133" s="62" t="str">
        <f t="shared" si="10"/>
        <v/>
      </c>
      <c r="E133" s="24" t="str">
        <f t="shared" si="11"/>
        <v/>
      </c>
      <c r="F133" s="29" t="str">
        <f t="shared" si="18"/>
        <v/>
      </c>
      <c r="H133" s="29" t="str">
        <f t="shared" si="12"/>
        <v>&lt;</v>
      </c>
      <c r="M133" s="62" t="str">
        <f t="shared" si="13"/>
        <v/>
      </c>
      <c r="N133" s="24" t="str">
        <f t="shared" si="14"/>
        <v/>
      </c>
      <c r="O133" s="29" t="str">
        <f t="shared" si="19"/>
        <v/>
      </c>
      <c r="Q133" s="29" t="str">
        <f t="shared" si="15"/>
        <v/>
      </c>
      <c r="R133" s="29" t="str">
        <f t="shared" si="16"/>
        <v/>
      </c>
      <c r="S133" s="29" t="str">
        <f t="shared" si="17"/>
        <v>&lt;</v>
      </c>
    </row>
    <row r="134" spans="4:19" x14ac:dyDescent="0.25">
      <c r="D134" s="62" t="str">
        <f t="shared" si="10"/>
        <v/>
      </c>
      <c r="E134" s="24" t="str">
        <f t="shared" si="11"/>
        <v/>
      </c>
      <c r="F134" s="29" t="str">
        <f t="shared" si="18"/>
        <v/>
      </c>
      <c r="H134" s="29" t="str">
        <f t="shared" si="12"/>
        <v>&lt;</v>
      </c>
      <c r="M134" s="62" t="str">
        <f t="shared" si="13"/>
        <v/>
      </c>
      <c r="N134" s="24" t="str">
        <f t="shared" si="14"/>
        <v/>
      </c>
      <c r="O134" s="29" t="str">
        <f t="shared" si="19"/>
        <v/>
      </c>
      <c r="Q134" s="29" t="str">
        <f t="shared" si="15"/>
        <v/>
      </c>
      <c r="R134" s="29" t="str">
        <f t="shared" si="16"/>
        <v/>
      </c>
      <c r="S134" s="29" t="str">
        <f t="shared" si="17"/>
        <v>&lt;</v>
      </c>
    </row>
    <row r="135" spans="4:19" x14ac:dyDescent="0.25">
      <c r="D135" s="62" t="str">
        <f t="shared" si="10"/>
        <v/>
      </c>
      <c r="E135" s="24" t="str">
        <f t="shared" si="11"/>
        <v/>
      </c>
      <c r="F135" s="29" t="str">
        <f t="shared" si="18"/>
        <v/>
      </c>
      <c r="H135" s="29" t="str">
        <f t="shared" si="12"/>
        <v>&lt;</v>
      </c>
      <c r="M135" s="62" t="str">
        <f t="shared" si="13"/>
        <v/>
      </c>
      <c r="N135" s="24" t="str">
        <f t="shared" si="14"/>
        <v/>
      </c>
      <c r="O135" s="29" t="str">
        <f t="shared" si="19"/>
        <v/>
      </c>
      <c r="Q135" s="29" t="str">
        <f t="shared" si="15"/>
        <v/>
      </c>
      <c r="R135" s="29" t="str">
        <f t="shared" si="16"/>
        <v/>
      </c>
      <c r="S135" s="29" t="str">
        <f t="shared" si="17"/>
        <v>&lt;</v>
      </c>
    </row>
    <row r="136" spans="4:19" x14ac:dyDescent="0.25">
      <c r="D136" s="62" t="str">
        <f t="shared" si="10"/>
        <v/>
      </c>
      <c r="E136" s="24" t="str">
        <f t="shared" si="11"/>
        <v/>
      </c>
      <c r="F136" s="29" t="str">
        <f t="shared" si="18"/>
        <v/>
      </c>
      <c r="H136" s="29" t="str">
        <f t="shared" ref="H136:H199" si="20">IF(D136&gt;M136,"&gt;","&lt;")</f>
        <v>&lt;</v>
      </c>
      <c r="M136" s="62" t="str">
        <f t="shared" si="13"/>
        <v/>
      </c>
      <c r="N136" s="24" t="str">
        <f t="shared" si="14"/>
        <v/>
      </c>
      <c r="O136" s="29" t="str">
        <f t="shared" si="19"/>
        <v/>
      </c>
      <c r="Q136" s="29" t="str">
        <f t="shared" si="15"/>
        <v/>
      </c>
      <c r="R136" s="29" t="str">
        <f t="shared" si="16"/>
        <v/>
      </c>
      <c r="S136" s="29" t="str">
        <f t="shared" si="17"/>
        <v>&lt;</v>
      </c>
    </row>
    <row r="137" spans="4:19" x14ac:dyDescent="0.25">
      <c r="D137" s="62" t="str">
        <f t="shared" si="10"/>
        <v/>
      </c>
      <c r="E137" s="24" t="str">
        <f t="shared" si="11"/>
        <v/>
      </c>
      <c r="F137" s="29" t="str">
        <f t="shared" si="18"/>
        <v/>
      </c>
      <c r="H137" s="29" t="str">
        <f t="shared" si="20"/>
        <v>&lt;</v>
      </c>
      <c r="M137" s="62" t="str">
        <f t="shared" si="13"/>
        <v/>
      </c>
      <c r="N137" s="24" t="str">
        <f t="shared" si="14"/>
        <v/>
      </c>
      <c r="O137" s="29" t="str">
        <f t="shared" si="19"/>
        <v/>
      </c>
      <c r="Q137" s="29" t="str">
        <f t="shared" si="15"/>
        <v/>
      </c>
      <c r="R137" s="29" t="str">
        <f t="shared" si="16"/>
        <v/>
      </c>
      <c r="S137" s="29" t="str">
        <f t="shared" si="17"/>
        <v>&lt;</v>
      </c>
    </row>
    <row r="138" spans="4:19" x14ac:dyDescent="0.25">
      <c r="D138" s="62" t="str">
        <f t="shared" si="10"/>
        <v/>
      </c>
      <c r="E138" s="24" t="str">
        <f t="shared" si="11"/>
        <v/>
      </c>
      <c r="F138" s="29" t="str">
        <f t="shared" si="18"/>
        <v/>
      </c>
      <c r="H138" s="29" t="str">
        <f t="shared" si="20"/>
        <v>&lt;</v>
      </c>
      <c r="M138" s="62" t="str">
        <f t="shared" si="13"/>
        <v/>
      </c>
      <c r="N138" s="24" t="str">
        <f t="shared" si="14"/>
        <v/>
      </c>
      <c r="O138" s="29" t="str">
        <f t="shared" si="19"/>
        <v/>
      </c>
      <c r="Q138" s="29" t="str">
        <f t="shared" si="15"/>
        <v/>
      </c>
      <c r="R138" s="29" t="str">
        <f t="shared" si="16"/>
        <v/>
      </c>
      <c r="S138" s="29" t="str">
        <f t="shared" si="17"/>
        <v>&lt;</v>
      </c>
    </row>
    <row r="139" spans="4:19" x14ac:dyDescent="0.25">
      <c r="D139" s="62" t="str">
        <f t="shared" si="10"/>
        <v/>
      </c>
      <c r="E139" s="24" t="str">
        <f t="shared" si="11"/>
        <v/>
      </c>
      <c r="F139" s="29" t="str">
        <f t="shared" si="18"/>
        <v/>
      </c>
      <c r="H139" s="29" t="str">
        <f t="shared" si="20"/>
        <v>&lt;</v>
      </c>
      <c r="M139" s="62" t="str">
        <f t="shared" si="13"/>
        <v/>
      </c>
      <c r="N139" s="24" t="str">
        <f t="shared" si="14"/>
        <v/>
      </c>
      <c r="O139" s="29" t="str">
        <f t="shared" si="19"/>
        <v/>
      </c>
      <c r="Q139" s="29" t="str">
        <f t="shared" si="15"/>
        <v/>
      </c>
      <c r="R139" s="29" t="str">
        <f t="shared" si="16"/>
        <v/>
      </c>
      <c r="S139" s="29" t="str">
        <f t="shared" si="17"/>
        <v>&lt;</v>
      </c>
    </row>
    <row r="140" spans="4:19" x14ac:dyDescent="0.25">
      <c r="D140" s="62" t="str">
        <f t="shared" si="10"/>
        <v/>
      </c>
      <c r="E140" s="24" t="str">
        <f t="shared" si="11"/>
        <v/>
      </c>
      <c r="F140" s="29" t="str">
        <f t="shared" si="18"/>
        <v/>
      </c>
      <c r="H140" s="29" t="str">
        <f t="shared" si="20"/>
        <v>&lt;</v>
      </c>
      <c r="M140" s="62" t="str">
        <f t="shared" si="13"/>
        <v/>
      </c>
      <c r="N140" s="24" t="str">
        <f t="shared" si="14"/>
        <v/>
      </c>
      <c r="O140" s="29" t="str">
        <f t="shared" si="19"/>
        <v/>
      </c>
      <c r="Q140" s="29" t="str">
        <f t="shared" si="15"/>
        <v/>
      </c>
      <c r="R140" s="29" t="str">
        <f t="shared" si="16"/>
        <v/>
      </c>
    </row>
    <row r="141" spans="4:19" x14ac:dyDescent="0.25">
      <c r="D141" s="62" t="str">
        <f t="shared" si="10"/>
        <v/>
      </c>
      <c r="E141" s="24" t="str">
        <f t="shared" si="11"/>
        <v/>
      </c>
      <c r="F141" s="29" t="str">
        <f t="shared" si="18"/>
        <v/>
      </c>
      <c r="H141" s="29" t="str">
        <f t="shared" si="20"/>
        <v>&lt;</v>
      </c>
      <c r="M141" s="62" t="str">
        <f t="shared" si="13"/>
        <v/>
      </c>
      <c r="N141" s="24" t="str">
        <f t="shared" si="14"/>
        <v/>
      </c>
      <c r="O141" s="29" t="str">
        <f t="shared" si="19"/>
        <v/>
      </c>
      <c r="Q141" s="29" t="str">
        <f t="shared" si="15"/>
        <v/>
      </c>
    </row>
    <row r="142" spans="4:19" x14ac:dyDescent="0.25">
      <c r="D142" s="62" t="str">
        <f t="shared" si="10"/>
        <v/>
      </c>
      <c r="E142" s="24" t="str">
        <f t="shared" si="11"/>
        <v/>
      </c>
      <c r="F142" s="29" t="str">
        <f t="shared" si="18"/>
        <v/>
      </c>
      <c r="H142" s="29" t="str">
        <f t="shared" si="20"/>
        <v>&lt;</v>
      </c>
      <c r="M142" s="62" t="str">
        <f t="shared" si="13"/>
        <v/>
      </c>
      <c r="N142" s="24" t="str">
        <f t="shared" si="14"/>
        <v/>
      </c>
      <c r="O142" s="29" t="str">
        <f t="shared" si="19"/>
        <v/>
      </c>
      <c r="Q142" s="29" t="str">
        <f t="shared" si="15"/>
        <v/>
      </c>
    </row>
    <row r="143" spans="4:19" x14ac:dyDescent="0.25">
      <c r="D143" s="62" t="str">
        <f t="shared" si="10"/>
        <v/>
      </c>
      <c r="E143" s="24" t="str">
        <f t="shared" si="11"/>
        <v/>
      </c>
      <c r="F143" s="29" t="str">
        <f t="shared" si="18"/>
        <v/>
      </c>
      <c r="H143" s="29" t="str">
        <f t="shared" si="20"/>
        <v>&lt;</v>
      </c>
      <c r="M143" s="62" t="str">
        <f t="shared" si="13"/>
        <v/>
      </c>
      <c r="N143" s="24" t="str">
        <f t="shared" si="14"/>
        <v/>
      </c>
      <c r="O143" s="29" t="str">
        <f t="shared" si="19"/>
        <v/>
      </c>
      <c r="Q143" s="29" t="str">
        <f t="shared" si="15"/>
        <v/>
      </c>
    </row>
    <row r="144" spans="4:19" x14ac:dyDescent="0.25">
      <c r="D144" s="62" t="str">
        <f t="shared" si="10"/>
        <v/>
      </c>
      <c r="E144" s="24" t="str">
        <f t="shared" si="11"/>
        <v/>
      </c>
      <c r="F144" s="29" t="str">
        <f t="shared" si="18"/>
        <v/>
      </c>
      <c r="H144" s="29" t="str">
        <f t="shared" si="20"/>
        <v>&lt;</v>
      </c>
      <c r="M144" s="62" t="str">
        <f t="shared" si="13"/>
        <v/>
      </c>
      <c r="N144" s="24" t="str">
        <f t="shared" si="14"/>
        <v/>
      </c>
      <c r="O144" s="29" t="str">
        <f t="shared" si="19"/>
        <v/>
      </c>
      <c r="Q144" s="29" t="str">
        <f t="shared" si="15"/>
        <v/>
      </c>
    </row>
    <row r="145" spans="4:17" x14ac:dyDescent="0.25">
      <c r="D145" s="62" t="str">
        <f t="shared" si="10"/>
        <v/>
      </c>
      <c r="E145" s="24" t="str">
        <f t="shared" si="11"/>
        <v/>
      </c>
      <c r="F145" s="29" t="str">
        <f t="shared" si="18"/>
        <v/>
      </c>
      <c r="H145" s="29" t="str">
        <f t="shared" si="20"/>
        <v>&lt;</v>
      </c>
      <c r="M145" s="62" t="str">
        <f t="shared" si="13"/>
        <v/>
      </c>
      <c r="N145" s="24" t="str">
        <f t="shared" si="14"/>
        <v/>
      </c>
      <c r="O145" s="29" t="str">
        <f t="shared" si="19"/>
        <v/>
      </c>
      <c r="Q145" s="29" t="str">
        <f t="shared" si="15"/>
        <v/>
      </c>
    </row>
    <row r="146" spans="4:17" x14ac:dyDescent="0.25">
      <c r="D146" s="62" t="str">
        <f t="shared" si="10"/>
        <v/>
      </c>
      <c r="E146" s="24" t="str">
        <f t="shared" si="11"/>
        <v/>
      </c>
      <c r="F146" s="29" t="str">
        <f t="shared" si="18"/>
        <v/>
      </c>
      <c r="H146" s="29" t="str">
        <f t="shared" si="20"/>
        <v>&lt;</v>
      </c>
      <c r="M146" s="62" t="str">
        <f t="shared" si="13"/>
        <v/>
      </c>
      <c r="N146" s="24" t="str">
        <f t="shared" si="14"/>
        <v/>
      </c>
      <c r="O146" s="29" t="str">
        <f t="shared" si="19"/>
        <v/>
      </c>
    </row>
    <row r="147" spans="4:17" x14ac:dyDescent="0.25">
      <c r="D147" s="62" t="str">
        <f t="shared" si="10"/>
        <v/>
      </c>
      <c r="E147" s="24" t="str">
        <f t="shared" si="11"/>
        <v/>
      </c>
      <c r="F147" s="29" t="str">
        <f t="shared" si="18"/>
        <v/>
      </c>
      <c r="H147" s="29" t="str">
        <f t="shared" si="20"/>
        <v>&lt;</v>
      </c>
      <c r="M147" s="62" t="str">
        <f t="shared" si="13"/>
        <v/>
      </c>
      <c r="N147" s="24" t="str">
        <f t="shared" si="14"/>
        <v/>
      </c>
      <c r="O147" s="29" t="str">
        <f t="shared" si="19"/>
        <v/>
      </c>
    </row>
    <row r="148" spans="4:17" x14ac:dyDescent="0.25">
      <c r="D148" s="62" t="str">
        <f t="shared" si="10"/>
        <v/>
      </c>
      <c r="E148" s="24" t="str">
        <f t="shared" si="11"/>
        <v/>
      </c>
      <c r="F148" s="29" t="str">
        <f t="shared" si="18"/>
        <v/>
      </c>
      <c r="H148" s="29" t="str">
        <f t="shared" si="20"/>
        <v>&lt;</v>
      </c>
      <c r="M148" s="62" t="str">
        <f t="shared" si="13"/>
        <v/>
      </c>
      <c r="N148" s="24" t="str">
        <f t="shared" si="14"/>
        <v/>
      </c>
      <c r="O148" s="29" t="str">
        <f t="shared" si="19"/>
        <v/>
      </c>
    </row>
    <row r="149" spans="4:17" x14ac:dyDescent="0.25">
      <c r="D149" s="62" t="str">
        <f t="shared" si="10"/>
        <v/>
      </c>
      <c r="E149" s="24" t="str">
        <f t="shared" si="11"/>
        <v/>
      </c>
      <c r="F149" s="29" t="str">
        <f t="shared" si="18"/>
        <v/>
      </c>
      <c r="H149" s="29" t="str">
        <f t="shared" si="20"/>
        <v>&lt;</v>
      </c>
      <c r="M149" s="62" t="str">
        <f t="shared" si="13"/>
        <v/>
      </c>
      <c r="N149" s="24" t="str">
        <f t="shared" si="14"/>
        <v/>
      </c>
      <c r="O149" s="29" t="str">
        <f t="shared" si="19"/>
        <v/>
      </c>
    </row>
    <row r="150" spans="4:17" x14ac:dyDescent="0.25">
      <c r="D150" s="62" t="str">
        <f t="shared" si="10"/>
        <v/>
      </c>
      <c r="E150" s="24" t="str">
        <f t="shared" si="11"/>
        <v/>
      </c>
      <c r="F150" s="29" t="str">
        <f t="shared" si="18"/>
        <v/>
      </c>
      <c r="H150" s="29" t="str">
        <f t="shared" si="20"/>
        <v>&lt;</v>
      </c>
      <c r="M150" s="62" t="str">
        <f t="shared" si="13"/>
        <v/>
      </c>
      <c r="N150" s="24" t="str">
        <f t="shared" si="14"/>
        <v/>
      </c>
      <c r="O150" s="29" t="str">
        <f t="shared" si="19"/>
        <v/>
      </c>
    </row>
    <row r="151" spans="4:17" x14ac:dyDescent="0.25">
      <c r="D151" s="62" t="str">
        <f t="shared" ref="D151:D198" si="21">IF(OR(B151="Grand Total",B151=""),"",D150+C151)</f>
        <v/>
      </c>
      <c r="E151" s="24" t="str">
        <f t="shared" ref="E151:E198" si="22">IF(OR(C151="",B151="Grand Total"),"",IF(C151&lt;0,"L","W"))</f>
        <v/>
      </c>
      <c r="F151" s="29" t="str">
        <f t="shared" si="18"/>
        <v/>
      </c>
      <c r="H151" s="29" t="str">
        <f t="shared" si="20"/>
        <v>&lt;</v>
      </c>
      <c r="M151" s="62" t="str">
        <f t="shared" ref="M151:M201" si="23">IF(OR(K151="Grand Total",K151=""),"",M150+L151)</f>
        <v/>
      </c>
      <c r="N151" s="24" t="str">
        <f t="shared" ref="N151:N201" si="24">IF(OR(L151="",K151="Grand Total"),"",IF(L151&lt;0,"L","W"))</f>
        <v/>
      </c>
      <c r="O151" s="29" t="str">
        <f t="shared" si="19"/>
        <v/>
      </c>
    </row>
    <row r="152" spans="4:17" x14ac:dyDescent="0.25">
      <c r="D152" s="62" t="str">
        <f t="shared" si="21"/>
        <v/>
      </c>
      <c r="E152" s="24" t="str">
        <f t="shared" si="22"/>
        <v/>
      </c>
      <c r="F152" s="29" t="str">
        <f t="shared" ref="F152:F198" si="25">IF(E152="","",IF(E152=E151,F151+1,1))</f>
        <v/>
      </c>
      <c r="H152" s="29" t="str">
        <f t="shared" si="20"/>
        <v>&lt;</v>
      </c>
      <c r="M152" s="62" t="str">
        <f t="shared" si="23"/>
        <v/>
      </c>
      <c r="N152" s="24" t="str">
        <f t="shared" si="24"/>
        <v/>
      </c>
      <c r="O152" s="29" t="str">
        <f t="shared" ref="O152:O201" si="26">IF(N152="","",IF(N152=N151,O151+1,1))</f>
        <v/>
      </c>
    </row>
    <row r="153" spans="4:17" x14ac:dyDescent="0.25">
      <c r="D153" s="62" t="str">
        <f t="shared" si="21"/>
        <v/>
      </c>
      <c r="E153" s="24" t="str">
        <f t="shared" si="22"/>
        <v/>
      </c>
      <c r="F153" s="29" t="str">
        <f t="shared" si="25"/>
        <v/>
      </c>
      <c r="H153" s="29" t="str">
        <f t="shared" si="20"/>
        <v>&lt;</v>
      </c>
      <c r="M153" s="62" t="str">
        <f t="shared" si="23"/>
        <v/>
      </c>
      <c r="N153" s="24" t="str">
        <f t="shared" si="24"/>
        <v/>
      </c>
      <c r="O153" s="29" t="str">
        <f t="shared" si="26"/>
        <v/>
      </c>
    </row>
    <row r="154" spans="4:17" x14ac:dyDescent="0.25">
      <c r="D154" s="62" t="str">
        <f t="shared" si="21"/>
        <v/>
      </c>
      <c r="E154" s="24" t="str">
        <f t="shared" si="22"/>
        <v/>
      </c>
      <c r="F154" s="29" t="str">
        <f t="shared" si="25"/>
        <v/>
      </c>
      <c r="H154" s="29" t="str">
        <f t="shared" si="20"/>
        <v>&lt;</v>
      </c>
      <c r="M154" s="62" t="str">
        <f t="shared" si="23"/>
        <v/>
      </c>
      <c r="N154" s="24" t="str">
        <f t="shared" si="24"/>
        <v/>
      </c>
      <c r="O154" s="29" t="str">
        <f t="shared" si="26"/>
        <v/>
      </c>
    </row>
    <row r="155" spans="4:17" x14ac:dyDescent="0.25">
      <c r="D155" s="62" t="str">
        <f t="shared" si="21"/>
        <v/>
      </c>
      <c r="E155" s="24" t="str">
        <f t="shared" si="22"/>
        <v/>
      </c>
      <c r="F155" s="29" t="str">
        <f t="shared" si="25"/>
        <v/>
      </c>
      <c r="H155" s="29" t="str">
        <f t="shared" si="20"/>
        <v>&lt;</v>
      </c>
      <c r="M155" s="62" t="str">
        <f t="shared" si="23"/>
        <v/>
      </c>
      <c r="N155" s="24" t="str">
        <f t="shared" si="24"/>
        <v/>
      </c>
      <c r="O155" s="29" t="str">
        <f t="shared" si="26"/>
        <v/>
      </c>
    </row>
    <row r="156" spans="4:17" x14ac:dyDescent="0.25">
      <c r="D156" s="62" t="str">
        <f t="shared" si="21"/>
        <v/>
      </c>
      <c r="E156" s="24" t="str">
        <f t="shared" si="22"/>
        <v/>
      </c>
      <c r="F156" s="29" t="str">
        <f t="shared" si="25"/>
        <v/>
      </c>
      <c r="H156" s="29" t="str">
        <f t="shared" si="20"/>
        <v>&lt;</v>
      </c>
      <c r="M156" s="62" t="str">
        <f t="shared" si="23"/>
        <v/>
      </c>
      <c r="N156" s="24" t="str">
        <f t="shared" si="24"/>
        <v/>
      </c>
      <c r="O156" s="29" t="str">
        <f t="shared" si="26"/>
        <v/>
      </c>
    </row>
    <row r="157" spans="4:17" x14ac:dyDescent="0.25">
      <c r="D157" s="62" t="str">
        <f t="shared" si="21"/>
        <v/>
      </c>
      <c r="E157" s="24" t="str">
        <f t="shared" si="22"/>
        <v/>
      </c>
      <c r="F157" s="29" t="str">
        <f t="shared" si="25"/>
        <v/>
      </c>
      <c r="H157" s="29" t="str">
        <f t="shared" si="20"/>
        <v>&lt;</v>
      </c>
      <c r="M157" s="62" t="str">
        <f t="shared" si="23"/>
        <v/>
      </c>
      <c r="N157" s="24" t="str">
        <f t="shared" si="24"/>
        <v/>
      </c>
      <c r="O157" s="29" t="str">
        <f t="shared" si="26"/>
        <v/>
      </c>
    </row>
    <row r="158" spans="4:17" x14ac:dyDescent="0.25">
      <c r="D158" s="62" t="str">
        <f t="shared" si="21"/>
        <v/>
      </c>
      <c r="E158" s="24" t="str">
        <f t="shared" si="22"/>
        <v/>
      </c>
      <c r="F158" s="29" t="str">
        <f t="shared" si="25"/>
        <v/>
      </c>
      <c r="H158" s="29" t="str">
        <f t="shared" si="20"/>
        <v>&lt;</v>
      </c>
      <c r="M158" s="62" t="str">
        <f t="shared" si="23"/>
        <v/>
      </c>
      <c r="N158" s="24" t="str">
        <f t="shared" si="24"/>
        <v/>
      </c>
      <c r="O158" s="29" t="str">
        <f t="shared" si="26"/>
        <v/>
      </c>
    </row>
    <row r="159" spans="4:17" x14ac:dyDescent="0.25">
      <c r="D159" s="62" t="str">
        <f t="shared" si="21"/>
        <v/>
      </c>
      <c r="E159" s="24" t="str">
        <f t="shared" si="22"/>
        <v/>
      </c>
      <c r="F159" s="29" t="str">
        <f t="shared" si="25"/>
        <v/>
      </c>
      <c r="H159" s="29" t="str">
        <f t="shared" si="20"/>
        <v>&lt;</v>
      </c>
      <c r="M159" s="62" t="str">
        <f t="shared" si="23"/>
        <v/>
      </c>
      <c r="N159" s="24" t="str">
        <f t="shared" si="24"/>
        <v/>
      </c>
      <c r="O159" s="29" t="str">
        <f t="shared" si="26"/>
        <v/>
      </c>
    </row>
    <row r="160" spans="4:17" x14ac:dyDescent="0.25">
      <c r="D160" s="62" t="str">
        <f t="shared" si="21"/>
        <v/>
      </c>
      <c r="E160" s="24" t="str">
        <f t="shared" si="22"/>
        <v/>
      </c>
      <c r="F160" s="29" t="str">
        <f t="shared" si="25"/>
        <v/>
      </c>
      <c r="H160" s="29" t="str">
        <f t="shared" si="20"/>
        <v>&lt;</v>
      </c>
      <c r="M160" s="62" t="str">
        <f t="shared" si="23"/>
        <v/>
      </c>
      <c r="N160" s="24" t="str">
        <f t="shared" si="24"/>
        <v/>
      </c>
      <c r="O160" s="29" t="str">
        <f t="shared" si="26"/>
        <v/>
      </c>
    </row>
    <row r="161" spans="4:15" x14ac:dyDescent="0.25">
      <c r="D161" s="62" t="str">
        <f t="shared" si="21"/>
        <v/>
      </c>
      <c r="E161" s="24" t="str">
        <f t="shared" si="22"/>
        <v/>
      </c>
      <c r="F161" s="29" t="str">
        <f t="shared" si="25"/>
        <v/>
      </c>
      <c r="H161" s="29" t="str">
        <f t="shared" si="20"/>
        <v>&lt;</v>
      </c>
      <c r="M161" s="62" t="str">
        <f t="shared" si="23"/>
        <v/>
      </c>
      <c r="N161" s="24" t="str">
        <f t="shared" si="24"/>
        <v/>
      </c>
      <c r="O161" s="29" t="str">
        <f t="shared" si="26"/>
        <v/>
      </c>
    </row>
    <row r="162" spans="4:15" x14ac:dyDescent="0.25">
      <c r="D162" s="62" t="str">
        <f t="shared" si="21"/>
        <v/>
      </c>
      <c r="E162" s="24" t="str">
        <f t="shared" si="22"/>
        <v/>
      </c>
      <c r="F162" s="29" t="str">
        <f t="shared" si="25"/>
        <v/>
      </c>
      <c r="H162" s="29" t="str">
        <f t="shared" si="20"/>
        <v>&lt;</v>
      </c>
      <c r="M162" s="62" t="str">
        <f t="shared" si="23"/>
        <v/>
      </c>
      <c r="N162" s="24" t="str">
        <f t="shared" si="24"/>
        <v/>
      </c>
      <c r="O162" s="29" t="str">
        <f t="shared" si="26"/>
        <v/>
      </c>
    </row>
    <row r="163" spans="4:15" x14ac:dyDescent="0.25">
      <c r="D163" s="62" t="str">
        <f t="shared" si="21"/>
        <v/>
      </c>
      <c r="E163" s="24" t="str">
        <f t="shared" si="22"/>
        <v/>
      </c>
      <c r="F163" s="29" t="str">
        <f t="shared" si="25"/>
        <v/>
      </c>
      <c r="H163" s="29" t="str">
        <f t="shared" si="20"/>
        <v>&lt;</v>
      </c>
      <c r="M163" s="62" t="str">
        <f t="shared" si="23"/>
        <v/>
      </c>
      <c r="N163" s="24" t="str">
        <f t="shared" si="24"/>
        <v/>
      </c>
      <c r="O163" s="29" t="str">
        <f t="shared" si="26"/>
        <v/>
      </c>
    </row>
    <row r="164" spans="4:15" x14ac:dyDescent="0.25">
      <c r="D164" s="62" t="str">
        <f t="shared" si="21"/>
        <v/>
      </c>
      <c r="E164" s="24" t="str">
        <f t="shared" si="22"/>
        <v/>
      </c>
      <c r="F164" s="29" t="str">
        <f t="shared" si="25"/>
        <v/>
      </c>
      <c r="H164" s="29" t="str">
        <f t="shared" si="20"/>
        <v>&lt;</v>
      </c>
      <c r="M164" s="62" t="str">
        <f t="shared" si="23"/>
        <v/>
      </c>
      <c r="N164" s="24" t="str">
        <f t="shared" si="24"/>
        <v/>
      </c>
      <c r="O164" s="29" t="str">
        <f t="shared" si="26"/>
        <v/>
      </c>
    </row>
    <row r="165" spans="4:15" x14ac:dyDescent="0.25">
      <c r="D165" s="62" t="str">
        <f t="shared" si="21"/>
        <v/>
      </c>
      <c r="E165" s="24" t="str">
        <f t="shared" si="22"/>
        <v/>
      </c>
      <c r="F165" s="29" t="str">
        <f t="shared" si="25"/>
        <v/>
      </c>
      <c r="H165" s="29" t="str">
        <f t="shared" si="20"/>
        <v>&lt;</v>
      </c>
      <c r="M165" s="62" t="str">
        <f t="shared" si="23"/>
        <v/>
      </c>
      <c r="N165" s="24" t="str">
        <f t="shared" si="24"/>
        <v/>
      </c>
      <c r="O165" s="29" t="str">
        <f t="shared" si="26"/>
        <v/>
      </c>
    </row>
    <row r="166" spans="4:15" x14ac:dyDescent="0.25">
      <c r="D166" s="62" t="str">
        <f t="shared" si="21"/>
        <v/>
      </c>
      <c r="E166" s="24" t="str">
        <f t="shared" si="22"/>
        <v/>
      </c>
      <c r="F166" s="29" t="str">
        <f t="shared" si="25"/>
        <v/>
      </c>
      <c r="H166" s="29" t="str">
        <f t="shared" si="20"/>
        <v>&lt;</v>
      </c>
      <c r="M166" s="62" t="str">
        <f t="shared" si="23"/>
        <v/>
      </c>
      <c r="N166" s="24" t="str">
        <f t="shared" si="24"/>
        <v/>
      </c>
      <c r="O166" s="29" t="str">
        <f t="shared" si="26"/>
        <v/>
      </c>
    </row>
    <row r="167" spans="4:15" x14ac:dyDescent="0.25">
      <c r="D167" s="62" t="str">
        <f t="shared" si="21"/>
        <v/>
      </c>
      <c r="E167" s="24" t="str">
        <f t="shared" si="22"/>
        <v/>
      </c>
      <c r="F167" s="29" t="str">
        <f t="shared" si="25"/>
        <v/>
      </c>
      <c r="H167" s="29" t="str">
        <f t="shared" si="20"/>
        <v>&lt;</v>
      </c>
      <c r="M167" s="62" t="str">
        <f t="shared" si="23"/>
        <v/>
      </c>
      <c r="N167" s="24" t="str">
        <f t="shared" si="24"/>
        <v/>
      </c>
      <c r="O167" s="29" t="str">
        <f t="shared" si="26"/>
        <v/>
      </c>
    </row>
    <row r="168" spans="4:15" x14ac:dyDescent="0.25">
      <c r="D168" s="62" t="str">
        <f t="shared" si="21"/>
        <v/>
      </c>
      <c r="E168" s="24" t="str">
        <f t="shared" si="22"/>
        <v/>
      </c>
      <c r="F168" s="29" t="str">
        <f t="shared" si="25"/>
        <v/>
      </c>
      <c r="H168" s="29" t="str">
        <f t="shared" si="20"/>
        <v>&lt;</v>
      </c>
      <c r="M168" s="62" t="str">
        <f t="shared" si="23"/>
        <v/>
      </c>
      <c r="N168" s="24" t="str">
        <f t="shared" si="24"/>
        <v/>
      </c>
      <c r="O168" s="29" t="str">
        <f t="shared" si="26"/>
        <v/>
      </c>
    </row>
    <row r="169" spans="4:15" x14ac:dyDescent="0.25">
      <c r="D169" s="62" t="str">
        <f t="shared" si="21"/>
        <v/>
      </c>
      <c r="E169" s="24" t="str">
        <f t="shared" si="22"/>
        <v/>
      </c>
      <c r="F169" s="29" t="str">
        <f t="shared" si="25"/>
        <v/>
      </c>
      <c r="H169" s="29" t="str">
        <f t="shared" si="20"/>
        <v>&lt;</v>
      </c>
      <c r="M169" s="62" t="str">
        <f t="shared" si="23"/>
        <v/>
      </c>
      <c r="N169" s="24" t="str">
        <f t="shared" si="24"/>
        <v/>
      </c>
      <c r="O169" s="29" t="str">
        <f t="shared" si="26"/>
        <v/>
      </c>
    </row>
    <row r="170" spans="4:15" x14ac:dyDescent="0.25">
      <c r="D170" s="62" t="str">
        <f t="shared" si="21"/>
        <v/>
      </c>
      <c r="E170" s="24" t="str">
        <f t="shared" si="22"/>
        <v/>
      </c>
      <c r="F170" s="29" t="str">
        <f t="shared" si="25"/>
        <v/>
      </c>
      <c r="H170" s="29" t="str">
        <f t="shared" si="20"/>
        <v>&lt;</v>
      </c>
      <c r="M170" s="62" t="str">
        <f t="shared" si="23"/>
        <v/>
      </c>
      <c r="N170" s="24" t="str">
        <f t="shared" si="24"/>
        <v/>
      </c>
      <c r="O170" s="29" t="str">
        <f t="shared" si="26"/>
        <v/>
      </c>
    </row>
    <row r="171" spans="4:15" x14ac:dyDescent="0.25">
      <c r="D171" s="62" t="str">
        <f t="shared" si="21"/>
        <v/>
      </c>
      <c r="E171" s="24" t="str">
        <f t="shared" si="22"/>
        <v/>
      </c>
      <c r="F171" s="29" t="str">
        <f t="shared" si="25"/>
        <v/>
      </c>
      <c r="H171" s="29" t="str">
        <f t="shared" si="20"/>
        <v>&lt;</v>
      </c>
      <c r="M171" s="62" t="str">
        <f t="shared" si="23"/>
        <v/>
      </c>
      <c r="N171" s="24" t="str">
        <f t="shared" si="24"/>
        <v/>
      </c>
      <c r="O171" s="29" t="str">
        <f t="shared" si="26"/>
        <v/>
      </c>
    </row>
    <row r="172" spans="4:15" x14ac:dyDescent="0.25">
      <c r="D172" s="62" t="str">
        <f t="shared" si="21"/>
        <v/>
      </c>
      <c r="E172" s="24" t="str">
        <f t="shared" si="22"/>
        <v/>
      </c>
      <c r="F172" s="29" t="str">
        <f t="shared" si="25"/>
        <v/>
      </c>
      <c r="H172" s="29" t="str">
        <f t="shared" si="20"/>
        <v>&lt;</v>
      </c>
      <c r="M172" s="62" t="str">
        <f t="shared" si="23"/>
        <v/>
      </c>
      <c r="N172" s="24" t="str">
        <f t="shared" si="24"/>
        <v/>
      </c>
      <c r="O172" s="29" t="str">
        <f t="shared" si="26"/>
        <v/>
      </c>
    </row>
    <row r="173" spans="4:15" x14ac:dyDescent="0.25">
      <c r="D173" s="62" t="str">
        <f t="shared" si="21"/>
        <v/>
      </c>
      <c r="E173" s="24" t="str">
        <f t="shared" si="22"/>
        <v/>
      </c>
      <c r="F173" s="29" t="str">
        <f t="shared" si="25"/>
        <v/>
      </c>
      <c r="H173" s="29" t="str">
        <f t="shared" si="20"/>
        <v>&lt;</v>
      </c>
      <c r="M173" s="62" t="str">
        <f t="shared" si="23"/>
        <v/>
      </c>
      <c r="N173" s="24" t="str">
        <f t="shared" si="24"/>
        <v/>
      </c>
      <c r="O173" s="29" t="str">
        <f t="shared" si="26"/>
        <v/>
      </c>
    </row>
    <row r="174" spans="4:15" x14ac:dyDescent="0.25">
      <c r="D174" s="62" t="str">
        <f t="shared" si="21"/>
        <v/>
      </c>
      <c r="E174" s="24" t="str">
        <f t="shared" si="22"/>
        <v/>
      </c>
      <c r="F174" s="29" t="str">
        <f t="shared" si="25"/>
        <v/>
      </c>
      <c r="H174" s="29" t="str">
        <f t="shared" si="20"/>
        <v>&lt;</v>
      </c>
      <c r="M174" s="62" t="str">
        <f t="shared" si="23"/>
        <v/>
      </c>
      <c r="N174" s="24" t="str">
        <f t="shared" si="24"/>
        <v/>
      </c>
      <c r="O174" s="29" t="str">
        <f t="shared" si="26"/>
        <v/>
      </c>
    </row>
    <row r="175" spans="4:15" x14ac:dyDescent="0.25">
      <c r="D175" s="62" t="str">
        <f t="shared" si="21"/>
        <v/>
      </c>
      <c r="E175" s="24" t="str">
        <f t="shared" si="22"/>
        <v/>
      </c>
      <c r="F175" s="29" t="str">
        <f t="shared" si="25"/>
        <v/>
      </c>
      <c r="H175" s="29" t="str">
        <f t="shared" si="20"/>
        <v>&lt;</v>
      </c>
      <c r="M175" s="62" t="str">
        <f t="shared" si="23"/>
        <v/>
      </c>
      <c r="N175" s="24" t="str">
        <f t="shared" si="24"/>
        <v/>
      </c>
      <c r="O175" s="29" t="str">
        <f t="shared" si="26"/>
        <v/>
      </c>
    </row>
    <row r="176" spans="4:15" x14ac:dyDescent="0.25">
      <c r="D176" s="62" t="str">
        <f t="shared" si="21"/>
        <v/>
      </c>
      <c r="E176" s="24" t="str">
        <f t="shared" si="22"/>
        <v/>
      </c>
      <c r="F176" s="29" t="str">
        <f t="shared" si="25"/>
        <v/>
      </c>
      <c r="H176" s="29" t="str">
        <f t="shared" si="20"/>
        <v>&lt;</v>
      </c>
      <c r="M176" s="62" t="str">
        <f t="shared" si="23"/>
        <v/>
      </c>
      <c r="N176" s="24" t="str">
        <f t="shared" si="24"/>
        <v/>
      </c>
      <c r="O176" s="29" t="str">
        <f t="shared" si="26"/>
        <v/>
      </c>
    </row>
    <row r="177" spans="4:15" x14ac:dyDescent="0.25">
      <c r="D177" s="62" t="str">
        <f t="shared" si="21"/>
        <v/>
      </c>
      <c r="E177" s="24" t="str">
        <f t="shared" si="22"/>
        <v/>
      </c>
      <c r="F177" s="29" t="str">
        <f t="shared" si="25"/>
        <v/>
      </c>
      <c r="H177" s="29" t="str">
        <f t="shared" si="20"/>
        <v>&lt;</v>
      </c>
      <c r="M177" s="62" t="str">
        <f t="shared" si="23"/>
        <v/>
      </c>
      <c r="N177" s="24" t="str">
        <f t="shared" si="24"/>
        <v/>
      </c>
      <c r="O177" s="29" t="str">
        <f t="shared" si="26"/>
        <v/>
      </c>
    </row>
    <row r="178" spans="4:15" x14ac:dyDescent="0.25">
      <c r="D178" s="62" t="str">
        <f t="shared" si="21"/>
        <v/>
      </c>
      <c r="E178" s="24" t="str">
        <f t="shared" si="22"/>
        <v/>
      </c>
      <c r="F178" s="29" t="str">
        <f t="shared" si="25"/>
        <v/>
      </c>
      <c r="H178" s="29" t="str">
        <f t="shared" si="20"/>
        <v>&lt;</v>
      </c>
      <c r="M178" s="62" t="str">
        <f t="shared" si="23"/>
        <v/>
      </c>
      <c r="N178" s="24" t="str">
        <f t="shared" si="24"/>
        <v/>
      </c>
      <c r="O178" s="29" t="str">
        <f t="shared" si="26"/>
        <v/>
      </c>
    </row>
    <row r="179" spans="4:15" x14ac:dyDescent="0.25">
      <c r="D179" s="62" t="str">
        <f t="shared" si="21"/>
        <v/>
      </c>
      <c r="E179" s="24" t="str">
        <f t="shared" si="22"/>
        <v/>
      </c>
      <c r="F179" s="29" t="str">
        <f t="shared" si="25"/>
        <v/>
      </c>
      <c r="H179" s="29" t="str">
        <f t="shared" si="20"/>
        <v>&lt;</v>
      </c>
      <c r="M179" s="62" t="str">
        <f t="shared" si="23"/>
        <v/>
      </c>
      <c r="N179" s="24" t="str">
        <f t="shared" si="24"/>
        <v/>
      </c>
      <c r="O179" s="29" t="str">
        <f t="shared" si="26"/>
        <v/>
      </c>
    </row>
    <row r="180" spans="4:15" x14ac:dyDescent="0.25">
      <c r="D180" s="62" t="str">
        <f t="shared" si="21"/>
        <v/>
      </c>
      <c r="E180" s="24" t="str">
        <f t="shared" si="22"/>
        <v/>
      </c>
      <c r="F180" s="29" t="str">
        <f t="shared" si="25"/>
        <v/>
      </c>
      <c r="H180" s="29" t="str">
        <f t="shared" si="20"/>
        <v>&lt;</v>
      </c>
      <c r="M180" s="62" t="str">
        <f t="shared" si="23"/>
        <v/>
      </c>
      <c r="N180" s="24" t="str">
        <f t="shared" si="24"/>
        <v/>
      </c>
      <c r="O180" s="29" t="str">
        <f t="shared" si="26"/>
        <v/>
      </c>
    </row>
    <row r="181" spans="4:15" x14ac:dyDescent="0.25">
      <c r="D181" s="62" t="str">
        <f t="shared" si="21"/>
        <v/>
      </c>
      <c r="E181" s="24" t="str">
        <f t="shared" si="22"/>
        <v/>
      </c>
      <c r="F181" s="29" t="str">
        <f t="shared" si="25"/>
        <v/>
      </c>
      <c r="H181" s="29" t="str">
        <f t="shared" si="20"/>
        <v>&lt;</v>
      </c>
      <c r="M181" s="62" t="str">
        <f t="shared" si="23"/>
        <v/>
      </c>
      <c r="N181" s="24" t="str">
        <f t="shared" si="24"/>
        <v/>
      </c>
      <c r="O181" s="29" t="str">
        <f t="shared" si="26"/>
        <v/>
      </c>
    </row>
    <row r="182" spans="4:15" x14ac:dyDescent="0.25">
      <c r="D182" s="62" t="str">
        <f t="shared" si="21"/>
        <v/>
      </c>
      <c r="E182" s="24" t="str">
        <f t="shared" si="22"/>
        <v/>
      </c>
      <c r="F182" s="29" t="str">
        <f t="shared" si="25"/>
        <v/>
      </c>
      <c r="H182" s="29" t="str">
        <f t="shared" si="20"/>
        <v>&lt;</v>
      </c>
      <c r="M182" s="62" t="str">
        <f t="shared" si="23"/>
        <v/>
      </c>
      <c r="N182" s="24" t="str">
        <f t="shared" si="24"/>
        <v/>
      </c>
      <c r="O182" s="29" t="str">
        <f t="shared" si="26"/>
        <v/>
      </c>
    </row>
    <row r="183" spans="4:15" x14ac:dyDescent="0.25">
      <c r="D183" s="62" t="str">
        <f t="shared" si="21"/>
        <v/>
      </c>
      <c r="E183" s="24" t="str">
        <f t="shared" si="22"/>
        <v/>
      </c>
      <c r="F183" s="29" t="str">
        <f t="shared" si="25"/>
        <v/>
      </c>
      <c r="H183" s="29" t="str">
        <f t="shared" si="20"/>
        <v>&lt;</v>
      </c>
      <c r="M183" s="62" t="str">
        <f t="shared" si="23"/>
        <v/>
      </c>
      <c r="N183" s="24" t="str">
        <f t="shared" si="24"/>
        <v/>
      </c>
      <c r="O183" s="29" t="str">
        <f t="shared" si="26"/>
        <v/>
      </c>
    </row>
    <row r="184" spans="4:15" x14ac:dyDescent="0.25">
      <c r="D184" s="62" t="str">
        <f t="shared" si="21"/>
        <v/>
      </c>
      <c r="E184" s="24" t="str">
        <f t="shared" si="22"/>
        <v/>
      </c>
      <c r="F184" s="29" t="str">
        <f t="shared" si="25"/>
        <v/>
      </c>
      <c r="H184" s="29" t="str">
        <f t="shared" si="20"/>
        <v>&lt;</v>
      </c>
      <c r="M184" s="62" t="str">
        <f t="shared" si="23"/>
        <v/>
      </c>
      <c r="N184" s="24" t="str">
        <f t="shared" si="24"/>
        <v/>
      </c>
      <c r="O184" s="29" t="str">
        <f t="shared" si="26"/>
        <v/>
      </c>
    </row>
    <row r="185" spans="4:15" x14ac:dyDescent="0.25">
      <c r="D185" s="62" t="str">
        <f t="shared" si="21"/>
        <v/>
      </c>
      <c r="E185" s="24" t="str">
        <f t="shared" si="22"/>
        <v/>
      </c>
      <c r="F185" s="29" t="str">
        <f t="shared" si="25"/>
        <v/>
      </c>
      <c r="H185" s="29" t="str">
        <f t="shared" si="20"/>
        <v>&lt;</v>
      </c>
      <c r="M185" s="62" t="str">
        <f t="shared" si="23"/>
        <v/>
      </c>
      <c r="N185" s="24" t="str">
        <f t="shared" si="24"/>
        <v/>
      </c>
      <c r="O185" s="29" t="str">
        <f t="shared" si="26"/>
        <v/>
      </c>
    </row>
    <row r="186" spans="4:15" x14ac:dyDescent="0.25">
      <c r="D186" s="62" t="str">
        <f t="shared" si="21"/>
        <v/>
      </c>
      <c r="E186" s="24" t="str">
        <f t="shared" si="22"/>
        <v/>
      </c>
      <c r="F186" s="29" t="str">
        <f t="shared" si="25"/>
        <v/>
      </c>
      <c r="H186" s="29" t="str">
        <f t="shared" si="20"/>
        <v>&lt;</v>
      </c>
      <c r="M186" s="62" t="str">
        <f t="shared" si="23"/>
        <v/>
      </c>
      <c r="N186" s="24" t="str">
        <f t="shared" si="24"/>
        <v/>
      </c>
      <c r="O186" s="29" t="str">
        <f t="shared" si="26"/>
        <v/>
      </c>
    </row>
    <row r="187" spans="4:15" x14ac:dyDescent="0.25">
      <c r="D187" s="62" t="str">
        <f t="shared" si="21"/>
        <v/>
      </c>
      <c r="E187" s="24" t="str">
        <f t="shared" si="22"/>
        <v/>
      </c>
      <c r="F187" s="29" t="str">
        <f t="shared" si="25"/>
        <v/>
      </c>
      <c r="H187" s="29" t="str">
        <f t="shared" si="20"/>
        <v>&lt;</v>
      </c>
      <c r="M187" s="62" t="str">
        <f t="shared" si="23"/>
        <v/>
      </c>
      <c r="N187" s="24" t="str">
        <f t="shared" si="24"/>
        <v/>
      </c>
      <c r="O187" s="29" t="str">
        <f t="shared" si="26"/>
        <v/>
      </c>
    </row>
    <row r="188" spans="4:15" x14ac:dyDescent="0.25">
      <c r="D188" s="62" t="str">
        <f t="shared" si="21"/>
        <v/>
      </c>
      <c r="E188" s="24" t="str">
        <f t="shared" si="22"/>
        <v/>
      </c>
      <c r="F188" s="29" t="str">
        <f t="shared" si="25"/>
        <v/>
      </c>
      <c r="H188" s="29" t="str">
        <f t="shared" si="20"/>
        <v>&lt;</v>
      </c>
      <c r="M188" s="62" t="str">
        <f t="shared" si="23"/>
        <v/>
      </c>
      <c r="N188" s="24" t="str">
        <f t="shared" si="24"/>
        <v/>
      </c>
      <c r="O188" s="29" t="str">
        <f t="shared" si="26"/>
        <v/>
      </c>
    </row>
    <row r="189" spans="4:15" x14ac:dyDescent="0.25">
      <c r="D189" s="62" t="str">
        <f t="shared" si="21"/>
        <v/>
      </c>
      <c r="E189" s="24" t="str">
        <f t="shared" si="22"/>
        <v/>
      </c>
      <c r="F189" s="29" t="str">
        <f t="shared" si="25"/>
        <v/>
      </c>
      <c r="H189" s="29" t="str">
        <f t="shared" si="20"/>
        <v>&lt;</v>
      </c>
      <c r="M189" s="62" t="str">
        <f t="shared" si="23"/>
        <v/>
      </c>
      <c r="N189" s="24" t="str">
        <f t="shared" si="24"/>
        <v/>
      </c>
      <c r="O189" s="29" t="str">
        <f t="shared" si="26"/>
        <v/>
      </c>
    </row>
    <row r="190" spans="4:15" x14ac:dyDescent="0.25">
      <c r="D190" s="62" t="str">
        <f t="shared" si="21"/>
        <v/>
      </c>
      <c r="E190" s="24" t="str">
        <f t="shared" si="22"/>
        <v/>
      </c>
      <c r="F190" s="29" t="str">
        <f t="shared" si="25"/>
        <v/>
      </c>
      <c r="H190" s="29" t="str">
        <f t="shared" si="20"/>
        <v>&lt;</v>
      </c>
      <c r="M190" s="62" t="str">
        <f t="shared" si="23"/>
        <v/>
      </c>
      <c r="N190" s="24" t="str">
        <f t="shared" si="24"/>
        <v/>
      </c>
      <c r="O190" s="29" t="str">
        <f t="shared" si="26"/>
        <v/>
      </c>
    </row>
    <row r="191" spans="4:15" x14ac:dyDescent="0.25">
      <c r="D191" s="62" t="str">
        <f t="shared" si="21"/>
        <v/>
      </c>
      <c r="E191" s="24" t="str">
        <f t="shared" si="22"/>
        <v/>
      </c>
      <c r="F191" s="29" t="str">
        <f t="shared" si="25"/>
        <v/>
      </c>
      <c r="H191" s="29" t="str">
        <f t="shared" si="20"/>
        <v>&lt;</v>
      </c>
      <c r="M191" s="62" t="str">
        <f t="shared" si="23"/>
        <v/>
      </c>
      <c r="N191" s="24" t="str">
        <f t="shared" si="24"/>
        <v/>
      </c>
      <c r="O191" s="29" t="str">
        <f t="shared" si="26"/>
        <v/>
      </c>
    </row>
    <row r="192" spans="4:15" x14ac:dyDescent="0.25">
      <c r="D192" s="62" t="str">
        <f t="shared" si="21"/>
        <v/>
      </c>
      <c r="E192" s="24" t="str">
        <f t="shared" si="22"/>
        <v/>
      </c>
      <c r="F192" s="29" t="str">
        <f t="shared" si="25"/>
        <v/>
      </c>
      <c r="H192" s="29" t="str">
        <f t="shared" si="20"/>
        <v>&lt;</v>
      </c>
      <c r="M192" s="62" t="str">
        <f t="shared" si="23"/>
        <v/>
      </c>
      <c r="N192" s="24" t="str">
        <f t="shared" si="24"/>
        <v/>
      </c>
      <c r="O192" s="29" t="str">
        <f t="shared" si="26"/>
        <v/>
      </c>
    </row>
    <row r="193" spans="4:15" x14ac:dyDescent="0.25">
      <c r="D193" s="62" t="str">
        <f t="shared" si="21"/>
        <v/>
      </c>
      <c r="E193" s="24" t="str">
        <f t="shared" si="22"/>
        <v/>
      </c>
      <c r="F193" s="29" t="str">
        <f t="shared" si="25"/>
        <v/>
      </c>
      <c r="H193" s="29" t="str">
        <f t="shared" si="20"/>
        <v>&lt;</v>
      </c>
      <c r="M193" s="62" t="str">
        <f t="shared" si="23"/>
        <v/>
      </c>
      <c r="N193" s="24" t="str">
        <f t="shared" si="24"/>
        <v/>
      </c>
      <c r="O193" s="29" t="str">
        <f t="shared" si="26"/>
        <v/>
      </c>
    </row>
    <row r="194" spans="4:15" x14ac:dyDescent="0.25">
      <c r="D194" s="62" t="str">
        <f t="shared" si="21"/>
        <v/>
      </c>
      <c r="E194" s="24" t="str">
        <f t="shared" si="22"/>
        <v/>
      </c>
      <c r="F194" s="29" t="str">
        <f t="shared" si="25"/>
        <v/>
      </c>
      <c r="H194" s="29" t="str">
        <f t="shared" si="20"/>
        <v>&lt;</v>
      </c>
      <c r="M194" s="62" t="str">
        <f t="shared" si="23"/>
        <v/>
      </c>
      <c r="N194" s="24" t="str">
        <f t="shared" si="24"/>
        <v/>
      </c>
      <c r="O194" s="29" t="str">
        <f t="shared" si="26"/>
        <v/>
      </c>
    </row>
    <row r="195" spans="4:15" x14ac:dyDescent="0.25">
      <c r="D195" s="62" t="str">
        <f t="shared" si="21"/>
        <v/>
      </c>
      <c r="E195" s="24" t="str">
        <f t="shared" si="22"/>
        <v/>
      </c>
      <c r="F195" s="29" t="str">
        <f t="shared" si="25"/>
        <v/>
      </c>
      <c r="H195" s="29" t="str">
        <f t="shared" si="20"/>
        <v>&lt;</v>
      </c>
      <c r="M195" s="62" t="str">
        <f t="shared" si="23"/>
        <v/>
      </c>
      <c r="N195" s="24" t="str">
        <f t="shared" si="24"/>
        <v/>
      </c>
      <c r="O195" s="29" t="str">
        <f t="shared" si="26"/>
        <v/>
      </c>
    </row>
    <row r="196" spans="4:15" x14ac:dyDescent="0.25">
      <c r="D196" s="62" t="str">
        <f t="shared" si="21"/>
        <v/>
      </c>
      <c r="E196" s="24" t="str">
        <f t="shared" si="22"/>
        <v/>
      </c>
      <c r="F196" s="29" t="str">
        <f t="shared" si="25"/>
        <v/>
      </c>
      <c r="H196" s="29" t="str">
        <f t="shared" si="20"/>
        <v>&lt;</v>
      </c>
      <c r="M196" s="62" t="str">
        <f t="shared" si="23"/>
        <v/>
      </c>
      <c r="N196" s="24" t="str">
        <f t="shared" si="24"/>
        <v/>
      </c>
      <c r="O196" s="29" t="str">
        <f t="shared" si="26"/>
        <v/>
      </c>
    </row>
    <row r="197" spans="4:15" x14ac:dyDescent="0.25">
      <c r="D197" s="62" t="str">
        <f t="shared" si="21"/>
        <v/>
      </c>
      <c r="E197" s="24" t="str">
        <f t="shared" si="22"/>
        <v/>
      </c>
      <c r="F197" s="29" t="str">
        <f t="shared" si="25"/>
        <v/>
      </c>
      <c r="H197" s="29" t="str">
        <f t="shared" si="20"/>
        <v>&lt;</v>
      </c>
      <c r="M197" s="62" t="str">
        <f t="shared" si="23"/>
        <v/>
      </c>
      <c r="N197" s="24" t="str">
        <f t="shared" si="24"/>
        <v/>
      </c>
      <c r="O197" s="29" t="str">
        <f t="shared" si="26"/>
        <v/>
      </c>
    </row>
    <row r="198" spans="4:15" x14ac:dyDescent="0.25">
      <c r="D198" s="62" t="str">
        <f t="shared" si="21"/>
        <v/>
      </c>
      <c r="E198" s="24" t="str">
        <f t="shared" si="22"/>
        <v/>
      </c>
      <c r="F198" s="29" t="str">
        <f t="shared" si="25"/>
        <v/>
      </c>
      <c r="H198" s="29" t="str">
        <f t="shared" si="20"/>
        <v>&lt;</v>
      </c>
      <c r="M198" s="62" t="str">
        <f t="shared" si="23"/>
        <v/>
      </c>
      <c r="N198" s="24" t="str">
        <f t="shared" si="24"/>
        <v/>
      </c>
      <c r="O198" s="29" t="str">
        <f t="shared" si="26"/>
        <v/>
      </c>
    </row>
    <row r="199" spans="4:15" x14ac:dyDescent="0.25">
      <c r="D199" s="62" t="str">
        <f t="shared" ref="D199:D225" si="27">IF(OR(B199="Grand Total",B199=""),"",D198+C199)</f>
        <v/>
      </c>
      <c r="E199" s="24" t="str">
        <f t="shared" ref="E199:E225" si="28">IF(OR(C199="",B199="Grand Total"),"",IF(C199&lt;0,"L","W"))</f>
        <v/>
      </c>
      <c r="F199" s="29" t="str">
        <f t="shared" ref="F199:F225" si="29">IF(E199="","",IF(E199=E198,F198+1,1))</f>
        <v/>
      </c>
      <c r="H199" s="29" t="str">
        <f t="shared" si="20"/>
        <v>&lt;</v>
      </c>
      <c r="M199" s="62" t="str">
        <f t="shared" si="23"/>
        <v/>
      </c>
      <c r="N199" s="24" t="str">
        <f t="shared" si="24"/>
        <v/>
      </c>
      <c r="O199" s="29" t="str">
        <f t="shared" si="26"/>
        <v/>
      </c>
    </row>
    <row r="200" spans="4:15" x14ac:dyDescent="0.25">
      <c r="D200" s="62" t="str">
        <f t="shared" si="27"/>
        <v/>
      </c>
      <c r="E200" s="24" t="str">
        <f t="shared" si="28"/>
        <v/>
      </c>
      <c r="F200" s="29" t="str">
        <f t="shared" si="29"/>
        <v/>
      </c>
      <c r="H200" s="29" t="str">
        <f t="shared" ref="H200:H225" si="30">IF(D200&gt;M200,"&gt;","&lt;")</f>
        <v>&lt;</v>
      </c>
      <c r="M200" s="62" t="str">
        <f t="shared" si="23"/>
        <v/>
      </c>
      <c r="N200" s="24" t="str">
        <f t="shared" si="24"/>
        <v/>
      </c>
      <c r="O200" s="29" t="str">
        <f t="shared" si="26"/>
        <v/>
      </c>
    </row>
    <row r="201" spans="4:15" x14ac:dyDescent="0.25">
      <c r="D201" s="62" t="str">
        <f t="shared" si="27"/>
        <v/>
      </c>
      <c r="E201" s="24" t="str">
        <f t="shared" si="28"/>
        <v/>
      </c>
      <c r="F201" s="29" t="str">
        <f t="shared" si="29"/>
        <v/>
      </c>
      <c r="H201" s="29" t="str">
        <f t="shared" si="30"/>
        <v>&lt;</v>
      </c>
      <c r="M201" s="62" t="str">
        <f t="shared" si="23"/>
        <v/>
      </c>
      <c r="N201" s="24" t="str">
        <f t="shared" si="24"/>
        <v/>
      </c>
      <c r="O201" s="29" t="str">
        <f t="shared" si="26"/>
        <v/>
      </c>
    </row>
    <row r="202" spans="4:15" x14ac:dyDescent="0.25">
      <c r="D202" s="62" t="str">
        <f t="shared" si="27"/>
        <v/>
      </c>
      <c r="E202" s="24" t="str">
        <f t="shared" si="28"/>
        <v/>
      </c>
      <c r="F202" s="29" t="str">
        <f t="shared" si="29"/>
        <v/>
      </c>
      <c r="H202" s="29" t="str">
        <f t="shared" si="30"/>
        <v>&lt;</v>
      </c>
      <c r="M202" s="62" t="str">
        <f t="shared" ref="M202:M242" si="31">IF(OR(K202="Grand Total",K202=""),"",M201+L202)</f>
        <v/>
      </c>
      <c r="N202" s="24" t="str">
        <f t="shared" ref="N202:N242" si="32">IF(OR(L202="",K202="Grand Total"),"",IF(L202&lt;0,"L","W"))</f>
        <v/>
      </c>
      <c r="O202" s="29" t="str">
        <f t="shared" ref="O202:O242" si="33">IF(N202="","",IF(N202=N201,O201+1,1))</f>
        <v/>
      </c>
    </row>
    <row r="203" spans="4:15" x14ac:dyDescent="0.25">
      <c r="D203" s="62" t="str">
        <f t="shared" si="27"/>
        <v/>
      </c>
      <c r="E203" s="24" t="str">
        <f t="shared" si="28"/>
        <v/>
      </c>
      <c r="F203" s="29" t="str">
        <f t="shared" si="29"/>
        <v/>
      </c>
      <c r="H203" s="29" t="str">
        <f t="shared" si="30"/>
        <v>&lt;</v>
      </c>
      <c r="M203" s="62" t="str">
        <f t="shared" si="31"/>
        <v/>
      </c>
      <c r="N203" s="24" t="str">
        <f t="shared" si="32"/>
        <v/>
      </c>
      <c r="O203" s="29" t="str">
        <f t="shared" si="33"/>
        <v/>
      </c>
    </row>
    <row r="204" spans="4:15" x14ac:dyDescent="0.25">
      <c r="D204" s="62" t="str">
        <f t="shared" si="27"/>
        <v/>
      </c>
      <c r="E204" s="24" t="str">
        <f t="shared" si="28"/>
        <v/>
      </c>
      <c r="F204" s="29" t="str">
        <f t="shared" si="29"/>
        <v/>
      </c>
      <c r="H204" s="29" t="str">
        <f t="shared" si="30"/>
        <v>&lt;</v>
      </c>
      <c r="M204" s="62" t="str">
        <f t="shared" si="31"/>
        <v/>
      </c>
      <c r="N204" s="24" t="str">
        <f t="shared" si="32"/>
        <v/>
      </c>
      <c r="O204" s="29" t="str">
        <f t="shared" si="33"/>
        <v/>
      </c>
    </row>
    <row r="205" spans="4:15" x14ac:dyDescent="0.25">
      <c r="D205" s="62" t="str">
        <f t="shared" si="27"/>
        <v/>
      </c>
      <c r="E205" s="24" t="str">
        <f t="shared" si="28"/>
        <v/>
      </c>
      <c r="F205" s="29" t="str">
        <f t="shared" si="29"/>
        <v/>
      </c>
      <c r="H205" s="29" t="str">
        <f t="shared" si="30"/>
        <v>&lt;</v>
      </c>
      <c r="M205" s="62" t="str">
        <f t="shared" si="31"/>
        <v/>
      </c>
      <c r="N205" s="24" t="str">
        <f t="shared" si="32"/>
        <v/>
      </c>
      <c r="O205" s="29" t="str">
        <f t="shared" si="33"/>
        <v/>
      </c>
    </row>
    <row r="206" spans="4:15" x14ac:dyDescent="0.25">
      <c r="D206" s="62" t="str">
        <f t="shared" si="27"/>
        <v/>
      </c>
      <c r="E206" s="24" t="str">
        <f t="shared" si="28"/>
        <v/>
      </c>
      <c r="F206" s="29" t="str">
        <f t="shared" si="29"/>
        <v/>
      </c>
      <c r="H206" s="29" t="str">
        <f t="shared" si="30"/>
        <v>&lt;</v>
      </c>
      <c r="M206" s="62" t="str">
        <f t="shared" si="31"/>
        <v/>
      </c>
      <c r="N206" s="24" t="str">
        <f t="shared" si="32"/>
        <v/>
      </c>
      <c r="O206" s="29" t="str">
        <f t="shared" si="33"/>
        <v/>
      </c>
    </row>
    <row r="207" spans="4:15" ht="15" customHeight="1" x14ac:dyDescent="0.25">
      <c r="D207" s="62" t="str">
        <f t="shared" si="27"/>
        <v/>
      </c>
      <c r="E207" s="24" t="str">
        <f t="shared" si="28"/>
        <v/>
      </c>
      <c r="F207" s="29" t="str">
        <f t="shared" si="29"/>
        <v/>
      </c>
      <c r="H207" s="29" t="str">
        <f t="shared" si="30"/>
        <v>&lt;</v>
      </c>
      <c r="M207" s="62" t="str">
        <f t="shared" si="31"/>
        <v/>
      </c>
      <c r="N207" s="24" t="str">
        <f t="shared" si="32"/>
        <v/>
      </c>
      <c r="O207" s="29" t="str">
        <f t="shared" si="33"/>
        <v/>
      </c>
    </row>
    <row r="208" spans="4:15" ht="15" customHeight="1" x14ac:dyDescent="0.25">
      <c r="D208" s="62" t="str">
        <f t="shared" si="27"/>
        <v/>
      </c>
      <c r="E208" s="24" t="str">
        <f t="shared" si="28"/>
        <v/>
      </c>
      <c r="F208" s="29" t="str">
        <f t="shared" si="29"/>
        <v/>
      </c>
      <c r="H208" s="29" t="str">
        <f t="shared" si="30"/>
        <v>&lt;</v>
      </c>
      <c r="M208" s="62" t="str">
        <f t="shared" si="31"/>
        <v/>
      </c>
      <c r="N208" s="24" t="str">
        <f t="shared" si="32"/>
        <v/>
      </c>
      <c r="O208" s="29" t="str">
        <f t="shared" si="33"/>
        <v/>
      </c>
    </row>
    <row r="209" spans="4:15" ht="15" customHeight="1" x14ac:dyDescent="0.25">
      <c r="D209" s="62" t="str">
        <f t="shared" si="27"/>
        <v/>
      </c>
      <c r="E209" s="24" t="str">
        <f t="shared" si="28"/>
        <v/>
      </c>
      <c r="F209" s="29" t="str">
        <f t="shared" si="29"/>
        <v/>
      </c>
      <c r="H209" s="29" t="str">
        <f t="shared" si="30"/>
        <v>&lt;</v>
      </c>
      <c r="M209" s="62" t="str">
        <f t="shared" si="31"/>
        <v/>
      </c>
      <c r="N209" s="24" t="str">
        <f t="shared" si="32"/>
        <v/>
      </c>
      <c r="O209" s="29" t="str">
        <f t="shared" si="33"/>
        <v/>
      </c>
    </row>
    <row r="210" spans="4:15" ht="15" customHeight="1" x14ac:dyDescent="0.25">
      <c r="D210" s="62" t="str">
        <f t="shared" si="27"/>
        <v/>
      </c>
      <c r="E210" s="24" t="str">
        <f t="shared" si="28"/>
        <v/>
      </c>
      <c r="F210" s="29" t="str">
        <f t="shared" si="29"/>
        <v/>
      </c>
      <c r="H210" s="29" t="str">
        <f t="shared" si="30"/>
        <v>&lt;</v>
      </c>
      <c r="M210" s="62" t="str">
        <f t="shared" si="31"/>
        <v/>
      </c>
      <c r="N210" s="24" t="str">
        <f t="shared" si="32"/>
        <v/>
      </c>
      <c r="O210" s="29" t="str">
        <f t="shared" si="33"/>
        <v/>
      </c>
    </row>
    <row r="211" spans="4:15" ht="15" customHeight="1" x14ac:dyDescent="0.25">
      <c r="D211" s="62" t="str">
        <f t="shared" si="27"/>
        <v/>
      </c>
      <c r="E211" s="24" t="str">
        <f t="shared" si="28"/>
        <v/>
      </c>
      <c r="F211" s="29" t="str">
        <f t="shared" si="29"/>
        <v/>
      </c>
      <c r="H211" s="29" t="str">
        <f t="shared" si="30"/>
        <v>&lt;</v>
      </c>
      <c r="M211" s="62" t="str">
        <f t="shared" si="31"/>
        <v/>
      </c>
      <c r="N211" s="24" t="str">
        <f t="shared" si="32"/>
        <v/>
      </c>
      <c r="O211" s="29" t="str">
        <f t="shared" si="33"/>
        <v/>
      </c>
    </row>
    <row r="212" spans="4:15" ht="15" customHeight="1" x14ac:dyDescent="0.25">
      <c r="D212" s="62" t="str">
        <f t="shared" si="27"/>
        <v/>
      </c>
      <c r="E212" s="24" t="str">
        <f t="shared" si="28"/>
        <v/>
      </c>
      <c r="F212" s="29" t="str">
        <f t="shared" si="29"/>
        <v/>
      </c>
      <c r="H212" s="29" t="str">
        <f t="shared" si="30"/>
        <v>&lt;</v>
      </c>
      <c r="M212" s="62" t="str">
        <f t="shared" si="31"/>
        <v/>
      </c>
      <c r="N212" s="24" t="str">
        <f t="shared" si="32"/>
        <v/>
      </c>
      <c r="O212" s="29" t="str">
        <f t="shared" si="33"/>
        <v/>
      </c>
    </row>
    <row r="213" spans="4:15" ht="15" customHeight="1" x14ac:dyDescent="0.25">
      <c r="D213" s="62" t="str">
        <f t="shared" si="27"/>
        <v/>
      </c>
      <c r="E213" s="24" t="str">
        <f t="shared" si="28"/>
        <v/>
      </c>
      <c r="F213" s="29" t="str">
        <f t="shared" si="29"/>
        <v/>
      </c>
      <c r="H213" s="29" t="str">
        <f t="shared" si="30"/>
        <v>&lt;</v>
      </c>
      <c r="M213" s="62" t="str">
        <f t="shared" si="31"/>
        <v/>
      </c>
      <c r="N213" s="24" t="str">
        <f t="shared" si="32"/>
        <v/>
      </c>
      <c r="O213" s="29" t="str">
        <f t="shared" si="33"/>
        <v/>
      </c>
    </row>
    <row r="214" spans="4:15" ht="15" customHeight="1" x14ac:dyDescent="0.25">
      <c r="D214" s="62" t="str">
        <f t="shared" si="27"/>
        <v/>
      </c>
      <c r="E214" s="24" t="str">
        <f t="shared" si="28"/>
        <v/>
      </c>
      <c r="F214" s="29" t="str">
        <f t="shared" si="29"/>
        <v/>
      </c>
      <c r="H214" s="29" t="str">
        <f t="shared" si="30"/>
        <v>&lt;</v>
      </c>
      <c r="M214" s="62" t="str">
        <f t="shared" si="31"/>
        <v/>
      </c>
      <c r="N214" s="24" t="str">
        <f t="shared" si="32"/>
        <v/>
      </c>
      <c r="O214" s="29" t="str">
        <f t="shared" si="33"/>
        <v/>
      </c>
    </row>
    <row r="215" spans="4:15" ht="15" customHeight="1" x14ac:dyDescent="0.25">
      <c r="D215" s="62" t="str">
        <f t="shared" si="27"/>
        <v/>
      </c>
      <c r="E215" s="24" t="str">
        <f t="shared" si="28"/>
        <v/>
      </c>
      <c r="F215" s="29" t="str">
        <f t="shared" si="29"/>
        <v/>
      </c>
      <c r="H215" s="29" t="str">
        <f t="shared" si="30"/>
        <v>&lt;</v>
      </c>
      <c r="M215" s="62" t="str">
        <f t="shared" si="31"/>
        <v/>
      </c>
      <c r="N215" s="24" t="str">
        <f t="shared" si="32"/>
        <v/>
      </c>
      <c r="O215" s="29" t="str">
        <f t="shared" si="33"/>
        <v/>
      </c>
    </row>
    <row r="216" spans="4:15" ht="15" customHeight="1" x14ac:dyDescent="0.25">
      <c r="D216" s="62" t="str">
        <f t="shared" si="27"/>
        <v/>
      </c>
      <c r="E216" s="24" t="str">
        <f t="shared" si="28"/>
        <v/>
      </c>
      <c r="F216" s="29" t="str">
        <f t="shared" si="29"/>
        <v/>
      </c>
      <c r="H216" s="29" t="str">
        <f t="shared" si="30"/>
        <v>&lt;</v>
      </c>
      <c r="M216" s="62" t="str">
        <f t="shared" si="31"/>
        <v/>
      </c>
      <c r="N216" s="24" t="str">
        <f t="shared" si="32"/>
        <v/>
      </c>
      <c r="O216" s="29" t="str">
        <f t="shared" si="33"/>
        <v/>
      </c>
    </row>
    <row r="217" spans="4:15" ht="15" customHeight="1" x14ac:dyDescent="0.25">
      <c r="D217" s="62" t="str">
        <f t="shared" si="27"/>
        <v/>
      </c>
      <c r="E217" s="24" t="str">
        <f t="shared" si="28"/>
        <v/>
      </c>
      <c r="F217" s="29" t="str">
        <f t="shared" si="29"/>
        <v/>
      </c>
      <c r="H217" s="29" t="str">
        <f t="shared" si="30"/>
        <v>&lt;</v>
      </c>
      <c r="M217" s="62" t="str">
        <f t="shared" si="31"/>
        <v/>
      </c>
      <c r="N217" s="24" t="str">
        <f t="shared" si="32"/>
        <v/>
      </c>
      <c r="O217" s="29" t="str">
        <f t="shared" si="33"/>
        <v/>
      </c>
    </row>
    <row r="218" spans="4:15" ht="15" customHeight="1" x14ac:dyDescent="0.25">
      <c r="D218" s="62" t="str">
        <f t="shared" si="27"/>
        <v/>
      </c>
      <c r="E218" s="24" t="str">
        <f t="shared" si="28"/>
        <v/>
      </c>
      <c r="F218" s="29" t="str">
        <f t="shared" si="29"/>
        <v/>
      </c>
      <c r="H218" s="29" t="str">
        <f t="shared" si="30"/>
        <v>&lt;</v>
      </c>
      <c r="M218" s="62" t="str">
        <f t="shared" si="31"/>
        <v/>
      </c>
      <c r="N218" s="24" t="str">
        <f t="shared" si="32"/>
        <v/>
      </c>
      <c r="O218" s="29" t="str">
        <f t="shared" si="33"/>
        <v/>
      </c>
    </row>
    <row r="219" spans="4:15" ht="15" customHeight="1" x14ac:dyDescent="0.25">
      <c r="D219" s="62" t="str">
        <f t="shared" si="27"/>
        <v/>
      </c>
      <c r="E219" s="24" t="str">
        <f t="shared" si="28"/>
        <v/>
      </c>
      <c r="F219" s="29" t="str">
        <f t="shared" si="29"/>
        <v/>
      </c>
      <c r="H219" s="29" t="str">
        <f t="shared" si="30"/>
        <v>&lt;</v>
      </c>
      <c r="M219" s="62" t="str">
        <f t="shared" si="31"/>
        <v/>
      </c>
      <c r="N219" s="24" t="str">
        <f t="shared" si="32"/>
        <v/>
      </c>
      <c r="O219" s="29" t="str">
        <f t="shared" si="33"/>
        <v/>
      </c>
    </row>
    <row r="220" spans="4:15" ht="15" customHeight="1" x14ac:dyDescent="0.25">
      <c r="D220" s="62" t="str">
        <f t="shared" si="27"/>
        <v/>
      </c>
      <c r="E220" s="24" t="str">
        <f t="shared" si="28"/>
        <v/>
      </c>
      <c r="F220" s="29" t="str">
        <f t="shared" si="29"/>
        <v/>
      </c>
      <c r="H220" s="29" t="str">
        <f t="shared" si="30"/>
        <v>&lt;</v>
      </c>
      <c r="M220" s="62" t="str">
        <f t="shared" si="31"/>
        <v/>
      </c>
      <c r="N220" s="24" t="str">
        <f t="shared" si="32"/>
        <v/>
      </c>
      <c r="O220" s="29" t="str">
        <f t="shared" si="33"/>
        <v/>
      </c>
    </row>
    <row r="221" spans="4:15" ht="15" customHeight="1" x14ac:dyDescent="0.25">
      <c r="D221" s="62" t="str">
        <f t="shared" si="27"/>
        <v/>
      </c>
      <c r="E221" s="24" t="str">
        <f t="shared" si="28"/>
        <v/>
      </c>
      <c r="F221" s="29" t="str">
        <f t="shared" si="29"/>
        <v/>
      </c>
      <c r="H221" s="29" t="str">
        <f t="shared" si="30"/>
        <v>&lt;</v>
      </c>
      <c r="M221" s="62" t="str">
        <f t="shared" si="31"/>
        <v/>
      </c>
      <c r="N221" s="24" t="str">
        <f t="shared" si="32"/>
        <v/>
      </c>
      <c r="O221" s="29" t="str">
        <f t="shared" si="33"/>
        <v/>
      </c>
    </row>
    <row r="222" spans="4:15" ht="15" customHeight="1" x14ac:dyDescent="0.25">
      <c r="D222" s="62" t="str">
        <f t="shared" si="27"/>
        <v/>
      </c>
      <c r="E222" s="24" t="str">
        <f t="shared" si="28"/>
        <v/>
      </c>
      <c r="F222" s="29" t="str">
        <f t="shared" si="29"/>
        <v/>
      </c>
      <c r="H222" s="29" t="str">
        <f t="shared" si="30"/>
        <v>&lt;</v>
      </c>
      <c r="M222" s="62" t="str">
        <f t="shared" si="31"/>
        <v/>
      </c>
      <c r="N222" s="24" t="str">
        <f t="shared" si="32"/>
        <v/>
      </c>
      <c r="O222" s="29" t="str">
        <f t="shared" si="33"/>
        <v/>
      </c>
    </row>
    <row r="223" spans="4:15" ht="15" customHeight="1" x14ac:dyDescent="0.25">
      <c r="D223" s="62" t="str">
        <f t="shared" si="27"/>
        <v/>
      </c>
      <c r="E223" s="24" t="str">
        <f t="shared" si="28"/>
        <v/>
      </c>
      <c r="F223" s="29" t="str">
        <f t="shared" si="29"/>
        <v/>
      </c>
      <c r="H223" s="29" t="str">
        <f t="shared" si="30"/>
        <v>&lt;</v>
      </c>
      <c r="M223" s="62" t="str">
        <f t="shared" si="31"/>
        <v/>
      </c>
      <c r="N223" s="24" t="str">
        <f t="shared" si="32"/>
        <v/>
      </c>
      <c r="O223" s="29" t="str">
        <f t="shared" si="33"/>
        <v/>
      </c>
    </row>
    <row r="224" spans="4:15" ht="15" customHeight="1" x14ac:dyDescent="0.25">
      <c r="D224" s="62" t="str">
        <f t="shared" si="27"/>
        <v/>
      </c>
      <c r="E224" s="24" t="str">
        <f t="shared" si="28"/>
        <v/>
      </c>
      <c r="F224" s="29" t="str">
        <f t="shared" si="29"/>
        <v/>
      </c>
      <c r="H224" s="29" t="str">
        <f t="shared" si="30"/>
        <v>&lt;</v>
      </c>
      <c r="M224" s="62" t="str">
        <f t="shared" si="31"/>
        <v/>
      </c>
      <c r="N224" s="24" t="str">
        <f t="shared" si="32"/>
        <v/>
      </c>
      <c r="O224" s="29" t="str">
        <f t="shared" si="33"/>
        <v/>
      </c>
    </row>
    <row r="225" spans="4:15" ht="15" customHeight="1" x14ac:dyDescent="0.25">
      <c r="D225" s="62" t="str">
        <f t="shared" si="27"/>
        <v/>
      </c>
      <c r="E225" s="24" t="str">
        <f t="shared" si="28"/>
        <v/>
      </c>
      <c r="F225" s="29" t="str">
        <f t="shared" si="29"/>
        <v/>
      </c>
      <c r="H225" s="29" t="str">
        <f t="shared" si="30"/>
        <v>&lt;</v>
      </c>
      <c r="M225" s="62" t="str">
        <f t="shared" si="31"/>
        <v/>
      </c>
      <c r="N225" s="24" t="str">
        <f t="shared" si="32"/>
        <v/>
      </c>
      <c r="O225" s="29" t="str">
        <f t="shared" si="33"/>
        <v/>
      </c>
    </row>
    <row r="226" spans="4:15" ht="15" customHeight="1" x14ac:dyDescent="0.25">
      <c r="D226" s="62" t="str">
        <f t="shared" ref="D226:D289" si="34">IF(OR(B226="Grand Total",B226=""),"",D225+C226)</f>
        <v/>
      </c>
      <c r="E226" s="24" t="str">
        <f t="shared" ref="E226:E289" si="35">IF(OR(C226="",B226="Grand Total"),"",IF(C226&lt;0,"L","W"))</f>
        <v/>
      </c>
      <c r="F226" s="29" t="str">
        <f t="shared" ref="F226:F289" si="36">IF(E226="","",IF(E226=E225,F225+1,1))</f>
        <v/>
      </c>
      <c r="H226" s="29" t="str">
        <f t="shared" ref="H226:H289" si="37">IF(D226&gt;M226,"&gt;","&lt;")</f>
        <v>&lt;</v>
      </c>
      <c r="M226" s="62" t="str">
        <f t="shared" si="31"/>
        <v/>
      </c>
      <c r="N226" s="24" t="str">
        <f t="shared" si="32"/>
        <v/>
      </c>
      <c r="O226" s="29" t="str">
        <f t="shared" si="33"/>
        <v/>
      </c>
    </row>
    <row r="227" spans="4:15" ht="15" customHeight="1" x14ac:dyDescent="0.25">
      <c r="D227" s="62" t="str">
        <f t="shared" si="34"/>
        <v/>
      </c>
      <c r="E227" s="24" t="str">
        <f t="shared" si="35"/>
        <v/>
      </c>
      <c r="F227" s="29" t="str">
        <f t="shared" si="36"/>
        <v/>
      </c>
      <c r="H227" s="29" t="str">
        <f t="shared" si="37"/>
        <v>&lt;</v>
      </c>
      <c r="M227" s="62" t="str">
        <f t="shared" si="31"/>
        <v/>
      </c>
      <c r="N227" s="24" t="str">
        <f t="shared" si="32"/>
        <v/>
      </c>
      <c r="O227" s="29" t="str">
        <f t="shared" si="33"/>
        <v/>
      </c>
    </row>
    <row r="228" spans="4:15" ht="15" customHeight="1" x14ac:dyDescent="0.25">
      <c r="D228" s="62" t="str">
        <f t="shared" si="34"/>
        <v/>
      </c>
      <c r="E228" s="24" t="str">
        <f t="shared" si="35"/>
        <v/>
      </c>
      <c r="F228" s="29" t="str">
        <f t="shared" si="36"/>
        <v/>
      </c>
      <c r="H228" s="29" t="str">
        <f t="shared" si="37"/>
        <v>&lt;</v>
      </c>
      <c r="M228" s="62" t="str">
        <f t="shared" si="31"/>
        <v/>
      </c>
      <c r="N228" s="24" t="str">
        <f t="shared" si="32"/>
        <v/>
      </c>
      <c r="O228" s="29" t="str">
        <f t="shared" si="33"/>
        <v/>
      </c>
    </row>
    <row r="229" spans="4:15" ht="15" customHeight="1" x14ac:dyDescent="0.25">
      <c r="D229" s="62" t="str">
        <f t="shared" si="34"/>
        <v/>
      </c>
      <c r="E229" s="24" t="str">
        <f t="shared" si="35"/>
        <v/>
      </c>
      <c r="F229" s="29" t="str">
        <f t="shared" si="36"/>
        <v/>
      </c>
      <c r="H229" s="29" t="str">
        <f t="shared" si="37"/>
        <v>&lt;</v>
      </c>
      <c r="M229" s="62" t="str">
        <f t="shared" si="31"/>
        <v/>
      </c>
      <c r="N229" s="24" t="str">
        <f t="shared" si="32"/>
        <v/>
      </c>
      <c r="O229" s="29" t="str">
        <f t="shared" si="33"/>
        <v/>
      </c>
    </row>
    <row r="230" spans="4:15" ht="15" customHeight="1" x14ac:dyDescent="0.25">
      <c r="D230" s="62" t="str">
        <f t="shared" si="34"/>
        <v/>
      </c>
      <c r="E230" s="24" t="str">
        <f t="shared" si="35"/>
        <v/>
      </c>
      <c r="F230" s="29" t="str">
        <f t="shared" si="36"/>
        <v/>
      </c>
      <c r="H230" s="29" t="str">
        <f t="shared" si="37"/>
        <v>&lt;</v>
      </c>
      <c r="M230" s="62" t="str">
        <f t="shared" si="31"/>
        <v/>
      </c>
      <c r="N230" s="24" t="str">
        <f t="shared" si="32"/>
        <v/>
      </c>
      <c r="O230" s="29" t="str">
        <f t="shared" si="33"/>
        <v/>
      </c>
    </row>
    <row r="231" spans="4:15" ht="15" customHeight="1" x14ac:dyDescent="0.25">
      <c r="D231" s="62" t="str">
        <f t="shared" si="34"/>
        <v/>
      </c>
      <c r="E231" s="24" t="str">
        <f t="shared" si="35"/>
        <v/>
      </c>
      <c r="F231" s="29" t="str">
        <f t="shared" si="36"/>
        <v/>
      </c>
      <c r="H231" s="29" t="str">
        <f t="shared" si="37"/>
        <v>&lt;</v>
      </c>
      <c r="M231" s="62" t="str">
        <f t="shared" si="31"/>
        <v/>
      </c>
      <c r="N231" s="24" t="str">
        <f t="shared" si="32"/>
        <v/>
      </c>
      <c r="O231" s="29" t="str">
        <f t="shared" si="33"/>
        <v/>
      </c>
    </row>
    <row r="232" spans="4:15" ht="15" customHeight="1" x14ac:dyDescent="0.25">
      <c r="D232" s="62" t="str">
        <f t="shared" si="34"/>
        <v/>
      </c>
      <c r="E232" s="24" t="str">
        <f t="shared" si="35"/>
        <v/>
      </c>
      <c r="F232" s="29" t="str">
        <f t="shared" si="36"/>
        <v/>
      </c>
      <c r="H232" s="29" t="str">
        <f t="shared" si="37"/>
        <v>&lt;</v>
      </c>
      <c r="M232" s="62" t="str">
        <f t="shared" si="31"/>
        <v/>
      </c>
      <c r="N232" s="24" t="str">
        <f t="shared" si="32"/>
        <v/>
      </c>
      <c r="O232" s="29" t="str">
        <f t="shared" si="33"/>
        <v/>
      </c>
    </row>
    <row r="233" spans="4:15" ht="15" customHeight="1" x14ac:dyDescent="0.25">
      <c r="D233" s="62" t="str">
        <f t="shared" si="34"/>
        <v/>
      </c>
      <c r="E233" s="24" t="str">
        <f t="shared" si="35"/>
        <v/>
      </c>
      <c r="F233" s="29" t="str">
        <f t="shared" si="36"/>
        <v/>
      </c>
      <c r="H233" s="29" t="str">
        <f t="shared" si="37"/>
        <v>&lt;</v>
      </c>
      <c r="M233" s="62" t="str">
        <f t="shared" si="31"/>
        <v/>
      </c>
      <c r="N233" s="24" t="str">
        <f t="shared" si="32"/>
        <v/>
      </c>
      <c r="O233" s="29" t="str">
        <f t="shared" si="33"/>
        <v/>
      </c>
    </row>
    <row r="234" spans="4:15" ht="15" customHeight="1" x14ac:dyDescent="0.25">
      <c r="D234" s="62" t="str">
        <f t="shared" si="34"/>
        <v/>
      </c>
      <c r="E234" s="24" t="str">
        <f t="shared" si="35"/>
        <v/>
      </c>
      <c r="F234" s="29" t="str">
        <f t="shared" si="36"/>
        <v/>
      </c>
      <c r="H234" s="29" t="str">
        <f t="shared" si="37"/>
        <v>&lt;</v>
      </c>
      <c r="M234" s="62" t="str">
        <f t="shared" si="31"/>
        <v/>
      </c>
      <c r="N234" s="24" t="str">
        <f t="shared" si="32"/>
        <v/>
      </c>
      <c r="O234" s="29" t="str">
        <f t="shared" si="33"/>
        <v/>
      </c>
    </row>
    <row r="235" spans="4:15" ht="15" customHeight="1" x14ac:dyDescent="0.25">
      <c r="D235" s="62" t="str">
        <f t="shared" si="34"/>
        <v/>
      </c>
      <c r="E235" s="24" t="str">
        <f t="shared" si="35"/>
        <v/>
      </c>
      <c r="F235" s="29" t="str">
        <f t="shared" si="36"/>
        <v/>
      </c>
      <c r="H235" s="29" t="str">
        <f t="shared" si="37"/>
        <v>&lt;</v>
      </c>
      <c r="M235" s="62" t="str">
        <f t="shared" si="31"/>
        <v/>
      </c>
      <c r="N235" s="24" t="str">
        <f t="shared" si="32"/>
        <v/>
      </c>
      <c r="O235" s="29" t="str">
        <f t="shared" si="33"/>
        <v/>
      </c>
    </row>
    <row r="236" spans="4:15" ht="15" customHeight="1" x14ac:dyDescent="0.25">
      <c r="D236" s="62" t="str">
        <f t="shared" si="34"/>
        <v/>
      </c>
      <c r="E236" s="24" t="str">
        <f t="shared" si="35"/>
        <v/>
      </c>
      <c r="F236" s="29" t="str">
        <f t="shared" si="36"/>
        <v/>
      </c>
      <c r="H236" s="29" t="str">
        <f t="shared" si="37"/>
        <v>&lt;</v>
      </c>
      <c r="M236" s="62" t="str">
        <f t="shared" si="31"/>
        <v/>
      </c>
      <c r="N236" s="24" t="str">
        <f t="shared" si="32"/>
        <v/>
      </c>
      <c r="O236" s="29" t="str">
        <f t="shared" si="33"/>
        <v/>
      </c>
    </row>
    <row r="237" spans="4:15" ht="15" customHeight="1" x14ac:dyDescent="0.25">
      <c r="D237" s="62" t="str">
        <f t="shared" si="34"/>
        <v/>
      </c>
      <c r="E237" s="24" t="str">
        <f t="shared" si="35"/>
        <v/>
      </c>
      <c r="F237" s="29" t="str">
        <f t="shared" si="36"/>
        <v/>
      </c>
      <c r="H237" s="29" t="str">
        <f t="shared" si="37"/>
        <v>&lt;</v>
      </c>
      <c r="M237" s="62" t="str">
        <f t="shared" si="31"/>
        <v/>
      </c>
      <c r="N237" s="24" t="str">
        <f t="shared" si="32"/>
        <v/>
      </c>
      <c r="O237" s="29" t="str">
        <f t="shared" si="33"/>
        <v/>
      </c>
    </row>
    <row r="238" spans="4:15" ht="15" customHeight="1" x14ac:dyDescent="0.25">
      <c r="D238" s="62" t="str">
        <f t="shared" si="34"/>
        <v/>
      </c>
      <c r="E238" s="24" t="str">
        <f t="shared" si="35"/>
        <v/>
      </c>
      <c r="F238" s="29" t="str">
        <f t="shared" si="36"/>
        <v/>
      </c>
      <c r="H238" s="29" t="str">
        <f t="shared" si="37"/>
        <v>&lt;</v>
      </c>
      <c r="M238" s="62" t="str">
        <f t="shared" si="31"/>
        <v/>
      </c>
      <c r="N238" s="24" t="str">
        <f t="shared" si="32"/>
        <v/>
      </c>
      <c r="O238" s="29" t="str">
        <f t="shared" si="33"/>
        <v/>
      </c>
    </row>
    <row r="239" spans="4:15" ht="15" customHeight="1" x14ac:dyDescent="0.25">
      <c r="D239" s="62" t="str">
        <f t="shared" si="34"/>
        <v/>
      </c>
      <c r="E239" s="24" t="str">
        <f t="shared" si="35"/>
        <v/>
      </c>
      <c r="F239" s="29" t="str">
        <f t="shared" si="36"/>
        <v/>
      </c>
      <c r="H239" s="29" t="str">
        <f t="shared" si="37"/>
        <v>&lt;</v>
      </c>
      <c r="M239" s="62" t="str">
        <f t="shared" si="31"/>
        <v/>
      </c>
      <c r="N239" s="24" t="str">
        <f t="shared" si="32"/>
        <v/>
      </c>
      <c r="O239" s="29" t="str">
        <f t="shared" si="33"/>
        <v/>
      </c>
    </row>
    <row r="240" spans="4:15" ht="15" customHeight="1" x14ac:dyDescent="0.25">
      <c r="D240" s="62" t="str">
        <f t="shared" si="34"/>
        <v/>
      </c>
      <c r="E240" s="24" t="str">
        <f t="shared" si="35"/>
        <v/>
      </c>
      <c r="F240" s="29" t="str">
        <f t="shared" si="36"/>
        <v/>
      </c>
      <c r="H240" s="29" t="str">
        <f t="shared" si="37"/>
        <v>&lt;</v>
      </c>
      <c r="M240" s="62" t="str">
        <f t="shared" si="31"/>
        <v/>
      </c>
      <c r="N240" s="24" t="str">
        <f t="shared" si="32"/>
        <v/>
      </c>
      <c r="O240" s="29" t="str">
        <f t="shared" si="33"/>
        <v/>
      </c>
    </row>
    <row r="241" spans="4:15" ht="15" customHeight="1" x14ac:dyDescent="0.25">
      <c r="D241" s="62" t="str">
        <f t="shared" si="34"/>
        <v/>
      </c>
      <c r="E241" s="24" t="str">
        <f t="shared" si="35"/>
        <v/>
      </c>
      <c r="F241" s="29" t="str">
        <f t="shared" si="36"/>
        <v/>
      </c>
      <c r="H241" s="29" t="str">
        <f t="shared" si="37"/>
        <v>&lt;</v>
      </c>
      <c r="M241" s="62" t="str">
        <f t="shared" si="31"/>
        <v/>
      </c>
      <c r="N241" s="24" t="str">
        <f t="shared" si="32"/>
        <v/>
      </c>
      <c r="O241" s="29" t="str">
        <f t="shared" si="33"/>
        <v/>
      </c>
    </row>
    <row r="242" spans="4:15" ht="15" customHeight="1" x14ac:dyDescent="0.25">
      <c r="D242" s="62" t="str">
        <f t="shared" si="34"/>
        <v/>
      </c>
      <c r="E242" s="24" t="str">
        <f t="shared" si="35"/>
        <v/>
      </c>
      <c r="F242" s="29" t="str">
        <f t="shared" si="36"/>
        <v/>
      </c>
      <c r="H242" s="29" t="str">
        <f t="shared" si="37"/>
        <v>&lt;</v>
      </c>
      <c r="M242" s="62" t="str">
        <f t="shared" si="31"/>
        <v/>
      </c>
      <c r="N242" s="24" t="str">
        <f t="shared" si="32"/>
        <v/>
      </c>
      <c r="O242" s="29" t="str">
        <f t="shared" si="33"/>
        <v/>
      </c>
    </row>
    <row r="243" spans="4:15" ht="15" customHeight="1" x14ac:dyDescent="0.25">
      <c r="D243" s="62" t="str">
        <f t="shared" si="34"/>
        <v/>
      </c>
      <c r="E243" s="24" t="str">
        <f t="shared" si="35"/>
        <v/>
      </c>
      <c r="F243" s="29" t="str">
        <f t="shared" si="36"/>
        <v/>
      </c>
      <c r="H243" s="29" t="str">
        <f t="shared" si="37"/>
        <v>&lt;</v>
      </c>
      <c r="M243" s="62" t="str">
        <f t="shared" ref="M243:M269" si="38">IF(OR(K243="Grand Total",K243=""),"",M242+L243)</f>
        <v/>
      </c>
      <c r="N243" s="24" t="str">
        <f t="shared" ref="N243:N269" si="39">IF(OR(L243="",K243="Grand Total"),"",IF(L243&lt;0,"L","W"))</f>
        <v/>
      </c>
      <c r="O243" s="29" t="str">
        <f t="shared" ref="O243:O269" si="40">IF(N243="","",IF(N243=N242,O242+1,1))</f>
        <v/>
      </c>
    </row>
    <row r="244" spans="4:15" ht="15" customHeight="1" x14ac:dyDescent="0.25">
      <c r="D244" s="62" t="str">
        <f t="shared" si="34"/>
        <v/>
      </c>
      <c r="E244" s="24" t="str">
        <f t="shared" si="35"/>
        <v/>
      </c>
      <c r="F244" s="29" t="str">
        <f t="shared" si="36"/>
        <v/>
      </c>
      <c r="H244" s="29" t="str">
        <f t="shared" si="37"/>
        <v>&lt;</v>
      </c>
      <c r="M244" s="62" t="str">
        <f t="shared" si="38"/>
        <v/>
      </c>
      <c r="N244" s="24" t="str">
        <f t="shared" si="39"/>
        <v/>
      </c>
      <c r="O244" s="29" t="str">
        <f t="shared" si="40"/>
        <v/>
      </c>
    </row>
    <row r="245" spans="4:15" ht="15" customHeight="1" x14ac:dyDescent="0.25">
      <c r="D245" s="62" t="str">
        <f t="shared" si="34"/>
        <v/>
      </c>
      <c r="E245" s="24" t="str">
        <f t="shared" si="35"/>
        <v/>
      </c>
      <c r="F245" s="29" t="str">
        <f t="shared" si="36"/>
        <v/>
      </c>
      <c r="H245" s="29" t="str">
        <f t="shared" si="37"/>
        <v>&lt;</v>
      </c>
      <c r="M245" s="62" t="str">
        <f t="shared" si="38"/>
        <v/>
      </c>
      <c r="N245" s="24" t="str">
        <f t="shared" si="39"/>
        <v/>
      </c>
      <c r="O245" s="29" t="str">
        <f t="shared" si="40"/>
        <v/>
      </c>
    </row>
    <row r="246" spans="4:15" ht="15" customHeight="1" x14ac:dyDescent="0.25">
      <c r="D246" s="62" t="str">
        <f t="shared" si="34"/>
        <v/>
      </c>
      <c r="E246" s="24" t="str">
        <f t="shared" si="35"/>
        <v/>
      </c>
      <c r="F246" s="29" t="str">
        <f t="shared" si="36"/>
        <v/>
      </c>
      <c r="H246" s="29" t="str">
        <f t="shared" si="37"/>
        <v>&lt;</v>
      </c>
      <c r="M246" s="62" t="str">
        <f t="shared" si="38"/>
        <v/>
      </c>
      <c r="N246" s="24" t="str">
        <f t="shared" si="39"/>
        <v/>
      </c>
      <c r="O246" s="29" t="str">
        <f t="shared" si="40"/>
        <v/>
      </c>
    </row>
    <row r="247" spans="4:15" ht="15" customHeight="1" x14ac:dyDescent="0.25">
      <c r="D247" s="62" t="str">
        <f t="shared" si="34"/>
        <v/>
      </c>
      <c r="E247" s="24" t="str">
        <f t="shared" si="35"/>
        <v/>
      </c>
      <c r="F247" s="29" t="str">
        <f t="shared" si="36"/>
        <v/>
      </c>
      <c r="H247" s="29" t="str">
        <f t="shared" si="37"/>
        <v>&lt;</v>
      </c>
      <c r="M247" s="62" t="str">
        <f t="shared" si="38"/>
        <v/>
      </c>
      <c r="N247" s="24" t="str">
        <f t="shared" si="39"/>
        <v/>
      </c>
      <c r="O247" s="29" t="str">
        <f t="shared" si="40"/>
        <v/>
      </c>
    </row>
    <row r="248" spans="4:15" ht="15" customHeight="1" x14ac:dyDescent="0.25">
      <c r="D248" s="62" t="str">
        <f t="shared" si="34"/>
        <v/>
      </c>
      <c r="E248" s="24" t="str">
        <f t="shared" si="35"/>
        <v/>
      </c>
      <c r="F248" s="29" t="str">
        <f t="shared" si="36"/>
        <v/>
      </c>
      <c r="H248" s="29" t="str">
        <f t="shared" si="37"/>
        <v>&lt;</v>
      </c>
      <c r="M248" s="62" t="str">
        <f t="shared" si="38"/>
        <v/>
      </c>
      <c r="N248" s="24" t="str">
        <f t="shared" si="39"/>
        <v/>
      </c>
      <c r="O248" s="29" t="str">
        <f t="shared" si="40"/>
        <v/>
      </c>
    </row>
    <row r="249" spans="4:15" ht="15" customHeight="1" x14ac:dyDescent="0.25">
      <c r="D249" s="62" t="str">
        <f t="shared" si="34"/>
        <v/>
      </c>
      <c r="E249" s="24" t="str">
        <f t="shared" si="35"/>
        <v/>
      </c>
      <c r="F249" s="29" t="str">
        <f t="shared" si="36"/>
        <v/>
      </c>
      <c r="H249" s="29" t="str">
        <f t="shared" si="37"/>
        <v>&lt;</v>
      </c>
      <c r="M249" s="62" t="str">
        <f t="shared" si="38"/>
        <v/>
      </c>
      <c r="N249" s="24" t="str">
        <f t="shared" si="39"/>
        <v/>
      </c>
      <c r="O249" s="29" t="str">
        <f t="shared" si="40"/>
        <v/>
      </c>
    </row>
    <row r="250" spans="4:15" ht="15" customHeight="1" x14ac:dyDescent="0.25">
      <c r="D250" s="62" t="str">
        <f t="shared" si="34"/>
        <v/>
      </c>
      <c r="E250" s="24" t="str">
        <f t="shared" si="35"/>
        <v/>
      </c>
      <c r="F250" s="29" t="str">
        <f t="shared" si="36"/>
        <v/>
      </c>
      <c r="H250" s="29" t="str">
        <f t="shared" si="37"/>
        <v>&lt;</v>
      </c>
      <c r="M250" s="62" t="str">
        <f t="shared" si="38"/>
        <v/>
      </c>
      <c r="N250" s="24" t="str">
        <f t="shared" si="39"/>
        <v/>
      </c>
      <c r="O250" s="29" t="str">
        <f t="shared" si="40"/>
        <v/>
      </c>
    </row>
    <row r="251" spans="4:15" ht="15" customHeight="1" x14ac:dyDescent="0.25">
      <c r="D251" s="62" t="str">
        <f t="shared" si="34"/>
        <v/>
      </c>
      <c r="E251" s="24" t="str">
        <f t="shared" si="35"/>
        <v/>
      </c>
      <c r="F251" s="29" t="str">
        <f t="shared" si="36"/>
        <v/>
      </c>
      <c r="H251" s="29" t="str">
        <f t="shared" si="37"/>
        <v>&lt;</v>
      </c>
      <c r="M251" s="62" t="str">
        <f t="shared" si="38"/>
        <v/>
      </c>
      <c r="N251" s="24" t="str">
        <f t="shared" si="39"/>
        <v/>
      </c>
      <c r="O251" s="29" t="str">
        <f t="shared" si="40"/>
        <v/>
      </c>
    </row>
    <row r="252" spans="4:15" ht="15" customHeight="1" x14ac:dyDescent="0.25">
      <c r="D252" s="62" t="str">
        <f t="shared" si="34"/>
        <v/>
      </c>
      <c r="E252" s="24" t="str">
        <f t="shared" si="35"/>
        <v/>
      </c>
      <c r="F252" s="29" t="str">
        <f t="shared" si="36"/>
        <v/>
      </c>
      <c r="H252" s="29" t="str">
        <f t="shared" si="37"/>
        <v>&lt;</v>
      </c>
      <c r="M252" s="62" t="str">
        <f t="shared" si="38"/>
        <v/>
      </c>
      <c r="N252" s="24" t="str">
        <f t="shared" si="39"/>
        <v/>
      </c>
      <c r="O252" s="29" t="str">
        <f t="shared" si="40"/>
        <v/>
      </c>
    </row>
    <row r="253" spans="4:15" ht="15" customHeight="1" x14ac:dyDescent="0.25">
      <c r="D253" s="62" t="str">
        <f t="shared" si="34"/>
        <v/>
      </c>
      <c r="E253" s="24" t="str">
        <f t="shared" si="35"/>
        <v/>
      </c>
      <c r="F253" s="29" t="str">
        <f t="shared" si="36"/>
        <v/>
      </c>
      <c r="H253" s="29" t="str">
        <f t="shared" si="37"/>
        <v>&lt;</v>
      </c>
      <c r="M253" s="62" t="str">
        <f t="shared" si="38"/>
        <v/>
      </c>
      <c r="N253" s="24" t="str">
        <f t="shared" si="39"/>
        <v/>
      </c>
      <c r="O253" s="29" t="str">
        <f t="shared" si="40"/>
        <v/>
      </c>
    </row>
    <row r="254" spans="4:15" ht="15" customHeight="1" x14ac:dyDescent="0.25">
      <c r="D254" s="62" t="str">
        <f t="shared" si="34"/>
        <v/>
      </c>
      <c r="E254" s="24" t="str">
        <f t="shared" si="35"/>
        <v/>
      </c>
      <c r="F254" s="29" t="str">
        <f t="shared" si="36"/>
        <v/>
      </c>
      <c r="H254" s="29" t="str">
        <f t="shared" si="37"/>
        <v>&lt;</v>
      </c>
      <c r="M254" s="62" t="str">
        <f t="shared" si="38"/>
        <v/>
      </c>
      <c r="N254" s="24" t="str">
        <f t="shared" si="39"/>
        <v/>
      </c>
      <c r="O254" s="29" t="str">
        <f t="shared" si="40"/>
        <v/>
      </c>
    </row>
    <row r="255" spans="4:15" ht="15" customHeight="1" x14ac:dyDescent="0.25">
      <c r="D255" s="62" t="str">
        <f t="shared" si="34"/>
        <v/>
      </c>
      <c r="E255" s="24" t="str">
        <f t="shared" si="35"/>
        <v/>
      </c>
      <c r="F255" s="29" t="str">
        <f t="shared" si="36"/>
        <v/>
      </c>
      <c r="H255" s="29" t="str">
        <f t="shared" si="37"/>
        <v>&lt;</v>
      </c>
      <c r="M255" s="62" t="str">
        <f t="shared" si="38"/>
        <v/>
      </c>
      <c r="N255" s="24" t="str">
        <f t="shared" si="39"/>
        <v/>
      </c>
      <c r="O255" s="29" t="str">
        <f t="shared" si="40"/>
        <v/>
      </c>
    </row>
    <row r="256" spans="4:15" ht="15" customHeight="1" x14ac:dyDescent="0.25">
      <c r="D256" s="62" t="str">
        <f t="shared" si="34"/>
        <v/>
      </c>
      <c r="E256" s="24" t="str">
        <f t="shared" si="35"/>
        <v/>
      </c>
      <c r="F256" s="29" t="str">
        <f t="shared" si="36"/>
        <v/>
      </c>
      <c r="H256" s="29" t="str">
        <f t="shared" si="37"/>
        <v>&lt;</v>
      </c>
      <c r="M256" s="62" t="str">
        <f t="shared" si="38"/>
        <v/>
      </c>
      <c r="N256" s="24" t="str">
        <f t="shared" si="39"/>
        <v/>
      </c>
      <c r="O256" s="29" t="str">
        <f t="shared" si="40"/>
        <v/>
      </c>
    </row>
    <row r="257" spans="4:15" ht="15" customHeight="1" x14ac:dyDescent="0.25">
      <c r="D257" s="62" t="str">
        <f t="shared" si="34"/>
        <v/>
      </c>
      <c r="E257" s="24" t="str">
        <f t="shared" si="35"/>
        <v/>
      </c>
      <c r="F257" s="29" t="str">
        <f t="shared" si="36"/>
        <v/>
      </c>
      <c r="H257" s="29" t="str">
        <f t="shared" si="37"/>
        <v>&lt;</v>
      </c>
      <c r="M257" s="62" t="str">
        <f t="shared" si="38"/>
        <v/>
      </c>
      <c r="N257" s="24" t="str">
        <f t="shared" si="39"/>
        <v/>
      </c>
      <c r="O257" s="29" t="str">
        <f t="shared" si="40"/>
        <v/>
      </c>
    </row>
    <row r="258" spans="4:15" ht="15" customHeight="1" x14ac:dyDescent="0.25">
      <c r="D258" s="62" t="str">
        <f t="shared" si="34"/>
        <v/>
      </c>
      <c r="E258" s="24" t="str">
        <f t="shared" si="35"/>
        <v/>
      </c>
      <c r="F258" s="29" t="str">
        <f t="shared" si="36"/>
        <v/>
      </c>
      <c r="H258" s="29" t="str">
        <f t="shared" si="37"/>
        <v>&lt;</v>
      </c>
      <c r="M258" s="62" t="str">
        <f t="shared" si="38"/>
        <v/>
      </c>
      <c r="N258" s="24" t="str">
        <f t="shared" si="39"/>
        <v/>
      </c>
      <c r="O258" s="29" t="str">
        <f t="shared" si="40"/>
        <v/>
      </c>
    </row>
    <row r="259" spans="4:15" ht="15" customHeight="1" x14ac:dyDescent="0.25">
      <c r="D259" s="62" t="str">
        <f t="shared" si="34"/>
        <v/>
      </c>
      <c r="E259" s="24" t="str">
        <f t="shared" si="35"/>
        <v/>
      </c>
      <c r="F259" s="29" t="str">
        <f t="shared" si="36"/>
        <v/>
      </c>
      <c r="H259" s="29" t="str">
        <f t="shared" si="37"/>
        <v>&lt;</v>
      </c>
      <c r="M259" s="62" t="str">
        <f t="shared" si="38"/>
        <v/>
      </c>
      <c r="N259" s="24" t="str">
        <f t="shared" si="39"/>
        <v/>
      </c>
      <c r="O259" s="29" t="str">
        <f t="shared" si="40"/>
        <v/>
      </c>
    </row>
    <row r="260" spans="4:15" ht="15" customHeight="1" x14ac:dyDescent="0.25">
      <c r="D260" s="62" t="str">
        <f t="shared" si="34"/>
        <v/>
      </c>
      <c r="E260" s="24" t="str">
        <f t="shared" si="35"/>
        <v/>
      </c>
      <c r="F260" s="29" t="str">
        <f t="shared" si="36"/>
        <v/>
      </c>
      <c r="H260" s="29" t="str">
        <f t="shared" si="37"/>
        <v>&lt;</v>
      </c>
      <c r="M260" s="62" t="str">
        <f t="shared" si="38"/>
        <v/>
      </c>
      <c r="N260" s="24" t="str">
        <f t="shared" si="39"/>
        <v/>
      </c>
      <c r="O260" s="29" t="str">
        <f t="shared" si="40"/>
        <v/>
      </c>
    </row>
    <row r="261" spans="4:15" ht="15" customHeight="1" x14ac:dyDescent="0.25">
      <c r="D261" s="62" t="str">
        <f t="shared" si="34"/>
        <v/>
      </c>
      <c r="E261" s="24" t="str">
        <f t="shared" si="35"/>
        <v/>
      </c>
      <c r="F261" s="29" t="str">
        <f t="shared" si="36"/>
        <v/>
      </c>
      <c r="H261" s="29" t="str">
        <f t="shared" si="37"/>
        <v>&lt;</v>
      </c>
      <c r="M261" s="62" t="str">
        <f t="shared" si="38"/>
        <v/>
      </c>
      <c r="N261" s="24" t="str">
        <f t="shared" si="39"/>
        <v/>
      </c>
      <c r="O261" s="29" t="str">
        <f t="shared" si="40"/>
        <v/>
      </c>
    </row>
    <row r="262" spans="4:15" ht="15" customHeight="1" x14ac:dyDescent="0.25">
      <c r="D262" s="62" t="str">
        <f t="shared" si="34"/>
        <v/>
      </c>
      <c r="E262" s="24" t="str">
        <f t="shared" si="35"/>
        <v/>
      </c>
      <c r="F262" s="29" t="str">
        <f t="shared" si="36"/>
        <v/>
      </c>
      <c r="H262" s="29" t="str">
        <f t="shared" si="37"/>
        <v>&lt;</v>
      </c>
      <c r="M262" s="62" t="str">
        <f t="shared" si="38"/>
        <v/>
      </c>
      <c r="N262" s="24" t="str">
        <f t="shared" si="39"/>
        <v/>
      </c>
      <c r="O262" s="29" t="str">
        <f t="shared" si="40"/>
        <v/>
      </c>
    </row>
    <row r="263" spans="4:15" ht="15" customHeight="1" x14ac:dyDescent="0.25">
      <c r="D263" s="62" t="str">
        <f t="shared" si="34"/>
        <v/>
      </c>
      <c r="E263" s="24" t="str">
        <f t="shared" si="35"/>
        <v/>
      </c>
      <c r="F263" s="29" t="str">
        <f t="shared" si="36"/>
        <v/>
      </c>
      <c r="H263" s="29" t="str">
        <f t="shared" si="37"/>
        <v>&lt;</v>
      </c>
      <c r="M263" s="62" t="str">
        <f t="shared" si="38"/>
        <v/>
      </c>
      <c r="N263" s="24" t="str">
        <f t="shared" si="39"/>
        <v/>
      </c>
      <c r="O263" s="29" t="str">
        <f t="shared" si="40"/>
        <v/>
      </c>
    </row>
    <row r="264" spans="4:15" ht="15" customHeight="1" x14ac:dyDescent="0.25">
      <c r="D264" s="62" t="str">
        <f t="shared" si="34"/>
        <v/>
      </c>
      <c r="E264" s="24" t="str">
        <f t="shared" si="35"/>
        <v/>
      </c>
      <c r="F264" s="29" t="str">
        <f t="shared" si="36"/>
        <v/>
      </c>
      <c r="H264" s="29" t="str">
        <f t="shared" si="37"/>
        <v>&lt;</v>
      </c>
      <c r="M264" s="62" t="str">
        <f t="shared" si="38"/>
        <v/>
      </c>
      <c r="N264" s="24" t="str">
        <f t="shared" si="39"/>
        <v/>
      </c>
      <c r="O264" s="29" t="str">
        <f t="shared" si="40"/>
        <v/>
      </c>
    </row>
    <row r="265" spans="4:15" ht="15" customHeight="1" x14ac:dyDescent="0.25">
      <c r="D265" s="62" t="str">
        <f t="shared" si="34"/>
        <v/>
      </c>
      <c r="E265" s="24" t="str">
        <f t="shared" si="35"/>
        <v/>
      </c>
      <c r="F265" s="29" t="str">
        <f t="shared" si="36"/>
        <v/>
      </c>
      <c r="H265" s="29" t="str">
        <f t="shared" si="37"/>
        <v>&lt;</v>
      </c>
      <c r="M265" s="62" t="str">
        <f t="shared" si="38"/>
        <v/>
      </c>
      <c r="N265" s="24" t="str">
        <f t="shared" si="39"/>
        <v/>
      </c>
      <c r="O265" s="29" t="str">
        <f t="shared" si="40"/>
        <v/>
      </c>
    </row>
    <row r="266" spans="4:15" ht="15" customHeight="1" x14ac:dyDescent="0.25">
      <c r="D266" s="62" t="str">
        <f t="shared" si="34"/>
        <v/>
      </c>
      <c r="E266" s="24" t="str">
        <f t="shared" si="35"/>
        <v/>
      </c>
      <c r="F266" s="29" t="str">
        <f t="shared" si="36"/>
        <v/>
      </c>
      <c r="H266" s="29" t="str">
        <f t="shared" si="37"/>
        <v>&lt;</v>
      </c>
      <c r="M266" s="62" t="str">
        <f t="shared" si="38"/>
        <v/>
      </c>
      <c r="N266" s="24" t="str">
        <f t="shared" si="39"/>
        <v/>
      </c>
      <c r="O266" s="29" t="str">
        <f t="shared" si="40"/>
        <v/>
      </c>
    </row>
    <row r="267" spans="4:15" ht="15" customHeight="1" x14ac:dyDescent="0.25">
      <c r="D267" s="62" t="str">
        <f t="shared" si="34"/>
        <v/>
      </c>
      <c r="E267" s="24" t="str">
        <f t="shared" si="35"/>
        <v/>
      </c>
      <c r="F267" s="29" t="str">
        <f t="shared" si="36"/>
        <v/>
      </c>
      <c r="H267" s="29" t="str">
        <f t="shared" si="37"/>
        <v>&lt;</v>
      </c>
      <c r="M267" s="62" t="str">
        <f t="shared" si="38"/>
        <v/>
      </c>
      <c r="N267" s="24" t="str">
        <f t="shared" si="39"/>
        <v/>
      </c>
      <c r="O267" s="29" t="str">
        <f t="shared" si="40"/>
        <v/>
      </c>
    </row>
    <row r="268" spans="4:15" ht="15" customHeight="1" x14ac:dyDescent="0.25">
      <c r="D268" s="62" t="str">
        <f t="shared" si="34"/>
        <v/>
      </c>
      <c r="E268" s="24" t="str">
        <f t="shared" si="35"/>
        <v/>
      </c>
      <c r="F268" s="29" t="str">
        <f t="shared" si="36"/>
        <v/>
      </c>
      <c r="H268" s="29" t="str">
        <f t="shared" si="37"/>
        <v>&lt;</v>
      </c>
      <c r="M268" s="62" t="str">
        <f t="shared" si="38"/>
        <v/>
      </c>
      <c r="N268" s="24" t="str">
        <f t="shared" si="39"/>
        <v/>
      </c>
      <c r="O268" s="29" t="str">
        <f t="shared" si="40"/>
        <v/>
      </c>
    </row>
    <row r="269" spans="4:15" ht="15" customHeight="1" x14ac:dyDescent="0.25">
      <c r="D269" s="62" t="str">
        <f t="shared" si="34"/>
        <v/>
      </c>
      <c r="E269" s="24" t="str">
        <f t="shared" si="35"/>
        <v/>
      </c>
      <c r="F269" s="29" t="str">
        <f t="shared" si="36"/>
        <v/>
      </c>
      <c r="H269" s="29" t="str">
        <f t="shared" si="37"/>
        <v>&lt;</v>
      </c>
      <c r="M269" s="62" t="str">
        <f t="shared" si="38"/>
        <v/>
      </c>
      <c r="N269" s="24" t="str">
        <f t="shared" si="39"/>
        <v/>
      </c>
      <c r="O269" s="29" t="str">
        <f t="shared" si="40"/>
        <v/>
      </c>
    </row>
    <row r="270" spans="4:15" ht="15" customHeight="1" x14ac:dyDescent="0.25">
      <c r="D270" s="62" t="str">
        <f t="shared" si="34"/>
        <v/>
      </c>
      <c r="E270" s="24" t="str">
        <f t="shared" si="35"/>
        <v/>
      </c>
      <c r="F270" s="29" t="str">
        <f t="shared" si="36"/>
        <v/>
      </c>
      <c r="H270" s="29" t="str">
        <f t="shared" si="37"/>
        <v>&lt;</v>
      </c>
      <c r="M270" s="62" t="str">
        <f t="shared" ref="M270:M326" si="41">IF(OR(K270="Grand Total",K270=""),"",M269+L270)</f>
        <v/>
      </c>
      <c r="N270" s="24" t="str">
        <f t="shared" ref="N270:N326" si="42">IF(OR(L270="",K270="Grand Total"),"",IF(L270&lt;0,"L","W"))</f>
        <v/>
      </c>
    </row>
    <row r="271" spans="4:15" ht="15" customHeight="1" x14ac:dyDescent="0.25">
      <c r="D271" s="62" t="str">
        <f t="shared" si="34"/>
        <v/>
      </c>
      <c r="E271" s="24" t="str">
        <f t="shared" si="35"/>
        <v/>
      </c>
      <c r="F271" s="29" t="str">
        <f t="shared" si="36"/>
        <v/>
      </c>
      <c r="H271" s="29" t="str">
        <f t="shared" si="37"/>
        <v>&lt;</v>
      </c>
      <c r="M271" s="62" t="str">
        <f t="shared" si="41"/>
        <v/>
      </c>
      <c r="N271" s="24" t="str">
        <f t="shared" si="42"/>
        <v/>
      </c>
    </row>
    <row r="272" spans="4:15" ht="15" customHeight="1" x14ac:dyDescent="0.25">
      <c r="D272" s="62" t="str">
        <f t="shared" si="34"/>
        <v/>
      </c>
      <c r="E272" s="24" t="str">
        <f t="shared" si="35"/>
        <v/>
      </c>
      <c r="F272" s="29" t="str">
        <f t="shared" si="36"/>
        <v/>
      </c>
      <c r="H272" s="29" t="str">
        <f t="shared" si="37"/>
        <v>&lt;</v>
      </c>
      <c r="M272" s="62" t="str">
        <f t="shared" si="41"/>
        <v/>
      </c>
      <c r="N272" s="24" t="str">
        <f t="shared" si="42"/>
        <v/>
      </c>
    </row>
    <row r="273" spans="4:14" ht="15" customHeight="1" x14ac:dyDescent="0.25">
      <c r="D273" s="62" t="str">
        <f t="shared" si="34"/>
        <v/>
      </c>
      <c r="E273" s="24" t="str">
        <f t="shared" si="35"/>
        <v/>
      </c>
      <c r="F273" s="29" t="str">
        <f t="shared" si="36"/>
        <v/>
      </c>
      <c r="H273" s="29" t="str">
        <f t="shared" si="37"/>
        <v>&lt;</v>
      </c>
      <c r="M273" s="62" t="str">
        <f t="shared" si="41"/>
        <v/>
      </c>
      <c r="N273" s="24" t="str">
        <f t="shared" si="42"/>
        <v/>
      </c>
    </row>
    <row r="274" spans="4:14" ht="15" customHeight="1" x14ac:dyDescent="0.25">
      <c r="D274" s="62" t="str">
        <f t="shared" si="34"/>
        <v/>
      </c>
      <c r="E274" s="24" t="str">
        <f t="shared" si="35"/>
        <v/>
      </c>
      <c r="F274" s="29" t="str">
        <f t="shared" si="36"/>
        <v/>
      </c>
      <c r="H274" s="29" t="str">
        <f t="shared" si="37"/>
        <v>&lt;</v>
      </c>
      <c r="M274" s="62" t="str">
        <f t="shared" si="41"/>
        <v/>
      </c>
      <c r="N274" s="24" t="str">
        <f t="shared" si="42"/>
        <v/>
      </c>
    </row>
    <row r="275" spans="4:14" ht="15" customHeight="1" x14ac:dyDescent="0.25">
      <c r="D275" s="62" t="str">
        <f t="shared" si="34"/>
        <v/>
      </c>
      <c r="E275" s="24" t="str">
        <f t="shared" si="35"/>
        <v/>
      </c>
      <c r="F275" s="29" t="str">
        <f t="shared" si="36"/>
        <v/>
      </c>
      <c r="H275" s="29" t="str">
        <f t="shared" si="37"/>
        <v>&lt;</v>
      </c>
      <c r="M275" s="62" t="str">
        <f t="shared" si="41"/>
        <v/>
      </c>
      <c r="N275" s="24" t="str">
        <f t="shared" si="42"/>
        <v/>
      </c>
    </row>
    <row r="276" spans="4:14" ht="15" customHeight="1" x14ac:dyDescent="0.25">
      <c r="D276" s="62" t="str">
        <f t="shared" si="34"/>
        <v/>
      </c>
      <c r="E276" s="24" t="str">
        <f t="shared" si="35"/>
        <v/>
      </c>
      <c r="F276" s="29" t="str">
        <f t="shared" si="36"/>
        <v/>
      </c>
      <c r="H276" s="29" t="str">
        <f t="shared" si="37"/>
        <v>&lt;</v>
      </c>
      <c r="M276" s="62" t="str">
        <f t="shared" si="41"/>
        <v/>
      </c>
      <c r="N276" s="24" t="str">
        <f t="shared" si="42"/>
        <v/>
      </c>
    </row>
    <row r="277" spans="4:14" ht="15" customHeight="1" x14ac:dyDescent="0.25">
      <c r="D277" s="62" t="str">
        <f t="shared" si="34"/>
        <v/>
      </c>
      <c r="E277" s="24" t="str">
        <f t="shared" si="35"/>
        <v/>
      </c>
      <c r="F277" s="29" t="str">
        <f t="shared" si="36"/>
        <v/>
      </c>
      <c r="H277" s="29" t="str">
        <f t="shared" si="37"/>
        <v>&lt;</v>
      </c>
      <c r="M277" s="62" t="str">
        <f t="shared" si="41"/>
        <v/>
      </c>
      <c r="N277" s="24" t="str">
        <f t="shared" si="42"/>
        <v/>
      </c>
    </row>
    <row r="278" spans="4:14" ht="15" customHeight="1" x14ac:dyDescent="0.25">
      <c r="D278" s="62" t="str">
        <f t="shared" si="34"/>
        <v/>
      </c>
      <c r="E278" s="24" t="str">
        <f t="shared" si="35"/>
        <v/>
      </c>
      <c r="F278" s="29" t="str">
        <f t="shared" si="36"/>
        <v/>
      </c>
      <c r="H278" s="29" t="str">
        <f t="shared" si="37"/>
        <v>&lt;</v>
      </c>
      <c r="M278" s="62" t="str">
        <f t="shared" si="41"/>
        <v/>
      </c>
      <c r="N278" s="24" t="str">
        <f t="shared" si="42"/>
        <v/>
      </c>
    </row>
    <row r="279" spans="4:14" ht="15" customHeight="1" x14ac:dyDescent="0.25">
      <c r="D279" s="62" t="str">
        <f t="shared" si="34"/>
        <v/>
      </c>
      <c r="E279" s="24" t="str">
        <f t="shared" si="35"/>
        <v/>
      </c>
      <c r="F279" s="29" t="str">
        <f t="shared" si="36"/>
        <v/>
      </c>
      <c r="H279" s="29" t="str">
        <f t="shared" si="37"/>
        <v>&lt;</v>
      </c>
      <c r="M279" s="62" t="str">
        <f t="shared" si="41"/>
        <v/>
      </c>
      <c r="N279" s="24" t="str">
        <f t="shared" si="42"/>
        <v/>
      </c>
    </row>
    <row r="280" spans="4:14" ht="15" customHeight="1" x14ac:dyDescent="0.25">
      <c r="D280" s="62" t="str">
        <f t="shared" si="34"/>
        <v/>
      </c>
      <c r="E280" s="24" t="str">
        <f t="shared" si="35"/>
        <v/>
      </c>
      <c r="F280" s="29" t="str">
        <f t="shared" si="36"/>
        <v/>
      </c>
      <c r="H280" s="29" t="str">
        <f t="shared" si="37"/>
        <v>&lt;</v>
      </c>
      <c r="M280" s="62" t="str">
        <f t="shared" si="41"/>
        <v/>
      </c>
      <c r="N280" s="24" t="str">
        <f t="shared" si="42"/>
        <v/>
      </c>
    </row>
    <row r="281" spans="4:14" ht="15" customHeight="1" x14ac:dyDescent="0.25">
      <c r="D281" s="62" t="str">
        <f t="shared" si="34"/>
        <v/>
      </c>
      <c r="E281" s="24" t="str">
        <f t="shared" si="35"/>
        <v/>
      </c>
      <c r="F281" s="29" t="str">
        <f t="shared" si="36"/>
        <v/>
      </c>
      <c r="H281" s="29" t="str">
        <f t="shared" si="37"/>
        <v>&lt;</v>
      </c>
      <c r="M281" s="62" t="str">
        <f t="shared" si="41"/>
        <v/>
      </c>
      <c r="N281" s="24" t="str">
        <f t="shared" si="42"/>
        <v/>
      </c>
    </row>
    <row r="282" spans="4:14" ht="15" customHeight="1" x14ac:dyDescent="0.25">
      <c r="D282" s="62" t="str">
        <f t="shared" si="34"/>
        <v/>
      </c>
      <c r="E282" s="24" t="str">
        <f t="shared" si="35"/>
        <v/>
      </c>
      <c r="F282" s="29" t="str">
        <f t="shared" si="36"/>
        <v/>
      </c>
      <c r="H282" s="29" t="str">
        <f t="shared" si="37"/>
        <v>&lt;</v>
      </c>
      <c r="M282" s="62" t="str">
        <f t="shared" si="41"/>
        <v/>
      </c>
      <c r="N282" s="24" t="str">
        <f t="shared" si="42"/>
        <v/>
      </c>
    </row>
    <row r="283" spans="4:14" ht="15" customHeight="1" x14ac:dyDescent="0.25">
      <c r="D283" s="62" t="str">
        <f t="shared" si="34"/>
        <v/>
      </c>
      <c r="E283" s="24" t="str">
        <f t="shared" si="35"/>
        <v/>
      </c>
      <c r="F283" s="29" t="str">
        <f t="shared" si="36"/>
        <v/>
      </c>
      <c r="H283" s="29" t="str">
        <f t="shared" si="37"/>
        <v>&lt;</v>
      </c>
      <c r="M283" s="62" t="str">
        <f t="shared" si="41"/>
        <v/>
      </c>
      <c r="N283" s="24" t="str">
        <f t="shared" si="42"/>
        <v/>
      </c>
    </row>
    <row r="284" spans="4:14" ht="15" customHeight="1" x14ac:dyDescent="0.25">
      <c r="D284" s="62" t="str">
        <f t="shared" si="34"/>
        <v/>
      </c>
      <c r="E284" s="24" t="str">
        <f t="shared" si="35"/>
        <v/>
      </c>
      <c r="F284" s="29" t="str">
        <f t="shared" si="36"/>
        <v/>
      </c>
      <c r="H284" s="29" t="str">
        <f t="shared" si="37"/>
        <v>&lt;</v>
      </c>
      <c r="M284" s="62" t="str">
        <f t="shared" si="41"/>
        <v/>
      </c>
      <c r="N284" s="24" t="str">
        <f t="shared" si="42"/>
        <v/>
      </c>
    </row>
    <row r="285" spans="4:14" ht="15" customHeight="1" x14ac:dyDescent="0.25">
      <c r="D285" s="62" t="str">
        <f t="shared" si="34"/>
        <v/>
      </c>
      <c r="E285" s="24" t="str">
        <f t="shared" si="35"/>
        <v/>
      </c>
      <c r="F285" s="29" t="str">
        <f t="shared" si="36"/>
        <v/>
      </c>
      <c r="H285" s="29" t="str">
        <f t="shared" si="37"/>
        <v>&lt;</v>
      </c>
      <c r="M285" s="62" t="str">
        <f t="shared" si="41"/>
        <v/>
      </c>
      <c r="N285" s="24" t="str">
        <f t="shared" si="42"/>
        <v/>
      </c>
    </row>
    <row r="286" spans="4:14" ht="15" customHeight="1" x14ac:dyDescent="0.25">
      <c r="D286" s="62" t="str">
        <f t="shared" si="34"/>
        <v/>
      </c>
      <c r="E286" s="24" t="str">
        <f t="shared" si="35"/>
        <v/>
      </c>
      <c r="F286" s="29" t="str">
        <f t="shared" si="36"/>
        <v/>
      </c>
      <c r="H286" s="29" t="str">
        <f t="shared" si="37"/>
        <v>&lt;</v>
      </c>
      <c r="M286" s="62" t="str">
        <f t="shared" si="41"/>
        <v/>
      </c>
      <c r="N286" s="24" t="str">
        <f t="shared" si="42"/>
        <v/>
      </c>
    </row>
    <row r="287" spans="4:14" ht="15" customHeight="1" x14ac:dyDescent="0.25">
      <c r="D287" s="62" t="str">
        <f t="shared" si="34"/>
        <v/>
      </c>
      <c r="E287" s="24" t="str">
        <f t="shared" si="35"/>
        <v/>
      </c>
      <c r="F287" s="29" t="str">
        <f t="shared" si="36"/>
        <v/>
      </c>
      <c r="H287" s="29" t="str">
        <f t="shared" si="37"/>
        <v>&lt;</v>
      </c>
      <c r="M287" s="62" t="str">
        <f t="shared" si="41"/>
        <v/>
      </c>
      <c r="N287" s="24" t="str">
        <f t="shared" si="42"/>
        <v/>
      </c>
    </row>
    <row r="288" spans="4:14" ht="15" customHeight="1" x14ac:dyDescent="0.25">
      <c r="D288" s="62" t="str">
        <f t="shared" si="34"/>
        <v/>
      </c>
      <c r="E288" s="24" t="str">
        <f t="shared" si="35"/>
        <v/>
      </c>
      <c r="F288" s="29" t="str">
        <f t="shared" si="36"/>
        <v/>
      </c>
      <c r="H288" s="29" t="str">
        <f t="shared" si="37"/>
        <v>&lt;</v>
      </c>
      <c r="M288" s="62" t="str">
        <f t="shared" si="41"/>
        <v/>
      </c>
      <c r="N288" s="24" t="str">
        <f t="shared" si="42"/>
        <v/>
      </c>
    </row>
    <row r="289" spans="4:14" ht="15" customHeight="1" x14ac:dyDescent="0.25">
      <c r="D289" s="62" t="str">
        <f t="shared" si="34"/>
        <v/>
      </c>
      <c r="E289" s="24" t="str">
        <f t="shared" si="35"/>
        <v/>
      </c>
      <c r="F289" s="29" t="str">
        <f t="shared" si="36"/>
        <v/>
      </c>
      <c r="H289" s="29" t="str">
        <f t="shared" si="37"/>
        <v>&lt;</v>
      </c>
      <c r="M289" s="62" t="str">
        <f t="shared" si="41"/>
        <v/>
      </c>
      <c r="N289" s="24" t="str">
        <f t="shared" si="42"/>
        <v/>
      </c>
    </row>
    <row r="290" spans="4:14" ht="15" customHeight="1" x14ac:dyDescent="0.25">
      <c r="D290" s="62" t="str">
        <f t="shared" ref="D290:D299" si="43">IF(OR(B290="Grand Total",B290=""),"",D289+C290)</f>
        <v/>
      </c>
      <c r="E290" s="24" t="str">
        <f t="shared" ref="E290:E299" si="44">IF(OR(C290="",B290="Grand Total"),"",IF(C290&lt;0,"L","W"))</f>
        <v/>
      </c>
      <c r="F290" s="29" t="str">
        <f t="shared" ref="F290:F299" si="45">IF(E290="","",IF(E290=E289,F289+1,1))</f>
        <v/>
      </c>
      <c r="H290" s="29" t="str">
        <f t="shared" ref="H290:H299" si="46">IF(D290&gt;M290,"&gt;","&lt;")</f>
        <v>&lt;</v>
      </c>
      <c r="M290" s="62" t="str">
        <f t="shared" si="41"/>
        <v/>
      </c>
      <c r="N290" s="24" t="str">
        <f t="shared" si="42"/>
        <v/>
      </c>
    </row>
    <row r="291" spans="4:14" ht="15" customHeight="1" x14ac:dyDescent="0.25">
      <c r="D291" s="62" t="str">
        <f t="shared" si="43"/>
        <v/>
      </c>
      <c r="E291" s="24" t="str">
        <f t="shared" si="44"/>
        <v/>
      </c>
      <c r="F291" s="29" t="str">
        <f t="shared" si="45"/>
        <v/>
      </c>
      <c r="H291" s="29" t="str">
        <f t="shared" si="46"/>
        <v>&lt;</v>
      </c>
      <c r="M291" s="62" t="str">
        <f t="shared" si="41"/>
        <v/>
      </c>
      <c r="N291" s="24" t="str">
        <f t="shared" si="42"/>
        <v/>
      </c>
    </row>
    <row r="292" spans="4:14" ht="15" customHeight="1" x14ac:dyDescent="0.25">
      <c r="D292" s="62" t="str">
        <f t="shared" si="43"/>
        <v/>
      </c>
      <c r="E292" s="24" t="str">
        <f t="shared" si="44"/>
        <v/>
      </c>
      <c r="F292" s="29" t="str">
        <f t="shared" si="45"/>
        <v/>
      </c>
      <c r="H292" s="29" t="str">
        <f t="shared" si="46"/>
        <v>&lt;</v>
      </c>
      <c r="M292" s="62" t="str">
        <f t="shared" si="41"/>
        <v/>
      </c>
      <c r="N292" s="24" t="str">
        <f t="shared" si="42"/>
        <v/>
      </c>
    </row>
    <row r="293" spans="4:14" ht="15" customHeight="1" x14ac:dyDescent="0.25">
      <c r="D293" s="62" t="str">
        <f t="shared" si="43"/>
        <v/>
      </c>
      <c r="E293" s="24" t="str">
        <f t="shared" si="44"/>
        <v/>
      </c>
      <c r="F293" s="29" t="str">
        <f t="shared" si="45"/>
        <v/>
      </c>
      <c r="H293" s="29" t="str">
        <f t="shared" si="46"/>
        <v>&lt;</v>
      </c>
      <c r="M293" s="62" t="str">
        <f t="shared" si="41"/>
        <v/>
      </c>
      <c r="N293" s="24" t="str">
        <f t="shared" si="42"/>
        <v/>
      </c>
    </row>
    <row r="294" spans="4:14" ht="15" customHeight="1" x14ac:dyDescent="0.25">
      <c r="D294" s="62" t="str">
        <f t="shared" si="43"/>
        <v/>
      </c>
      <c r="E294" s="24" t="str">
        <f t="shared" si="44"/>
        <v/>
      </c>
      <c r="F294" s="29" t="str">
        <f t="shared" si="45"/>
        <v/>
      </c>
      <c r="H294" s="29" t="str">
        <f t="shared" si="46"/>
        <v>&lt;</v>
      </c>
      <c r="M294" s="62" t="str">
        <f t="shared" si="41"/>
        <v/>
      </c>
      <c r="N294" s="24" t="str">
        <f t="shared" si="42"/>
        <v/>
      </c>
    </row>
    <row r="295" spans="4:14" ht="15" customHeight="1" x14ac:dyDescent="0.25">
      <c r="D295" s="62" t="str">
        <f t="shared" si="43"/>
        <v/>
      </c>
      <c r="E295" s="24" t="str">
        <f t="shared" si="44"/>
        <v/>
      </c>
      <c r="F295" s="29" t="str">
        <f t="shared" si="45"/>
        <v/>
      </c>
      <c r="H295" s="29" t="str">
        <f t="shared" si="46"/>
        <v>&lt;</v>
      </c>
      <c r="M295" s="62" t="str">
        <f t="shared" si="41"/>
        <v/>
      </c>
      <c r="N295" s="24" t="str">
        <f t="shared" si="42"/>
        <v/>
      </c>
    </row>
    <row r="296" spans="4:14" ht="15" customHeight="1" x14ac:dyDescent="0.25">
      <c r="D296" s="62" t="str">
        <f t="shared" si="43"/>
        <v/>
      </c>
      <c r="E296" s="24" t="str">
        <f t="shared" si="44"/>
        <v/>
      </c>
      <c r="F296" s="29" t="str">
        <f t="shared" si="45"/>
        <v/>
      </c>
      <c r="H296" s="29" t="str">
        <f t="shared" si="46"/>
        <v>&lt;</v>
      </c>
      <c r="M296" s="62" t="str">
        <f t="shared" si="41"/>
        <v/>
      </c>
      <c r="N296" s="24" t="str">
        <f t="shared" si="42"/>
        <v/>
      </c>
    </row>
    <row r="297" spans="4:14" ht="15" customHeight="1" x14ac:dyDescent="0.25">
      <c r="D297" s="62" t="str">
        <f t="shared" si="43"/>
        <v/>
      </c>
      <c r="E297" s="24" t="str">
        <f t="shared" si="44"/>
        <v/>
      </c>
      <c r="F297" s="29" t="str">
        <f t="shared" si="45"/>
        <v/>
      </c>
      <c r="H297" s="29" t="str">
        <f t="shared" si="46"/>
        <v>&lt;</v>
      </c>
      <c r="M297" s="62" t="str">
        <f t="shared" si="41"/>
        <v/>
      </c>
      <c r="N297" s="24" t="str">
        <f t="shared" si="42"/>
        <v/>
      </c>
    </row>
    <row r="298" spans="4:14" ht="15" customHeight="1" x14ac:dyDescent="0.25">
      <c r="D298" s="62" t="str">
        <f t="shared" si="43"/>
        <v/>
      </c>
      <c r="E298" s="24" t="str">
        <f t="shared" si="44"/>
        <v/>
      </c>
      <c r="F298" s="29" t="str">
        <f t="shared" si="45"/>
        <v/>
      </c>
      <c r="H298" s="29" t="str">
        <f t="shared" si="46"/>
        <v>&lt;</v>
      </c>
      <c r="M298" s="62" t="str">
        <f t="shared" si="41"/>
        <v/>
      </c>
      <c r="N298" s="24" t="str">
        <f t="shared" si="42"/>
        <v/>
      </c>
    </row>
    <row r="299" spans="4:14" ht="15" customHeight="1" x14ac:dyDescent="0.25">
      <c r="D299" s="62" t="str">
        <f t="shared" si="43"/>
        <v/>
      </c>
      <c r="E299" s="24" t="str">
        <f t="shared" si="44"/>
        <v/>
      </c>
      <c r="F299" s="29" t="str">
        <f t="shared" si="45"/>
        <v/>
      </c>
      <c r="H299" s="29" t="str">
        <f t="shared" si="46"/>
        <v>&lt;</v>
      </c>
      <c r="M299" s="62" t="str">
        <f t="shared" si="41"/>
        <v/>
      </c>
      <c r="N299" s="24" t="str">
        <f t="shared" si="42"/>
        <v/>
      </c>
    </row>
    <row r="300" spans="4:14" ht="15" customHeight="1" x14ac:dyDescent="0.25">
      <c r="M300" s="62" t="str">
        <f t="shared" si="41"/>
        <v/>
      </c>
      <c r="N300" s="24" t="str">
        <f t="shared" si="42"/>
        <v/>
      </c>
    </row>
    <row r="301" spans="4:14" ht="15" customHeight="1" x14ac:dyDescent="0.25">
      <c r="M301" s="62" t="str">
        <f t="shared" si="41"/>
        <v/>
      </c>
      <c r="N301" s="24" t="str">
        <f t="shared" si="42"/>
        <v/>
      </c>
    </row>
    <row r="302" spans="4:14" ht="15" customHeight="1" x14ac:dyDescent="0.25">
      <c r="M302" s="62" t="str">
        <f t="shared" si="41"/>
        <v/>
      </c>
      <c r="N302" s="24" t="str">
        <f t="shared" si="42"/>
        <v/>
      </c>
    </row>
    <row r="303" spans="4:14" ht="15" customHeight="1" x14ac:dyDescent="0.25">
      <c r="M303" s="62" t="str">
        <f t="shared" si="41"/>
        <v/>
      </c>
      <c r="N303" s="24" t="str">
        <f t="shared" si="42"/>
        <v/>
      </c>
    </row>
    <row r="304" spans="4:14" ht="15" customHeight="1" x14ac:dyDescent="0.25">
      <c r="M304" s="62" t="str">
        <f t="shared" si="41"/>
        <v/>
      </c>
      <c r="N304" s="24" t="str">
        <f t="shared" si="42"/>
        <v/>
      </c>
    </row>
    <row r="305" spans="13:14" ht="15" customHeight="1" x14ac:dyDescent="0.25">
      <c r="M305" s="62" t="str">
        <f t="shared" si="41"/>
        <v/>
      </c>
      <c r="N305" s="24" t="str">
        <f t="shared" si="42"/>
        <v/>
      </c>
    </row>
    <row r="306" spans="13:14" ht="15" customHeight="1" x14ac:dyDescent="0.25">
      <c r="M306" s="62" t="str">
        <f t="shared" si="41"/>
        <v/>
      </c>
      <c r="N306" s="24" t="str">
        <f t="shared" si="42"/>
        <v/>
      </c>
    </row>
    <row r="307" spans="13:14" ht="15" customHeight="1" x14ac:dyDescent="0.25">
      <c r="M307" s="62" t="str">
        <f t="shared" si="41"/>
        <v/>
      </c>
      <c r="N307" s="24" t="str">
        <f t="shared" si="42"/>
        <v/>
      </c>
    </row>
    <row r="308" spans="13:14" ht="15" customHeight="1" x14ac:dyDescent="0.25">
      <c r="M308" s="62" t="str">
        <f t="shared" si="41"/>
        <v/>
      </c>
      <c r="N308" s="24" t="str">
        <f t="shared" si="42"/>
        <v/>
      </c>
    </row>
    <row r="309" spans="13:14" ht="15" customHeight="1" x14ac:dyDescent="0.25">
      <c r="M309" s="62" t="str">
        <f t="shared" si="41"/>
        <v/>
      </c>
      <c r="N309" s="24" t="str">
        <f t="shared" si="42"/>
        <v/>
      </c>
    </row>
    <row r="310" spans="13:14" ht="15" customHeight="1" x14ac:dyDescent="0.25">
      <c r="M310" s="62" t="str">
        <f t="shared" si="41"/>
        <v/>
      </c>
      <c r="N310" s="24" t="str">
        <f t="shared" si="42"/>
        <v/>
      </c>
    </row>
    <row r="311" spans="13:14" ht="15" customHeight="1" x14ac:dyDescent="0.25">
      <c r="M311" s="62" t="str">
        <f t="shared" si="41"/>
        <v/>
      </c>
      <c r="N311" s="24" t="str">
        <f t="shared" si="42"/>
        <v/>
      </c>
    </row>
    <row r="312" spans="13:14" ht="15" customHeight="1" x14ac:dyDescent="0.25">
      <c r="M312" s="62" t="str">
        <f t="shared" si="41"/>
        <v/>
      </c>
      <c r="N312" s="24" t="str">
        <f t="shared" si="42"/>
        <v/>
      </c>
    </row>
    <row r="313" spans="13:14" ht="15" customHeight="1" x14ac:dyDescent="0.25">
      <c r="M313" s="62" t="str">
        <f t="shared" si="41"/>
        <v/>
      </c>
      <c r="N313" s="24" t="str">
        <f t="shared" si="42"/>
        <v/>
      </c>
    </row>
    <row r="314" spans="13:14" ht="15" customHeight="1" x14ac:dyDescent="0.25">
      <c r="M314" s="62" t="str">
        <f t="shared" si="41"/>
        <v/>
      </c>
      <c r="N314" s="24" t="str">
        <f t="shared" si="42"/>
        <v/>
      </c>
    </row>
    <row r="315" spans="13:14" ht="15" customHeight="1" x14ac:dyDescent="0.25">
      <c r="M315" s="62" t="str">
        <f t="shared" si="41"/>
        <v/>
      </c>
      <c r="N315" s="24" t="str">
        <f t="shared" si="42"/>
        <v/>
      </c>
    </row>
    <row r="316" spans="13:14" ht="15" customHeight="1" x14ac:dyDescent="0.25">
      <c r="M316" s="62" t="str">
        <f t="shared" si="41"/>
        <v/>
      </c>
      <c r="N316" s="24" t="str">
        <f t="shared" si="42"/>
        <v/>
      </c>
    </row>
    <row r="317" spans="13:14" ht="15" customHeight="1" x14ac:dyDescent="0.25">
      <c r="M317" s="62" t="str">
        <f t="shared" si="41"/>
        <v/>
      </c>
      <c r="N317" s="24" t="str">
        <f t="shared" si="42"/>
        <v/>
      </c>
    </row>
    <row r="318" spans="13:14" ht="15" customHeight="1" x14ac:dyDescent="0.25">
      <c r="M318" s="62" t="str">
        <f t="shared" si="41"/>
        <v/>
      </c>
      <c r="N318" s="24" t="str">
        <f t="shared" si="42"/>
        <v/>
      </c>
    </row>
    <row r="319" spans="13:14" ht="15" customHeight="1" x14ac:dyDescent="0.25">
      <c r="M319" s="62" t="str">
        <f t="shared" si="41"/>
        <v/>
      </c>
      <c r="N319" s="24" t="str">
        <f t="shared" si="42"/>
        <v/>
      </c>
    </row>
    <row r="320" spans="13:14" ht="15" customHeight="1" x14ac:dyDescent="0.25">
      <c r="M320" s="62" t="str">
        <f t="shared" si="41"/>
        <v/>
      </c>
      <c r="N320" s="24" t="str">
        <f t="shared" si="42"/>
        <v/>
      </c>
    </row>
    <row r="321" spans="13:14" ht="15" customHeight="1" x14ac:dyDescent="0.25">
      <c r="M321" s="62" t="str">
        <f t="shared" si="41"/>
        <v/>
      </c>
      <c r="N321" s="24" t="str">
        <f t="shared" si="42"/>
        <v/>
      </c>
    </row>
    <row r="322" spans="13:14" ht="15" customHeight="1" x14ac:dyDescent="0.25">
      <c r="M322" s="62" t="str">
        <f t="shared" si="41"/>
        <v/>
      </c>
      <c r="N322" s="24" t="str">
        <f t="shared" si="42"/>
        <v/>
      </c>
    </row>
    <row r="323" spans="13:14" ht="15" customHeight="1" x14ac:dyDescent="0.25">
      <c r="M323" s="62" t="str">
        <f t="shared" si="41"/>
        <v/>
      </c>
      <c r="N323" s="24" t="str">
        <f t="shared" si="42"/>
        <v/>
      </c>
    </row>
    <row r="324" spans="13:14" ht="15" customHeight="1" x14ac:dyDescent="0.25">
      <c r="M324" s="62" t="str">
        <f t="shared" si="41"/>
        <v/>
      </c>
      <c r="N324" s="24" t="str">
        <f t="shared" si="42"/>
        <v/>
      </c>
    </row>
    <row r="325" spans="13:14" ht="15" customHeight="1" x14ac:dyDescent="0.25">
      <c r="M325" s="62" t="str">
        <f t="shared" si="41"/>
        <v/>
      </c>
      <c r="N325" s="24" t="str">
        <f t="shared" si="42"/>
        <v/>
      </c>
    </row>
    <row r="326" spans="13:14" ht="15" customHeight="1" x14ac:dyDescent="0.25">
      <c r="M326" s="62" t="str">
        <f t="shared" si="41"/>
        <v/>
      </c>
      <c r="N326" s="24" t="str">
        <f t="shared" si="42"/>
        <v/>
      </c>
    </row>
  </sheetData>
  <conditionalFormatting sqref="D22">
    <cfRule type="cellIs" dxfId="290" priority="31" operator="greaterThan">
      <formula>$M$1</formula>
    </cfRule>
    <cfRule type="cellIs" dxfId="289" priority="32" operator="greaterThan">
      <formula>"31.555$G$1"</formula>
    </cfRule>
  </conditionalFormatting>
  <conditionalFormatting sqref="D22">
    <cfRule type="cellIs" dxfId="288" priority="30" operator="lessThan">
      <formula>0</formula>
    </cfRule>
  </conditionalFormatting>
  <conditionalFormatting sqref="D22">
    <cfRule type="cellIs" dxfId="287" priority="29" operator="lessThan">
      <formula>0</formula>
    </cfRule>
  </conditionalFormatting>
  <conditionalFormatting sqref="D23:D299">
    <cfRule type="cellIs" dxfId="286" priority="27" operator="greaterThan">
      <formula>$M$1</formula>
    </cfRule>
    <cfRule type="cellIs" dxfId="285" priority="28" operator="greaterThan">
      <formula>"31.555$G$1"</formula>
    </cfRule>
  </conditionalFormatting>
  <conditionalFormatting sqref="D23:D299">
    <cfRule type="cellIs" dxfId="284" priority="26" operator="lessThan">
      <formula>0</formula>
    </cfRule>
  </conditionalFormatting>
  <conditionalFormatting sqref="D23:D299">
    <cfRule type="cellIs" dxfId="283" priority="25" operator="lessThan">
      <formula>0</formula>
    </cfRule>
  </conditionalFormatting>
  <conditionalFormatting sqref="E22:E299">
    <cfRule type="cellIs" dxfId="282" priority="17" operator="equal">
      <formula>"L"</formula>
    </cfRule>
    <cfRule type="cellIs" dxfId="281" priority="18" operator="equal">
      <formula>"W"</formula>
    </cfRule>
  </conditionalFormatting>
  <conditionalFormatting sqref="F22:F299">
    <cfRule type="cellIs" dxfId="280" priority="16" operator="equal">
      <formula>MAX($F$22:$F$299)</formula>
    </cfRule>
  </conditionalFormatting>
  <conditionalFormatting sqref="M22">
    <cfRule type="cellIs" dxfId="279" priority="14" operator="greaterThan">
      <formula>$M$1</formula>
    </cfRule>
    <cfRule type="cellIs" dxfId="278" priority="15" operator="greaterThan">
      <formula>"31.555$G$1"</formula>
    </cfRule>
  </conditionalFormatting>
  <conditionalFormatting sqref="M22">
    <cfRule type="cellIs" dxfId="277" priority="13" operator="lessThan">
      <formula>0</formula>
    </cfRule>
  </conditionalFormatting>
  <conditionalFormatting sqref="M22">
    <cfRule type="cellIs" dxfId="276" priority="12" operator="lessThan">
      <formula>0</formula>
    </cfRule>
  </conditionalFormatting>
  <conditionalFormatting sqref="M23:M326">
    <cfRule type="cellIs" dxfId="275" priority="10" operator="greaterThan">
      <formula>$M$1</formula>
    </cfRule>
    <cfRule type="cellIs" dxfId="274" priority="11" operator="greaterThan">
      <formula>"31.555$G$1"</formula>
    </cfRule>
  </conditionalFormatting>
  <conditionalFormatting sqref="M23:M326">
    <cfRule type="cellIs" dxfId="273" priority="9" operator="lessThan">
      <formula>0</formula>
    </cfRule>
  </conditionalFormatting>
  <conditionalFormatting sqref="M23:M326">
    <cfRule type="cellIs" dxfId="272" priority="8" operator="lessThan">
      <formula>0</formula>
    </cfRule>
  </conditionalFormatting>
  <conditionalFormatting sqref="N22:N326">
    <cfRule type="cellIs" dxfId="271" priority="6" operator="equal">
      <formula>"L"</formula>
    </cfRule>
    <cfRule type="cellIs" dxfId="270" priority="7" operator="equal">
      <formula>"W"</formula>
    </cfRule>
  </conditionalFormatting>
  <conditionalFormatting sqref="O22:O269">
    <cfRule type="cellIs" dxfId="269" priority="5" operator="equal">
      <formula>MAX($O$22:$O$269)</formula>
    </cfRule>
  </conditionalFormatting>
  <conditionalFormatting sqref="H22:H299">
    <cfRule type="cellIs" dxfId="268" priority="3" operator="equal">
      <formula>"&lt;"</formula>
    </cfRule>
    <cfRule type="cellIs" dxfId="267" priority="4" operator="equal">
      <formula>"&gt;"</formula>
    </cfRule>
  </conditionalFormatting>
  <conditionalFormatting sqref="S22:S139">
    <cfRule type="cellIs" dxfId="266" priority="1" operator="equal">
      <formula>"&lt;"</formula>
    </cfRule>
    <cfRule type="cellIs" dxfId="265" priority="2" operator="equal">
      <formula>"&gt;"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D23" sqref="D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100"/>
  <sheetViews>
    <sheetView showGridLines="0" topLeftCell="K66" workbookViewId="0">
      <selection activeCell="N100" sqref="N66:AA100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46</v>
      </c>
      <c r="Y1" s="7" t="s">
        <v>47</v>
      </c>
      <c r="Z1" s="7" t="s">
        <v>48</v>
      </c>
      <c r="AA1" s="7" t="s">
        <v>63</v>
      </c>
    </row>
    <row r="2" spans="1:27" x14ac:dyDescent="0.25">
      <c r="A2" s="77">
        <v>45925.267465277779</v>
      </c>
      <c r="B2" s="78">
        <v>177237158</v>
      </c>
      <c r="C2" s="79" t="s">
        <v>103</v>
      </c>
      <c r="D2" s="79" t="s">
        <v>36</v>
      </c>
      <c r="E2" s="79" t="s">
        <v>104</v>
      </c>
      <c r="F2" s="80">
        <v>3737.4</v>
      </c>
      <c r="G2" s="80">
        <v>3734.4</v>
      </c>
      <c r="H2" s="79"/>
      <c r="I2" s="79" t="s">
        <v>105</v>
      </c>
      <c r="J2" s="80">
        <v>3734.35</v>
      </c>
      <c r="K2" s="80">
        <v>0</v>
      </c>
      <c r="L2" s="80">
        <v>0</v>
      </c>
      <c r="M2" s="80">
        <v>-0.31</v>
      </c>
      <c r="N2" s="10" t="str">
        <f t="shared" ref="N2" si="0">IF(M2&gt;0,"W",IF(M2&lt;0,"L","BE"))</f>
        <v>L</v>
      </c>
      <c r="O2" s="11">
        <f t="shared" ref="O2" si="1">INT(LEFT(A2,10))</f>
        <v>45925</v>
      </c>
      <c r="P2" s="12" t="str">
        <f t="shared" ref="P2" si="2">TEXT(A2,"hh")</f>
        <v>06</v>
      </c>
      <c r="Q2" s="13" t="str">
        <f>VLOOKUP($B2,Deals_Demo!$H:$N,7,0)</f>
        <v>strategy_19_live</v>
      </c>
      <c r="R2" s="13" t="str">
        <f t="shared" ref="R2" si="3">TEXT(O2,"ddd")</f>
        <v>Thu</v>
      </c>
      <c r="S2" s="14">
        <f>VLOOKUP($B2,Deals_Demo!$H:$S,8,0)</f>
        <v>45925.267465277779</v>
      </c>
      <c r="T2" s="14">
        <f>VLOOKUP($B2,Deals_Demo!$H:$S,9,0)</f>
        <v>45925.475798611114</v>
      </c>
      <c r="U2" s="15" t="str">
        <f t="shared" ref="U2" si="4">TEXT(T2,"yyyy-mm-dd")</f>
        <v>2025-09-25</v>
      </c>
      <c r="V2" s="13" t="str">
        <f>VLOOKUP($B2,Deals_Demo!$H:$S,11,0)</f>
        <v>11</v>
      </c>
      <c r="W2" s="13" t="str">
        <f>VLOOKUP($B2,Deals_Demo!$H:$S,12,0)</f>
        <v>Thu</v>
      </c>
      <c r="X2" s="13">
        <f t="shared" ref="X2:X65" si="5">$M2*0.1</f>
        <v>-3.1E-2</v>
      </c>
      <c r="Y2" s="13">
        <f t="shared" ref="Y2:Y65" si="6">$M2*0.2</f>
        <v>-6.2E-2</v>
      </c>
      <c r="Z2" s="13">
        <f t="shared" ref="Z2:Z65" si="7">$M2*0.3</f>
        <v>-9.2999999999999999E-2</v>
      </c>
      <c r="AA2" s="13">
        <f t="shared" ref="AA2" si="8">IF(M2&lt;2.9,-3,M2)</f>
        <v>-3</v>
      </c>
    </row>
    <row r="3" spans="1:27" x14ac:dyDescent="0.25">
      <c r="A3" s="81">
        <v>45925.282048611109</v>
      </c>
      <c r="B3" s="82">
        <v>177240017</v>
      </c>
      <c r="C3" s="83" t="s">
        <v>103</v>
      </c>
      <c r="D3" s="83" t="s">
        <v>36</v>
      </c>
      <c r="E3" s="83" t="s">
        <v>104</v>
      </c>
      <c r="F3" s="84">
        <v>3738.15</v>
      </c>
      <c r="G3" s="84">
        <v>3735.17</v>
      </c>
      <c r="H3" s="84">
        <v>3741.67</v>
      </c>
      <c r="I3" s="83" t="s">
        <v>106</v>
      </c>
      <c r="J3" s="84">
        <v>3735.16</v>
      </c>
      <c r="K3" s="84">
        <v>0</v>
      </c>
      <c r="L3" s="84">
        <v>0</v>
      </c>
      <c r="M3" s="84">
        <v>-0.3</v>
      </c>
      <c r="N3" s="10" t="str">
        <f t="shared" ref="N3:N66" si="9">IF(M3&gt;0,"W",IF(M3&lt;0,"L","BE"))</f>
        <v>L</v>
      </c>
      <c r="O3" s="11">
        <f t="shared" ref="O3:O66" si="10">INT(LEFT(A3,10))</f>
        <v>45925</v>
      </c>
      <c r="P3" s="12" t="str">
        <f t="shared" ref="P3:P66" si="11">TEXT(A3,"hh")</f>
        <v>06</v>
      </c>
      <c r="Q3" s="13" t="str">
        <f>VLOOKUP($B3,Deals_Demo!$H:$N,7,0)</f>
        <v>strategy_31.py</v>
      </c>
      <c r="R3" s="13" t="str">
        <f t="shared" ref="R3:R66" si="12">TEXT(O3,"ddd")</f>
        <v>Thu</v>
      </c>
      <c r="S3" s="14">
        <f>VLOOKUP($B3,Deals_Demo!$H:$S,8,0)</f>
        <v>45925.282048611109</v>
      </c>
      <c r="T3" s="14">
        <f>VLOOKUP($B3,Deals_Demo!$H:$S,9,0)</f>
        <v>45925.490381944444</v>
      </c>
      <c r="U3" s="15" t="str">
        <f t="shared" ref="U3:U66" si="13">TEXT(T3,"yyyy-mm-dd")</f>
        <v>2025-09-25</v>
      </c>
      <c r="V3" s="13" t="str">
        <f>VLOOKUP($B3,Deals_Demo!$H:$S,11,0)</f>
        <v>11</v>
      </c>
      <c r="W3" s="13" t="str">
        <f>VLOOKUP($B3,Deals_Demo!$H:$S,12,0)</f>
        <v>Thu</v>
      </c>
      <c r="X3" s="13">
        <f t="shared" si="5"/>
        <v>-0.03</v>
      </c>
      <c r="Y3" s="13">
        <f t="shared" si="6"/>
        <v>-0.06</v>
      </c>
      <c r="Z3" s="13">
        <f t="shared" si="7"/>
        <v>-0.09</v>
      </c>
      <c r="AA3" s="13">
        <f t="shared" ref="AA3:AA66" si="14">IF(M3&lt;2.9,-3,M3)</f>
        <v>-3</v>
      </c>
    </row>
    <row r="4" spans="1:27" x14ac:dyDescent="0.25">
      <c r="A4" s="77">
        <v>45925.288414351853</v>
      </c>
      <c r="B4" s="78">
        <v>177241403</v>
      </c>
      <c r="C4" s="79" t="s">
        <v>103</v>
      </c>
      <c r="D4" s="79" t="s">
        <v>37</v>
      </c>
      <c r="E4" s="79" t="s">
        <v>104</v>
      </c>
      <c r="F4" s="80">
        <v>3735.02</v>
      </c>
      <c r="G4" s="80">
        <v>3737.94</v>
      </c>
      <c r="H4" s="79"/>
      <c r="I4" s="79" t="s">
        <v>107</v>
      </c>
      <c r="J4" s="80">
        <v>3738.12</v>
      </c>
      <c r="K4" s="80">
        <v>0</v>
      </c>
      <c r="L4" s="80">
        <v>0</v>
      </c>
      <c r="M4" s="80">
        <v>-0.31</v>
      </c>
      <c r="N4" s="10" t="str">
        <f t="shared" si="9"/>
        <v>L</v>
      </c>
      <c r="O4" s="11">
        <f t="shared" si="10"/>
        <v>45925</v>
      </c>
      <c r="P4" s="12" t="str">
        <f t="shared" si="11"/>
        <v>06</v>
      </c>
      <c r="Q4" s="13" t="str">
        <f>VLOOKUP($B4,Deals_Demo!$H:$N,7,0)</f>
        <v>strategy_19_live</v>
      </c>
      <c r="R4" s="13" t="str">
        <f t="shared" si="12"/>
        <v>Thu</v>
      </c>
      <c r="S4" s="14">
        <f>VLOOKUP($B4,Deals_Demo!$H:$S,8,0)</f>
        <v>45925.288414351853</v>
      </c>
      <c r="T4" s="14">
        <f>VLOOKUP($B4,Deals_Demo!$H:$S,9,0)</f>
        <v>45925.496747685189</v>
      </c>
      <c r="U4" s="15" t="str">
        <f t="shared" si="13"/>
        <v>2025-09-25</v>
      </c>
      <c r="V4" s="13" t="str">
        <f>VLOOKUP($B4,Deals_Demo!$H:$S,11,0)</f>
        <v>11</v>
      </c>
      <c r="W4" s="13" t="str">
        <f>VLOOKUP($B4,Deals_Demo!$H:$S,12,0)</f>
        <v>Thu</v>
      </c>
      <c r="X4" s="13">
        <f t="shared" si="5"/>
        <v>-3.1E-2</v>
      </c>
      <c r="Y4" s="13">
        <f t="shared" si="6"/>
        <v>-6.2E-2</v>
      </c>
      <c r="Z4" s="13">
        <f t="shared" si="7"/>
        <v>-9.2999999999999999E-2</v>
      </c>
      <c r="AA4" s="13">
        <f t="shared" si="14"/>
        <v>-3</v>
      </c>
    </row>
    <row r="5" spans="1:27" x14ac:dyDescent="0.25">
      <c r="A5" s="81">
        <v>45925.288993055554</v>
      </c>
      <c r="B5" s="82">
        <v>177241530</v>
      </c>
      <c r="C5" s="83" t="s">
        <v>103</v>
      </c>
      <c r="D5" s="83" t="s">
        <v>37</v>
      </c>
      <c r="E5" s="83" t="s">
        <v>104</v>
      </c>
      <c r="F5" s="84">
        <v>3735.86</v>
      </c>
      <c r="G5" s="84">
        <v>3733.46</v>
      </c>
      <c r="H5" s="84">
        <v>3732.36</v>
      </c>
      <c r="I5" s="83" t="s">
        <v>108</v>
      </c>
      <c r="J5" s="84">
        <v>3733.54</v>
      </c>
      <c r="K5" s="84">
        <v>0</v>
      </c>
      <c r="L5" s="84">
        <v>0</v>
      </c>
      <c r="M5" s="84">
        <v>0.23</v>
      </c>
      <c r="N5" s="10" t="str">
        <f t="shared" si="9"/>
        <v>W</v>
      </c>
      <c r="O5" s="11">
        <f t="shared" si="10"/>
        <v>45925</v>
      </c>
      <c r="P5" s="12" t="str">
        <f t="shared" si="11"/>
        <v>06</v>
      </c>
      <c r="Q5" s="13" t="str">
        <f>VLOOKUP($B5,Deals_Demo!$H:$N,7,0)</f>
        <v>strategy_31.py</v>
      </c>
      <c r="R5" s="13" t="str">
        <f t="shared" si="12"/>
        <v>Thu</v>
      </c>
      <c r="S5" s="14">
        <f>VLOOKUP($B5,Deals_Demo!$H:$S,8,0)</f>
        <v>45925.288993055554</v>
      </c>
      <c r="T5" s="14">
        <f>VLOOKUP($B5,Deals_Demo!$H:$S,9,0)</f>
        <v>45925.49732638889</v>
      </c>
      <c r="U5" s="15" t="str">
        <f t="shared" si="13"/>
        <v>2025-09-25</v>
      </c>
      <c r="V5" s="13" t="str">
        <f>VLOOKUP($B5,Deals_Demo!$H:$S,11,0)</f>
        <v>11</v>
      </c>
      <c r="W5" s="13" t="str">
        <f>VLOOKUP($B5,Deals_Demo!$H:$S,12,0)</f>
        <v>Thu</v>
      </c>
      <c r="X5" s="13">
        <f t="shared" si="5"/>
        <v>2.3000000000000003E-2</v>
      </c>
      <c r="Y5" s="13">
        <f t="shared" si="6"/>
        <v>4.6000000000000006E-2</v>
      </c>
      <c r="Z5" s="13">
        <f t="shared" si="7"/>
        <v>6.9000000000000006E-2</v>
      </c>
      <c r="AA5" s="13">
        <f t="shared" si="14"/>
        <v>-3</v>
      </c>
    </row>
    <row r="6" spans="1:27" x14ac:dyDescent="0.25">
      <c r="A6" s="77">
        <v>45925.299513888887</v>
      </c>
      <c r="B6" s="78">
        <v>177244477</v>
      </c>
      <c r="C6" s="79" t="s">
        <v>103</v>
      </c>
      <c r="D6" s="79" t="s">
        <v>37</v>
      </c>
      <c r="E6" s="79" t="s">
        <v>104</v>
      </c>
      <c r="F6" s="80">
        <v>3733.33</v>
      </c>
      <c r="G6" s="80">
        <v>3736.33</v>
      </c>
      <c r="H6" s="80">
        <v>3729.83</v>
      </c>
      <c r="I6" s="79" t="s">
        <v>109</v>
      </c>
      <c r="J6" s="80">
        <v>3736.34</v>
      </c>
      <c r="K6" s="80">
        <v>0</v>
      </c>
      <c r="L6" s="80">
        <v>0</v>
      </c>
      <c r="M6" s="80">
        <v>-0.3</v>
      </c>
      <c r="N6" s="10" t="str">
        <f t="shared" si="9"/>
        <v>L</v>
      </c>
      <c r="O6" s="11">
        <f t="shared" si="10"/>
        <v>45925</v>
      </c>
      <c r="P6" s="12" t="str">
        <f t="shared" si="11"/>
        <v>07</v>
      </c>
      <c r="Q6" s="13" t="str">
        <f>VLOOKUP($B6,Deals_Demo!$H:$N,7,0)</f>
        <v>strategy_31.py</v>
      </c>
      <c r="R6" s="13" t="str">
        <f t="shared" si="12"/>
        <v>Thu</v>
      </c>
      <c r="S6" s="14">
        <f>VLOOKUP($B6,Deals_Demo!$H:$S,8,0)</f>
        <v>45925.299513888887</v>
      </c>
      <c r="T6" s="14">
        <f>VLOOKUP($B6,Deals_Demo!$H:$S,9,0)</f>
        <v>45925.507847222223</v>
      </c>
      <c r="U6" s="15" t="str">
        <f t="shared" si="13"/>
        <v>2025-09-25</v>
      </c>
      <c r="V6" s="13" t="str">
        <f>VLOOKUP($B6,Deals_Demo!$H:$S,11,0)</f>
        <v>12</v>
      </c>
      <c r="W6" s="13" t="str">
        <f>VLOOKUP($B6,Deals_Demo!$H:$S,12,0)</f>
        <v>Thu</v>
      </c>
      <c r="X6" s="13">
        <f t="shared" si="5"/>
        <v>-0.03</v>
      </c>
      <c r="Y6" s="13">
        <f t="shared" si="6"/>
        <v>-0.06</v>
      </c>
      <c r="Z6" s="13">
        <f t="shared" si="7"/>
        <v>-0.09</v>
      </c>
      <c r="AA6" s="13">
        <f t="shared" si="14"/>
        <v>-3</v>
      </c>
    </row>
    <row r="7" spans="1:27" x14ac:dyDescent="0.25">
      <c r="A7" s="81">
        <v>45925.317453703705</v>
      </c>
      <c r="B7" s="82">
        <v>177250104</v>
      </c>
      <c r="C7" s="83" t="s">
        <v>103</v>
      </c>
      <c r="D7" s="83" t="s">
        <v>36</v>
      </c>
      <c r="E7" s="83" t="s">
        <v>104</v>
      </c>
      <c r="F7" s="84">
        <v>3739.48</v>
      </c>
      <c r="G7" s="84">
        <v>3736.46</v>
      </c>
      <c r="H7" s="83"/>
      <c r="I7" s="83" t="s">
        <v>110</v>
      </c>
      <c r="J7" s="84">
        <v>3736.46</v>
      </c>
      <c r="K7" s="84">
        <v>0</v>
      </c>
      <c r="L7" s="84">
        <v>0</v>
      </c>
      <c r="M7" s="84">
        <v>-0.3</v>
      </c>
      <c r="N7" s="10" t="str">
        <f t="shared" si="9"/>
        <v>L</v>
      </c>
      <c r="O7" s="11">
        <f t="shared" si="10"/>
        <v>45925</v>
      </c>
      <c r="P7" s="12" t="str">
        <f t="shared" si="11"/>
        <v>07</v>
      </c>
      <c r="Q7" s="13" t="str">
        <f>VLOOKUP($B7,Deals_Demo!$H:$N,7,0)</f>
        <v>strategy_19_live</v>
      </c>
      <c r="R7" s="13" t="str">
        <f t="shared" si="12"/>
        <v>Thu</v>
      </c>
      <c r="S7" s="14">
        <f>VLOOKUP($B7,Deals_Demo!$H:$S,8,0)</f>
        <v>45925.317453703705</v>
      </c>
      <c r="T7" s="14">
        <f>VLOOKUP($B7,Deals_Demo!$H:$S,9,0)</f>
        <v>45925.525787037041</v>
      </c>
      <c r="U7" s="15" t="str">
        <f t="shared" si="13"/>
        <v>2025-09-25</v>
      </c>
      <c r="V7" s="13" t="str">
        <f>VLOOKUP($B7,Deals_Demo!$H:$S,11,0)</f>
        <v>12</v>
      </c>
      <c r="W7" s="13" t="str">
        <f>VLOOKUP($B7,Deals_Demo!$H:$S,12,0)</f>
        <v>Thu</v>
      </c>
      <c r="X7" s="13">
        <f t="shared" si="5"/>
        <v>-0.03</v>
      </c>
      <c r="Y7" s="13">
        <f t="shared" si="6"/>
        <v>-0.06</v>
      </c>
      <c r="Z7" s="13">
        <f t="shared" si="7"/>
        <v>-0.09</v>
      </c>
      <c r="AA7" s="13">
        <f t="shared" si="14"/>
        <v>-3</v>
      </c>
    </row>
    <row r="8" spans="1:27" x14ac:dyDescent="0.25">
      <c r="A8" s="77">
        <v>45925.319421296299</v>
      </c>
      <c r="B8" s="78">
        <v>177250730</v>
      </c>
      <c r="C8" s="79" t="s">
        <v>103</v>
      </c>
      <c r="D8" s="79" t="s">
        <v>36</v>
      </c>
      <c r="E8" s="79" t="s">
        <v>104</v>
      </c>
      <c r="F8" s="80">
        <v>3738.62</v>
      </c>
      <c r="G8" s="80">
        <v>3735.62</v>
      </c>
      <c r="H8" s="80">
        <v>3742.12</v>
      </c>
      <c r="I8" s="79" t="s">
        <v>111</v>
      </c>
      <c r="J8" s="80">
        <v>3735.58</v>
      </c>
      <c r="K8" s="80">
        <v>0</v>
      </c>
      <c r="L8" s="80">
        <v>0</v>
      </c>
      <c r="M8" s="80">
        <v>-0.3</v>
      </c>
      <c r="N8" s="10" t="str">
        <f t="shared" si="9"/>
        <v>L</v>
      </c>
      <c r="O8" s="11">
        <f t="shared" si="10"/>
        <v>45925</v>
      </c>
      <c r="P8" s="12" t="str">
        <f t="shared" si="11"/>
        <v>07</v>
      </c>
      <c r="Q8" s="13" t="str">
        <f>VLOOKUP($B8,Deals_Demo!$H:$N,7,0)</f>
        <v>strategy_31.py</v>
      </c>
      <c r="R8" s="13" t="str">
        <f t="shared" si="12"/>
        <v>Thu</v>
      </c>
      <c r="S8" s="14">
        <f>VLOOKUP($B8,Deals_Demo!$H:$S,8,0)</f>
        <v>45925.319421296299</v>
      </c>
      <c r="T8" s="14">
        <f>VLOOKUP($B8,Deals_Demo!$H:$S,9,0)</f>
        <v>45925.527754629635</v>
      </c>
      <c r="U8" s="15" t="str">
        <f t="shared" si="13"/>
        <v>2025-09-25</v>
      </c>
      <c r="V8" s="13" t="str">
        <f>VLOOKUP($B8,Deals_Demo!$H:$S,11,0)</f>
        <v>12</v>
      </c>
      <c r="W8" s="13" t="str">
        <f>VLOOKUP($B8,Deals_Demo!$H:$S,12,0)</f>
        <v>Thu</v>
      </c>
      <c r="X8" s="13">
        <f t="shared" si="5"/>
        <v>-0.03</v>
      </c>
      <c r="Y8" s="13">
        <f t="shared" si="6"/>
        <v>-0.06</v>
      </c>
      <c r="Z8" s="13">
        <f t="shared" si="7"/>
        <v>-0.09</v>
      </c>
      <c r="AA8" s="13">
        <f t="shared" si="14"/>
        <v>-3</v>
      </c>
    </row>
    <row r="9" spans="1:27" x14ac:dyDescent="0.25">
      <c r="A9" s="81">
        <v>45925.338750000003</v>
      </c>
      <c r="B9" s="82">
        <v>177254998</v>
      </c>
      <c r="C9" s="83" t="s">
        <v>103</v>
      </c>
      <c r="D9" s="83" t="s">
        <v>37</v>
      </c>
      <c r="E9" s="83" t="s">
        <v>104</v>
      </c>
      <c r="F9" s="84">
        <v>3736.52</v>
      </c>
      <c r="G9" s="84">
        <v>3739.52</v>
      </c>
      <c r="H9" s="83"/>
      <c r="I9" s="83" t="s">
        <v>112</v>
      </c>
      <c r="J9" s="84">
        <v>3739.55</v>
      </c>
      <c r="K9" s="84">
        <v>0</v>
      </c>
      <c r="L9" s="84">
        <v>0</v>
      </c>
      <c r="M9" s="84">
        <v>-0.3</v>
      </c>
      <c r="N9" s="10" t="str">
        <f t="shared" si="9"/>
        <v>L</v>
      </c>
      <c r="O9" s="11">
        <f t="shared" si="10"/>
        <v>45925</v>
      </c>
      <c r="P9" s="12" t="str">
        <f t="shared" si="11"/>
        <v>08</v>
      </c>
      <c r="Q9" s="13" t="str">
        <f>VLOOKUP($B9,Deals_Demo!$H:$N,7,0)</f>
        <v>strategy_19_live</v>
      </c>
      <c r="R9" s="13" t="str">
        <f t="shared" si="12"/>
        <v>Thu</v>
      </c>
      <c r="S9" s="14">
        <f>VLOOKUP($B9,Deals_Demo!$H:$S,8,0)</f>
        <v>45925.338750000003</v>
      </c>
      <c r="T9" s="14">
        <f>VLOOKUP($B9,Deals_Demo!$H:$S,9,0)</f>
        <v>45925.547083333338</v>
      </c>
      <c r="U9" s="15" t="str">
        <f t="shared" si="13"/>
        <v>2025-09-25</v>
      </c>
      <c r="V9" s="13" t="str">
        <f>VLOOKUP($B9,Deals_Demo!$H:$S,11,0)</f>
        <v>13</v>
      </c>
      <c r="W9" s="13" t="str">
        <f>VLOOKUP($B9,Deals_Demo!$H:$S,12,0)</f>
        <v>Thu</v>
      </c>
      <c r="X9" s="13">
        <f t="shared" si="5"/>
        <v>-0.03</v>
      </c>
      <c r="Y9" s="13">
        <f t="shared" si="6"/>
        <v>-0.06</v>
      </c>
      <c r="Z9" s="13">
        <f t="shared" si="7"/>
        <v>-0.09</v>
      </c>
      <c r="AA9" s="13">
        <f t="shared" si="14"/>
        <v>-3</v>
      </c>
    </row>
    <row r="10" spans="1:27" x14ac:dyDescent="0.25">
      <c r="A10" s="77">
        <v>45925.34175925926</v>
      </c>
      <c r="B10" s="78">
        <v>177255633</v>
      </c>
      <c r="C10" s="79" t="s">
        <v>103</v>
      </c>
      <c r="D10" s="79" t="s">
        <v>37</v>
      </c>
      <c r="E10" s="79" t="s">
        <v>104</v>
      </c>
      <c r="F10" s="80">
        <v>3735.83</v>
      </c>
      <c r="G10" s="80">
        <v>3738.83</v>
      </c>
      <c r="H10" s="80">
        <v>3732.33</v>
      </c>
      <c r="I10" s="79" t="s">
        <v>113</v>
      </c>
      <c r="J10" s="80">
        <v>3738.84</v>
      </c>
      <c r="K10" s="80">
        <v>0</v>
      </c>
      <c r="L10" s="80">
        <v>0</v>
      </c>
      <c r="M10" s="80">
        <v>-0.3</v>
      </c>
      <c r="N10" s="10" t="str">
        <f t="shared" si="9"/>
        <v>L</v>
      </c>
      <c r="O10" s="11">
        <f t="shared" si="10"/>
        <v>45925</v>
      </c>
      <c r="P10" s="12" t="str">
        <f t="shared" si="11"/>
        <v>08</v>
      </c>
      <c r="Q10" s="13" t="str">
        <f>VLOOKUP($B10,Deals_Demo!$H:$N,7,0)</f>
        <v>strategy_31.py</v>
      </c>
      <c r="R10" s="13" t="str">
        <f t="shared" si="12"/>
        <v>Thu</v>
      </c>
      <c r="S10" s="14">
        <f>VLOOKUP($B10,Deals_Demo!$H:$S,8,0)</f>
        <v>45925.34175925926</v>
      </c>
      <c r="T10" s="14">
        <f>VLOOKUP($B10,Deals_Demo!$H:$S,9,0)</f>
        <v>45925.550092592595</v>
      </c>
      <c r="U10" s="15" t="str">
        <f t="shared" si="13"/>
        <v>2025-09-25</v>
      </c>
      <c r="V10" s="13" t="str">
        <f>VLOOKUP($B10,Deals_Demo!$H:$S,11,0)</f>
        <v>13</v>
      </c>
      <c r="W10" s="13" t="str">
        <f>VLOOKUP($B10,Deals_Demo!$H:$S,12,0)</f>
        <v>Thu</v>
      </c>
      <c r="X10" s="13">
        <f t="shared" si="5"/>
        <v>-0.03</v>
      </c>
      <c r="Y10" s="13">
        <f t="shared" si="6"/>
        <v>-0.06</v>
      </c>
      <c r="Z10" s="13">
        <f t="shared" si="7"/>
        <v>-0.09</v>
      </c>
      <c r="AA10" s="13">
        <f t="shared" si="14"/>
        <v>-3</v>
      </c>
    </row>
    <row r="11" spans="1:27" x14ac:dyDescent="0.25">
      <c r="A11" s="81">
        <v>45925.359814814816</v>
      </c>
      <c r="B11" s="82">
        <v>177261044</v>
      </c>
      <c r="C11" s="83" t="s">
        <v>103</v>
      </c>
      <c r="D11" s="83" t="s">
        <v>36</v>
      </c>
      <c r="E11" s="83" t="s">
        <v>104</v>
      </c>
      <c r="F11" s="84">
        <v>3739</v>
      </c>
      <c r="G11" s="84">
        <v>3740.72</v>
      </c>
      <c r="H11" s="84">
        <v>3742.54</v>
      </c>
      <c r="I11" s="83" t="s">
        <v>114</v>
      </c>
      <c r="J11" s="84">
        <v>3742.54</v>
      </c>
      <c r="K11" s="84">
        <v>0</v>
      </c>
      <c r="L11" s="84">
        <v>0</v>
      </c>
      <c r="M11" s="84">
        <v>0.35</v>
      </c>
      <c r="N11" s="10" t="str">
        <f t="shared" si="9"/>
        <v>W</v>
      </c>
      <c r="O11" s="11">
        <f t="shared" si="10"/>
        <v>45925</v>
      </c>
      <c r="P11" s="12" t="str">
        <f t="shared" si="11"/>
        <v>08</v>
      </c>
      <c r="Q11" s="13" t="str">
        <f>VLOOKUP($B11,Deals_Demo!$H:$N,7,0)</f>
        <v>strategy_31.py</v>
      </c>
      <c r="R11" s="13" t="str">
        <f t="shared" si="12"/>
        <v>Thu</v>
      </c>
      <c r="S11" s="14">
        <f>VLOOKUP($B11,Deals_Demo!$H:$S,8,0)</f>
        <v>45925.359814814816</v>
      </c>
      <c r="T11" s="14">
        <f>VLOOKUP($B11,Deals_Demo!$H:$S,9,0)</f>
        <v>45925.568148148152</v>
      </c>
      <c r="U11" s="15" t="str">
        <f t="shared" si="13"/>
        <v>2025-09-25</v>
      </c>
      <c r="V11" s="13" t="str">
        <f>VLOOKUP($B11,Deals_Demo!$H:$S,11,0)</f>
        <v>13</v>
      </c>
      <c r="W11" s="13" t="str">
        <f>VLOOKUP($B11,Deals_Demo!$H:$S,12,0)</f>
        <v>Thu</v>
      </c>
      <c r="X11" s="13">
        <f t="shared" si="5"/>
        <v>3.4999999999999996E-2</v>
      </c>
      <c r="Y11" s="13">
        <f t="shared" si="6"/>
        <v>6.9999999999999993E-2</v>
      </c>
      <c r="Z11" s="13">
        <f t="shared" si="7"/>
        <v>0.105</v>
      </c>
      <c r="AA11" s="13">
        <f t="shared" si="14"/>
        <v>-3</v>
      </c>
    </row>
    <row r="12" spans="1:27" x14ac:dyDescent="0.25">
      <c r="A12" s="77">
        <v>45925.361203703702</v>
      </c>
      <c r="B12" s="78">
        <v>177261677</v>
      </c>
      <c r="C12" s="79" t="s">
        <v>103</v>
      </c>
      <c r="D12" s="79" t="s">
        <v>36</v>
      </c>
      <c r="E12" s="79" t="s">
        <v>104</v>
      </c>
      <c r="F12" s="80">
        <v>3738.47</v>
      </c>
      <c r="G12" s="80">
        <v>3745.35</v>
      </c>
      <c r="H12" s="79"/>
      <c r="I12" s="79" t="s">
        <v>115</v>
      </c>
      <c r="J12" s="80">
        <v>3745.35</v>
      </c>
      <c r="K12" s="80">
        <v>0</v>
      </c>
      <c r="L12" s="80">
        <v>0</v>
      </c>
      <c r="M12" s="80">
        <v>0.69</v>
      </c>
      <c r="N12" s="10" t="str">
        <f t="shared" si="9"/>
        <v>W</v>
      </c>
      <c r="O12" s="11">
        <f t="shared" si="10"/>
        <v>45925</v>
      </c>
      <c r="P12" s="12" t="str">
        <f t="shared" si="11"/>
        <v>08</v>
      </c>
      <c r="Q12" s="13" t="str">
        <f>VLOOKUP($B12,Deals_Demo!$H:$N,7,0)</f>
        <v>strategy_19_live</v>
      </c>
      <c r="R12" s="13" t="str">
        <f t="shared" si="12"/>
        <v>Thu</v>
      </c>
      <c r="S12" s="14">
        <f>VLOOKUP($B12,Deals_Demo!$H:$S,8,0)</f>
        <v>45925.361203703702</v>
      </c>
      <c r="T12" s="14">
        <f>VLOOKUP($B12,Deals_Demo!$H:$S,9,0)</f>
        <v>45925.569537037038</v>
      </c>
      <c r="U12" s="15" t="str">
        <f t="shared" si="13"/>
        <v>2025-09-25</v>
      </c>
      <c r="V12" s="13" t="str">
        <f>VLOOKUP($B12,Deals_Demo!$H:$S,11,0)</f>
        <v>13</v>
      </c>
      <c r="W12" s="13" t="str">
        <f>VLOOKUP($B12,Deals_Demo!$H:$S,12,0)</f>
        <v>Thu</v>
      </c>
      <c r="X12" s="13">
        <f t="shared" si="5"/>
        <v>6.8999999999999992E-2</v>
      </c>
      <c r="Y12" s="13">
        <f t="shared" si="6"/>
        <v>0.13799999999999998</v>
      </c>
      <c r="Z12" s="13">
        <f t="shared" si="7"/>
        <v>0.20699999999999999</v>
      </c>
      <c r="AA12" s="13">
        <f t="shared" si="14"/>
        <v>-3</v>
      </c>
    </row>
    <row r="13" spans="1:27" x14ac:dyDescent="0.25">
      <c r="A13" s="81">
        <v>45925.384467592594</v>
      </c>
      <c r="B13" s="82">
        <v>177269910</v>
      </c>
      <c r="C13" s="83" t="s">
        <v>103</v>
      </c>
      <c r="D13" s="83" t="s">
        <v>36</v>
      </c>
      <c r="E13" s="83" t="s">
        <v>104</v>
      </c>
      <c r="F13" s="84">
        <v>3745.44</v>
      </c>
      <c r="G13" s="84">
        <v>3742.4</v>
      </c>
      <c r="H13" s="83"/>
      <c r="I13" s="83" t="s">
        <v>116</v>
      </c>
      <c r="J13" s="84">
        <v>3742.33</v>
      </c>
      <c r="K13" s="84">
        <v>0</v>
      </c>
      <c r="L13" s="84">
        <v>0</v>
      </c>
      <c r="M13" s="84">
        <v>-0.31</v>
      </c>
      <c r="N13" s="10" t="str">
        <f t="shared" si="9"/>
        <v>L</v>
      </c>
      <c r="O13" s="11">
        <f t="shared" si="10"/>
        <v>45925</v>
      </c>
      <c r="P13" s="12" t="str">
        <f t="shared" si="11"/>
        <v>09</v>
      </c>
      <c r="Q13" s="13" t="str">
        <f>VLOOKUP($B13,Deals_Demo!$H:$N,7,0)</f>
        <v>strategy_19_live</v>
      </c>
      <c r="R13" s="13" t="str">
        <f t="shared" si="12"/>
        <v>Thu</v>
      </c>
      <c r="S13" s="14">
        <f>VLOOKUP($B13,Deals_Demo!$H:$S,8,0)</f>
        <v>45925.384467592594</v>
      </c>
      <c r="T13" s="14">
        <f>VLOOKUP($B13,Deals_Demo!$H:$S,9,0)</f>
        <v>45925.59280092593</v>
      </c>
      <c r="U13" s="15" t="str">
        <f t="shared" si="13"/>
        <v>2025-09-25</v>
      </c>
      <c r="V13" s="13" t="str">
        <f>VLOOKUP($B13,Deals_Demo!$H:$S,11,0)</f>
        <v>14</v>
      </c>
      <c r="W13" s="13" t="str">
        <f>VLOOKUP($B13,Deals_Demo!$H:$S,12,0)</f>
        <v>Thu</v>
      </c>
      <c r="X13" s="13">
        <f t="shared" si="5"/>
        <v>-3.1E-2</v>
      </c>
      <c r="Y13" s="13">
        <f t="shared" si="6"/>
        <v>-6.2E-2</v>
      </c>
      <c r="Z13" s="13">
        <f t="shared" si="7"/>
        <v>-9.2999999999999999E-2</v>
      </c>
      <c r="AA13" s="13">
        <f t="shared" si="14"/>
        <v>-3</v>
      </c>
    </row>
    <row r="14" spans="1:27" x14ac:dyDescent="0.25">
      <c r="A14" s="77">
        <v>45925.389560185184</v>
      </c>
      <c r="B14" s="78">
        <v>177272834</v>
      </c>
      <c r="C14" s="79" t="s">
        <v>103</v>
      </c>
      <c r="D14" s="79" t="s">
        <v>36</v>
      </c>
      <c r="E14" s="79" t="s">
        <v>104</v>
      </c>
      <c r="F14" s="80">
        <v>3746.84</v>
      </c>
      <c r="G14" s="80">
        <v>3743.81</v>
      </c>
      <c r="H14" s="80">
        <v>3750.31</v>
      </c>
      <c r="I14" s="79" t="s">
        <v>117</v>
      </c>
      <c r="J14" s="80">
        <v>3743.6</v>
      </c>
      <c r="K14" s="80">
        <v>0</v>
      </c>
      <c r="L14" s="80">
        <v>0</v>
      </c>
      <c r="M14" s="80">
        <v>-0.32</v>
      </c>
      <c r="N14" s="10" t="str">
        <f t="shared" si="9"/>
        <v>L</v>
      </c>
      <c r="O14" s="11">
        <f t="shared" si="10"/>
        <v>45925</v>
      </c>
      <c r="P14" s="12" t="str">
        <f t="shared" si="11"/>
        <v>09</v>
      </c>
      <c r="Q14" s="13" t="str">
        <f>VLOOKUP($B14,Deals_Demo!$H:$N,7,0)</f>
        <v>strategy_31.py</v>
      </c>
      <c r="R14" s="13" t="str">
        <f t="shared" si="12"/>
        <v>Thu</v>
      </c>
      <c r="S14" s="14">
        <f>VLOOKUP($B14,Deals_Demo!$H:$S,8,0)</f>
        <v>45925.389560185184</v>
      </c>
      <c r="T14" s="14">
        <f>VLOOKUP($B14,Deals_Demo!$H:$S,9,0)</f>
        <v>45925.597893518519</v>
      </c>
      <c r="U14" s="15" t="str">
        <f t="shared" si="13"/>
        <v>2025-09-25</v>
      </c>
      <c r="V14" s="13" t="str">
        <f>VLOOKUP($B14,Deals_Demo!$H:$S,11,0)</f>
        <v>14</v>
      </c>
      <c r="W14" s="13" t="str">
        <f>VLOOKUP($B14,Deals_Demo!$H:$S,12,0)</f>
        <v>Thu</v>
      </c>
      <c r="X14" s="13">
        <f t="shared" si="5"/>
        <v>-3.2000000000000001E-2</v>
      </c>
      <c r="Y14" s="13">
        <f t="shared" si="6"/>
        <v>-6.4000000000000001E-2</v>
      </c>
      <c r="Z14" s="13">
        <f t="shared" si="7"/>
        <v>-9.6000000000000002E-2</v>
      </c>
      <c r="AA14" s="13">
        <f t="shared" si="14"/>
        <v>-3</v>
      </c>
    </row>
    <row r="15" spans="1:27" x14ac:dyDescent="0.25">
      <c r="A15" s="81">
        <v>45925.404722222222</v>
      </c>
      <c r="B15" s="82">
        <v>177277660</v>
      </c>
      <c r="C15" s="83" t="s">
        <v>103</v>
      </c>
      <c r="D15" s="83" t="s">
        <v>37</v>
      </c>
      <c r="E15" s="83" t="s">
        <v>104</v>
      </c>
      <c r="F15" s="84">
        <v>3741.64</v>
      </c>
      <c r="G15" s="84">
        <v>3744.62</v>
      </c>
      <c r="H15" s="83"/>
      <c r="I15" s="83" t="s">
        <v>138</v>
      </c>
      <c r="J15" s="84">
        <v>3744.66</v>
      </c>
      <c r="K15" s="84">
        <v>0</v>
      </c>
      <c r="L15" s="84">
        <v>0</v>
      </c>
      <c r="M15" s="84">
        <v>-0.3</v>
      </c>
      <c r="N15" s="10" t="str">
        <f t="shared" si="9"/>
        <v>L</v>
      </c>
      <c r="O15" s="11">
        <f t="shared" si="10"/>
        <v>45925</v>
      </c>
      <c r="P15" s="12" t="str">
        <f t="shared" si="11"/>
        <v>09</v>
      </c>
      <c r="Q15" s="13" t="str">
        <f>VLOOKUP($B15,Deals_Demo!$H:$N,7,0)</f>
        <v>strategy_19_live</v>
      </c>
      <c r="R15" s="13" t="str">
        <f t="shared" si="12"/>
        <v>Thu</v>
      </c>
      <c r="S15" s="14">
        <f>VLOOKUP($B15,Deals_Demo!$H:$S,8,0)</f>
        <v>45925.404722222222</v>
      </c>
      <c r="T15" s="14">
        <f>VLOOKUP($B15,Deals_Demo!$H:$S,9,0)</f>
        <v>45925.613055555557</v>
      </c>
      <c r="U15" s="15" t="str">
        <f t="shared" si="13"/>
        <v>2025-09-25</v>
      </c>
      <c r="V15" s="13" t="str">
        <f>VLOOKUP($B15,Deals_Demo!$H:$S,11,0)</f>
        <v>14</v>
      </c>
      <c r="W15" s="13" t="str">
        <f>VLOOKUP($B15,Deals_Demo!$H:$S,12,0)</f>
        <v>Thu</v>
      </c>
      <c r="X15" s="13">
        <f t="shared" si="5"/>
        <v>-0.03</v>
      </c>
      <c r="Y15" s="13">
        <f t="shared" si="6"/>
        <v>-0.06</v>
      </c>
      <c r="Z15" s="13">
        <f t="shared" si="7"/>
        <v>-0.09</v>
      </c>
      <c r="AA15" s="13">
        <f t="shared" si="14"/>
        <v>-3</v>
      </c>
    </row>
    <row r="16" spans="1:27" x14ac:dyDescent="0.25">
      <c r="A16" s="77">
        <v>45925.412592592591</v>
      </c>
      <c r="B16" s="78">
        <v>177279981</v>
      </c>
      <c r="C16" s="79" t="s">
        <v>103</v>
      </c>
      <c r="D16" s="79" t="s">
        <v>37</v>
      </c>
      <c r="E16" s="79" t="s">
        <v>104</v>
      </c>
      <c r="F16" s="80">
        <v>3741.88</v>
      </c>
      <c r="G16" s="80">
        <v>3744.88</v>
      </c>
      <c r="H16" s="80">
        <v>3738.38</v>
      </c>
      <c r="I16" s="79" t="s">
        <v>139</v>
      </c>
      <c r="J16" s="80">
        <v>3744.88</v>
      </c>
      <c r="K16" s="80">
        <v>0</v>
      </c>
      <c r="L16" s="80">
        <v>0</v>
      </c>
      <c r="M16" s="80">
        <v>-0.3</v>
      </c>
      <c r="N16" s="10" t="str">
        <f t="shared" si="9"/>
        <v>L</v>
      </c>
      <c r="O16" s="11">
        <f t="shared" si="10"/>
        <v>45925</v>
      </c>
      <c r="P16" s="12" t="str">
        <f t="shared" si="11"/>
        <v>09</v>
      </c>
      <c r="Q16" s="13" t="str">
        <f>VLOOKUP($B16,Deals_Demo!$H:$N,7,0)</f>
        <v>strategy_31.py</v>
      </c>
      <c r="R16" s="13" t="str">
        <f t="shared" si="12"/>
        <v>Thu</v>
      </c>
      <c r="S16" s="14">
        <f>VLOOKUP($B16,Deals_Demo!$H:$S,8,0)</f>
        <v>45925.412592592591</v>
      </c>
      <c r="T16" s="14">
        <f>VLOOKUP($B16,Deals_Demo!$H:$S,9,0)</f>
        <v>45925.620925925927</v>
      </c>
      <c r="U16" s="15" t="str">
        <f t="shared" si="13"/>
        <v>2025-09-25</v>
      </c>
      <c r="V16" s="13" t="str">
        <f>VLOOKUP($B16,Deals_Demo!$H:$S,11,0)</f>
        <v>14</v>
      </c>
      <c r="W16" s="13" t="str">
        <f>VLOOKUP($B16,Deals_Demo!$H:$S,12,0)</f>
        <v>Thu</v>
      </c>
      <c r="X16" s="13">
        <f t="shared" si="5"/>
        <v>-0.03</v>
      </c>
      <c r="Y16" s="13">
        <f t="shared" si="6"/>
        <v>-0.06</v>
      </c>
      <c r="Z16" s="13">
        <f t="shared" si="7"/>
        <v>-0.09</v>
      </c>
      <c r="AA16" s="13">
        <f t="shared" si="14"/>
        <v>-3</v>
      </c>
    </row>
    <row r="17" spans="1:27" x14ac:dyDescent="0.25">
      <c r="A17" s="81">
        <v>45925.428564814814</v>
      </c>
      <c r="B17" s="82">
        <v>177285426</v>
      </c>
      <c r="C17" s="83" t="s">
        <v>103</v>
      </c>
      <c r="D17" s="83" t="s">
        <v>36</v>
      </c>
      <c r="E17" s="83" t="s">
        <v>104</v>
      </c>
      <c r="F17" s="84">
        <v>3744.55</v>
      </c>
      <c r="G17" s="84">
        <v>3750.71</v>
      </c>
      <c r="H17" s="83"/>
      <c r="I17" s="83" t="s">
        <v>140</v>
      </c>
      <c r="J17" s="84">
        <v>3750.69</v>
      </c>
      <c r="K17" s="84">
        <v>0</v>
      </c>
      <c r="L17" s="84">
        <v>0</v>
      </c>
      <c r="M17" s="84">
        <v>0.61</v>
      </c>
      <c r="N17" s="10" t="str">
        <f t="shared" si="9"/>
        <v>W</v>
      </c>
      <c r="O17" s="11">
        <f t="shared" si="10"/>
        <v>45925</v>
      </c>
      <c r="P17" s="12" t="str">
        <f t="shared" si="11"/>
        <v>10</v>
      </c>
      <c r="Q17" s="13" t="str">
        <f>VLOOKUP($B17,Deals_Demo!$H:$N,7,0)</f>
        <v>strategy_19_live</v>
      </c>
      <c r="R17" s="13" t="str">
        <f t="shared" si="12"/>
        <v>Thu</v>
      </c>
      <c r="S17" s="14">
        <f>VLOOKUP($B17,Deals_Demo!$H:$S,8,0)</f>
        <v>45925.428564814814</v>
      </c>
      <c r="T17" s="14">
        <f>VLOOKUP($B17,Deals_Demo!$H:$S,9,0)</f>
        <v>45925.63689814815</v>
      </c>
      <c r="U17" s="15" t="str">
        <f t="shared" si="13"/>
        <v>2025-09-25</v>
      </c>
      <c r="V17" s="13" t="str">
        <f>VLOOKUP($B17,Deals_Demo!$H:$S,11,0)</f>
        <v>15</v>
      </c>
      <c r="W17" s="13" t="str">
        <f>VLOOKUP($B17,Deals_Demo!$H:$S,12,0)</f>
        <v>Thu</v>
      </c>
      <c r="X17" s="13">
        <f t="shared" si="5"/>
        <v>6.0999999999999999E-2</v>
      </c>
      <c r="Y17" s="13">
        <f t="shared" si="6"/>
        <v>0.122</v>
      </c>
      <c r="Z17" s="13">
        <f t="shared" si="7"/>
        <v>0.183</v>
      </c>
      <c r="AA17" s="13">
        <f t="shared" si="14"/>
        <v>-3</v>
      </c>
    </row>
    <row r="18" spans="1:27" x14ac:dyDescent="0.25">
      <c r="A18" s="77">
        <v>45925.429259259261</v>
      </c>
      <c r="B18" s="78">
        <v>177285613</v>
      </c>
      <c r="C18" s="79" t="s">
        <v>103</v>
      </c>
      <c r="D18" s="79" t="s">
        <v>36</v>
      </c>
      <c r="E18" s="79" t="s">
        <v>104</v>
      </c>
      <c r="F18" s="80">
        <v>3744.24</v>
      </c>
      <c r="G18" s="80">
        <v>3745.91</v>
      </c>
      <c r="H18" s="80">
        <v>3747.71</v>
      </c>
      <c r="I18" s="79" t="s">
        <v>141</v>
      </c>
      <c r="J18" s="80">
        <v>3747.74</v>
      </c>
      <c r="K18" s="80">
        <v>0</v>
      </c>
      <c r="L18" s="80">
        <v>0</v>
      </c>
      <c r="M18" s="80">
        <v>0.35</v>
      </c>
      <c r="N18" s="10" t="str">
        <f t="shared" si="9"/>
        <v>W</v>
      </c>
      <c r="O18" s="11">
        <f t="shared" si="10"/>
        <v>45925</v>
      </c>
      <c r="P18" s="12" t="str">
        <f t="shared" si="11"/>
        <v>10</v>
      </c>
      <c r="Q18" s="13" t="str">
        <f>VLOOKUP($B18,Deals_Demo!$H:$N,7,0)</f>
        <v>strategy_31.py</v>
      </c>
      <c r="R18" s="13" t="str">
        <f t="shared" si="12"/>
        <v>Thu</v>
      </c>
      <c r="S18" s="14">
        <f>VLOOKUP($B18,Deals_Demo!$H:$S,8,0)</f>
        <v>45925.429259259261</v>
      </c>
      <c r="T18" s="14">
        <f>VLOOKUP($B18,Deals_Demo!$H:$S,9,0)</f>
        <v>45925.637592592597</v>
      </c>
      <c r="U18" s="15" t="str">
        <f t="shared" si="13"/>
        <v>2025-09-25</v>
      </c>
      <c r="V18" s="13" t="str">
        <f>VLOOKUP($B18,Deals_Demo!$H:$S,11,0)</f>
        <v>15</v>
      </c>
      <c r="W18" s="13" t="str">
        <f>VLOOKUP($B18,Deals_Demo!$H:$S,12,0)</f>
        <v>Thu</v>
      </c>
      <c r="X18" s="13">
        <f t="shared" si="5"/>
        <v>3.4999999999999996E-2</v>
      </c>
      <c r="Y18" s="13">
        <f t="shared" si="6"/>
        <v>6.9999999999999993E-2</v>
      </c>
      <c r="Z18" s="13">
        <f t="shared" si="7"/>
        <v>0.105</v>
      </c>
      <c r="AA18" s="13">
        <f t="shared" si="14"/>
        <v>-3</v>
      </c>
    </row>
    <row r="19" spans="1:27" x14ac:dyDescent="0.25">
      <c r="A19" s="81">
        <v>45925.444652777776</v>
      </c>
      <c r="B19" s="82">
        <v>177293762</v>
      </c>
      <c r="C19" s="83" t="s">
        <v>103</v>
      </c>
      <c r="D19" s="83" t="s">
        <v>36</v>
      </c>
      <c r="E19" s="83" t="s">
        <v>104</v>
      </c>
      <c r="F19" s="84">
        <v>3750.46</v>
      </c>
      <c r="G19" s="84">
        <v>3752.8</v>
      </c>
      <c r="H19" s="83"/>
      <c r="I19" s="83" t="s">
        <v>142</v>
      </c>
      <c r="J19" s="84">
        <v>3752.74</v>
      </c>
      <c r="K19" s="84">
        <v>0</v>
      </c>
      <c r="L19" s="84">
        <v>0</v>
      </c>
      <c r="M19" s="84">
        <v>0.23</v>
      </c>
      <c r="N19" s="10" t="str">
        <f t="shared" si="9"/>
        <v>W</v>
      </c>
      <c r="O19" s="11">
        <f t="shared" si="10"/>
        <v>45925</v>
      </c>
      <c r="P19" s="12" t="str">
        <f t="shared" si="11"/>
        <v>10</v>
      </c>
      <c r="Q19" s="13" t="str">
        <f>VLOOKUP($B19,Deals_Demo!$H:$N,7,0)</f>
        <v>strategy_19_live</v>
      </c>
      <c r="R19" s="13" t="str">
        <f t="shared" si="12"/>
        <v>Thu</v>
      </c>
      <c r="S19" s="14">
        <f>VLOOKUP($B19,Deals_Demo!$H:$S,8,0)</f>
        <v>45925.444652777776</v>
      </c>
      <c r="T19" s="14">
        <f>VLOOKUP($B19,Deals_Demo!$H:$S,9,0)</f>
        <v>45925.652986111112</v>
      </c>
      <c r="U19" s="15" t="str">
        <f t="shared" si="13"/>
        <v>2025-09-25</v>
      </c>
      <c r="V19" s="13" t="str">
        <f>VLOOKUP($B19,Deals_Demo!$H:$S,11,0)</f>
        <v>15</v>
      </c>
      <c r="W19" s="13" t="str">
        <f>VLOOKUP($B19,Deals_Demo!$H:$S,12,0)</f>
        <v>Thu</v>
      </c>
      <c r="X19" s="13">
        <f t="shared" si="5"/>
        <v>2.3000000000000003E-2</v>
      </c>
      <c r="Y19" s="13">
        <f t="shared" si="6"/>
        <v>4.6000000000000006E-2</v>
      </c>
      <c r="Z19" s="13">
        <f t="shared" si="7"/>
        <v>6.9000000000000006E-2</v>
      </c>
      <c r="AA19" s="13">
        <f t="shared" si="14"/>
        <v>-3</v>
      </c>
    </row>
    <row r="20" spans="1:27" x14ac:dyDescent="0.25">
      <c r="A20" s="77">
        <v>45925.44604166667</v>
      </c>
      <c r="B20" s="78">
        <v>177294581</v>
      </c>
      <c r="C20" s="79" t="s">
        <v>103</v>
      </c>
      <c r="D20" s="79" t="s">
        <v>36</v>
      </c>
      <c r="E20" s="79" t="s">
        <v>104</v>
      </c>
      <c r="F20" s="80">
        <v>3749.78</v>
      </c>
      <c r="G20" s="80">
        <v>3746.78</v>
      </c>
      <c r="H20" s="80">
        <v>3753.28</v>
      </c>
      <c r="I20" s="79" t="s">
        <v>143</v>
      </c>
      <c r="J20" s="80">
        <v>3753.31</v>
      </c>
      <c r="K20" s="80">
        <v>0</v>
      </c>
      <c r="L20" s="80">
        <v>0</v>
      </c>
      <c r="M20" s="80">
        <v>0.35</v>
      </c>
      <c r="N20" s="10" t="str">
        <f t="shared" si="9"/>
        <v>W</v>
      </c>
      <c r="O20" s="11">
        <f t="shared" si="10"/>
        <v>45925</v>
      </c>
      <c r="P20" s="12" t="str">
        <f t="shared" si="11"/>
        <v>10</v>
      </c>
      <c r="Q20" s="13" t="str">
        <f>VLOOKUP($B20,Deals_Demo!$H:$N,7,0)</f>
        <v>strategy_31.py</v>
      </c>
      <c r="R20" s="13" t="str">
        <f t="shared" si="12"/>
        <v>Thu</v>
      </c>
      <c r="S20" s="14">
        <f>VLOOKUP($B20,Deals_Demo!$H:$S,8,0)</f>
        <v>45925.44604166667</v>
      </c>
      <c r="T20" s="14">
        <f>VLOOKUP($B20,Deals_Demo!$H:$S,9,0)</f>
        <v>45925.654375000006</v>
      </c>
      <c r="U20" s="15" t="str">
        <f t="shared" si="13"/>
        <v>2025-09-25</v>
      </c>
      <c r="V20" s="13" t="str">
        <f>VLOOKUP($B20,Deals_Demo!$H:$S,11,0)</f>
        <v>15</v>
      </c>
      <c r="W20" s="13" t="str">
        <f>VLOOKUP($B20,Deals_Demo!$H:$S,12,0)</f>
        <v>Thu</v>
      </c>
      <c r="X20" s="13">
        <f t="shared" si="5"/>
        <v>3.4999999999999996E-2</v>
      </c>
      <c r="Y20" s="13">
        <f t="shared" si="6"/>
        <v>6.9999999999999993E-2</v>
      </c>
      <c r="Z20" s="13">
        <f t="shared" si="7"/>
        <v>0.105</v>
      </c>
      <c r="AA20" s="13">
        <f t="shared" si="14"/>
        <v>-3</v>
      </c>
    </row>
    <row r="21" spans="1:27" x14ac:dyDescent="0.25">
      <c r="A21" s="81">
        <v>45925.449629629627</v>
      </c>
      <c r="B21" s="82">
        <v>177297721</v>
      </c>
      <c r="C21" s="83" t="s">
        <v>103</v>
      </c>
      <c r="D21" s="83" t="s">
        <v>36</v>
      </c>
      <c r="E21" s="83" t="s">
        <v>104</v>
      </c>
      <c r="F21" s="84">
        <v>3753.34</v>
      </c>
      <c r="G21" s="84">
        <v>3750.13</v>
      </c>
      <c r="H21" s="83"/>
      <c r="I21" s="83" t="s">
        <v>144</v>
      </c>
      <c r="J21" s="84">
        <v>3750.13</v>
      </c>
      <c r="K21" s="84">
        <v>0</v>
      </c>
      <c r="L21" s="84">
        <v>0</v>
      </c>
      <c r="M21" s="84">
        <v>-0.32</v>
      </c>
      <c r="N21" s="10" t="str">
        <f t="shared" si="9"/>
        <v>L</v>
      </c>
      <c r="O21" s="11">
        <f t="shared" si="10"/>
        <v>45925</v>
      </c>
      <c r="P21" s="12" t="str">
        <f t="shared" si="11"/>
        <v>10</v>
      </c>
      <c r="Q21" s="13" t="str">
        <f>VLOOKUP($B21,Deals_Demo!$H:$N,7,0)</f>
        <v>strategy_19_live</v>
      </c>
      <c r="R21" s="13" t="str">
        <f t="shared" si="12"/>
        <v>Thu</v>
      </c>
      <c r="S21" s="14">
        <f>VLOOKUP($B21,Deals_Demo!$H:$S,8,0)</f>
        <v>45925.449629629627</v>
      </c>
      <c r="T21" s="14">
        <f>VLOOKUP($B21,Deals_Demo!$H:$S,9,0)</f>
        <v>45925.657962962963</v>
      </c>
      <c r="U21" s="15" t="str">
        <f t="shared" si="13"/>
        <v>2025-09-25</v>
      </c>
      <c r="V21" s="13" t="str">
        <f>VLOOKUP($B21,Deals_Demo!$H:$S,11,0)</f>
        <v>15</v>
      </c>
      <c r="W21" s="13" t="str">
        <f>VLOOKUP($B21,Deals_Demo!$H:$S,12,0)</f>
        <v>Thu</v>
      </c>
      <c r="X21" s="13">
        <f t="shared" si="5"/>
        <v>-3.2000000000000001E-2</v>
      </c>
      <c r="Y21" s="13">
        <f t="shared" si="6"/>
        <v>-6.4000000000000001E-2</v>
      </c>
      <c r="Z21" s="13">
        <f t="shared" si="7"/>
        <v>-9.6000000000000002E-2</v>
      </c>
      <c r="AA21" s="13">
        <f t="shared" si="14"/>
        <v>-3</v>
      </c>
    </row>
    <row r="22" spans="1:27" x14ac:dyDescent="0.25">
      <c r="A22" s="77">
        <v>45925.452870370369</v>
      </c>
      <c r="B22" s="78">
        <v>177300048</v>
      </c>
      <c r="C22" s="79" t="s">
        <v>103</v>
      </c>
      <c r="D22" s="79" t="s">
        <v>36</v>
      </c>
      <c r="E22" s="79" t="s">
        <v>104</v>
      </c>
      <c r="F22" s="80">
        <v>3753.38</v>
      </c>
      <c r="G22" s="80">
        <v>3750.38</v>
      </c>
      <c r="H22" s="80">
        <v>3756.88</v>
      </c>
      <c r="I22" s="79" t="s">
        <v>145</v>
      </c>
      <c r="J22" s="80">
        <v>3750.38</v>
      </c>
      <c r="K22" s="80">
        <v>0</v>
      </c>
      <c r="L22" s="80">
        <v>0</v>
      </c>
      <c r="M22" s="80">
        <v>-0.3</v>
      </c>
      <c r="N22" s="10" t="str">
        <f t="shared" si="9"/>
        <v>L</v>
      </c>
      <c r="O22" s="11">
        <f t="shared" si="10"/>
        <v>45925</v>
      </c>
      <c r="P22" s="12" t="str">
        <f t="shared" si="11"/>
        <v>10</v>
      </c>
      <c r="Q22" s="13" t="str">
        <f>VLOOKUP($B22,Deals_Demo!$H:$N,7,0)</f>
        <v>strategy_31.py</v>
      </c>
      <c r="R22" s="13" t="str">
        <f t="shared" si="12"/>
        <v>Thu</v>
      </c>
      <c r="S22" s="14">
        <f>VLOOKUP($B22,Deals_Demo!$H:$S,8,0)</f>
        <v>45925.452870370369</v>
      </c>
      <c r="T22" s="14">
        <f>VLOOKUP($B22,Deals_Demo!$H:$S,9,0)</f>
        <v>45925.661203703705</v>
      </c>
      <c r="U22" s="15" t="str">
        <f t="shared" si="13"/>
        <v>2025-09-25</v>
      </c>
      <c r="V22" s="13" t="str">
        <f>VLOOKUP($B22,Deals_Demo!$H:$S,11,0)</f>
        <v>15</v>
      </c>
      <c r="W22" s="13" t="str">
        <f>VLOOKUP($B22,Deals_Demo!$H:$S,12,0)</f>
        <v>Thu</v>
      </c>
      <c r="X22" s="13">
        <f t="shared" si="5"/>
        <v>-0.03</v>
      </c>
      <c r="Y22" s="13">
        <f t="shared" si="6"/>
        <v>-0.06</v>
      </c>
      <c r="Z22" s="13">
        <f t="shared" si="7"/>
        <v>-0.09</v>
      </c>
      <c r="AA22" s="13">
        <f t="shared" si="14"/>
        <v>-3</v>
      </c>
    </row>
    <row r="23" spans="1:27" x14ac:dyDescent="0.25">
      <c r="A23" s="81">
        <v>45925.454259259262</v>
      </c>
      <c r="B23" s="82">
        <v>177301510</v>
      </c>
      <c r="C23" s="83" t="s">
        <v>103</v>
      </c>
      <c r="D23" s="83" t="s">
        <v>36</v>
      </c>
      <c r="E23" s="83" t="s">
        <v>104</v>
      </c>
      <c r="F23" s="84">
        <v>3751.16</v>
      </c>
      <c r="G23" s="84">
        <v>3748.16</v>
      </c>
      <c r="H23" s="84">
        <v>3754.66</v>
      </c>
      <c r="I23" s="83" t="s">
        <v>146</v>
      </c>
      <c r="J23" s="84">
        <v>3754.75</v>
      </c>
      <c r="K23" s="84">
        <v>0</v>
      </c>
      <c r="L23" s="84">
        <v>0</v>
      </c>
      <c r="M23" s="84">
        <v>0.36</v>
      </c>
      <c r="N23" s="10" t="str">
        <f t="shared" si="9"/>
        <v>W</v>
      </c>
      <c r="O23" s="11">
        <f t="shared" si="10"/>
        <v>45925</v>
      </c>
      <c r="P23" s="12" t="str">
        <f t="shared" si="11"/>
        <v>10</v>
      </c>
      <c r="Q23" s="13" t="str">
        <f>VLOOKUP($B23,Deals_Demo!$H:$N,7,0)</f>
        <v>strategy_31.py</v>
      </c>
      <c r="R23" s="13" t="str">
        <f t="shared" si="12"/>
        <v>Thu</v>
      </c>
      <c r="S23" s="14">
        <f>VLOOKUP($B23,Deals_Demo!$H:$S,8,0)</f>
        <v>45925.454259259262</v>
      </c>
      <c r="T23" s="14">
        <f>VLOOKUP($B23,Deals_Demo!$H:$S,9,0)</f>
        <v>45925.662592592598</v>
      </c>
      <c r="U23" s="15" t="str">
        <f t="shared" si="13"/>
        <v>2025-09-25</v>
      </c>
      <c r="V23" s="13" t="str">
        <f>VLOOKUP($B23,Deals_Demo!$H:$S,11,0)</f>
        <v>15</v>
      </c>
      <c r="W23" s="13" t="str">
        <f>VLOOKUP($B23,Deals_Demo!$H:$S,12,0)</f>
        <v>Thu</v>
      </c>
      <c r="X23" s="13">
        <f t="shared" si="5"/>
        <v>3.5999999999999997E-2</v>
      </c>
      <c r="Y23" s="13">
        <f t="shared" si="6"/>
        <v>7.1999999999999995E-2</v>
      </c>
      <c r="Z23" s="13">
        <f t="shared" si="7"/>
        <v>0.108</v>
      </c>
      <c r="AA23" s="13">
        <f t="shared" si="14"/>
        <v>-3</v>
      </c>
    </row>
    <row r="24" spans="1:27" x14ac:dyDescent="0.25">
      <c r="A24" s="77">
        <v>45925.461319444446</v>
      </c>
      <c r="B24" s="78">
        <v>177306772</v>
      </c>
      <c r="C24" s="79" t="s">
        <v>103</v>
      </c>
      <c r="D24" s="79" t="s">
        <v>36</v>
      </c>
      <c r="E24" s="79" t="s">
        <v>104</v>
      </c>
      <c r="F24" s="80">
        <v>3753.04</v>
      </c>
      <c r="G24" s="80">
        <v>3755.47</v>
      </c>
      <c r="H24" s="80">
        <v>3756.54</v>
      </c>
      <c r="I24" s="79" t="s">
        <v>147</v>
      </c>
      <c r="J24" s="80">
        <v>3756.55</v>
      </c>
      <c r="K24" s="80">
        <v>0</v>
      </c>
      <c r="L24" s="80">
        <v>0</v>
      </c>
      <c r="M24" s="80">
        <v>0.35</v>
      </c>
      <c r="N24" s="10" t="str">
        <f t="shared" si="9"/>
        <v>W</v>
      </c>
      <c r="O24" s="11">
        <f t="shared" si="10"/>
        <v>45925</v>
      </c>
      <c r="P24" s="12" t="str">
        <f t="shared" si="11"/>
        <v>11</v>
      </c>
      <c r="Q24" s="13" t="str">
        <f>VLOOKUP($B24,Deals_Demo!$H:$N,7,0)</f>
        <v>strategy_31.py</v>
      </c>
      <c r="R24" s="13" t="str">
        <f t="shared" si="12"/>
        <v>Thu</v>
      </c>
      <c r="S24" s="14">
        <f>VLOOKUP($B24,Deals_Demo!$H:$S,8,0)</f>
        <v>45925.461319444446</v>
      </c>
      <c r="T24" s="14">
        <f>VLOOKUP($B24,Deals_Demo!$H:$S,9,0)</f>
        <v>45925.669652777782</v>
      </c>
      <c r="U24" s="15" t="str">
        <f t="shared" si="13"/>
        <v>2025-09-25</v>
      </c>
      <c r="V24" s="13" t="str">
        <f>VLOOKUP($B24,Deals_Demo!$H:$S,11,0)</f>
        <v>16</v>
      </c>
      <c r="W24" s="13" t="str">
        <f>VLOOKUP($B24,Deals_Demo!$H:$S,12,0)</f>
        <v>Thu</v>
      </c>
      <c r="X24" s="13">
        <f t="shared" si="5"/>
        <v>3.4999999999999996E-2</v>
      </c>
      <c r="Y24" s="13">
        <f t="shared" si="6"/>
        <v>6.9999999999999993E-2</v>
      </c>
      <c r="Z24" s="13">
        <f t="shared" si="7"/>
        <v>0.105</v>
      </c>
      <c r="AA24" s="13">
        <f t="shared" si="14"/>
        <v>-3</v>
      </c>
    </row>
    <row r="25" spans="1:27" x14ac:dyDescent="0.25">
      <c r="A25" s="81">
        <v>45925.462592592594</v>
      </c>
      <c r="B25" s="82">
        <v>177307570</v>
      </c>
      <c r="C25" s="83" t="s">
        <v>103</v>
      </c>
      <c r="D25" s="83" t="s">
        <v>36</v>
      </c>
      <c r="E25" s="83" t="s">
        <v>104</v>
      </c>
      <c r="F25" s="84">
        <v>3755.33</v>
      </c>
      <c r="G25" s="84">
        <v>3760.36</v>
      </c>
      <c r="H25" s="83"/>
      <c r="I25" s="83" t="s">
        <v>148</v>
      </c>
      <c r="J25" s="84">
        <v>3760.36</v>
      </c>
      <c r="K25" s="84">
        <v>0</v>
      </c>
      <c r="L25" s="84">
        <v>0</v>
      </c>
      <c r="M25" s="84">
        <v>0.5</v>
      </c>
      <c r="N25" s="10" t="str">
        <f t="shared" si="9"/>
        <v>W</v>
      </c>
      <c r="O25" s="11">
        <f t="shared" si="10"/>
        <v>45925</v>
      </c>
      <c r="P25" s="12" t="str">
        <f t="shared" si="11"/>
        <v>11</v>
      </c>
      <c r="Q25" s="13" t="str">
        <f>VLOOKUP($B25,Deals_Demo!$H:$N,7,0)</f>
        <v>strategy_19_live</v>
      </c>
      <c r="R25" s="13" t="str">
        <f t="shared" si="12"/>
        <v>Thu</v>
      </c>
      <c r="S25" s="14">
        <f>VLOOKUP($B25,Deals_Demo!$H:$S,8,0)</f>
        <v>45925.462592592594</v>
      </c>
      <c r="T25" s="14">
        <f>VLOOKUP($B25,Deals_Demo!$H:$S,9,0)</f>
        <v>45925.67092592593</v>
      </c>
      <c r="U25" s="15" t="str">
        <f t="shared" si="13"/>
        <v>2025-09-25</v>
      </c>
      <c r="V25" s="13" t="str">
        <f>VLOOKUP($B25,Deals_Demo!$H:$S,11,0)</f>
        <v>16</v>
      </c>
      <c r="W25" s="13" t="str">
        <f>VLOOKUP($B25,Deals_Demo!$H:$S,12,0)</f>
        <v>Thu</v>
      </c>
      <c r="X25" s="13">
        <f t="shared" si="5"/>
        <v>0.05</v>
      </c>
      <c r="Y25" s="13">
        <f t="shared" si="6"/>
        <v>0.1</v>
      </c>
      <c r="Z25" s="13">
        <f t="shared" si="7"/>
        <v>0.15</v>
      </c>
      <c r="AA25" s="13">
        <f t="shared" si="14"/>
        <v>-3</v>
      </c>
    </row>
    <row r="26" spans="1:27" x14ac:dyDescent="0.25">
      <c r="A26" s="77">
        <v>45925.466527777775</v>
      </c>
      <c r="B26" s="78">
        <v>177309350</v>
      </c>
      <c r="C26" s="79" t="s">
        <v>103</v>
      </c>
      <c r="D26" s="79" t="s">
        <v>36</v>
      </c>
      <c r="E26" s="79" t="s">
        <v>104</v>
      </c>
      <c r="F26" s="80">
        <v>3755.25</v>
      </c>
      <c r="G26" s="80">
        <v>3756.93</v>
      </c>
      <c r="H26" s="80">
        <v>3758.69</v>
      </c>
      <c r="I26" s="79" t="s">
        <v>149</v>
      </c>
      <c r="J26" s="80">
        <v>3758.88</v>
      </c>
      <c r="K26" s="80">
        <v>0</v>
      </c>
      <c r="L26" s="80">
        <v>0</v>
      </c>
      <c r="M26" s="80">
        <v>0.36</v>
      </c>
      <c r="N26" s="10" t="str">
        <f t="shared" si="9"/>
        <v>W</v>
      </c>
      <c r="O26" s="11">
        <f t="shared" si="10"/>
        <v>45925</v>
      </c>
      <c r="P26" s="12" t="str">
        <f t="shared" si="11"/>
        <v>11</v>
      </c>
      <c r="Q26" s="13" t="str">
        <f>VLOOKUP($B26,Deals_Demo!$H:$N,7,0)</f>
        <v>strategy_31.py</v>
      </c>
      <c r="R26" s="13" t="str">
        <f t="shared" si="12"/>
        <v>Thu</v>
      </c>
      <c r="S26" s="14">
        <f>VLOOKUP($B26,Deals_Demo!$H:$S,8,0)</f>
        <v>45925.466527777775</v>
      </c>
      <c r="T26" s="14">
        <f>VLOOKUP($B26,Deals_Demo!$H:$S,9,0)</f>
        <v>45925.674861111111</v>
      </c>
      <c r="U26" s="15" t="str">
        <f t="shared" si="13"/>
        <v>2025-09-25</v>
      </c>
      <c r="V26" s="13" t="str">
        <f>VLOOKUP($B26,Deals_Demo!$H:$S,11,0)</f>
        <v>16</v>
      </c>
      <c r="W26" s="13" t="str">
        <f>VLOOKUP($B26,Deals_Demo!$H:$S,12,0)</f>
        <v>Thu</v>
      </c>
      <c r="X26" s="13">
        <f t="shared" si="5"/>
        <v>3.5999999999999997E-2</v>
      </c>
      <c r="Y26" s="13">
        <f t="shared" si="6"/>
        <v>7.1999999999999995E-2</v>
      </c>
      <c r="Z26" s="13">
        <f t="shared" si="7"/>
        <v>0.108</v>
      </c>
      <c r="AA26" s="13">
        <f t="shared" si="14"/>
        <v>-3</v>
      </c>
    </row>
    <row r="27" spans="1:27" x14ac:dyDescent="0.25">
      <c r="A27" s="81">
        <v>45925.471504629626</v>
      </c>
      <c r="B27" s="82">
        <v>177314400</v>
      </c>
      <c r="C27" s="83" t="s">
        <v>103</v>
      </c>
      <c r="D27" s="83" t="s">
        <v>36</v>
      </c>
      <c r="E27" s="83" t="s">
        <v>104</v>
      </c>
      <c r="F27" s="84">
        <v>3760.53</v>
      </c>
      <c r="G27" s="84">
        <v>3757.56</v>
      </c>
      <c r="H27" s="83"/>
      <c r="I27" s="83" t="s">
        <v>164</v>
      </c>
      <c r="J27" s="84">
        <v>3757.55</v>
      </c>
      <c r="K27" s="84">
        <v>0</v>
      </c>
      <c r="L27" s="84">
        <v>0</v>
      </c>
      <c r="M27" s="84">
        <v>-0.3</v>
      </c>
      <c r="N27" s="10" t="str">
        <f t="shared" si="9"/>
        <v>L</v>
      </c>
      <c r="O27" s="11">
        <f t="shared" si="10"/>
        <v>45925</v>
      </c>
      <c r="P27" s="12" t="str">
        <f t="shared" si="11"/>
        <v>11</v>
      </c>
      <c r="Q27" s="13" t="str">
        <f>VLOOKUP($B27,Deals_Demo!$H:$N,7,0)</f>
        <v>strategy_19_live</v>
      </c>
      <c r="R27" s="13" t="str">
        <f t="shared" si="12"/>
        <v>Thu</v>
      </c>
      <c r="S27" s="14">
        <f>VLOOKUP($B27,Deals_Demo!$H:$S,8,0)</f>
        <v>45925.471504629626</v>
      </c>
      <c r="T27" s="14">
        <f>VLOOKUP($B27,Deals_Demo!$H:$S,9,0)</f>
        <v>45925.679837962962</v>
      </c>
      <c r="U27" s="15" t="str">
        <f t="shared" si="13"/>
        <v>2025-09-25</v>
      </c>
      <c r="V27" s="13" t="str">
        <f>VLOOKUP($B27,Deals_Demo!$H:$S,11,0)</f>
        <v>16</v>
      </c>
      <c r="W27" s="13" t="str">
        <f>VLOOKUP($B27,Deals_Demo!$H:$S,12,0)</f>
        <v>Thu</v>
      </c>
      <c r="X27" s="13">
        <f t="shared" si="5"/>
        <v>-0.03</v>
      </c>
      <c r="Y27" s="13">
        <f t="shared" si="6"/>
        <v>-0.06</v>
      </c>
      <c r="Z27" s="13">
        <f t="shared" si="7"/>
        <v>-0.09</v>
      </c>
      <c r="AA27" s="13">
        <f t="shared" si="14"/>
        <v>-3</v>
      </c>
    </row>
    <row r="28" spans="1:27" x14ac:dyDescent="0.25">
      <c r="A28" s="77">
        <v>45925.472314814811</v>
      </c>
      <c r="B28" s="78">
        <v>177314905</v>
      </c>
      <c r="C28" s="79" t="s">
        <v>103</v>
      </c>
      <c r="D28" s="79" t="s">
        <v>36</v>
      </c>
      <c r="E28" s="79" t="s">
        <v>104</v>
      </c>
      <c r="F28" s="80">
        <v>3759.8</v>
      </c>
      <c r="G28" s="80">
        <v>3756.82</v>
      </c>
      <c r="H28" s="80">
        <v>3763.32</v>
      </c>
      <c r="I28" s="79" t="s">
        <v>165</v>
      </c>
      <c r="J28" s="80">
        <v>3756.74</v>
      </c>
      <c r="K28" s="80">
        <v>0</v>
      </c>
      <c r="L28" s="80">
        <v>0</v>
      </c>
      <c r="M28" s="80">
        <v>-0.31</v>
      </c>
      <c r="N28" s="10" t="str">
        <f t="shared" si="9"/>
        <v>L</v>
      </c>
      <c r="O28" s="11">
        <f t="shared" si="10"/>
        <v>45925</v>
      </c>
      <c r="P28" s="12" t="str">
        <f t="shared" si="11"/>
        <v>11</v>
      </c>
      <c r="Q28" s="13" t="str">
        <f>VLOOKUP($B28,Deals_Demo!$H:$N,7,0)</f>
        <v>strategy_31.py</v>
      </c>
      <c r="R28" s="13" t="str">
        <f t="shared" si="12"/>
        <v>Thu</v>
      </c>
      <c r="S28" s="14">
        <f>VLOOKUP($B28,Deals_Demo!$H:$S,8,0)</f>
        <v>45925.472314814811</v>
      </c>
      <c r="T28" s="14">
        <f>VLOOKUP($B28,Deals_Demo!$H:$S,9,0)</f>
        <v>45925.680648148147</v>
      </c>
      <c r="U28" s="15" t="str">
        <f t="shared" si="13"/>
        <v>2025-09-25</v>
      </c>
      <c r="V28" s="13" t="str">
        <f>VLOOKUP($B28,Deals_Demo!$H:$S,11,0)</f>
        <v>16</v>
      </c>
      <c r="W28" s="13" t="str">
        <f>VLOOKUP($B28,Deals_Demo!$H:$S,12,0)</f>
        <v>Thu</v>
      </c>
      <c r="X28" s="13">
        <f t="shared" si="5"/>
        <v>-3.1E-2</v>
      </c>
      <c r="Y28" s="13">
        <f t="shared" si="6"/>
        <v>-6.2E-2</v>
      </c>
      <c r="Z28" s="13">
        <f t="shared" si="7"/>
        <v>-9.2999999999999999E-2</v>
      </c>
      <c r="AA28" s="13">
        <f t="shared" si="14"/>
        <v>-3</v>
      </c>
    </row>
    <row r="29" spans="1:27" x14ac:dyDescent="0.25">
      <c r="A29" s="81">
        <v>45925.478912037041</v>
      </c>
      <c r="B29" s="82">
        <v>177318879</v>
      </c>
      <c r="C29" s="83" t="s">
        <v>103</v>
      </c>
      <c r="D29" s="83" t="s">
        <v>37</v>
      </c>
      <c r="E29" s="83" t="s">
        <v>104</v>
      </c>
      <c r="F29" s="84">
        <v>3757.07</v>
      </c>
      <c r="G29" s="84">
        <v>3753.44</v>
      </c>
      <c r="H29" s="83"/>
      <c r="I29" s="83" t="s">
        <v>166</v>
      </c>
      <c r="J29" s="84">
        <v>3753.49</v>
      </c>
      <c r="K29" s="84">
        <v>0</v>
      </c>
      <c r="L29" s="84">
        <v>0</v>
      </c>
      <c r="M29" s="84">
        <v>0.36</v>
      </c>
      <c r="N29" s="10" t="str">
        <f t="shared" si="9"/>
        <v>W</v>
      </c>
      <c r="O29" s="11">
        <f t="shared" si="10"/>
        <v>45925</v>
      </c>
      <c r="P29" s="12" t="str">
        <f t="shared" si="11"/>
        <v>11</v>
      </c>
      <c r="Q29" s="13" t="str">
        <f>VLOOKUP($B29,Deals_Demo!$H:$N,7,0)</f>
        <v>strategy_19_live</v>
      </c>
      <c r="R29" s="13" t="str">
        <f t="shared" si="12"/>
        <v>Thu</v>
      </c>
      <c r="S29" s="14">
        <f>VLOOKUP($B29,Deals_Demo!$H:$S,8,0)</f>
        <v>45925.478912037041</v>
      </c>
      <c r="T29" s="14">
        <f>VLOOKUP($B29,Deals_Demo!$H:$S,9,0)</f>
        <v>45925.687245370376</v>
      </c>
      <c r="U29" s="15" t="str">
        <f t="shared" si="13"/>
        <v>2025-09-25</v>
      </c>
      <c r="V29" s="13" t="str">
        <f>VLOOKUP($B29,Deals_Demo!$H:$S,11,0)</f>
        <v>16</v>
      </c>
      <c r="W29" s="13" t="str">
        <f>VLOOKUP($B29,Deals_Demo!$H:$S,12,0)</f>
        <v>Thu</v>
      </c>
      <c r="X29" s="13">
        <f t="shared" si="5"/>
        <v>3.5999999999999997E-2</v>
      </c>
      <c r="Y29" s="13">
        <f t="shared" si="6"/>
        <v>7.1999999999999995E-2</v>
      </c>
      <c r="Z29" s="13">
        <f t="shared" si="7"/>
        <v>0.108</v>
      </c>
      <c r="AA29" s="13">
        <f t="shared" si="14"/>
        <v>-3</v>
      </c>
    </row>
    <row r="30" spans="1:27" x14ac:dyDescent="0.25">
      <c r="A30" s="77">
        <v>45925.483657407407</v>
      </c>
      <c r="B30" s="78">
        <v>177322682</v>
      </c>
      <c r="C30" s="79" t="s">
        <v>103</v>
      </c>
      <c r="D30" s="79" t="s">
        <v>37</v>
      </c>
      <c r="E30" s="79" t="s">
        <v>104</v>
      </c>
      <c r="F30" s="80">
        <v>3753.71</v>
      </c>
      <c r="G30" s="80">
        <v>3756.71</v>
      </c>
      <c r="H30" s="79"/>
      <c r="I30" s="79" t="s">
        <v>167</v>
      </c>
      <c r="J30" s="80">
        <v>3756.71</v>
      </c>
      <c r="K30" s="80">
        <v>0</v>
      </c>
      <c r="L30" s="80">
        <v>0</v>
      </c>
      <c r="M30" s="80">
        <v>-0.3</v>
      </c>
      <c r="N30" s="10" t="str">
        <f t="shared" si="9"/>
        <v>L</v>
      </c>
      <c r="O30" s="11">
        <f t="shared" si="10"/>
        <v>45925</v>
      </c>
      <c r="P30" s="12" t="str">
        <f t="shared" si="11"/>
        <v>11</v>
      </c>
      <c r="Q30" s="13" t="str">
        <f>VLOOKUP($B30,Deals_Demo!$H:$N,7,0)</f>
        <v>strategy_19_live</v>
      </c>
      <c r="R30" s="13" t="str">
        <f t="shared" si="12"/>
        <v>Thu</v>
      </c>
      <c r="S30" s="14">
        <f>VLOOKUP($B30,Deals_Demo!$H:$S,8,0)</f>
        <v>45925.483657407407</v>
      </c>
      <c r="T30" s="14">
        <f>VLOOKUP($B30,Deals_Demo!$H:$S,9,0)</f>
        <v>45925.691990740743</v>
      </c>
      <c r="U30" s="15" t="str">
        <f t="shared" si="13"/>
        <v>2025-09-25</v>
      </c>
      <c r="V30" s="13" t="str">
        <f>VLOOKUP($B30,Deals_Demo!$H:$S,11,0)</f>
        <v>16</v>
      </c>
      <c r="W30" s="13" t="str">
        <f>VLOOKUP($B30,Deals_Demo!$H:$S,12,0)</f>
        <v>Thu</v>
      </c>
      <c r="X30" s="13">
        <f t="shared" si="5"/>
        <v>-0.03</v>
      </c>
      <c r="Y30" s="13">
        <f t="shared" si="6"/>
        <v>-0.06</v>
      </c>
      <c r="Z30" s="13">
        <f t="shared" si="7"/>
        <v>-0.09</v>
      </c>
      <c r="AA30" s="13">
        <f t="shared" si="14"/>
        <v>-3</v>
      </c>
    </row>
    <row r="31" spans="1:27" x14ac:dyDescent="0.25">
      <c r="A31" s="81">
        <v>45925.487592592595</v>
      </c>
      <c r="B31" s="82">
        <v>177324730</v>
      </c>
      <c r="C31" s="83" t="s">
        <v>103</v>
      </c>
      <c r="D31" s="83" t="s">
        <v>37</v>
      </c>
      <c r="E31" s="83" t="s">
        <v>104</v>
      </c>
      <c r="F31" s="84">
        <v>3752.98</v>
      </c>
      <c r="G31" s="84">
        <v>3755.99</v>
      </c>
      <c r="H31" s="84">
        <v>3749.49</v>
      </c>
      <c r="I31" s="83" t="s">
        <v>168</v>
      </c>
      <c r="J31" s="84">
        <v>3756.04</v>
      </c>
      <c r="K31" s="84">
        <v>0</v>
      </c>
      <c r="L31" s="84">
        <v>0</v>
      </c>
      <c r="M31" s="84">
        <v>-0.31</v>
      </c>
      <c r="N31" s="10" t="str">
        <f t="shared" si="9"/>
        <v>L</v>
      </c>
      <c r="O31" s="11">
        <f t="shared" si="10"/>
        <v>45925</v>
      </c>
      <c r="P31" s="12" t="str">
        <f t="shared" si="11"/>
        <v>11</v>
      </c>
      <c r="Q31" s="13" t="str">
        <f>VLOOKUP($B31,Deals_Demo!$H:$N,7,0)</f>
        <v>strategy_31.py</v>
      </c>
      <c r="R31" s="13" t="str">
        <f t="shared" si="12"/>
        <v>Thu</v>
      </c>
      <c r="S31" s="14">
        <f>VLOOKUP($B31,Deals_Demo!$H:$S,8,0)</f>
        <v>45925.487592592595</v>
      </c>
      <c r="T31" s="14">
        <f>VLOOKUP($B31,Deals_Demo!$H:$S,9,0)</f>
        <v>45925.695925925931</v>
      </c>
      <c r="U31" s="15" t="str">
        <f t="shared" si="13"/>
        <v>2025-09-25</v>
      </c>
      <c r="V31" s="13" t="str">
        <f>VLOOKUP($B31,Deals_Demo!$H:$S,11,0)</f>
        <v>16</v>
      </c>
      <c r="W31" s="13" t="str">
        <f>VLOOKUP($B31,Deals_Demo!$H:$S,12,0)</f>
        <v>Thu</v>
      </c>
      <c r="X31" s="13">
        <f t="shared" si="5"/>
        <v>-3.1E-2</v>
      </c>
      <c r="Y31" s="13">
        <f t="shared" si="6"/>
        <v>-6.2E-2</v>
      </c>
      <c r="Z31" s="13">
        <f t="shared" si="7"/>
        <v>-9.2999999999999999E-2</v>
      </c>
      <c r="AA31" s="13">
        <f t="shared" si="14"/>
        <v>-3</v>
      </c>
    </row>
    <row r="32" spans="1:27" x14ac:dyDescent="0.25">
      <c r="A32" s="77">
        <v>45925.496967592589</v>
      </c>
      <c r="B32" s="78">
        <v>177329023</v>
      </c>
      <c r="C32" s="79" t="s">
        <v>103</v>
      </c>
      <c r="D32" s="79" t="s">
        <v>36</v>
      </c>
      <c r="E32" s="79" t="s">
        <v>104</v>
      </c>
      <c r="F32" s="80">
        <v>3757.31</v>
      </c>
      <c r="G32" s="80">
        <v>3754.21</v>
      </c>
      <c r="H32" s="79"/>
      <c r="I32" s="79" t="s">
        <v>169</v>
      </c>
      <c r="J32" s="80">
        <v>3754.1</v>
      </c>
      <c r="K32" s="80">
        <v>0</v>
      </c>
      <c r="L32" s="80">
        <v>0</v>
      </c>
      <c r="M32" s="80">
        <v>-0.32</v>
      </c>
      <c r="N32" s="10" t="str">
        <f t="shared" si="9"/>
        <v>L</v>
      </c>
      <c r="O32" s="11">
        <f t="shared" si="10"/>
        <v>45925</v>
      </c>
      <c r="P32" s="12" t="str">
        <f t="shared" si="11"/>
        <v>11</v>
      </c>
      <c r="Q32" s="13" t="str">
        <f>VLOOKUP($B32,Deals_Demo!$H:$N,7,0)</f>
        <v>strategy_19_live</v>
      </c>
      <c r="R32" s="13" t="str">
        <f t="shared" si="12"/>
        <v>Thu</v>
      </c>
      <c r="S32" s="14">
        <f>VLOOKUP($B32,Deals_Demo!$H:$S,8,0)</f>
        <v>45925.496967592589</v>
      </c>
      <c r="T32" s="14">
        <f>VLOOKUP($B32,Deals_Demo!$H:$S,9,0)</f>
        <v>45925.705300925925</v>
      </c>
      <c r="U32" s="15" t="str">
        <f t="shared" si="13"/>
        <v>2025-09-25</v>
      </c>
      <c r="V32" s="13" t="str">
        <f>VLOOKUP($B32,Deals_Demo!$H:$S,11,0)</f>
        <v>16</v>
      </c>
      <c r="W32" s="13" t="str">
        <f>VLOOKUP($B32,Deals_Demo!$H:$S,12,0)</f>
        <v>Thu</v>
      </c>
      <c r="X32" s="13">
        <f t="shared" si="5"/>
        <v>-3.2000000000000001E-2</v>
      </c>
      <c r="Y32" s="13">
        <f t="shared" si="6"/>
        <v>-6.4000000000000001E-2</v>
      </c>
      <c r="Z32" s="13">
        <f t="shared" si="7"/>
        <v>-9.6000000000000002E-2</v>
      </c>
      <c r="AA32" s="13">
        <f t="shared" si="14"/>
        <v>-3</v>
      </c>
    </row>
    <row r="33" spans="1:27" x14ac:dyDescent="0.25">
      <c r="A33" s="81">
        <v>45925.497546296298</v>
      </c>
      <c r="B33" s="82">
        <v>177329314</v>
      </c>
      <c r="C33" s="83" t="s">
        <v>103</v>
      </c>
      <c r="D33" s="83" t="s">
        <v>36</v>
      </c>
      <c r="E33" s="83" t="s">
        <v>104</v>
      </c>
      <c r="F33" s="84">
        <v>3756.73</v>
      </c>
      <c r="G33" s="84">
        <v>3753.77</v>
      </c>
      <c r="H33" s="84">
        <v>3760.27</v>
      </c>
      <c r="I33" s="83" t="s">
        <v>170</v>
      </c>
      <c r="J33" s="84">
        <v>3753.72</v>
      </c>
      <c r="K33" s="84">
        <v>0</v>
      </c>
      <c r="L33" s="84">
        <v>0</v>
      </c>
      <c r="M33" s="84">
        <v>-0.3</v>
      </c>
      <c r="N33" s="10" t="str">
        <f t="shared" si="9"/>
        <v>L</v>
      </c>
      <c r="O33" s="11">
        <f t="shared" si="10"/>
        <v>45925</v>
      </c>
      <c r="P33" s="12" t="str">
        <f t="shared" si="11"/>
        <v>11</v>
      </c>
      <c r="Q33" s="13" t="str">
        <f>VLOOKUP($B33,Deals_Demo!$H:$N,7,0)</f>
        <v>strategy_31.py</v>
      </c>
      <c r="R33" s="13" t="str">
        <f t="shared" si="12"/>
        <v>Thu</v>
      </c>
      <c r="S33" s="14">
        <f>VLOOKUP($B33,Deals_Demo!$H:$S,8,0)</f>
        <v>45925.497546296298</v>
      </c>
      <c r="T33" s="14">
        <f>VLOOKUP($B33,Deals_Demo!$H:$S,9,0)</f>
        <v>45925.705879629633</v>
      </c>
      <c r="U33" s="15" t="str">
        <f t="shared" si="13"/>
        <v>2025-09-25</v>
      </c>
      <c r="V33" s="13" t="str">
        <f>VLOOKUP($B33,Deals_Demo!$H:$S,11,0)</f>
        <v>16</v>
      </c>
      <c r="W33" s="13" t="str">
        <f>VLOOKUP($B33,Deals_Demo!$H:$S,12,0)</f>
        <v>Thu</v>
      </c>
      <c r="X33" s="13">
        <f t="shared" si="5"/>
        <v>-0.03</v>
      </c>
      <c r="Y33" s="13">
        <f t="shared" si="6"/>
        <v>-0.06</v>
      </c>
      <c r="Z33" s="13">
        <f t="shared" si="7"/>
        <v>-0.09</v>
      </c>
      <c r="AA33" s="13">
        <f t="shared" si="14"/>
        <v>-3</v>
      </c>
    </row>
    <row r="34" spans="1:27" x14ac:dyDescent="0.25">
      <c r="A34" s="77">
        <v>45925.505648148152</v>
      </c>
      <c r="B34" s="78">
        <v>177332017</v>
      </c>
      <c r="C34" s="79" t="s">
        <v>103</v>
      </c>
      <c r="D34" s="79" t="s">
        <v>36</v>
      </c>
      <c r="E34" s="79" t="s">
        <v>104</v>
      </c>
      <c r="F34" s="80">
        <v>3756.7</v>
      </c>
      <c r="G34" s="80">
        <v>3753.68</v>
      </c>
      <c r="H34" s="79"/>
      <c r="I34" s="79" t="s">
        <v>171</v>
      </c>
      <c r="J34" s="80">
        <v>3753.68</v>
      </c>
      <c r="K34" s="80">
        <v>0</v>
      </c>
      <c r="L34" s="80">
        <v>0</v>
      </c>
      <c r="M34" s="80">
        <v>-0.3</v>
      </c>
      <c r="N34" s="10" t="str">
        <f t="shared" si="9"/>
        <v>L</v>
      </c>
      <c r="O34" s="11">
        <f t="shared" si="10"/>
        <v>45925</v>
      </c>
      <c r="P34" s="12" t="str">
        <f t="shared" si="11"/>
        <v>12</v>
      </c>
      <c r="Q34" s="13" t="str">
        <f>VLOOKUP($B34,Deals_Demo!$H:$N,7,0)</f>
        <v>strategy_19_live</v>
      </c>
      <c r="R34" s="13" t="str">
        <f t="shared" si="12"/>
        <v>Thu</v>
      </c>
      <c r="S34" s="14">
        <f>VLOOKUP($B34,Deals_Demo!$H:$S,8,0)</f>
        <v>45925.505648148152</v>
      </c>
      <c r="T34" s="14">
        <f>VLOOKUP($B34,Deals_Demo!$H:$S,9,0)</f>
        <v>45925.713981481487</v>
      </c>
      <c r="U34" s="15" t="str">
        <f t="shared" si="13"/>
        <v>2025-09-25</v>
      </c>
      <c r="V34" s="13" t="str">
        <f>VLOOKUP($B34,Deals_Demo!$H:$S,11,0)</f>
        <v>17</v>
      </c>
      <c r="W34" s="13" t="str">
        <f>VLOOKUP($B34,Deals_Demo!$H:$S,12,0)</f>
        <v>Thu</v>
      </c>
      <c r="X34" s="13">
        <f t="shared" si="5"/>
        <v>-0.03</v>
      </c>
      <c r="Y34" s="13">
        <f t="shared" si="6"/>
        <v>-0.06</v>
      </c>
      <c r="Z34" s="13">
        <f t="shared" si="7"/>
        <v>-0.09</v>
      </c>
      <c r="AA34" s="13">
        <f t="shared" si="14"/>
        <v>-3</v>
      </c>
    </row>
    <row r="35" spans="1:27" x14ac:dyDescent="0.25">
      <c r="A35" s="81">
        <v>45925.516064814816</v>
      </c>
      <c r="B35" s="82">
        <v>177334972</v>
      </c>
      <c r="C35" s="83" t="s">
        <v>103</v>
      </c>
      <c r="D35" s="83" t="s">
        <v>37</v>
      </c>
      <c r="E35" s="83" t="s">
        <v>104</v>
      </c>
      <c r="F35" s="84">
        <v>3753.68</v>
      </c>
      <c r="G35" s="84">
        <v>3756.68</v>
      </c>
      <c r="H35" s="83"/>
      <c r="I35" s="83" t="s">
        <v>172</v>
      </c>
      <c r="J35" s="84">
        <v>3756.71</v>
      </c>
      <c r="K35" s="84">
        <v>0</v>
      </c>
      <c r="L35" s="84">
        <v>0</v>
      </c>
      <c r="M35" s="84">
        <v>-0.3</v>
      </c>
      <c r="N35" s="10" t="str">
        <f t="shared" si="9"/>
        <v>L</v>
      </c>
      <c r="O35" s="11">
        <f t="shared" si="10"/>
        <v>45925</v>
      </c>
      <c r="P35" s="12" t="str">
        <f t="shared" si="11"/>
        <v>12</v>
      </c>
      <c r="Q35" s="13" t="str">
        <f>VLOOKUP($B35,Deals_Demo!$H:$N,7,0)</f>
        <v>strategy_19_live</v>
      </c>
      <c r="R35" s="13" t="str">
        <f t="shared" si="12"/>
        <v>Thu</v>
      </c>
      <c r="S35" s="14">
        <f>VLOOKUP($B35,Deals_Demo!$H:$S,8,0)</f>
        <v>45925.516064814816</v>
      </c>
      <c r="T35" s="14">
        <f>VLOOKUP($B35,Deals_Demo!$H:$S,9,0)</f>
        <v>45925.724398148152</v>
      </c>
      <c r="U35" s="15" t="str">
        <f t="shared" si="13"/>
        <v>2025-09-25</v>
      </c>
      <c r="V35" s="13" t="str">
        <f>VLOOKUP($B35,Deals_Demo!$H:$S,11,0)</f>
        <v>17</v>
      </c>
      <c r="W35" s="13" t="str">
        <f>VLOOKUP($B35,Deals_Demo!$H:$S,12,0)</f>
        <v>Thu</v>
      </c>
      <c r="X35" s="13">
        <f t="shared" si="5"/>
        <v>-0.03</v>
      </c>
      <c r="Y35" s="13">
        <f t="shared" si="6"/>
        <v>-0.06</v>
      </c>
      <c r="Z35" s="13">
        <f t="shared" si="7"/>
        <v>-0.09</v>
      </c>
      <c r="AA35" s="13">
        <f t="shared" si="14"/>
        <v>-3</v>
      </c>
    </row>
    <row r="36" spans="1:27" x14ac:dyDescent="0.25">
      <c r="A36" s="77">
        <v>45925.516759259262</v>
      </c>
      <c r="B36" s="78">
        <v>177335268</v>
      </c>
      <c r="C36" s="79" t="s">
        <v>103</v>
      </c>
      <c r="D36" s="79" t="s">
        <v>37</v>
      </c>
      <c r="E36" s="79" t="s">
        <v>104</v>
      </c>
      <c r="F36" s="80">
        <v>3754.58</v>
      </c>
      <c r="G36" s="80">
        <v>3752.04</v>
      </c>
      <c r="H36" s="80">
        <v>3750.8</v>
      </c>
      <c r="I36" s="79" t="s">
        <v>173</v>
      </c>
      <c r="J36" s="80">
        <v>3750.78</v>
      </c>
      <c r="K36" s="80">
        <v>0</v>
      </c>
      <c r="L36" s="80">
        <v>0</v>
      </c>
      <c r="M36" s="80">
        <v>0.38</v>
      </c>
      <c r="N36" s="10" t="str">
        <f t="shared" si="9"/>
        <v>W</v>
      </c>
      <c r="O36" s="11">
        <f t="shared" si="10"/>
        <v>45925</v>
      </c>
      <c r="P36" s="12" t="str">
        <f t="shared" si="11"/>
        <v>12</v>
      </c>
      <c r="Q36" s="13" t="str">
        <f>VLOOKUP($B36,Deals_Demo!$H:$N,7,0)</f>
        <v>strategy_31.py</v>
      </c>
      <c r="R36" s="13" t="str">
        <f t="shared" si="12"/>
        <v>Thu</v>
      </c>
      <c r="S36" s="14">
        <f>VLOOKUP($B36,Deals_Demo!$H:$S,8,0)</f>
        <v>45925.516759259262</v>
      </c>
      <c r="T36" s="14">
        <f>VLOOKUP($B36,Deals_Demo!$H:$S,9,0)</f>
        <v>45925.725092592598</v>
      </c>
      <c r="U36" s="15" t="str">
        <f t="shared" si="13"/>
        <v>2025-09-25</v>
      </c>
      <c r="V36" s="13" t="str">
        <f>VLOOKUP($B36,Deals_Demo!$H:$S,11,0)</f>
        <v>17</v>
      </c>
      <c r="W36" s="13" t="str">
        <f>VLOOKUP($B36,Deals_Demo!$H:$S,12,0)</f>
        <v>Thu</v>
      </c>
      <c r="X36" s="13">
        <f t="shared" si="5"/>
        <v>3.8000000000000006E-2</v>
      </c>
      <c r="Y36" s="13">
        <f t="shared" si="6"/>
        <v>7.6000000000000012E-2</v>
      </c>
      <c r="Z36" s="13">
        <f t="shared" si="7"/>
        <v>0.11399999999999999</v>
      </c>
      <c r="AA36" s="13">
        <f t="shared" si="14"/>
        <v>-3</v>
      </c>
    </row>
    <row r="37" spans="1:27" x14ac:dyDescent="0.25">
      <c r="A37" s="81">
        <v>45925.52138888889</v>
      </c>
      <c r="B37" s="82">
        <v>177338172</v>
      </c>
      <c r="C37" s="83" t="s">
        <v>103</v>
      </c>
      <c r="D37" s="83" t="s">
        <v>37</v>
      </c>
      <c r="E37" s="83" t="s">
        <v>104</v>
      </c>
      <c r="F37" s="84">
        <v>3752.29</v>
      </c>
      <c r="G37" s="84">
        <v>3755.29</v>
      </c>
      <c r="H37" s="84">
        <v>3748.79</v>
      </c>
      <c r="I37" s="83" t="s">
        <v>174</v>
      </c>
      <c r="J37" s="84">
        <v>3755.46</v>
      </c>
      <c r="K37" s="84">
        <v>0</v>
      </c>
      <c r="L37" s="84">
        <v>0</v>
      </c>
      <c r="M37" s="84">
        <v>-0.32</v>
      </c>
      <c r="N37" s="10" t="str">
        <f t="shared" si="9"/>
        <v>L</v>
      </c>
      <c r="O37" s="11">
        <f t="shared" si="10"/>
        <v>45925</v>
      </c>
      <c r="P37" s="12" t="str">
        <f t="shared" si="11"/>
        <v>12</v>
      </c>
      <c r="Q37" s="13" t="str">
        <f>VLOOKUP($B37,Deals_Demo!$H:$N,7,0)</f>
        <v>strategy_31.py</v>
      </c>
      <c r="R37" s="13" t="str">
        <f t="shared" si="12"/>
        <v>Thu</v>
      </c>
      <c r="S37" s="14">
        <f>VLOOKUP($B37,Deals_Demo!$H:$S,8,0)</f>
        <v>45925.52138888889</v>
      </c>
      <c r="T37" s="14">
        <f>VLOOKUP($B37,Deals_Demo!$H:$S,9,0)</f>
        <v>45925.729722222226</v>
      </c>
      <c r="U37" s="15" t="str">
        <f t="shared" si="13"/>
        <v>2025-09-25</v>
      </c>
      <c r="V37" s="13" t="str">
        <f>VLOOKUP($B37,Deals_Demo!$H:$S,11,0)</f>
        <v>17</v>
      </c>
      <c r="W37" s="13" t="str">
        <f>VLOOKUP($B37,Deals_Demo!$H:$S,12,0)</f>
        <v>Thu</v>
      </c>
      <c r="X37" s="13">
        <f t="shared" si="5"/>
        <v>-3.2000000000000001E-2</v>
      </c>
      <c r="Y37" s="13">
        <f t="shared" si="6"/>
        <v>-6.4000000000000001E-2</v>
      </c>
      <c r="Z37" s="13">
        <f t="shared" si="7"/>
        <v>-9.6000000000000002E-2</v>
      </c>
      <c r="AA37" s="13">
        <f t="shared" si="14"/>
        <v>-3</v>
      </c>
    </row>
    <row r="38" spans="1:27" x14ac:dyDescent="0.25">
      <c r="A38" s="77">
        <v>45925.533425925925</v>
      </c>
      <c r="B38" s="78">
        <v>177344228</v>
      </c>
      <c r="C38" s="79" t="s">
        <v>103</v>
      </c>
      <c r="D38" s="79" t="s">
        <v>36</v>
      </c>
      <c r="E38" s="79" t="s">
        <v>104</v>
      </c>
      <c r="F38" s="80">
        <v>3758.43</v>
      </c>
      <c r="G38" s="80">
        <v>3755.55</v>
      </c>
      <c r="H38" s="79"/>
      <c r="I38" s="79" t="s">
        <v>175</v>
      </c>
      <c r="J38" s="80">
        <v>3755.53</v>
      </c>
      <c r="K38" s="80">
        <v>0</v>
      </c>
      <c r="L38" s="80">
        <v>0</v>
      </c>
      <c r="M38" s="80">
        <v>-0.28999999999999998</v>
      </c>
      <c r="N38" s="10" t="str">
        <f t="shared" si="9"/>
        <v>L</v>
      </c>
      <c r="O38" s="11">
        <f t="shared" si="10"/>
        <v>45925</v>
      </c>
      <c r="P38" s="12" t="str">
        <f t="shared" si="11"/>
        <v>12</v>
      </c>
      <c r="Q38" s="13" t="str">
        <f>VLOOKUP($B38,Deals_Demo!$H:$N,7,0)</f>
        <v>strategy_19_live</v>
      </c>
      <c r="R38" s="13" t="str">
        <f t="shared" si="12"/>
        <v>Thu</v>
      </c>
      <c r="S38" s="14">
        <f>VLOOKUP($B38,Deals_Demo!$H:$S,8,0)</f>
        <v>45925.533425925925</v>
      </c>
      <c r="T38" s="14">
        <f>VLOOKUP($B38,Deals_Demo!$H:$S,9,0)</f>
        <v>45925.741759259261</v>
      </c>
      <c r="U38" s="15" t="str">
        <f t="shared" si="13"/>
        <v>2025-09-25</v>
      </c>
      <c r="V38" s="13" t="str">
        <f>VLOOKUP($B38,Deals_Demo!$H:$S,11,0)</f>
        <v>17</v>
      </c>
      <c r="W38" s="13" t="str">
        <f>VLOOKUP($B38,Deals_Demo!$H:$S,12,0)</f>
        <v>Thu</v>
      </c>
      <c r="X38" s="13">
        <f t="shared" si="5"/>
        <v>-2.8999999999999998E-2</v>
      </c>
      <c r="Y38" s="13">
        <f t="shared" si="6"/>
        <v>-5.7999999999999996E-2</v>
      </c>
      <c r="Z38" s="13">
        <f t="shared" si="7"/>
        <v>-8.6999999999999994E-2</v>
      </c>
      <c r="AA38" s="13">
        <f t="shared" si="14"/>
        <v>-3</v>
      </c>
    </row>
    <row r="39" spans="1:27" x14ac:dyDescent="0.25">
      <c r="A39" s="81">
        <v>45925.536550925928</v>
      </c>
      <c r="B39" s="82">
        <v>177346406</v>
      </c>
      <c r="C39" s="83" t="s">
        <v>103</v>
      </c>
      <c r="D39" s="83" t="s">
        <v>36</v>
      </c>
      <c r="E39" s="83" t="s">
        <v>104</v>
      </c>
      <c r="F39" s="84">
        <v>3759.44</v>
      </c>
      <c r="G39" s="84">
        <v>3756.39</v>
      </c>
      <c r="H39" s="84">
        <v>3762.89</v>
      </c>
      <c r="I39" s="83" t="s">
        <v>176</v>
      </c>
      <c r="J39" s="84">
        <v>3756.37</v>
      </c>
      <c r="K39" s="84">
        <v>0</v>
      </c>
      <c r="L39" s="84">
        <v>0</v>
      </c>
      <c r="M39" s="84">
        <v>-0.31</v>
      </c>
      <c r="N39" s="10" t="str">
        <f t="shared" si="9"/>
        <v>L</v>
      </c>
      <c r="O39" s="11">
        <f t="shared" si="10"/>
        <v>45925</v>
      </c>
      <c r="P39" s="12" t="str">
        <f t="shared" si="11"/>
        <v>12</v>
      </c>
      <c r="Q39" s="13" t="str">
        <f>VLOOKUP($B39,Deals_Demo!$H:$N,7,0)</f>
        <v>strategy_31.py</v>
      </c>
      <c r="R39" s="13" t="str">
        <f t="shared" si="12"/>
        <v>Thu</v>
      </c>
      <c r="S39" s="14">
        <f>VLOOKUP($B39,Deals_Demo!$H:$S,8,0)</f>
        <v>45925.536550925928</v>
      </c>
      <c r="T39" s="14">
        <f>VLOOKUP($B39,Deals_Demo!$H:$S,9,0)</f>
        <v>45925.744884259264</v>
      </c>
      <c r="U39" s="15" t="str">
        <f t="shared" si="13"/>
        <v>2025-09-25</v>
      </c>
      <c r="V39" s="13" t="str">
        <f>VLOOKUP($B39,Deals_Demo!$H:$S,11,0)</f>
        <v>17</v>
      </c>
      <c r="W39" s="13" t="str">
        <f>VLOOKUP($B39,Deals_Demo!$H:$S,12,0)</f>
        <v>Thu</v>
      </c>
      <c r="X39" s="13">
        <f t="shared" si="5"/>
        <v>-3.1E-2</v>
      </c>
      <c r="Y39" s="13">
        <f t="shared" si="6"/>
        <v>-6.2E-2</v>
      </c>
      <c r="Z39" s="13">
        <f t="shared" si="7"/>
        <v>-9.2999999999999999E-2</v>
      </c>
      <c r="AA39" s="13">
        <f t="shared" si="14"/>
        <v>-3</v>
      </c>
    </row>
    <row r="40" spans="1:27" x14ac:dyDescent="0.25">
      <c r="A40" s="77">
        <v>45925.541296296295</v>
      </c>
      <c r="B40" s="78">
        <v>177349228</v>
      </c>
      <c r="C40" s="79" t="s">
        <v>103</v>
      </c>
      <c r="D40" s="79" t="s">
        <v>37</v>
      </c>
      <c r="E40" s="79" t="s">
        <v>104</v>
      </c>
      <c r="F40" s="80">
        <v>3756.13</v>
      </c>
      <c r="G40" s="80">
        <v>3759.13</v>
      </c>
      <c r="H40" s="79"/>
      <c r="I40" s="79" t="s">
        <v>177</v>
      </c>
      <c r="J40" s="80">
        <v>3759.32</v>
      </c>
      <c r="K40" s="80">
        <v>0</v>
      </c>
      <c r="L40" s="80">
        <v>0</v>
      </c>
      <c r="M40" s="80">
        <v>-0.32</v>
      </c>
      <c r="N40" s="10" t="str">
        <f t="shared" si="9"/>
        <v>L</v>
      </c>
      <c r="O40" s="11">
        <f t="shared" si="10"/>
        <v>45925</v>
      </c>
      <c r="P40" s="12" t="str">
        <f t="shared" si="11"/>
        <v>12</v>
      </c>
      <c r="Q40" s="13" t="str">
        <f>VLOOKUP($B40,Deals_Demo!$H:$N,7,0)</f>
        <v>strategy_19_live</v>
      </c>
      <c r="R40" s="13" t="str">
        <f t="shared" si="12"/>
        <v>Thu</v>
      </c>
      <c r="S40" s="14">
        <f>VLOOKUP($B40,Deals_Demo!$H:$S,8,0)</f>
        <v>45925.541296296295</v>
      </c>
      <c r="T40" s="14">
        <f>VLOOKUP($B40,Deals_Demo!$H:$S,9,0)</f>
        <v>45925.74962962963</v>
      </c>
      <c r="U40" s="15" t="str">
        <f t="shared" si="13"/>
        <v>2025-09-25</v>
      </c>
      <c r="V40" s="13" t="str">
        <f>VLOOKUP($B40,Deals_Demo!$H:$S,11,0)</f>
        <v>17</v>
      </c>
      <c r="W40" s="13" t="str">
        <f>VLOOKUP($B40,Deals_Demo!$H:$S,12,0)</f>
        <v>Thu</v>
      </c>
      <c r="X40" s="13">
        <f t="shared" si="5"/>
        <v>-3.2000000000000001E-2</v>
      </c>
      <c r="Y40" s="13">
        <f t="shared" si="6"/>
        <v>-6.4000000000000001E-2</v>
      </c>
      <c r="Z40" s="13">
        <f t="shared" si="7"/>
        <v>-9.6000000000000002E-2</v>
      </c>
      <c r="AA40" s="13">
        <f t="shared" si="14"/>
        <v>-3</v>
      </c>
    </row>
    <row r="41" spans="1:27" x14ac:dyDescent="0.25">
      <c r="A41" s="81">
        <v>45925.54314814815</v>
      </c>
      <c r="B41" s="82">
        <v>177349875</v>
      </c>
      <c r="C41" s="83" t="s">
        <v>103</v>
      </c>
      <c r="D41" s="83" t="s">
        <v>36</v>
      </c>
      <c r="E41" s="83" t="s">
        <v>104</v>
      </c>
      <c r="F41" s="84">
        <v>3757.71</v>
      </c>
      <c r="G41" s="84">
        <v>3754.71</v>
      </c>
      <c r="H41" s="84">
        <v>3761.21</v>
      </c>
      <c r="I41" s="83" t="s">
        <v>178</v>
      </c>
      <c r="J41" s="84">
        <v>3754.6</v>
      </c>
      <c r="K41" s="84">
        <v>0</v>
      </c>
      <c r="L41" s="84">
        <v>0</v>
      </c>
      <c r="M41" s="84">
        <v>-0.31</v>
      </c>
      <c r="N41" s="10" t="str">
        <f t="shared" si="9"/>
        <v>L</v>
      </c>
      <c r="O41" s="11">
        <f t="shared" si="10"/>
        <v>45925</v>
      </c>
      <c r="P41" s="12" t="str">
        <f t="shared" si="11"/>
        <v>13</v>
      </c>
      <c r="Q41" s="13" t="str">
        <f>VLOOKUP($B41,Deals_Demo!$H:$N,7,0)</f>
        <v>strategy_31.py</v>
      </c>
      <c r="R41" s="13" t="str">
        <f t="shared" si="12"/>
        <v>Thu</v>
      </c>
      <c r="S41" s="14">
        <f>VLOOKUP($B41,Deals_Demo!$H:$S,8,0)</f>
        <v>45925.54314814815</v>
      </c>
      <c r="T41" s="14">
        <f>VLOOKUP($B41,Deals_Demo!$H:$S,9,0)</f>
        <v>45925.751481481486</v>
      </c>
      <c r="U41" s="15" t="str">
        <f t="shared" si="13"/>
        <v>2025-09-25</v>
      </c>
      <c r="V41" s="13" t="str">
        <f>VLOOKUP($B41,Deals_Demo!$H:$S,11,0)</f>
        <v>18</v>
      </c>
      <c r="W41" s="13" t="str">
        <f>VLOOKUP($B41,Deals_Demo!$H:$S,12,0)</f>
        <v>Thu</v>
      </c>
      <c r="X41" s="13">
        <f t="shared" si="5"/>
        <v>-3.1E-2</v>
      </c>
      <c r="Y41" s="13">
        <f t="shared" si="6"/>
        <v>-6.2E-2</v>
      </c>
      <c r="Z41" s="13">
        <f t="shared" si="7"/>
        <v>-9.2999999999999999E-2</v>
      </c>
      <c r="AA41" s="13">
        <f t="shared" si="14"/>
        <v>-3</v>
      </c>
    </row>
    <row r="42" spans="1:27" x14ac:dyDescent="0.25">
      <c r="A42" s="77">
        <v>45925.594756944447</v>
      </c>
      <c r="B42" s="78">
        <v>177376615</v>
      </c>
      <c r="C42" s="79" t="s">
        <v>103</v>
      </c>
      <c r="D42" s="79" t="s">
        <v>37</v>
      </c>
      <c r="E42" s="79" t="s">
        <v>104</v>
      </c>
      <c r="F42" s="80">
        <v>3744.64</v>
      </c>
      <c r="G42" s="80">
        <v>3747.6</v>
      </c>
      <c r="H42" s="80">
        <v>3741.1</v>
      </c>
      <c r="I42" s="79" t="s">
        <v>179</v>
      </c>
      <c r="J42" s="80">
        <v>3747.61</v>
      </c>
      <c r="K42" s="80">
        <v>0</v>
      </c>
      <c r="L42" s="80">
        <v>0</v>
      </c>
      <c r="M42" s="80">
        <v>-0.3</v>
      </c>
      <c r="N42" s="10" t="str">
        <f t="shared" si="9"/>
        <v>L</v>
      </c>
      <c r="O42" s="11">
        <f t="shared" si="10"/>
        <v>45925</v>
      </c>
      <c r="P42" s="12" t="str">
        <f t="shared" si="11"/>
        <v>14</v>
      </c>
      <c r="Q42" s="13" t="str">
        <f>VLOOKUP($B42,Deals_Demo!$H:$N,7,0)</f>
        <v>strategy_31.py</v>
      </c>
      <c r="R42" s="13" t="str">
        <f t="shared" si="12"/>
        <v>Thu</v>
      </c>
      <c r="S42" s="14">
        <f>VLOOKUP($B42,Deals_Demo!$H:$S,8,0)</f>
        <v>45925.594756944447</v>
      </c>
      <c r="T42" s="14">
        <f>VLOOKUP($B42,Deals_Demo!$H:$S,9,0)</f>
        <v>45925.803090277783</v>
      </c>
      <c r="U42" s="15" t="str">
        <f t="shared" si="13"/>
        <v>2025-09-25</v>
      </c>
      <c r="V42" s="13" t="str">
        <f>VLOOKUP($B42,Deals_Demo!$H:$S,11,0)</f>
        <v>19</v>
      </c>
      <c r="W42" s="13" t="str">
        <f>VLOOKUP($B42,Deals_Demo!$H:$S,12,0)</f>
        <v>Thu</v>
      </c>
      <c r="X42" s="13">
        <f t="shared" si="5"/>
        <v>-0.03</v>
      </c>
      <c r="Y42" s="13">
        <f t="shared" si="6"/>
        <v>-0.06</v>
      </c>
      <c r="Z42" s="13">
        <f t="shared" si="7"/>
        <v>-0.09</v>
      </c>
      <c r="AA42" s="13">
        <f t="shared" si="14"/>
        <v>-3</v>
      </c>
    </row>
    <row r="43" spans="1:27" x14ac:dyDescent="0.25">
      <c r="A43" s="81">
        <v>45925.598807870374</v>
      </c>
      <c r="B43" s="82">
        <v>177379628</v>
      </c>
      <c r="C43" s="83" t="s">
        <v>103</v>
      </c>
      <c r="D43" s="83" t="s">
        <v>37</v>
      </c>
      <c r="E43" s="83" t="s">
        <v>104</v>
      </c>
      <c r="F43" s="84">
        <v>3746.94</v>
      </c>
      <c r="G43" s="84">
        <v>3750.06</v>
      </c>
      <c r="H43" s="84">
        <v>3743.56</v>
      </c>
      <c r="I43" s="83" t="s">
        <v>180</v>
      </c>
      <c r="J43" s="84">
        <v>3750.07</v>
      </c>
      <c r="K43" s="84">
        <v>0</v>
      </c>
      <c r="L43" s="84">
        <v>0</v>
      </c>
      <c r="M43" s="84">
        <v>-0.31</v>
      </c>
      <c r="N43" s="10" t="str">
        <f t="shared" si="9"/>
        <v>L</v>
      </c>
      <c r="O43" s="11">
        <f t="shared" si="10"/>
        <v>45925</v>
      </c>
      <c r="P43" s="12" t="str">
        <f t="shared" si="11"/>
        <v>14</v>
      </c>
      <c r="Q43" s="13" t="str">
        <f>VLOOKUP($B43,Deals_Demo!$H:$N,7,0)</f>
        <v>strategy_31.py</v>
      </c>
      <c r="R43" s="13" t="str">
        <f t="shared" si="12"/>
        <v>Thu</v>
      </c>
      <c r="S43" s="14">
        <f>VLOOKUP($B43,Deals_Demo!$H:$S,8,0)</f>
        <v>45925.598807870374</v>
      </c>
      <c r="T43" s="14">
        <f>VLOOKUP($B43,Deals_Demo!$H:$S,9,0)</f>
        <v>45925.80714120371</v>
      </c>
      <c r="U43" s="15" t="str">
        <f t="shared" si="13"/>
        <v>2025-09-25</v>
      </c>
      <c r="V43" s="13" t="str">
        <f>VLOOKUP($B43,Deals_Demo!$H:$S,11,0)</f>
        <v>19</v>
      </c>
      <c r="W43" s="13" t="str">
        <f>VLOOKUP($B43,Deals_Demo!$H:$S,12,0)</f>
        <v>Thu</v>
      </c>
      <c r="X43" s="13">
        <f t="shared" si="5"/>
        <v>-3.1E-2</v>
      </c>
      <c r="Y43" s="13">
        <f t="shared" si="6"/>
        <v>-6.2E-2</v>
      </c>
      <c r="Z43" s="13">
        <f t="shared" si="7"/>
        <v>-9.2999999999999999E-2</v>
      </c>
      <c r="AA43" s="13">
        <f t="shared" si="14"/>
        <v>-3</v>
      </c>
    </row>
    <row r="44" spans="1:27" x14ac:dyDescent="0.25">
      <c r="A44" s="77">
        <v>45925.617442129631</v>
      </c>
      <c r="B44" s="78">
        <v>177390984</v>
      </c>
      <c r="C44" s="79" t="s">
        <v>103</v>
      </c>
      <c r="D44" s="79" t="s">
        <v>36</v>
      </c>
      <c r="E44" s="79" t="s">
        <v>104</v>
      </c>
      <c r="F44" s="80">
        <v>3752.22</v>
      </c>
      <c r="G44" s="80">
        <v>3749.16</v>
      </c>
      <c r="H44" s="80">
        <v>3755.66</v>
      </c>
      <c r="I44" s="79" t="s">
        <v>201</v>
      </c>
      <c r="J44" s="80">
        <v>3755.81</v>
      </c>
      <c r="K44" s="80">
        <v>0</v>
      </c>
      <c r="L44" s="80">
        <v>0</v>
      </c>
      <c r="M44" s="80">
        <v>0.36</v>
      </c>
      <c r="N44" s="10" t="str">
        <f t="shared" si="9"/>
        <v>W</v>
      </c>
      <c r="O44" s="11">
        <f t="shared" si="10"/>
        <v>45925</v>
      </c>
      <c r="P44" s="12" t="str">
        <f t="shared" si="11"/>
        <v>14</v>
      </c>
      <c r="Q44" s="13" t="str">
        <f>VLOOKUP($B44,Deals_Demo!$H:$N,7,0)</f>
        <v>strategy_31.py</v>
      </c>
      <c r="R44" s="13" t="str">
        <f t="shared" si="12"/>
        <v>Thu</v>
      </c>
      <c r="S44" s="14">
        <f>VLOOKUP($B44,Deals_Demo!$H:$S,8,0)</f>
        <v>45925.617442129631</v>
      </c>
      <c r="T44" s="14">
        <f>VLOOKUP($B44,Deals_Demo!$H:$S,9,0)</f>
        <v>45925.825775462967</v>
      </c>
      <c r="U44" s="15" t="str">
        <f t="shared" si="13"/>
        <v>2025-09-25</v>
      </c>
      <c r="V44" s="13" t="str">
        <f>VLOOKUP($B44,Deals_Demo!$H:$S,11,0)</f>
        <v>19</v>
      </c>
      <c r="W44" s="13" t="str">
        <f>VLOOKUP($B44,Deals_Demo!$H:$S,12,0)</f>
        <v>Thu</v>
      </c>
      <c r="X44" s="13">
        <f t="shared" si="5"/>
        <v>3.5999999999999997E-2</v>
      </c>
      <c r="Y44" s="13">
        <f t="shared" si="6"/>
        <v>7.1999999999999995E-2</v>
      </c>
      <c r="Z44" s="13">
        <f t="shared" si="7"/>
        <v>0.108</v>
      </c>
      <c r="AA44" s="13">
        <f t="shared" si="14"/>
        <v>-3</v>
      </c>
    </row>
    <row r="45" spans="1:27" x14ac:dyDescent="0.25">
      <c r="A45" s="81">
        <v>45925.641747685186</v>
      </c>
      <c r="B45" s="82">
        <v>177402156</v>
      </c>
      <c r="C45" s="83" t="s">
        <v>103</v>
      </c>
      <c r="D45" s="83" t="s">
        <v>36</v>
      </c>
      <c r="E45" s="83" t="s">
        <v>104</v>
      </c>
      <c r="F45" s="84">
        <v>3754.44</v>
      </c>
      <c r="G45" s="84">
        <v>3751.4</v>
      </c>
      <c r="H45" s="84">
        <v>3757.9</v>
      </c>
      <c r="I45" s="83" t="s">
        <v>202</v>
      </c>
      <c r="J45" s="84">
        <v>3748.68</v>
      </c>
      <c r="K45" s="84">
        <v>0</v>
      </c>
      <c r="L45" s="84">
        <v>0</v>
      </c>
      <c r="M45" s="84">
        <v>-0.57999999999999996</v>
      </c>
      <c r="N45" s="10" t="str">
        <f t="shared" si="9"/>
        <v>L</v>
      </c>
      <c r="O45" s="11">
        <f t="shared" si="10"/>
        <v>45925</v>
      </c>
      <c r="P45" s="12" t="str">
        <f t="shared" si="11"/>
        <v>15</v>
      </c>
      <c r="Q45" s="13" t="str">
        <f>VLOOKUP($B45,Deals_Demo!$H:$N,7,0)</f>
        <v>strategy_31.py</v>
      </c>
      <c r="R45" s="13" t="str">
        <f t="shared" si="12"/>
        <v>Thu</v>
      </c>
      <c r="S45" s="14">
        <f>VLOOKUP($B45,Deals_Demo!$H:$S,8,0)</f>
        <v>45925.641747685186</v>
      </c>
      <c r="T45" s="14">
        <f>VLOOKUP($B45,Deals_Demo!$H:$S,9,0)</f>
        <v>45925.850081018521</v>
      </c>
      <c r="U45" s="15" t="str">
        <f t="shared" si="13"/>
        <v>2025-09-25</v>
      </c>
      <c r="V45" s="13" t="str">
        <f>VLOOKUP($B45,Deals_Demo!$H:$S,11,0)</f>
        <v>20</v>
      </c>
      <c r="W45" s="13" t="str">
        <f>VLOOKUP($B45,Deals_Demo!$H:$S,12,0)</f>
        <v>Thu</v>
      </c>
      <c r="X45" s="13">
        <f t="shared" si="5"/>
        <v>-5.7999999999999996E-2</v>
      </c>
      <c r="Y45" s="13">
        <f t="shared" si="6"/>
        <v>-0.11599999999999999</v>
      </c>
      <c r="Z45" s="13">
        <f t="shared" si="7"/>
        <v>-0.17399999999999999</v>
      </c>
      <c r="AA45" s="13">
        <f t="shared" si="14"/>
        <v>-3</v>
      </c>
    </row>
    <row r="46" spans="1:27" x14ac:dyDescent="0.25">
      <c r="A46" s="77">
        <v>45925.654247685183</v>
      </c>
      <c r="B46" s="78">
        <v>177425533</v>
      </c>
      <c r="C46" s="79" t="s">
        <v>103</v>
      </c>
      <c r="D46" s="79" t="s">
        <v>37</v>
      </c>
      <c r="E46" s="79" t="s">
        <v>104</v>
      </c>
      <c r="F46" s="80">
        <v>3742.18</v>
      </c>
      <c r="G46" s="80">
        <v>3745.26</v>
      </c>
      <c r="H46" s="80">
        <v>3738.76</v>
      </c>
      <c r="I46" s="79" t="s">
        <v>203</v>
      </c>
      <c r="J46" s="80">
        <v>3738.68</v>
      </c>
      <c r="K46" s="80">
        <v>0</v>
      </c>
      <c r="L46" s="80">
        <v>0</v>
      </c>
      <c r="M46" s="80">
        <v>0.35</v>
      </c>
      <c r="N46" s="10" t="str">
        <f t="shared" si="9"/>
        <v>W</v>
      </c>
      <c r="O46" s="11">
        <f t="shared" si="10"/>
        <v>45925</v>
      </c>
      <c r="P46" s="12" t="str">
        <f t="shared" si="11"/>
        <v>15</v>
      </c>
      <c r="Q46" s="13" t="str">
        <f>VLOOKUP($B46,Deals_Demo!$H:$N,7,0)</f>
        <v>strategy_31.py</v>
      </c>
      <c r="R46" s="13" t="str">
        <f t="shared" si="12"/>
        <v>Thu</v>
      </c>
      <c r="S46" s="14">
        <f>VLOOKUP($B46,Deals_Demo!$H:$S,8,0)</f>
        <v>45925.654247685183</v>
      </c>
      <c r="T46" s="14">
        <f>VLOOKUP($B46,Deals_Demo!$H:$S,9,0)</f>
        <v>45925.862581018519</v>
      </c>
      <c r="U46" s="15" t="str">
        <f t="shared" si="13"/>
        <v>2025-09-25</v>
      </c>
      <c r="V46" s="13" t="str">
        <f>VLOOKUP($B46,Deals_Demo!$H:$S,11,0)</f>
        <v>20</v>
      </c>
      <c r="W46" s="13" t="str">
        <f>VLOOKUP($B46,Deals_Demo!$H:$S,12,0)</f>
        <v>Thu</v>
      </c>
      <c r="X46" s="13">
        <f t="shared" si="5"/>
        <v>3.4999999999999996E-2</v>
      </c>
      <c r="Y46" s="13">
        <f t="shared" si="6"/>
        <v>6.9999999999999993E-2</v>
      </c>
      <c r="Z46" s="13">
        <f t="shared" si="7"/>
        <v>0.105</v>
      </c>
      <c r="AA46" s="13">
        <f t="shared" si="14"/>
        <v>-3</v>
      </c>
    </row>
    <row r="47" spans="1:27" x14ac:dyDescent="0.25">
      <c r="A47" s="81">
        <v>45925.655752314815</v>
      </c>
      <c r="B47" s="82">
        <v>177427766</v>
      </c>
      <c r="C47" s="83" t="s">
        <v>103</v>
      </c>
      <c r="D47" s="83" t="s">
        <v>37</v>
      </c>
      <c r="E47" s="83" t="s">
        <v>104</v>
      </c>
      <c r="F47" s="84">
        <v>3742.49</v>
      </c>
      <c r="G47" s="84">
        <v>3740.49</v>
      </c>
      <c r="H47" s="84">
        <v>3738.98</v>
      </c>
      <c r="I47" s="83" t="s">
        <v>204</v>
      </c>
      <c r="J47" s="84">
        <v>3738.77</v>
      </c>
      <c r="K47" s="84">
        <v>0</v>
      </c>
      <c r="L47" s="84">
        <v>0</v>
      </c>
      <c r="M47" s="84">
        <v>0.37</v>
      </c>
      <c r="N47" s="10" t="str">
        <f t="shared" si="9"/>
        <v>W</v>
      </c>
      <c r="O47" s="11">
        <f t="shared" si="10"/>
        <v>45925</v>
      </c>
      <c r="P47" s="12" t="str">
        <f t="shared" si="11"/>
        <v>15</v>
      </c>
      <c r="Q47" s="13" t="str">
        <f>VLOOKUP($B47,Deals_Demo!$H:$N,7,0)</f>
        <v>strategy_31.py</v>
      </c>
      <c r="R47" s="13" t="str">
        <f t="shared" si="12"/>
        <v>Thu</v>
      </c>
      <c r="S47" s="14">
        <f>VLOOKUP($B47,Deals_Demo!$H:$S,8,0)</f>
        <v>45925.655752314815</v>
      </c>
      <c r="T47" s="14">
        <f>VLOOKUP($B47,Deals_Demo!$H:$S,9,0)</f>
        <v>45925.864085648151</v>
      </c>
      <c r="U47" s="15" t="str">
        <f t="shared" si="13"/>
        <v>2025-09-25</v>
      </c>
      <c r="V47" s="13" t="str">
        <f>VLOOKUP($B47,Deals_Demo!$H:$S,11,0)</f>
        <v>20</v>
      </c>
      <c r="W47" s="13" t="str">
        <f>VLOOKUP($B47,Deals_Demo!$H:$S,12,0)</f>
        <v>Thu</v>
      </c>
      <c r="X47" s="13">
        <f t="shared" si="5"/>
        <v>3.6999999999999998E-2</v>
      </c>
      <c r="Y47" s="13">
        <f t="shared" si="6"/>
        <v>7.3999999999999996E-2</v>
      </c>
      <c r="Z47" s="13">
        <f t="shared" si="7"/>
        <v>0.111</v>
      </c>
      <c r="AA47" s="13">
        <f t="shared" si="14"/>
        <v>-3</v>
      </c>
    </row>
    <row r="48" spans="1:27" x14ac:dyDescent="0.25">
      <c r="A48" s="77">
        <v>45925.663622685184</v>
      </c>
      <c r="B48" s="78">
        <v>177439865</v>
      </c>
      <c r="C48" s="79" t="s">
        <v>103</v>
      </c>
      <c r="D48" s="79" t="s">
        <v>37</v>
      </c>
      <c r="E48" s="79" t="s">
        <v>104</v>
      </c>
      <c r="F48" s="80">
        <v>3735.59</v>
      </c>
      <c r="G48" s="80">
        <v>3738.66</v>
      </c>
      <c r="H48" s="80">
        <v>3732.16</v>
      </c>
      <c r="I48" s="79" t="s">
        <v>205</v>
      </c>
      <c r="J48" s="80">
        <v>3738.67</v>
      </c>
      <c r="K48" s="80">
        <v>0</v>
      </c>
      <c r="L48" s="80">
        <v>0</v>
      </c>
      <c r="M48" s="80">
        <v>-0.31</v>
      </c>
      <c r="N48" s="10" t="str">
        <f t="shared" si="9"/>
        <v>L</v>
      </c>
      <c r="O48" s="11">
        <f t="shared" si="10"/>
        <v>45925</v>
      </c>
      <c r="P48" s="12" t="str">
        <f t="shared" si="11"/>
        <v>15</v>
      </c>
      <c r="Q48" s="13" t="str">
        <f>VLOOKUP($B48,Deals_Demo!$H:$N,7,0)</f>
        <v>strategy_31.py</v>
      </c>
      <c r="R48" s="13" t="str">
        <f t="shared" si="12"/>
        <v>Thu</v>
      </c>
      <c r="S48" s="14">
        <f>VLOOKUP($B48,Deals_Demo!$H:$S,8,0)</f>
        <v>45925.663622685184</v>
      </c>
      <c r="T48" s="14">
        <f>VLOOKUP($B48,Deals_Demo!$H:$S,9,0)</f>
        <v>45925.87195601852</v>
      </c>
      <c r="U48" s="15" t="str">
        <f t="shared" si="13"/>
        <v>2025-09-25</v>
      </c>
      <c r="V48" s="13" t="str">
        <f>VLOOKUP($B48,Deals_Demo!$H:$S,11,0)</f>
        <v>20</v>
      </c>
      <c r="W48" s="13" t="str">
        <f>VLOOKUP($B48,Deals_Demo!$H:$S,12,0)</f>
        <v>Thu</v>
      </c>
      <c r="X48" s="13">
        <f t="shared" si="5"/>
        <v>-3.1E-2</v>
      </c>
      <c r="Y48" s="13">
        <f t="shared" si="6"/>
        <v>-6.2E-2</v>
      </c>
      <c r="Z48" s="13">
        <f t="shared" si="7"/>
        <v>-9.2999999999999999E-2</v>
      </c>
      <c r="AA48" s="13">
        <f t="shared" si="14"/>
        <v>-3</v>
      </c>
    </row>
    <row r="49" spans="1:27" x14ac:dyDescent="0.25">
      <c r="A49" s="81">
        <v>45925.665243055555</v>
      </c>
      <c r="B49" s="82">
        <v>177442675</v>
      </c>
      <c r="C49" s="83" t="s">
        <v>103</v>
      </c>
      <c r="D49" s="83" t="s">
        <v>37</v>
      </c>
      <c r="E49" s="83" t="s">
        <v>104</v>
      </c>
      <c r="F49" s="84">
        <v>3738.12</v>
      </c>
      <c r="G49" s="84">
        <v>3741.11</v>
      </c>
      <c r="H49" s="84">
        <v>3734.61</v>
      </c>
      <c r="I49" s="83" t="s">
        <v>206</v>
      </c>
      <c r="J49" s="84">
        <v>3734.46</v>
      </c>
      <c r="K49" s="84">
        <v>0</v>
      </c>
      <c r="L49" s="84">
        <v>0</v>
      </c>
      <c r="M49" s="84">
        <v>0.37</v>
      </c>
      <c r="N49" s="10" t="str">
        <f t="shared" si="9"/>
        <v>W</v>
      </c>
      <c r="O49" s="11">
        <f t="shared" si="10"/>
        <v>45925</v>
      </c>
      <c r="P49" s="12" t="str">
        <f t="shared" si="11"/>
        <v>15</v>
      </c>
      <c r="Q49" s="13" t="str">
        <f>VLOOKUP($B49,Deals_Demo!$H:$N,7,0)</f>
        <v>strategy_31.py</v>
      </c>
      <c r="R49" s="13" t="str">
        <f t="shared" si="12"/>
        <v>Thu</v>
      </c>
      <c r="S49" s="14">
        <f>VLOOKUP($B49,Deals_Demo!$H:$S,8,0)</f>
        <v>45925.665243055555</v>
      </c>
      <c r="T49" s="14">
        <f>VLOOKUP($B49,Deals_Demo!$H:$S,9,0)</f>
        <v>45925.873576388891</v>
      </c>
      <c r="U49" s="15" t="str">
        <f t="shared" si="13"/>
        <v>2025-09-25</v>
      </c>
      <c r="V49" s="13" t="str">
        <f>VLOOKUP($B49,Deals_Demo!$H:$S,11,0)</f>
        <v>20</v>
      </c>
      <c r="W49" s="13" t="str">
        <f>VLOOKUP($B49,Deals_Demo!$H:$S,12,0)</f>
        <v>Thu</v>
      </c>
      <c r="X49" s="13">
        <f t="shared" si="5"/>
        <v>3.6999999999999998E-2</v>
      </c>
      <c r="Y49" s="13">
        <f t="shared" si="6"/>
        <v>7.3999999999999996E-2</v>
      </c>
      <c r="Z49" s="13">
        <f t="shared" si="7"/>
        <v>0.111</v>
      </c>
      <c r="AA49" s="13">
        <f t="shared" si="14"/>
        <v>-3</v>
      </c>
    </row>
    <row r="50" spans="1:27" x14ac:dyDescent="0.25">
      <c r="A50" s="77">
        <v>45925.684803240743</v>
      </c>
      <c r="B50" s="78">
        <v>177460407</v>
      </c>
      <c r="C50" s="79" t="s">
        <v>103</v>
      </c>
      <c r="D50" s="79" t="s">
        <v>36</v>
      </c>
      <c r="E50" s="79" t="s">
        <v>104</v>
      </c>
      <c r="F50" s="80">
        <v>3742.44</v>
      </c>
      <c r="G50" s="80">
        <v>3739.45</v>
      </c>
      <c r="H50" s="80">
        <v>3745.95</v>
      </c>
      <c r="I50" s="79" t="s">
        <v>207</v>
      </c>
      <c r="J50" s="80">
        <v>3739.45</v>
      </c>
      <c r="K50" s="80">
        <v>0</v>
      </c>
      <c r="L50" s="80">
        <v>0</v>
      </c>
      <c r="M50" s="80">
        <v>-0.3</v>
      </c>
      <c r="N50" s="10" t="str">
        <f t="shared" si="9"/>
        <v>L</v>
      </c>
      <c r="O50" s="11">
        <f t="shared" si="10"/>
        <v>45925</v>
      </c>
      <c r="P50" s="12" t="str">
        <f t="shared" si="11"/>
        <v>16</v>
      </c>
      <c r="Q50" s="13" t="str">
        <f>VLOOKUP($B50,Deals_Demo!$H:$N,7,0)</f>
        <v>strategy_31.py</v>
      </c>
      <c r="R50" s="13" t="str">
        <f t="shared" si="12"/>
        <v>Thu</v>
      </c>
      <c r="S50" s="14">
        <f>VLOOKUP($B50,Deals_Demo!$H:$S,8,0)</f>
        <v>45925.684803240743</v>
      </c>
      <c r="T50" s="14">
        <f>VLOOKUP($B50,Deals_Demo!$H:$S,9,0)</f>
        <v>45925.893136574079</v>
      </c>
      <c r="U50" s="15" t="str">
        <f t="shared" si="13"/>
        <v>2025-09-25</v>
      </c>
      <c r="V50" s="13" t="str">
        <f>VLOOKUP($B50,Deals_Demo!$H:$S,11,0)</f>
        <v>21</v>
      </c>
      <c r="W50" s="13" t="str">
        <f>VLOOKUP($B50,Deals_Demo!$H:$S,12,0)</f>
        <v>Thu</v>
      </c>
      <c r="X50" s="13">
        <f t="shared" si="5"/>
        <v>-0.03</v>
      </c>
      <c r="Y50" s="13">
        <f t="shared" si="6"/>
        <v>-0.06</v>
      </c>
      <c r="Z50" s="13">
        <f t="shared" si="7"/>
        <v>-0.09</v>
      </c>
      <c r="AA50" s="13">
        <f t="shared" si="14"/>
        <v>-3</v>
      </c>
    </row>
    <row r="51" spans="1:27" x14ac:dyDescent="0.25">
      <c r="A51" s="81">
        <v>45925.702511574076</v>
      </c>
      <c r="B51" s="82">
        <v>177483615</v>
      </c>
      <c r="C51" s="83" t="s">
        <v>103</v>
      </c>
      <c r="D51" s="83" t="s">
        <v>37</v>
      </c>
      <c r="E51" s="83" t="s">
        <v>104</v>
      </c>
      <c r="F51" s="84">
        <v>3727.45</v>
      </c>
      <c r="G51" s="84">
        <v>3730.5</v>
      </c>
      <c r="H51" s="84">
        <v>3724</v>
      </c>
      <c r="I51" s="83" t="s">
        <v>208</v>
      </c>
      <c r="J51" s="84">
        <v>3730.51</v>
      </c>
      <c r="K51" s="84">
        <v>0</v>
      </c>
      <c r="L51" s="84">
        <v>0</v>
      </c>
      <c r="M51" s="84">
        <v>-0.31</v>
      </c>
      <c r="N51" s="10" t="str">
        <f t="shared" si="9"/>
        <v>L</v>
      </c>
      <c r="O51" s="11">
        <f t="shared" si="10"/>
        <v>45925</v>
      </c>
      <c r="P51" s="12" t="str">
        <f t="shared" si="11"/>
        <v>16</v>
      </c>
      <c r="Q51" s="13" t="str">
        <f>VLOOKUP($B51,Deals_Demo!$H:$N,7,0)</f>
        <v>strategy_31.py</v>
      </c>
      <c r="R51" s="13" t="str">
        <f t="shared" si="12"/>
        <v>Thu</v>
      </c>
      <c r="S51" s="14">
        <f>VLOOKUP($B51,Deals_Demo!$H:$S,8,0)</f>
        <v>45925.702511574076</v>
      </c>
      <c r="T51" s="14">
        <f>VLOOKUP($B51,Deals_Demo!$H:$S,9,0)</f>
        <v>45925.910844907412</v>
      </c>
      <c r="U51" s="15" t="str">
        <f t="shared" si="13"/>
        <v>2025-09-25</v>
      </c>
      <c r="V51" s="13" t="str">
        <f>VLOOKUP($B51,Deals_Demo!$H:$S,11,0)</f>
        <v>21</v>
      </c>
      <c r="W51" s="13" t="str">
        <f>VLOOKUP($B51,Deals_Demo!$H:$S,12,0)</f>
        <v>Thu</v>
      </c>
      <c r="X51" s="13">
        <f t="shared" si="5"/>
        <v>-3.1E-2</v>
      </c>
      <c r="Y51" s="13">
        <f t="shared" si="6"/>
        <v>-6.2E-2</v>
      </c>
      <c r="Z51" s="13">
        <f t="shared" si="7"/>
        <v>-9.2999999999999999E-2</v>
      </c>
      <c r="AA51" s="13">
        <f t="shared" si="14"/>
        <v>-3</v>
      </c>
    </row>
    <row r="52" spans="1:27" x14ac:dyDescent="0.25">
      <c r="A52" s="77">
        <v>45925.726701388892</v>
      </c>
      <c r="B52" s="78">
        <v>177506074</v>
      </c>
      <c r="C52" s="79" t="s">
        <v>103</v>
      </c>
      <c r="D52" s="79" t="s">
        <v>36</v>
      </c>
      <c r="E52" s="79" t="s">
        <v>104</v>
      </c>
      <c r="F52" s="80">
        <v>3734.01</v>
      </c>
      <c r="G52" s="80">
        <v>3730.9</v>
      </c>
      <c r="H52" s="80">
        <v>3737.4</v>
      </c>
      <c r="I52" s="79" t="s">
        <v>209</v>
      </c>
      <c r="J52" s="80">
        <v>3730.73</v>
      </c>
      <c r="K52" s="80">
        <v>0</v>
      </c>
      <c r="L52" s="80">
        <v>0</v>
      </c>
      <c r="M52" s="80">
        <v>-0.33</v>
      </c>
      <c r="N52" s="10" t="str">
        <f t="shared" si="9"/>
        <v>L</v>
      </c>
      <c r="O52" s="11">
        <f t="shared" si="10"/>
        <v>45925</v>
      </c>
      <c r="P52" s="12" t="str">
        <f t="shared" si="11"/>
        <v>17</v>
      </c>
      <c r="Q52" s="13" t="str">
        <f>VLOOKUP($B52,Deals_Demo!$H:$N,7,0)</f>
        <v>strategy_31.py</v>
      </c>
      <c r="R52" s="13" t="str">
        <f t="shared" si="12"/>
        <v>Thu</v>
      </c>
      <c r="S52" s="14">
        <f>VLOOKUP($B52,Deals_Demo!$H:$S,8,0)</f>
        <v>45925.726701388892</v>
      </c>
      <c r="T52" s="14">
        <f>VLOOKUP($B52,Deals_Demo!$H:$S,9,0)</f>
        <v>45925.935034722228</v>
      </c>
      <c r="U52" s="15" t="str">
        <f t="shared" si="13"/>
        <v>2025-09-25</v>
      </c>
      <c r="V52" s="13" t="str">
        <f>VLOOKUP($B52,Deals_Demo!$H:$S,11,0)</f>
        <v>22</v>
      </c>
      <c r="W52" s="13" t="str">
        <f>VLOOKUP($B52,Deals_Demo!$H:$S,12,0)</f>
        <v>Thu</v>
      </c>
      <c r="X52" s="13">
        <f t="shared" si="5"/>
        <v>-3.3000000000000002E-2</v>
      </c>
      <c r="Y52" s="13">
        <f t="shared" si="6"/>
        <v>-6.6000000000000003E-2</v>
      </c>
      <c r="Z52" s="13">
        <f t="shared" si="7"/>
        <v>-9.9000000000000005E-2</v>
      </c>
      <c r="AA52" s="13">
        <f t="shared" si="14"/>
        <v>-3</v>
      </c>
    </row>
    <row r="53" spans="1:27" x14ac:dyDescent="0.25">
      <c r="A53" s="81">
        <v>45925.739548611113</v>
      </c>
      <c r="B53" s="82">
        <v>177515117</v>
      </c>
      <c r="C53" s="83" t="s">
        <v>103</v>
      </c>
      <c r="D53" s="83" t="s">
        <v>37</v>
      </c>
      <c r="E53" s="83" t="s">
        <v>104</v>
      </c>
      <c r="F53" s="84">
        <v>3727.52</v>
      </c>
      <c r="G53" s="84">
        <v>3730.69</v>
      </c>
      <c r="H53" s="84">
        <v>3724.19</v>
      </c>
      <c r="I53" s="83" t="s">
        <v>210</v>
      </c>
      <c r="J53" s="84">
        <v>3724.12</v>
      </c>
      <c r="K53" s="84">
        <v>0</v>
      </c>
      <c r="L53" s="84">
        <v>0</v>
      </c>
      <c r="M53" s="84">
        <v>0.34</v>
      </c>
      <c r="N53" s="10" t="str">
        <f t="shared" si="9"/>
        <v>W</v>
      </c>
      <c r="O53" s="11">
        <f t="shared" si="10"/>
        <v>45925</v>
      </c>
      <c r="P53" s="12" t="str">
        <f t="shared" si="11"/>
        <v>17</v>
      </c>
      <c r="Q53" s="13" t="str">
        <f>VLOOKUP($B53,Deals_Demo!$H:$N,7,0)</f>
        <v>strategy_31.py</v>
      </c>
      <c r="R53" s="13" t="str">
        <f t="shared" si="12"/>
        <v>Thu</v>
      </c>
      <c r="S53" s="14">
        <f>VLOOKUP($B53,Deals_Demo!$H:$S,8,0)</f>
        <v>45925.739548611113</v>
      </c>
      <c r="T53" s="14">
        <f>VLOOKUP($B53,Deals_Demo!$H:$S,9,0)</f>
        <v>45925.947881944448</v>
      </c>
      <c r="U53" s="15" t="str">
        <f t="shared" si="13"/>
        <v>2025-09-25</v>
      </c>
      <c r="V53" s="13" t="str">
        <f>VLOOKUP($B53,Deals_Demo!$H:$S,11,0)</f>
        <v>22</v>
      </c>
      <c r="W53" s="13" t="str">
        <f>VLOOKUP($B53,Deals_Demo!$H:$S,12,0)</f>
        <v>Thu</v>
      </c>
      <c r="X53" s="13">
        <f t="shared" si="5"/>
        <v>3.4000000000000002E-2</v>
      </c>
      <c r="Y53" s="13">
        <f t="shared" si="6"/>
        <v>6.8000000000000005E-2</v>
      </c>
      <c r="Z53" s="13">
        <f t="shared" si="7"/>
        <v>0.10200000000000001</v>
      </c>
      <c r="AA53" s="13">
        <f t="shared" si="14"/>
        <v>-3</v>
      </c>
    </row>
    <row r="54" spans="1:27" x14ac:dyDescent="0.25">
      <c r="A54" s="77">
        <v>45925.747071759259</v>
      </c>
      <c r="B54" s="78">
        <v>177519593</v>
      </c>
      <c r="C54" s="79" t="s">
        <v>103</v>
      </c>
      <c r="D54" s="79" t="s">
        <v>37</v>
      </c>
      <c r="E54" s="79" t="s">
        <v>104</v>
      </c>
      <c r="F54" s="80">
        <v>3726.64</v>
      </c>
      <c r="G54" s="80">
        <v>3729.69</v>
      </c>
      <c r="H54" s="80">
        <v>3723.19</v>
      </c>
      <c r="I54" s="79" t="s">
        <v>211</v>
      </c>
      <c r="J54" s="80">
        <v>3730.21</v>
      </c>
      <c r="K54" s="80">
        <v>0</v>
      </c>
      <c r="L54" s="80">
        <v>0</v>
      </c>
      <c r="M54" s="80">
        <v>-0.36</v>
      </c>
      <c r="N54" s="10" t="str">
        <f t="shared" si="9"/>
        <v>L</v>
      </c>
      <c r="O54" s="11">
        <f t="shared" si="10"/>
        <v>45925</v>
      </c>
      <c r="P54" s="12" t="str">
        <f t="shared" si="11"/>
        <v>17</v>
      </c>
      <c r="Q54" s="13" t="str">
        <f>VLOOKUP($B54,Deals_Demo!$H:$N,7,0)</f>
        <v>strategy_31.py</v>
      </c>
      <c r="R54" s="13" t="str">
        <f t="shared" si="12"/>
        <v>Thu</v>
      </c>
      <c r="S54" s="14">
        <f>VLOOKUP($B54,Deals_Demo!$H:$S,8,0)</f>
        <v>45925.747071759259</v>
      </c>
      <c r="T54" s="14">
        <f>VLOOKUP($B54,Deals_Demo!$H:$S,9,0)</f>
        <v>45925.955405092594</v>
      </c>
      <c r="U54" s="15" t="str">
        <f t="shared" si="13"/>
        <v>2025-09-25</v>
      </c>
      <c r="V54" s="13" t="str">
        <f>VLOOKUP($B54,Deals_Demo!$H:$S,11,0)</f>
        <v>22</v>
      </c>
      <c r="W54" s="13" t="str">
        <f>VLOOKUP($B54,Deals_Demo!$H:$S,12,0)</f>
        <v>Thu</v>
      </c>
      <c r="X54" s="13">
        <f t="shared" si="5"/>
        <v>-3.5999999999999997E-2</v>
      </c>
      <c r="Y54" s="13">
        <f t="shared" si="6"/>
        <v>-7.1999999999999995E-2</v>
      </c>
      <c r="Z54" s="13">
        <f t="shared" si="7"/>
        <v>-0.108</v>
      </c>
      <c r="AA54" s="13">
        <f t="shared" si="14"/>
        <v>-3</v>
      </c>
    </row>
    <row r="55" spans="1:27" x14ac:dyDescent="0.25">
      <c r="A55" s="81">
        <v>45925.765127314815</v>
      </c>
      <c r="B55" s="82">
        <v>177533273</v>
      </c>
      <c r="C55" s="83" t="s">
        <v>103</v>
      </c>
      <c r="D55" s="83" t="s">
        <v>36</v>
      </c>
      <c r="E55" s="83" t="s">
        <v>104</v>
      </c>
      <c r="F55" s="84">
        <v>3736.29</v>
      </c>
      <c r="G55" s="84">
        <v>3733.29</v>
      </c>
      <c r="H55" s="84">
        <v>3739.79</v>
      </c>
      <c r="I55" s="83" t="s">
        <v>226</v>
      </c>
      <c r="J55" s="84">
        <v>3733.29</v>
      </c>
      <c r="K55" s="84">
        <v>0</v>
      </c>
      <c r="L55" s="84">
        <v>0</v>
      </c>
      <c r="M55" s="84">
        <v>-0.3</v>
      </c>
      <c r="N55" s="10" t="str">
        <f t="shared" si="9"/>
        <v>L</v>
      </c>
      <c r="O55" s="11">
        <f t="shared" si="10"/>
        <v>45925</v>
      </c>
      <c r="P55" s="12" t="str">
        <f t="shared" si="11"/>
        <v>18</v>
      </c>
      <c r="Q55" s="13" t="str">
        <f>VLOOKUP($B55,Deals_Demo!$H:$N,7,0)</f>
        <v>strategy_31.py</v>
      </c>
      <c r="R55" s="13" t="str">
        <f t="shared" si="12"/>
        <v>Thu</v>
      </c>
      <c r="S55" s="14">
        <f>VLOOKUP($B55,Deals_Demo!$H:$S,8,0)</f>
        <v>45925.765127314815</v>
      </c>
      <c r="T55" s="14">
        <f>VLOOKUP($B55,Deals_Demo!$H:$S,9,0)</f>
        <v>45925.973460648151</v>
      </c>
      <c r="U55" s="15" t="str">
        <f t="shared" si="13"/>
        <v>2025-09-25</v>
      </c>
      <c r="V55" s="13" t="str">
        <f>VLOOKUP($B55,Deals_Demo!$H:$S,11,0)</f>
        <v>23</v>
      </c>
      <c r="W55" s="13" t="str">
        <f>VLOOKUP($B55,Deals_Demo!$H:$S,12,0)</f>
        <v>Thu</v>
      </c>
      <c r="X55" s="13">
        <f t="shared" si="5"/>
        <v>-0.03</v>
      </c>
      <c r="Y55" s="13">
        <f t="shared" si="6"/>
        <v>-0.06</v>
      </c>
      <c r="Z55" s="13">
        <f t="shared" si="7"/>
        <v>-0.09</v>
      </c>
      <c r="AA55" s="13">
        <f t="shared" si="14"/>
        <v>-3</v>
      </c>
    </row>
    <row r="56" spans="1:27" x14ac:dyDescent="0.25">
      <c r="A56" s="77">
        <v>45925.779537037037</v>
      </c>
      <c r="B56" s="78">
        <v>177541507</v>
      </c>
      <c r="C56" s="79" t="s">
        <v>103</v>
      </c>
      <c r="D56" s="79" t="s">
        <v>36</v>
      </c>
      <c r="E56" s="79" t="s">
        <v>104</v>
      </c>
      <c r="F56" s="80">
        <v>3734.9</v>
      </c>
      <c r="G56" s="80">
        <v>3739.57</v>
      </c>
      <c r="H56" s="80">
        <v>3749.9</v>
      </c>
      <c r="I56" s="79" t="s">
        <v>227</v>
      </c>
      <c r="J56" s="80">
        <v>3741.7</v>
      </c>
      <c r="K56" s="80">
        <v>0</v>
      </c>
      <c r="L56" s="80">
        <v>0</v>
      </c>
      <c r="M56" s="80">
        <v>0.68</v>
      </c>
      <c r="N56" s="10" t="str">
        <f t="shared" si="9"/>
        <v>W</v>
      </c>
      <c r="O56" s="11">
        <f t="shared" si="10"/>
        <v>45925</v>
      </c>
      <c r="P56" s="12" t="str">
        <f t="shared" si="11"/>
        <v>18</v>
      </c>
      <c r="Q56" s="13" t="str">
        <f>VLOOKUP($B56,Deals_Demo!$H:$N,7,0)</f>
        <v>Python script or</v>
      </c>
      <c r="R56" s="13" t="str">
        <f t="shared" si="12"/>
        <v>Thu</v>
      </c>
      <c r="S56" s="14">
        <f>VLOOKUP($B56,Deals_Demo!$H:$S,8,0)</f>
        <v>45925.779537037037</v>
      </c>
      <c r="T56" s="14">
        <f>VLOOKUP($B56,Deals_Demo!$H:$S,9,0)</f>
        <v>45925.987870370373</v>
      </c>
      <c r="U56" s="15" t="str">
        <f t="shared" si="13"/>
        <v>2025-09-25</v>
      </c>
      <c r="V56" s="13" t="str">
        <f>VLOOKUP($B56,Deals_Demo!$H:$S,11,0)</f>
        <v>23</v>
      </c>
      <c r="W56" s="13" t="str">
        <f>VLOOKUP($B56,Deals_Demo!$H:$S,12,0)</f>
        <v>Thu</v>
      </c>
      <c r="X56" s="13">
        <f t="shared" si="5"/>
        <v>6.8000000000000005E-2</v>
      </c>
      <c r="Y56" s="13">
        <f t="shared" si="6"/>
        <v>0.13600000000000001</v>
      </c>
      <c r="Z56" s="13">
        <f t="shared" si="7"/>
        <v>0.20400000000000001</v>
      </c>
      <c r="AA56" s="13">
        <f t="shared" si="14"/>
        <v>-3</v>
      </c>
    </row>
    <row r="57" spans="1:27" x14ac:dyDescent="0.25">
      <c r="A57" s="81">
        <v>45925.782256944447</v>
      </c>
      <c r="B57" s="82">
        <v>177542901</v>
      </c>
      <c r="C57" s="83" t="s">
        <v>103</v>
      </c>
      <c r="D57" s="83" t="s">
        <v>36</v>
      </c>
      <c r="E57" s="83" t="s">
        <v>104</v>
      </c>
      <c r="F57" s="84">
        <v>3734.98</v>
      </c>
      <c r="G57" s="84">
        <v>3737.36</v>
      </c>
      <c r="H57" s="84">
        <v>3738.48</v>
      </c>
      <c r="I57" s="83" t="s">
        <v>228</v>
      </c>
      <c r="J57" s="84">
        <v>3738.48</v>
      </c>
      <c r="K57" s="84">
        <v>0</v>
      </c>
      <c r="L57" s="84">
        <v>0</v>
      </c>
      <c r="M57" s="84">
        <v>0.35</v>
      </c>
      <c r="N57" s="10" t="str">
        <f t="shared" si="9"/>
        <v>W</v>
      </c>
      <c r="O57" s="11">
        <f t="shared" si="10"/>
        <v>45925</v>
      </c>
      <c r="P57" s="12" t="str">
        <f t="shared" si="11"/>
        <v>18</v>
      </c>
      <c r="Q57" s="13" t="str">
        <f>VLOOKUP($B57,Deals_Demo!$H:$N,7,0)</f>
        <v>strategy_31.py</v>
      </c>
      <c r="R57" s="13" t="str">
        <f t="shared" si="12"/>
        <v>Thu</v>
      </c>
      <c r="S57" s="14">
        <f>VLOOKUP($B57,Deals_Demo!$H:$S,8,0)</f>
        <v>45925.782256944447</v>
      </c>
      <c r="T57" s="14">
        <f>VLOOKUP($B57,Deals_Demo!$H:$S,9,0)</f>
        <v>45925.990590277783</v>
      </c>
      <c r="U57" s="15" t="str">
        <f t="shared" si="13"/>
        <v>2025-09-25</v>
      </c>
      <c r="V57" s="13" t="str">
        <f>VLOOKUP($B57,Deals_Demo!$H:$S,11,0)</f>
        <v>23</v>
      </c>
      <c r="W57" s="13" t="str">
        <f>VLOOKUP($B57,Deals_Demo!$H:$S,12,0)</f>
        <v>Thu</v>
      </c>
      <c r="X57" s="13">
        <f t="shared" si="5"/>
        <v>3.4999999999999996E-2</v>
      </c>
      <c r="Y57" s="13">
        <f t="shared" si="6"/>
        <v>6.9999999999999993E-2</v>
      </c>
      <c r="Z57" s="13">
        <f t="shared" si="7"/>
        <v>0.105</v>
      </c>
      <c r="AA57" s="13">
        <f t="shared" si="14"/>
        <v>-3</v>
      </c>
    </row>
    <row r="58" spans="1:27" x14ac:dyDescent="0.25">
      <c r="A58" s="77">
        <v>45925.797615740739</v>
      </c>
      <c r="B58" s="78">
        <v>177548439</v>
      </c>
      <c r="C58" s="79" t="s">
        <v>103</v>
      </c>
      <c r="D58" s="79" t="s">
        <v>36</v>
      </c>
      <c r="E58" s="79" t="s">
        <v>104</v>
      </c>
      <c r="F58" s="80">
        <v>3739.78</v>
      </c>
      <c r="G58" s="80">
        <v>3739.87</v>
      </c>
      <c r="H58" s="80">
        <v>3757.78</v>
      </c>
      <c r="I58" s="79" t="s">
        <v>229</v>
      </c>
      <c r="J58" s="80">
        <v>3739.86</v>
      </c>
      <c r="K58" s="80">
        <v>0</v>
      </c>
      <c r="L58" s="80">
        <v>0</v>
      </c>
      <c r="M58" s="80">
        <v>0.01</v>
      </c>
      <c r="N58" s="10" t="str">
        <f t="shared" si="9"/>
        <v>W</v>
      </c>
      <c r="O58" s="11">
        <f t="shared" si="10"/>
        <v>45925</v>
      </c>
      <c r="P58" s="12" t="str">
        <f t="shared" si="11"/>
        <v>19</v>
      </c>
      <c r="Q58" s="13" t="str">
        <f>VLOOKUP($B58,Deals_Demo!$H:$N,7,0)</f>
        <v>Python script or</v>
      </c>
      <c r="R58" s="13" t="str">
        <f t="shared" si="12"/>
        <v>Thu</v>
      </c>
      <c r="S58" s="14">
        <f>VLOOKUP($B58,Deals_Demo!$H:$S,8,0)</f>
        <v>45925.797615740739</v>
      </c>
      <c r="T58" s="14">
        <f>VLOOKUP($B58,Deals_Demo!$H:$S,9,0)</f>
        <v>45926.005949074075</v>
      </c>
      <c r="U58" s="15" t="str">
        <f t="shared" si="13"/>
        <v>2025-09-26</v>
      </c>
      <c r="V58" s="13" t="str">
        <f>VLOOKUP($B58,Deals_Demo!$H:$S,11,0)</f>
        <v>00</v>
      </c>
      <c r="W58" s="13" t="str">
        <f>VLOOKUP($B58,Deals_Demo!$H:$S,12,0)</f>
        <v>Fri</v>
      </c>
      <c r="X58" s="13">
        <f t="shared" si="5"/>
        <v>1E-3</v>
      </c>
      <c r="Y58" s="13">
        <f t="shared" si="6"/>
        <v>2E-3</v>
      </c>
      <c r="Z58" s="13">
        <f t="shared" si="7"/>
        <v>3.0000000000000001E-3</v>
      </c>
      <c r="AA58" s="13">
        <f t="shared" si="14"/>
        <v>-3</v>
      </c>
    </row>
    <row r="59" spans="1:27" x14ac:dyDescent="0.25">
      <c r="A59" s="81">
        <v>45925.799189814818</v>
      </c>
      <c r="B59" s="82">
        <v>177549802</v>
      </c>
      <c r="C59" s="83" t="s">
        <v>103</v>
      </c>
      <c r="D59" s="83" t="s">
        <v>36</v>
      </c>
      <c r="E59" s="83" t="s">
        <v>104</v>
      </c>
      <c r="F59" s="84">
        <v>3741.2</v>
      </c>
      <c r="G59" s="84">
        <v>3738.2</v>
      </c>
      <c r="H59" s="84">
        <v>3757.62</v>
      </c>
      <c r="I59" s="83" t="s">
        <v>230</v>
      </c>
      <c r="J59" s="84">
        <v>3738.87</v>
      </c>
      <c r="K59" s="84">
        <v>0</v>
      </c>
      <c r="L59" s="84">
        <v>0</v>
      </c>
      <c r="M59" s="84">
        <v>-0.23</v>
      </c>
      <c r="N59" s="10" t="str">
        <f t="shared" si="9"/>
        <v>L</v>
      </c>
      <c r="O59" s="11">
        <f t="shared" si="10"/>
        <v>45925</v>
      </c>
      <c r="P59" s="12" t="str">
        <f t="shared" si="11"/>
        <v>19</v>
      </c>
      <c r="Q59" s="13" t="str">
        <f>VLOOKUP($B59,Deals_Demo!$H:$N,7,0)</f>
        <v>Python script or</v>
      </c>
      <c r="R59" s="13" t="str">
        <f t="shared" si="12"/>
        <v>Thu</v>
      </c>
      <c r="S59" s="14">
        <f>VLOOKUP($B59,Deals_Demo!$H:$S,8,0)</f>
        <v>45925.799189814818</v>
      </c>
      <c r="T59" s="14">
        <f>VLOOKUP($B59,Deals_Demo!$H:$S,9,0)</f>
        <v>45926.007523148153</v>
      </c>
      <c r="U59" s="15" t="str">
        <f t="shared" si="13"/>
        <v>2025-09-26</v>
      </c>
      <c r="V59" s="13" t="str">
        <f>VLOOKUP($B59,Deals_Demo!$H:$S,11,0)</f>
        <v>00</v>
      </c>
      <c r="W59" s="13" t="str">
        <f>VLOOKUP($B59,Deals_Demo!$H:$S,12,0)</f>
        <v>Fri</v>
      </c>
      <c r="X59" s="13">
        <f t="shared" si="5"/>
        <v>-2.3000000000000003E-2</v>
      </c>
      <c r="Y59" s="13">
        <f t="shared" si="6"/>
        <v>-4.6000000000000006E-2</v>
      </c>
      <c r="Z59" s="13">
        <f t="shared" si="7"/>
        <v>-6.9000000000000006E-2</v>
      </c>
      <c r="AA59" s="13">
        <f t="shared" si="14"/>
        <v>-3</v>
      </c>
    </row>
    <row r="60" spans="1:27" x14ac:dyDescent="0.25">
      <c r="A60" s="77">
        <v>45925.802858796298</v>
      </c>
      <c r="B60" s="78">
        <v>177552038</v>
      </c>
      <c r="C60" s="79" t="s">
        <v>103</v>
      </c>
      <c r="D60" s="79" t="s">
        <v>36</v>
      </c>
      <c r="E60" s="79" t="s">
        <v>104</v>
      </c>
      <c r="F60" s="80">
        <v>3741.1</v>
      </c>
      <c r="G60" s="80">
        <v>3738.15</v>
      </c>
      <c r="H60" s="80">
        <v>3744.65</v>
      </c>
      <c r="I60" s="79" t="s">
        <v>231</v>
      </c>
      <c r="J60" s="80">
        <v>3738.91</v>
      </c>
      <c r="K60" s="80">
        <v>0</v>
      </c>
      <c r="L60" s="80">
        <v>0</v>
      </c>
      <c r="M60" s="80">
        <v>-0.22</v>
      </c>
      <c r="N60" s="10" t="str">
        <f t="shared" si="9"/>
        <v>L</v>
      </c>
      <c r="O60" s="11">
        <f t="shared" si="10"/>
        <v>45925</v>
      </c>
      <c r="P60" s="12" t="str">
        <f t="shared" si="11"/>
        <v>19</v>
      </c>
      <c r="Q60" s="13" t="str">
        <f>VLOOKUP($B60,Deals_Demo!$H:$N,7,0)</f>
        <v>strategy_31.py</v>
      </c>
      <c r="R60" s="13" t="str">
        <f t="shared" si="12"/>
        <v>Thu</v>
      </c>
      <c r="S60" s="14">
        <f>VLOOKUP($B60,Deals_Demo!$H:$S,8,0)</f>
        <v>45925.802858796298</v>
      </c>
      <c r="T60" s="14">
        <f>VLOOKUP($B60,Deals_Demo!$H:$S,9,0)</f>
        <v>45926.011192129634</v>
      </c>
      <c r="U60" s="15" t="str">
        <f t="shared" si="13"/>
        <v>2025-09-26</v>
      </c>
      <c r="V60" s="13" t="str">
        <f>VLOOKUP($B60,Deals_Demo!$H:$S,11,0)</f>
        <v>00</v>
      </c>
      <c r="W60" s="13" t="str">
        <f>VLOOKUP($B60,Deals_Demo!$H:$S,12,0)</f>
        <v>Fri</v>
      </c>
      <c r="X60" s="13">
        <f t="shared" si="5"/>
        <v>-2.2000000000000002E-2</v>
      </c>
      <c r="Y60" s="13">
        <f t="shared" si="6"/>
        <v>-4.4000000000000004E-2</v>
      </c>
      <c r="Z60" s="13">
        <f t="shared" si="7"/>
        <v>-6.6000000000000003E-2</v>
      </c>
      <c r="AA60" s="13">
        <f t="shared" si="14"/>
        <v>-3</v>
      </c>
    </row>
    <row r="61" spans="1:27" x14ac:dyDescent="0.25">
      <c r="A61" s="81">
        <v>45925.807326388887</v>
      </c>
      <c r="B61" s="82">
        <v>177554174</v>
      </c>
      <c r="C61" s="83" t="s">
        <v>103</v>
      </c>
      <c r="D61" s="83" t="s">
        <v>37</v>
      </c>
      <c r="E61" s="83" t="s">
        <v>104</v>
      </c>
      <c r="F61" s="84">
        <v>3737.96</v>
      </c>
      <c r="G61" s="84">
        <v>3737.14</v>
      </c>
      <c r="H61" s="84">
        <v>3734.5</v>
      </c>
      <c r="I61" s="83" t="s">
        <v>232</v>
      </c>
      <c r="J61" s="84">
        <v>3737.17</v>
      </c>
      <c r="K61" s="84">
        <v>0</v>
      </c>
      <c r="L61" s="84">
        <v>0</v>
      </c>
      <c r="M61" s="84">
        <v>0.08</v>
      </c>
      <c r="N61" s="10" t="str">
        <f t="shared" si="9"/>
        <v>W</v>
      </c>
      <c r="O61" s="11">
        <f t="shared" si="10"/>
        <v>45925</v>
      </c>
      <c r="P61" s="12" t="str">
        <f t="shared" si="11"/>
        <v>19</v>
      </c>
      <c r="Q61" s="13" t="str">
        <f>VLOOKUP($B61,Deals_Demo!$H:$N,7,0)</f>
        <v>Python script or</v>
      </c>
      <c r="R61" s="13" t="str">
        <f t="shared" si="12"/>
        <v>Thu</v>
      </c>
      <c r="S61" s="14">
        <f>VLOOKUP($B61,Deals_Demo!$H:$S,8,0)</f>
        <v>45925.807326388887</v>
      </c>
      <c r="T61" s="14">
        <f>VLOOKUP($B61,Deals_Demo!$H:$S,9,0)</f>
        <v>45926.015659722223</v>
      </c>
      <c r="U61" s="15" t="str">
        <f t="shared" si="13"/>
        <v>2025-09-26</v>
      </c>
      <c r="V61" s="13" t="str">
        <f>VLOOKUP($B61,Deals_Demo!$H:$S,11,0)</f>
        <v>00</v>
      </c>
      <c r="W61" s="13" t="str">
        <f>VLOOKUP($B61,Deals_Demo!$H:$S,12,0)</f>
        <v>Fri</v>
      </c>
      <c r="X61" s="13">
        <f t="shared" si="5"/>
        <v>8.0000000000000002E-3</v>
      </c>
      <c r="Y61" s="13">
        <f t="shared" si="6"/>
        <v>1.6E-2</v>
      </c>
      <c r="Z61" s="13">
        <f t="shared" si="7"/>
        <v>2.4E-2</v>
      </c>
      <c r="AA61" s="13">
        <f t="shared" si="14"/>
        <v>-3</v>
      </c>
    </row>
    <row r="62" spans="1:27" x14ac:dyDescent="0.25">
      <c r="A62" s="77">
        <v>45925.811435185184</v>
      </c>
      <c r="B62" s="78">
        <v>177556663</v>
      </c>
      <c r="C62" s="79" t="s">
        <v>103</v>
      </c>
      <c r="D62" s="79" t="s">
        <v>36</v>
      </c>
      <c r="E62" s="79" t="s">
        <v>104</v>
      </c>
      <c r="F62" s="80">
        <v>3737.72</v>
      </c>
      <c r="G62" s="80">
        <v>3734.72</v>
      </c>
      <c r="H62" s="80">
        <v>3741.22</v>
      </c>
      <c r="I62" s="79" t="s">
        <v>233</v>
      </c>
      <c r="J62" s="80">
        <v>3735.6</v>
      </c>
      <c r="K62" s="80">
        <v>0</v>
      </c>
      <c r="L62" s="80">
        <v>0</v>
      </c>
      <c r="M62" s="80">
        <v>-0.21</v>
      </c>
      <c r="N62" s="10" t="str">
        <f t="shared" si="9"/>
        <v>L</v>
      </c>
      <c r="O62" s="11">
        <f t="shared" si="10"/>
        <v>45925</v>
      </c>
      <c r="P62" s="12" t="str">
        <f t="shared" si="11"/>
        <v>19</v>
      </c>
      <c r="Q62" s="13" t="str">
        <f>VLOOKUP($B62,Deals_Demo!$H:$N,7,0)</f>
        <v>Python script or</v>
      </c>
      <c r="R62" s="13" t="str">
        <f t="shared" si="12"/>
        <v>Thu</v>
      </c>
      <c r="S62" s="14">
        <f>VLOOKUP($B62,Deals_Demo!$H:$S,8,0)</f>
        <v>45925.811435185184</v>
      </c>
      <c r="T62" s="14">
        <f>VLOOKUP($B62,Deals_Demo!$H:$S,9,0)</f>
        <v>45926.019768518519</v>
      </c>
      <c r="U62" s="15" t="str">
        <f t="shared" si="13"/>
        <v>2025-09-26</v>
      </c>
      <c r="V62" s="13" t="str">
        <f>VLOOKUP($B62,Deals_Demo!$H:$S,11,0)</f>
        <v>00</v>
      </c>
      <c r="W62" s="13" t="str">
        <f>VLOOKUP($B62,Deals_Demo!$H:$S,12,0)</f>
        <v>Fri</v>
      </c>
      <c r="X62" s="13">
        <f t="shared" si="5"/>
        <v>-2.1000000000000001E-2</v>
      </c>
      <c r="Y62" s="13">
        <f t="shared" si="6"/>
        <v>-4.2000000000000003E-2</v>
      </c>
      <c r="Z62" s="13">
        <f t="shared" si="7"/>
        <v>-6.3E-2</v>
      </c>
      <c r="AA62" s="13">
        <f t="shared" si="14"/>
        <v>-3</v>
      </c>
    </row>
    <row r="63" spans="1:27" x14ac:dyDescent="0.25">
      <c r="A63" s="81">
        <v>45925.814155092594</v>
      </c>
      <c r="B63" s="82">
        <v>177557698</v>
      </c>
      <c r="C63" s="83" t="s">
        <v>103</v>
      </c>
      <c r="D63" s="83" t="s">
        <v>37</v>
      </c>
      <c r="E63" s="83" t="s">
        <v>104</v>
      </c>
      <c r="F63" s="84">
        <v>3735.74</v>
      </c>
      <c r="G63" s="84">
        <v>3736.87</v>
      </c>
      <c r="H63" s="84">
        <v>3732.24</v>
      </c>
      <c r="I63" s="83" t="s">
        <v>234</v>
      </c>
      <c r="J63" s="84">
        <v>3736.88</v>
      </c>
      <c r="K63" s="84">
        <v>0</v>
      </c>
      <c r="L63" s="84">
        <v>0</v>
      </c>
      <c r="M63" s="84">
        <v>-0.11</v>
      </c>
      <c r="N63" s="10" t="str">
        <f t="shared" si="9"/>
        <v>L</v>
      </c>
      <c r="O63" s="11">
        <f t="shared" si="10"/>
        <v>45925</v>
      </c>
      <c r="P63" s="12" t="str">
        <f t="shared" si="11"/>
        <v>19</v>
      </c>
      <c r="Q63" s="13" t="str">
        <f>VLOOKUP($B63,Deals_Demo!$H:$N,7,0)</f>
        <v>Python script or</v>
      </c>
      <c r="R63" s="13" t="str">
        <f t="shared" si="12"/>
        <v>Thu</v>
      </c>
      <c r="S63" s="14">
        <f>VLOOKUP($B63,Deals_Demo!$H:$S,8,0)</f>
        <v>45925.814155092594</v>
      </c>
      <c r="T63" s="14">
        <f>VLOOKUP($B63,Deals_Demo!$H:$S,9,0)</f>
        <v>45926.02248842593</v>
      </c>
      <c r="U63" s="15" t="str">
        <f t="shared" si="13"/>
        <v>2025-09-26</v>
      </c>
      <c r="V63" s="13" t="str">
        <f>VLOOKUP($B63,Deals_Demo!$H:$S,11,0)</f>
        <v>00</v>
      </c>
      <c r="W63" s="13" t="str">
        <f>VLOOKUP($B63,Deals_Demo!$H:$S,12,0)</f>
        <v>Fri</v>
      </c>
      <c r="X63" s="13">
        <f t="shared" si="5"/>
        <v>-1.1000000000000001E-2</v>
      </c>
      <c r="Y63" s="13">
        <f t="shared" si="6"/>
        <v>-2.2000000000000002E-2</v>
      </c>
      <c r="Z63" s="13">
        <f t="shared" si="7"/>
        <v>-3.3000000000000002E-2</v>
      </c>
      <c r="AA63" s="13">
        <f t="shared" si="14"/>
        <v>-3</v>
      </c>
    </row>
    <row r="64" spans="1:27" x14ac:dyDescent="0.25">
      <c r="A64" s="77">
        <v>45925.818136574075</v>
      </c>
      <c r="B64" s="78">
        <v>177558685</v>
      </c>
      <c r="C64" s="79" t="s">
        <v>103</v>
      </c>
      <c r="D64" s="79" t="s">
        <v>37</v>
      </c>
      <c r="E64" s="79" t="s">
        <v>104</v>
      </c>
      <c r="F64" s="80">
        <v>3735.73</v>
      </c>
      <c r="G64" s="80">
        <v>3733.41</v>
      </c>
      <c r="H64" s="80">
        <v>3732.23</v>
      </c>
      <c r="I64" s="79" t="s">
        <v>235</v>
      </c>
      <c r="J64" s="80">
        <v>3733.42</v>
      </c>
      <c r="K64" s="80">
        <v>0</v>
      </c>
      <c r="L64" s="80">
        <v>0</v>
      </c>
      <c r="M64" s="80">
        <v>0.23</v>
      </c>
      <c r="N64" s="10" t="str">
        <f t="shared" si="9"/>
        <v>W</v>
      </c>
      <c r="O64" s="11">
        <f t="shared" si="10"/>
        <v>45925</v>
      </c>
      <c r="P64" s="12" t="str">
        <f t="shared" si="11"/>
        <v>19</v>
      </c>
      <c r="Q64" s="13" t="str">
        <f>VLOOKUP($B64,Deals_Demo!$H:$N,7,0)</f>
        <v>strategy_31.py</v>
      </c>
      <c r="R64" s="13" t="str">
        <f t="shared" si="12"/>
        <v>Thu</v>
      </c>
      <c r="S64" s="14">
        <f>VLOOKUP($B64,Deals_Demo!$H:$S,8,0)</f>
        <v>45925.818136574075</v>
      </c>
      <c r="T64" s="14">
        <f>VLOOKUP($B64,Deals_Demo!$H:$S,9,0)</f>
        <v>45926.026469907411</v>
      </c>
      <c r="U64" s="15" t="str">
        <f t="shared" si="13"/>
        <v>2025-09-26</v>
      </c>
      <c r="V64" s="13" t="str">
        <f>VLOOKUP($B64,Deals_Demo!$H:$S,11,0)</f>
        <v>00</v>
      </c>
      <c r="W64" s="13" t="str">
        <f>VLOOKUP($B64,Deals_Demo!$H:$S,12,0)</f>
        <v>Fri</v>
      </c>
      <c r="X64" s="13">
        <f t="shared" si="5"/>
        <v>2.3000000000000003E-2</v>
      </c>
      <c r="Y64" s="13">
        <f t="shared" si="6"/>
        <v>4.6000000000000006E-2</v>
      </c>
      <c r="Z64" s="13">
        <f t="shared" si="7"/>
        <v>6.9000000000000006E-2</v>
      </c>
      <c r="AA64" s="13">
        <f t="shared" si="14"/>
        <v>-3</v>
      </c>
    </row>
    <row r="65" spans="1:27" x14ac:dyDescent="0.25">
      <c r="A65" s="81">
        <v>45925.836180555554</v>
      </c>
      <c r="B65" s="82">
        <v>177564707</v>
      </c>
      <c r="C65" s="83" t="s">
        <v>103</v>
      </c>
      <c r="D65" s="83" t="s">
        <v>37</v>
      </c>
      <c r="E65" s="83" t="s">
        <v>104</v>
      </c>
      <c r="F65" s="84">
        <v>3733.49</v>
      </c>
      <c r="G65" s="84">
        <v>3736.49</v>
      </c>
      <c r="H65" s="83"/>
      <c r="I65" s="83" t="s">
        <v>236</v>
      </c>
      <c r="J65" s="84">
        <v>3736.85</v>
      </c>
      <c r="K65" s="84">
        <v>0</v>
      </c>
      <c r="L65" s="84">
        <v>0</v>
      </c>
      <c r="M65" s="84">
        <v>-0.34</v>
      </c>
      <c r="N65" s="10" t="str">
        <f t="shared" si="9"/>
        <v>L</v>
      </c>
      <c r="O65" s="11">
        <f t="shared" si="10"/>
        <v>45925</v>
      </c>
      <c r="P65" s="12" t="str">
        <f t="shared" si="11"/>
        <v>20</v>
      </c>
      <c r="Q65" s="13" t="str">
        <f>VLOOKUP($B65,Deals_Demo!$H:$N,7,0)</f>
        <v>strategy_19_live</v>
      </c>
      <c r="R65" s="13" t="str">
        <f t="shared" si="12"/>
        <v>Thu</v>
      </c>
      <c r="S65" s="14">
        <f>VLOOKUP($B65,Deals_Demo!$H:$S,8,0)</f>
        <v>45925.836180555554</v>
      </c>
      <c r="T65" s="14">
        <f>VLOOKUP($B65,Deals_Demo!$H:$S,9,0)</f>
        <v>45926.04451388889</v>
      </c>
      <c r="U65" s="15" t="str">
        <f t="shared" si="13"/>
        <v>2025-09-26</v>
      </c>
      <c r="V65" s="13" t="str">
        <f>VLOOKUP($B65,Deals_Demo!$H:$S,11,0)</f>
        <v>01</v>
      </c>
      <c r="W65" s="13" t="str">
        <f>VLOOKUP($B65,Deals_Demo!$H:$S,12,0)</f>
        <v>Fri</v>
      </c>
      <c r="X65" s="13">
        <f t="shared" si="5"/>
        <v>-3.4000000000000002E-2</v>
      </c>
      <c r="Y65" s="13">
        <f t="shared" si="6"/>
        <v>-6.8000000000000005E-2</v>
      </c>
      <c r="Z65" s="13">
        <f t="shared" si="7"/>
        <v>-0.10200000000000001</v>
      </c>
      <c r="AA65" s="13">
        <f t="shared" si="14"/>
        <v>-3</v>
      </c>
    </row>
    <row r="66" spans="1:27" x14ac:dyDescent="0.25">
      <c r="A66" s="77">
        <v>45925.837916666664</v>
      </c>
      <c r="B66" s="78">
        <v>177565274</v>
      </c>
      <c r="C66" s="79" t="s">
        <v>103</v>
      </c>
      <c r="D66" s="79" t="s">
        <v>37</v>
      </c>
      <c r="E66" s="79" t="s">
        <v>104</v>
      </c>
      <c r="F66" s="80">
        <v>3733.37</v>
      </c>
      <c r="G66" s="80">
        <v>3736.18</v>
      </c>
      <c r="H66" s="80">
        <v>3729.68</v>
      </c>
      <c r="I66" s="79" t="s">
        <v>237</v>
      </c>
      <c r="J66" s="80">
        <v>3736.18</v>
      </c>
      <c r="K66" s="80">
        <v>0</v>
      </c>
      <c r="L66" s="80">
        <v>0</v>
      </c>
      <c r="M66" s="80">
        <v>-0.28000000000000003</v>
      </c>
      <c r="N66" s="10" t="str">
        <f t="shared" si="9"/>
        <v>L</v>
      </c>
      <c r="O66" s="11">
        <f t="shared" si="10"/>
        <v>45925</v>
      </c>
      <c r="P66" s="12" t="str">
        <f t="shared" si="11"/>
        <v>20</v>
      </c>
      <c r="Q66" s="13" t="str">
        <f>VLOOKUP($B66,Deals_Demo!$H:$N,7,0)</f>
        <v>strategy_31.py</v>
      </c>
      <c r="R66" s="13" t="str">
        <f t="shared" si="12"/>
        <v>Thu</v>
      </c>
      <c r="S66" s="14">
        <f>VLOOKUP($B66,Deals_Demo!$H:$S,8,0)</f>
        <v>45925.837916666664</v>
      </c>
      <c r="T66" s="14">
        <f>VLOOKUP($B66,Deals_Demo!$H:$S,9,0)</f>
        <v>45926.046249999999</v>
      </c>
      <c r="U66" s="15" t="str">
        <f t="shared" si="13"/>
        <v>2025-09-26</v>
      </c>
      <c r="V66" s="13" t="str">
        <f>VLOOKUP($B66,Deals_Demo!$H:$S,11,0)</f>
        <v>01</v>
      </c>
      <c r="W66" s="13" t="str">
        <f>VLOOKUP($B66,Deals_Demo!$H:$S,12,0)</f>
        <v>Fri</v>
      </c>
      <c r="X66" s="13">
        <f t="shared" ref="X66:X100" si="15">$M66*0.1</f>
        <v>-2.8000000000000004E-2</v>
      </c>
      <c r="Y66" s="13">
        <f t="shared" ref="Y66:Y100" si="16">$M66*0.2</f>
        <v>-5.6000000000000008E-2</v>
      </c>
      <c r="Z66" s="13">
        <f t="shared" ref="Z66:Z100" si="17">$M66*0.3</f>
        <v>-8.4000000000000005E-2</v>
      </c>
      <c r="AA66" s="13">
        <f t="shared" si="14"/>
        <v>-3</v>
      </c>
    </row>
    <row r="67" spans="1:27" x14ac:dyDescent="0.25">
      <c r="A67" s="81">
        <v>45925.846250000002</v>
      </c>
      <c r="B67" s="82">
        <v>177570549</v>
      </c>
      <c r="C67" s="83" t="s">
        <v>103</v>
      </c>
      <c r="D67" s="83" t="s">
        <v>36</v>
      </c>
      <c r="E67" s="83" t="s">
        <v>104</v>
      </c>
      <c r="F67" s="84">
        <v>3741.63</v>
      </c>
      <c r="G67" s="84">
        <v>3738.63</v>
      </c>
      <c r="H67" s="83"/>
      <c r="I67" s="83" t="s">
        <v>253</v>
      </c>
      <c r="J67" s="84">
        <v>3738.63</v>
      </c>
      <c r="K67" s="84">
        <v>0</v>
      </c>
      <c r="L67" s="84">
        <v>0</v>
      </c>
      <c r="M67" s="84">
        <v>-0.3</v>
      </c>
      <c r="N67" s="10" t="str">
        <f t="shared" ref="N67:N100" si="18">IF(M67&gt;0,"W",IF(M67&lt;0,"L","BE"))</f>
        <v>L</v>
      </c>
      <c r="O67" s="11">
        <f t="shared" ref="O67:O100" si="19">INT(LEFT(A67,10))</f>
        <v>45925</v>
      </c>
      <c r="P67" s="12" t="str">
        <f t="shared" ref="P67:P100" si="20">TEXT(A67,"hh")</f>
        <v>20</v>
      </c>
      <c r="Q67" s="13" t="str">
        <f>VLOOKUP($B67,Deals_Demo!$H:$N,7,0)</f>
        <v>strategy_19_live</v>
      </c>
      <c r="R67" s="13" t="str">
        <f t="shared" ref="R67:R100" si="21">TEXT(O67,"ddd")</f>
        <v>Thu</v>
      </c>
      <c r="S67" s="14">
        <f>VLOOKUP($B67,Deals_Demo!$H:$S,8,0)</f>
        <v>45925.846250000002</v>
      </c>
      <c r="T67" s="14">
        <f>VLOOKUP($B67,Deals_Demo!$H:$S,9,0)</f>
        <v>45926.054583333338</v>
      </c>
      <c r="U67" s="15" t="str">
        <f t="shared" ref="U67:U100" si="22">TEXT(T67,"yyyy-mm-dd")</f>
        <v>2025-09-26</v>
      </c>
      <c r="V67" s="13" t="str">
        <f>VLOOKUP($B67,Deals_Demo!$H:$S,11,0)</f>
        <v>01</v>
      </c>
      <c r="W67" s="13" t="str">
        <f>VLOOKUP($B67,Deals_Demo!$H:$S,12,0)</f>
        <v>Fri</v>
      </c>
      <c r="X67" s="13">
        <f t="shared" si="15"/>
        <v>-0.03</v>
      </c>
      <c r="Y67" s="13">
        <f t="shared" si="16"/>
        <v>-0.06</v>
      </c>
      <c r="Z67" s="13">
        <f t="shared" si="17"/>
        <v>-0.09</v>
      </c>
      <c r="AA67" s="13">
        <f t="shared" ref="AA67:AA100" si="23">IF(M67&lt;2.9,-3,M67)</f>
        <v>-3</v>
      </c>
    </row>
    <row r="68" spans="1:27" x14ac:dyDescent="0.25">
      <c r="A68" s="77">
        <v>45925.847175925926</v>
      </c>
      <c r="B68" s="78">
        <v>177571380</v>
      </c>
      <c r="C68" s="79" t="s">
        <v>103</v>
      </c>
      <c r="D68" s="79" t="s">
        <v>36</v>
      </c>
      <c r="E68" s="79" t="s">
        <v>104</v>
      </c>
      <c r="F68" s="80">
        <v>3739.68</v>
      </c>
      <c r="G68" s="80">
        <v>3736.73</v>
      </c>
      <c r="H68" s="80">
        <v>3743.23</v>
      </c>
      <c r="I68" s="79" t="s">
        <v>254</v>
      </c>
      <c r="J68" s="80">
        <v>3743.27</v>
      </c>
      <c r="K68" s="80">
        <v>0</v>
      </c>
      <c r="L68" s="80">
        <v>0</v>
      </c>
      <c r="M68" s="80">
        <v>0.36</v>
      </c>
      <c r="N68" s="10" t="str">
        <f t="shared" si="18"/>
        <v>W</v>
      </c>
      <c r="O68" s="11">
        <f t="shared" si="19"/>
        <v>45925</v>
      </c>
      <c r="P68" s="12" t="str">
        <f t="shared" si="20"/>
        <v>20</v>
      </c>
      <c r="Q68" s="13" t="str">
        <f>VLOOKUP($B68,Deals_Demo!$H:$N,7,0)</f>
        <v>strategy_31.py</v>
      </c>
      <c r="R68" s="13" t="str">
        <f t="shared" si="21"/>
        <v>Thu</v>
      </c>
      <c r="S68" s="14">
        <f>VLOOKUP($B68,Deals_Demo!$H:$S,8,0)</f>
        <v>45925.847175925926</v>
      </c>
      <c r="T68" s="14">
        <f>VLOOKUP($B68,Deals_Demo!$H:$S,9,0)</f>
        <v>45926.055509259262</v>
      </c>
      <c r="U68" s="15" t="str">
        <f t="shared" si="22"/>
        <v>2025-09-26</v>
      </c>
      <c r="V68" s="13" t="str">
        <f>VLOOKUP($B68,Deals_Demo!$H:$S,11,0)</f>
        <v>01</v>
      </c>
      <c r="W68" s="13" t="str">
        <f>VLOOKUP($B68,Deals_Demo!$H:$S,12,0)</f>
        <v>Fri</v>
      </c>
      <c r="X68" s="13">
        <f t="shared" si="15"/>
        <v>3.5999999999999997E-2</v>
      </c>
      <c r="Y68" s="13">
        <f t="shared" si="16"/>
        <v>7.1999999999999995E-2</v>
      </c>
      <c r="Z68" s="13">
        <f t="shared" si="17"/>
        <v>0.108</v>
      </c>
      <c r="AA68" s="13">
        <f t="shared" si="23"/>
        <v>-3</v>
      </c>
    </row>
    <row r="69" spans="1:27" x14ac:dyDescent="0.25">
      <c r="A69" s="81">
        <v>45925.855624999997</v>
      </c>
      <c r="B69" s="82">
        <v>177576309</v>
      </c>
      <c r="C69" s="83" t="s">
        <v>103</v>
      </c>
      <c r="D69" s="83" t="s">
        <v>36</v>
      </c>
      <c r="E69" s="83" t="s">
        <v>104</v>
      </c>
      <c r="F69" s="84">
        <v>3741.63</v>
      </c>
      <c r="G69" s="84">
        <v>3738.55</v>
      </c>
      <c r="H69" s="83"/>
      <c r="I69" s="83" t="s">
        <v>255</v>
      </c>
      <c r="J69" s="84">
        <v>3738.44</v>
      </c>
      <c r="K69" s="84">
        <v>0</v>
      </c>
      <c r="L69" s="84">
        <v>0</v>
      </c>
      <c r="M69" s="84">
        <v>-0.32</v>
      </c>
      <c r="N69" s="10" t="str">
        <f t="shared" si="18"/>
        <v>L</v>
      </c>
      <c r="O69" s="11">
        <f t="shared" si="19"/>
        <v>45925</v>
      </c>
      <c r="P69" s="12" t="str">
        <f t="shared" si="20"/>
        <v>20</v>
      </c>
      <c r="Q69" s="13" t="str">
        <f>VLOOKUP($B69,Deals_Demo!$H:$N,7,0)</f>
        <v>strategy_19_live</v>
      </c>
      <c r="R69" s="13" t="str">
        <f t="shared" si="21"/>
        <v>Thu</v>
      </c>
      <c r="S69" s="14">
        <f>VLOOKUP($B69,Deals_Demo!$H:$S,8,0)</f>
        <v>45925.855624999997</v>
      </c>
      <c r="T69" s="14">
        <f>VLOOKUP($B69,Deals_Demo!$H:$S,9,0)</f>
        <v>45926.063958333332</v>
      </c>
      <c r="U69" s="15" t="str">
        <f t="shared" si="22"/>
        <v>2025-09-26</v>
      </c>
      <c r="V69" s="13" t="str">
        <f>VLOOKUP($B69,Deals_Demo!$H:$S,11,0)</f>
        <v>01</v>
      </c>
      <c r="W69" s="13" t="str">
        <f>VLOOKUP($B69,Deals_Demo!$H:$S,12,0)</f>
        <v>Fri</v>
      </c>
      <c r="X69" s="13">
        <f t="shared" si="15"/>
        <v>-3.2000000000000001E-2</v>
      </c>
      <c r="Y69" s="13">
        <f t="shared" si="16"/>
        <v>-6.4000000000000001E-2</v>
      </c>
      <c r="Z69" s="13">
        <f t="shared" si="17"/>
        <v>-9.6000000000000002E-2</v>
      </c>
      <c r="AA69" s="13">
        <f t="shared" si="23"/>
        <v>-3</v>
      </c>
    </row>
    <row r="70" spans="1:27" x14ac:dyDescent="0.25">
      <c r="A70" s="77">
        <v>45925.857708333337</v>
      </c>
      <c r="B70" s="78">
        <v>177577252</v>
      </c>
      <c r="C70" s="79" t="s">
        <v>103</v>
      </c>
      <c r="D70" s="79" t="s">
        <v>37</v>
      </c>
      <c r="E70" s="79" t="s">
        <v>104</v>
      </c>
      <c r="F70" s="80">
        <v>3739.68</v>
      </c>
      <c r="G70" s="80">
        <v>3742.34</v>
      </c>
      <c r="H70" s="79"/>
      <c r="I70" s="79" t="s">
        <v>256</v>
      </c>
      <c r="J70" s="80">
        <v>3742.35</v>
      </c>
      <c r="K70" s="80">
        <v>0</v>
      </c>
      <c r="L70" s="80">
        <v>0</v>
      </c>
      <c r="M70" s="80">
        <v>-0.27</v>
      </c>
      <c r="N70" s="10" t="str">
        <f t="shared" si="18"/>
        <v>L</v>
      </c>
      <c r="O70" s="11">
        <f t="shared" si="19"/>
        <v>45925</v>
      </c>
      <c r="P70" s="12" t="str">
        <f t="shared" si="20"/>
        <v>20</v>
      </c>
      <c r="Q70" s="13" t="str">
        <f>VLOOKUP($B70,Deals_Demo!$H:$N,7,0)</f>
        <v>strategy_19_live</v>
      </c>
      <c r="R70" s="13" t="str">
        <f t="shared" si="21"/>
        <v>Thu</v>
      </c>
      <c r="S70" s="14">
        <f>VLOOKUP($B70,Deals_Demo!$H:$S,8,0)</f>
        <v>45925.857708333337</v>
      </c>
      <c r="T70" s="14">
        <f>VLOOKUP($B70,Deals_Demo!$H:$S,9,0)</f>
        <v>45926.066041666672</v>
      </c>
      <c r="U70" s="15" t="str">
        <f t="shared" si="22"/>
        <v>2025-09-26</v>
      </c>
      <c r="V70" s="13" t="str">
        <f>VLOOKUP($B70,Deals_Demo!$H:$S,11,0)</f>
        <v>01</v>
      </c>
      <c r="W70" s="13" t="str">
        <f>VLOOKUP($B70,Deals_Demo!$H:$S,12,0)</f>
        <v>Fri</v>
      </c>
      <c r="X70" s="13">
        <f t="shared" si="15"/>
        <v>-2.7000000000000003E-2</v>
      </c>
      <c r="Y70" s="13">
        <f t="shared" si="16"/>
        <v>-5.4000000000000006E-2</v>
      </c>
      <c r="Z70" s="13">
        <f t="shared" si="17"/>
        <v>-8.1000000000000003E-2</v>
      </c>
      <c r="AA70" s="13">
        <f t="shared" si="23"/>
        <v>-3</v>
      </c>
    </row>
    <row r="71" spans="1:27" x14ac:dyDescent="0.25">
      <c r="A71" s="81">
        <v>45925.874374999999</v>
      </c>
      <c r="B71" s="82">
        <v>177582152</v>
      </c>
      <c r="C71" s="83" t="s">
        <v>103</v>
      </c>
      <c r="D71" s="83" t="s">
        <v>36</v>
      </c>
      <c r="E71" s="83" t="s">
        <v>104</v>
      </c>
      <c r="F71" s="84">
        <v>3742.62</v>
      </c>
      <c r="G71" s="84">
        <v>3739.62</v>
      </c>
      <c r="H71" s="83"/>
      <c r="I71" s="83" t="s">
        <v>257</v>
      </c>
      <c r="J71" s="84">
        <v>3739.62</v>
      </c>
      <c r="K71" s="84">
        <v>0</v>
      </c>
      <c r="L71" s="84">
        <v>0</v>
      </c>
      <c r="M71" s="84">
        <v>-0.3</v>
      </c>
      <c r="N71" s="10" t="str">
        <f t="shared" si="18"/>
        <v>L</v>
      </c>
      <c r="O71" s="11">
        <f t="shared" si="19"/>
        <v>45925</v>
      </c>
      <c r="P71" s="12" t="str">
        <f t="shared" si="20"/>
        <v>20</v>
      </c>
      <c r="Q71" s="13" t="str">
        <f>VLOOKUP($B71,Deals_Demo!$H:$N,7,0)</f>
        <v>strategy_19_live</v>
      </c>
      <c r="R71" s="13" t="str">
        <f t="shared" si="21"/>
        <v>Thu</v>
      </c>
      <c r="S71" s="14">
        <f>VLOOKUP($B71,Deals_Demo!$H:$S,8,0)</f>
        <v>45925.874374999999</v>
      </c>
      <c r="T71" s="14">
        <f>VLOOKUP($B71,Deals_Demo!$H:$S,9,0)</f>
        <v>45926.082708333335</v>
      </c>
      <c r="U71" s="15" t="str">
        <f t="shared" si="22"/>
        <v>2025-09-26</v>
      </c>
      <c r="V71" s="13" t="str">
        <f>VLOOKUP($B71,Deals_Demo!$H:$S,11,0)</f>
        <v>01</v>
      </c>
      <c r="W71" s="13" t="str">
        <f>VLOOKUP($B71,Deals_Demo!$H:$S,12,0)</f>
        <v>Fri</v>
      </c>
      <c r="X71" s="13">
        <f t="shared" si="15"/>
        <v>-0.03</v>
      </c>
      <c r="Y71" s="13">
        <f t="shared" si="16"/>
        <v>-0.06</v>
      </c>
      <c r="Z71" s="13">
        <f t="shared" si="17"/>
        <v>-0.09</v>
      </c>
      <c r="AA71" s="13">
        <f t="shared" si="23"/>
        <v>-3</v>
      </c>
    </row>
    <row r="72" spans="1:27" x14ac:dyDescent="0.25">
      <c r="A72" s="77">
        <v>45925.877847222226</v>
      </c>
      <c r="B72" s="78">
        <v>177584097</v>
      </c>
      <c r="C72" s="79" t="s">
        <v>103</v>
      </c>
      <c r="D72" s="79" t="s">
        <v>36</v>
      </c>
      <c r="E72" s="79" t="s">
        <v>104</v>
      </c>
      <c r="F72" s="80">
        <v>3742.72</v>
      </c>
      <c r="G72" s="80">
        <v>3739.74</v>
      </c>
      <c r="H72" s="80">
        <v>3746.24</v>
      </c>
      <c r="I72" s="79" t="s">
        <v>258</v>
      </c>
      <c r="J72" s="80">
        <v>3739.68</v>
      </c>
      <c r="K72" s="80">
        <v>0</v>
      </c>
      <c r="L72" s="80">
        <v>0</v>
      </c>
      <c r="M72" s="80">
        <v>-0.3</v>
      </c>
      <c r="N72" s="10" t="str">
        <f t="shared" si="18"/>
        <v>L</v>
      </c>
      <c r="O72" s="11">
        <f t="shared" si="19"/>
        <v>45925</v>
      </c>
      <c r="P72" s="12" t="str">
        <f t="shared" si="20"/>
        <v>21</v>
      </c>
      <c r="Q72" s="13" t="str">
        <f>VLOOKUP($B72,Deals_Demo!$H:$N,7,0)</f>
        <v>strategy_31.py</v>
      </c>
      <c r="R72" s="13" t="str">
        <f t="shared" si="21"/>
        <v>Thu</v>
      </c>
      <c r="S72" s="14">
        <f>VLOOKUP($B72,Deals_Demo!$H:$S,8,0)</f>
        <v>45925.877847222226</v>
      </c>
      <c r="T72" s="14">
        <f>VLOOKUP($B72,Deals_Demo!$H:$S,9,0)</f>
        <v>45926.086180555561</v>
      </c>
      <c r="U72" s="15" t="str">
        <f t="shared" si="22"/>
        <v>2025-09-26</v>
      </c>
      <c r="V72" s="13" t="str">
        <f>VLOOKUP($B72,Deals_Demo!$H:$S,11,0)</f>
        <v>02</v>
      </c>
      <c r="W72" s="13" t="str">
        <f>VLOOKUP($B72,Deals_Demo!$H:$S,12,0)</f>
        <v>Fri</v>
      </c>
      <c r="X72" s="13">
        <f t="shared" si="15"/>
        <v>-0.03</v>
      </c>
      <c r="Y72" s="13">
        <f t="shared" si="16"/>
        <v>-0.06</v>
      </c>
      <c r="Z72" s="13">
        <f t="shared" si="17"/>
        <v>-0.09</v>
      </c>
      <c r="AA72" s="13">
        <f t="shared" si="23"/>
        <v>-3</v>
      </c>
    </row>
    <row r="73" spans="1:27" x14ac:dyDescent="0.25">
      <c r="A73" s="81">
        <v>45925.883750000001</v>
      </c>
      <c r="B73" s="82">
        <v>177586695</v>
      </c>
      <c r="C73" s="83" t="s">
        <v>103</v>
      </c>
      <c r="D73" s="83" t="s">
        <v>37</v>
      </c>
      <c r="E73" s="83" t="s">
        <v>104</v>
      </c>
      <c r="F73" s="84">
        <v>3738.06</v>
      </c>
      <c r="G73" s="84">
        <v>3740.97</v>
      </c>
      <c r="H73" s="83"/>
      <c r="I73" s="83" t="s">
        <v>259</v>
      </c>
      <c r="J73" s="84">
        <v>3740.97</v>
      </c>
      <c r="K73" s="84">
        <v>0</v>
      </c>
      <c r="L73" s="84">
        <v>0</v>
      </c>
      <c r="M73" s="84">
        <v>-0.28999999999999998</v>
      </c>
      <c r="N73" s="10" t="str">
        <f t="shared" si="18"/>
        <v>L</v>
      </c>
      <c r="O73" s="11">
        <f t="shared" si="19"/>
        <v>45925</v>
      </c>
      <c r="P73" s="12" t="str">
        <f t="shared" si="20"/>
        <v>21</v>
      </c>
      <c r="Q73" s="13" t="str">
        <f>VLOOKUP($B73,Deals_Demo!$H:$N,7,0)</f>
        <v>strategy_19_live</v>
      </c>
      <c r="R73" s="13" t="str">
        <f t="shared" si="21"/>
        <v>Thu</v>
      </c>
      <c r="S73" s="14">
        <f>VLOOKUP($B73,Deals_Demo!$H:$S,8,0)</f>
        <v>45925.883750000001</v>
      </c>
      <c r="T73" s="14">
        <f>VLOOKUP($B73,Deals_Demo!$H:$S,9,0)</f>
        <v>45926.092083333337</v>
      </c>
      <c r="U73" s="15" t="str">
        <f t="shared" si="22"/>
        <v>2025-09-26</v>
      </c>
      <c r="V73" s="13" t="str">
        <f>VLOOKUP($B73,Deals_Demo!$H:$S,11,0)</f>
        <v>02</v>
      </c>
      <c r="W73" s="13" t="str">
        <f>VLOOKUP($B73,Deals_Demo!$H:$S,12,0)</f>
        <v>Fri</v>
      </c>
      <c r="X73" s="13">
        <f t="shared" si="15"/>
        <v>-2.8999999999999998E-2</v>
      </c>
      <c r="Y73" s="13">
        <f t="shared" si="16"/>
        <v>-5.7999999999999996E-2</v>
      </c>
      <c r="Z73" s="13">
        <f t="shared" si="17"/>
        <v>-8.6999999999999994E-2</v>
      </c>
      <c r="AA73" s="13">
        <f t="shared" si="23"/>
        <v>-3</v>
      </c>
    </row>
    <row r="74" spans="1:27" x14ac:dyDescent="0.25">
      <c r="A74" s="77">
        <v>45925.893935185188</v>
      </c>
      <c r="B74" s="78">
        <v>177590290</v>
      </c>
      <c r="C74" s="79" t="s">
        <v>103</v>
      </c>
      <c r="D74" s="79" t="s">
        <v>36</v>
      </c>
      <c r="E74" s="79" t="s">
        <v>104</v>
      </c>
      <c r="F74" s="80">
        <v>3746.39</v>
      </c>
      <c r="G74" s="80">
        <v>3749.16</v>
      </c>
      <c r="H74" s="79"/>
      <c r="I74" s="79" t="s">
        <v>260</v>
      </c>
      <c r="J74" s="80">
        <v>3749.11</v>
      </c>
      <c r="K74" s="80">
        <v>0</v>
      </c>
      <c r="L74" s="80">
        <v>0</v>
      </c>
      <c r="M74" s="80">
        <v>0.27</v>
      </c>
      <c r="N74" s="10" t="str">
        <f t="shared" si="18"/>
        <v>W</v>
      </c>
      <c r="O74" s="11">
        <f t="shared" si="19"/>
        <v>45925</v>
      </c>
      <c r="P74" s="12" t="str">
        <f t="shared" si="20"/>
        <v>21</v>
      </c>
      <c r="Q74" s="13" t="str">
        <f>VLOOKUP($B74,Deals_Demo!$H:$N,7,0)</f>
        <v>strategy_19_live</v>
      </c>
      <c r="R74" s="13" t="str">
        <f t="shared" si="21"/>
        <v>Thu</v>
      </c>
      <c r="S74" s="14">
        <f>VLOOKUP($B74,Deals_Demo!$H:$S,8,0)</f>
        <v>45925.893935185188</v>
      </c>
      <c r="T74" s="14">
        <f>VLOOKUP($B74,Deals_Demo!$H:$S,9,0)</f>
        <v>45926.102268518523</v>
      </c>
      <c r="U74" s="15" t="str">
        <f t="shared" si="22"/>
        <v>2025-09-26</v>
      </c>
      <c r="V74" s="13" t="str">
        <f>VLOOKUP($B74,Deals_Demo!$H:$S,11,0)</f>
        <v>02</v>
      </c>
      <c r="W74" s="13" t="str">
        <f>VLOOKUP($B74,Deals_Demo!$H:$S,12,0)</f>
        <v>Fri</v>
      </c>
      <c r="X74" s="13">
        <f t="shared" si="15"/>
        <v>2.7000000000000003E-2</v>
      </c>
      <c r="Y74" s="13">
        <f t="shared" si="16"/>
        <v>5.4000000000000006E-2</v>
      </c>
      <c r="Z74" s="13">
        <f t="shared" si="17"/>
        <v>8.1000000000000003E-2</v>
      </c>
      <c r="AA74" s="13">
        <f t="shared" si="23"/>
        <v>-3</v>
      </c>
    </row>
    <row r="75" spans="1:27" x14ac:dyDescent="0.25">
      <c r="A75" s="81">
        <v>45925.896134259259</v>
      </c>
      <c r="B75" s="82">
        <v>177592120</v>
      </c>
      <c r="C75" s="83" t="s">
        <v>103</v>
      </c>
      <c r="D75" s="83" t="s">
        <v>36</v>
      </c>
      <c r="E75" s="83" t="s">
        <v>104</v>
      </c>
      <c r="F75" s="84">
        <v>3749.33</v>
      </c>
      <c r="G75" s="84">
        <v>3755.95</v>
      </c>
      <c r="H75" s="83"/>
      <c r="I75" s="83" t="s">
        <v>261</v>
      </c>
      <c r="J75" s="84">
        <v>3755.91</v>
      </c>
      <c r="K75" s="84">
        <v>0</v>
      </c>
      <c r="L75" s="84">
        <v>0</v>
      </c>
      <c r="M75" s="84">
        <v>0.66</v>
      </c>
      <c r="N75" s="10" t="str">
        <f t="shared" si="18"/>
        <v>W</v>
      </c>
      <c r="O75" s="11">
        <f t="shared" si="19"/>
        <v>45925</v>
      </c>
      <c r="P75" s="12" t="str">
        <f t="shared" si="20"/>
        <v>21</v>
      </c>
      <c r="Q75" s="13" t="str">
        <f>VLOOKUP($B75,Deals_Demo!$H:$N,7,0)</f>
        <v>strategy_19_live</v>
      </c>
      <c r="R75" s="13" t="str">
        <f t="shared" si="21"/>
        <v>Thu</v>
      </c>
      <c r="S75" s="14">
        <f>VLOOKUP($B75,Deals_Demo!$H:$S,8,0)</f>
        <v>45925.896134259259</v>
      </c>
      <c r="T75" s="14">
        <f>VLOOKUP($B75,Deals_Demo!$H:$S,9,0)</f>
        <v>45926.104467592595</v>
      </c>
      <c r="U75" s="15" t="str">
        <f t="shared" si="22"/>
        <v>2025-09-26</v>
      </c>
      <c r="V75" s="13" t="str">
        <f>VLOOKUP($B75,Deals_Demo!$H:$S,11,0)</f>
        <v>02</v>
      </c>
      <c r="W75" s="13" t="str">
        <f>VLOOKUP($B75,Deals_Demo!$H:$S,12,0)</f>
        <v>Fri</v>
      </c>
      <c r="X75" s="13">
        <f t="shared" si="15"/>
        <v>6.6000000000000003E-2</v>
      </c>
      <c r="Y75" s="13">
        <f t="shared" si="16"/>
        <v>0.13200000000000001</v>
      </c>
      <c r="Z75" s="13">
        <f t="shared" si="17"/>
        <v>0.19800000000000001</v>
      </c>
      <c r="AA75" s="13">
        <f t="shared" si="23"/>
        <v>-3</v>
      </c>
    </row>
    <row r="76" spans="1:27" x14ac:dyDescent="0.25">
      <c r="A76" s="77">
        <v>45925.898680555554</v>
      </c>
      <c r="B76" s="78">
        <v>177592907</v>
      </c>
      <c r="C76" s="79" t="s">
        <v>103</v>
      </c>
      <c r="D76" s="79" t="s">
        <v>36</v>
      </c>
      <c r="E76" s="79" t="s">
        <v>104</v>
      </c>
      <c r="F76" s="80">
        <v>3749.41</v>
      </c>
      <c r="G76" s="80">
        <v>3751.2</v>
      </c>
      <c r="H76" s="80">
        <v>3752.91</v>
      </c>
      <c r="I76" s="79" t="s">
        <v>262</v>
      </c>
      <c r="J76" s="80">
        <v>3752.93</v>
      </c>
      <c r="K76" s="80">
        <v>0</v>
      </c>
      <c r="L76" s="80">
        <v>0</v>
      </c>
      <c r="M76" s="80">
        <v>0.35</v>
      </c>
      <c r="N76" s="10" t="str">
        <f t="shared" si="18"/>
        <v>W</v>
      </c>
      <c r="O76" s="11">
        <f t="shared" si="19"/>
        <v>45925</v>
      </c>
      <c r="P76" s="12" t="str">
        <f t="shared" si="20"/>
        <v>21</v>
      </c>
      <c r="Q76" s="13" t="str">
        <f>VLOOKUP($B76,Deals_Demo!$H:$N,7,0)</f>
        <v>strategy_31.py</v>
      </c>
      <c r="R76" s="13" t="str">
        <f t="shared" si="21"/>
        <v>Thu</v>
      </c>
      <c r="S76" s="14">
        <f>VLOOKUP($B76,Deals_Demo!$H:$S,8,0)</f>
        <v>45925.898680555554</v>
      </c>
      <c r="T76" s="14">
        <f>VLOOKUP($B76,Deals_Demo!$H:$S,9,0)</f>
        <v>45926.10701388889</v>
      </c>
      <c r="U76" s="15" t="str">
        <f t="shared" si="22"/>
        <v>2025-09-26</v>
      </c>
      <c r="V76" s="13" t="str">
        <f>VLOOKUP($B76,Deals_Demo!$H:$S,11,0)</f>
        <v>02</v>
      </c>
      <c r="W76" s="13" t="str">
        <f>VLOOKUP($B76,Deals_Demo!$H:$S,12,0)</f>
        <v>Fri</v>
      </c>
      <c r="X76" s="13">
        <f t="shared" si="15"/>
        <v>3.4999999999999996E-2</v>
      </c>
      <c r="Y76" s="13">
        <f t="shared" si="16"/>
        <v>6.9999999999999993E-2</v>
      </c>
      <c r="Z76" s="13">
        <f t="shared" si="17"/>
        <v>0.105</v>
      </c>
      <c r="AA76" s="13">
        <f t="shared" si="23"/>
        <v>-3</v>
      </c>
    </row>
    <row r="77" spans="1:27" x14ac:dyDescent="0.25">
      <c r="A77" s="81">
        <v>45925.904236111113</v>
      </c>
      <c r="B77" s="82">
        <v>177596211</v>
      </c>
      <c r="C77" s="83" t="s">
        <v>103</v>
      </c>
      <c r="D77" s="83" t="s">
        <v>36</v>
      </c>
      <c r="E77" s="83" t="s">
        <v>104</v>
      </c>
      <c r="F77" s="84">
        <v>3756.08</v>
      </c>
      <c r="G77" s="84">
        <v>3753.06</v>
      </c>
      <c r="H77" s="83"/>
      <c r="I77" s="83" t="s">
        <v>263</v>
      </c>
      <c r="J77" s="84">
        <v>3753</v>
      </c>
      <c r="K77" s="84">
        <v>0</v>
      </c>
      <c r="L77" s="84">
        <v>0</v>
      </c>
      <c r="M77" s="84">
        <v>-0.31</v>
      </c>
      <c r="N77" s="10" t="str">
        <f t="shared" si="18"/>
        <v>L</v>
      </c>
      <c r="O77" s="11">
        <f t="shared" si="19"/>
        <v>45925</v>
      </c>
      <c r="P77" s="12" t="str">
        <f t="shared" si="20"/>
        <v>21</v>
      </c>
      <c r="Q77" s="13" t="str">
        <f>VLOOKUP($B77,Deals_Demo!$H:$N,7,0)</f>
        <v>strategy_19_live</v>
      </c>
      <c r="R77" s="13" t="str">
        <f t="shared" si="21"/>
        <v>Thu</v>
      </c>
      <c r="S77" s="14">
        <f>VLOOKUP($B77,Deals_Demo!$H:$S,8,0)</f>
        <v>45925.904236111113</v>
      </c>
      <c r="T77" s="14">
        <f>VLOOKUP($B77,Deals_Demo!$H:$S,9,0)</f>
        <v>45926.112569444449</v>
      </c>
      <c r="U77" s="15" t="str">
        <f t="shared" si="22"/>
        <v>2025-09-26</v>
      </c>
      <c r="V77" s="13" t="str">
        <f>VLOOKUP($B77,Deals_Demo!$H:$S,11,0)</f>
        <v>02</v>
      </c>
      <c r="W77" s="13" t="str">
        <f>VLOOKUP($B77,Deals_Demo!$H:$S,12,0)</f>
        <v>Fri</v>
      </c>
      <c r="X77" s="13">
        <f t="shared" si="15"/>
        <v>-3.1E-2</v>
      </c>
      <c r="Y77" s="13">
        <f t="shared" si="16"/>
        <v>-6.2E-2</v>
      </c>
      <c r="Z77" s="13">
        <f t="shared" si="17"/>
        <v>-9.2999999999999999E-2</v>
      </c>
      <c r="AA77" s="13">
        <f t="shared" si="23"/>
        <v>-3</v>
      </c>
    </row>
    <row r="78" spans="1:27" x14ac:dyDescent="0.25">
      <c r="A78" s="77">
        <v>45925.905740740738</v>
      </c>
      <c r="B78" s="78">
        <v>177596803</v>
      </c>
      <c r="C78" s="79" t="s">
        <v>103</v>
      </c>
      <c r="D78" s="79" t="s">
        <v>36</v>
      </c>
      <c r="E78" s="79" t="s">
        <v>104</v>
      </c>
      <c r="F78" s="80">
        <v>3755.44</v>
      </c>
      <c r="G78" s="80">
        <v>3752.44</v>
      </c>
      <c r="H78" s="80">
        <v>3758.94</v>
      </c>
      <c r="I78" s="79" t="s">
        <v>264</v>
      </c>
      <c r="J78" s="80">
        <v>3752.43</v>
      </c>
      <c r="K78" s="80">
        <v>0</v>
      </c>
      <c r="L78" s="80">
        <v>0</v>
      </c>
      <c r="M78" s="80">
        <v>-0.3</v>
      </c>
      <c r="N78" s="10" t="str">
        <f t="shared" si="18"/>
        <v>L</v>
      </c>
      <c r="O78" s="11">
        <f t="shared" si="19"/>
        <v>45925</v>
      </c>
      <c r="P78" s="12" t="str">
        <f t="shared" si="20"/>
        <v>21</v>
      </c>
      <c r="Q78" s="13" t="str">
        <f>VLOOKUP($B78,Deals_Demo!$H:$N,7,0)</f>
        <v>strategy_31.py</v>
      </c>
      <c r="R78" s="13" t="str">
        <f t="shared" si="21"/>
        <v>Thu</v>
      </c>
      <c r="S78" s="14">
        <f>VLOOKUP($B78,Deals_Demo!$H:$S,8,0)</f>
        <v>45925.905740740738</v>
      </c>
      <c r="T78" s="14">
        <f>VLOOKUP($B78,Deals_Demo!$H:$S,9,0)</f>
        <v>45926.114074074074</v>
      </c>
      <c r="U78" s="15" t="str">
        <f t="shared" si="22"/>
        <v>2025-09-26</v>
      </c>
      <c r="V78" s="13" t="str">
        <f>VLOOKUP($B78,Deals_Demo!$H:$S,11,0)</f>
        <v>02</v>
      </c>
      <c r="W78" s="13" t="str">
        <f>VLOOKUP($B78,Deals_Demo!$H:$S,12,0)</f>
        <v>Fri</v>
      </c>
      <c r="X78" s="13">
        <f t="shared" si="15"/>
        <v>-0.03</v>
      </c>
      <c r="Y78" s="13">
        <f t="shared" si="16"/>
        <v>-0.06</v>
      </c>
      <c r="Z78" s="13">
        <f t="shared" si="17"/>
        <v>-0.09</v>
      </c>
      <c r="AA78" s="13">
        <f t="shared" si="23"/>
        <v>-3</v>
      </c>
    </row>
    <row r="79" spans="1:27" x14ac:dyDescent="0.25">
      <c r="A79" s="81">
        <v>45925.918703703705</v>
      </c>
      <c r="B79" s="82">
        <v>177601390</v>
      </c>
      <c r="C79" s="83" t="s">
        <v>103</v>
      </c>
      <c r="D79" s="83" t="s">
        <v>37</v>
      </c>
      <c r="E79" s="83" t="s">
        <v>104</v>
      </c>
      <c r="F79" s="84">
        <v>3753.26</v>
      </c>
      <c r="G79" s="84">
        <v>3756.16</v>
      </c>
      <c r="H79" s="83"/>
      <c r="I79" s="83" t="s">
        <v>265</v>
      </c>
      <c r="J79" s="84">
        <v>3756.17</v>
      </c>
      <c r="K79" s="84">
        <v>0</v>
      </c>
      <c r="L79" s="84">
        <v>0</v>
      </c>
      <c r="M79" s="84">
        <v>-0.28999999999999998</v>
      </c>
      <c r="N79" s="10" t="str">
        <f t="shared" si="18"/>
        <v>L</v>
      </c>
      <c r="O79" s="11">
        <f t="shared" si="19"/>
        <v>45925</v>
      </c>
      <c r="P79" s="12" t="str">
        <f t="shared" si="20"/>
        <v>22</v>
      </c>
      <c r="Q79" s="13" t="str">
        <f>VLOOKUP($B79,Deals_Demo!$H:$N,7,0)</f>
        <v>strategy_19_live</v>
      </c>
      <c r="R79" s="13" t="str">
        <f t="shared" si="21"/>
        <v>Thu</v>
      </c>
      <c r="S79" s="14">
        <f>VLOOKUP($B79,Deals_Demo!$H:$S,8,0)</f>
        <v>45925.918703703705</v>
      </c>
      <c r="T79" s="14">
        <f>VLOOKUP($B79,Deals_Demo!$H:$S,9,0)</f>
        <v>45926.12703703704</v>
      </c>
      <c r="U79" s="15" t="str">
        <f t="shared" si="22"/>
        <v>2025-09-26</v>
      </c>
      <c r="V79" s="13" t="str">
        <f>VLOOKUP($B79,Deals_Demo!$H:$S,11,0)</f>
        <v>03</v>
      </c>
      <c r="W79" s="13" t="str">
        <f>VLOOKUP($B79,Deals_Demo!$H:$S,12,0)</f>
        <v>Fri</v>
      </c>
      <c r="X79" s="13">
        <f t="shared" si="15"/>
        <v>-2.8999999999999998E-2</v>
      </c>
      <c r="Y79" s="13">
        <f t="shared" si="16"/>
        <v>-5.7999999999999996E-2</v>
      </c>
      <c r="Z79" s="13">
        <f t="shared" si="17"/>
        <v>-8.6999999999999994E-2</v>
      </c>
      <c r="AA79" s="13">
        <f t="shared" si="23"/>
        <v>-3</v>
      </c>
    </row>
    <row r="80" spans="1:27" x14ac:dyDescent="0.25">
      <c r="A80" s="77">
        <v>45925.923680555556</v>
      </c>
      <c r="B80" s="78">
        <v>177602894</v>
      </c>
      <c r="C80" s="79" t="s">
        <v>103</v>
      </c>
      <c r="D80" s="79" t="s">
        <v>36</v>
      </c>
      <c r="E80" s="79" t="s">
        <v>104</v>
      </c>
      <c r="F80" s="80">
        <v>3755.57</v>
      </c>
      <c r="G80" s="80">
        <v>3752.57</v>
      </c>
      <c r="H80" s="79"/>
      <c r="I80" s="79" t="s">
        <v>266</v>
      </c>
      <c r="J80" s="80">
        <v>3752.56</v>
      </c>
      <c r="K80" s="80">
        <v>0</v>
      </c>
      <c r="L80" s="80">
        <v>0</v>
      </c>
      <c r="M80" s="80">
        <v>-0.3</v>
      </c>
      <c r="N80" s="10" t="str">
        <f t="shared" si="18"/>
        <v>L</v>
      </c>
      <c r="O80" s="11">
        <f t="shared" si="19"/>
        <v>45925</v>
      </c>
      <c r="P80" s="12" t="str">
        <f t="shared" si="20"/>
        <v>22</v>
      </c>
      <c r="Q80" s="13" t="str">
        <f>VLOOKUP($B80,Deals_Demo!$H:$N,7,0)</f>
        <v>strategy_19_live</v>
      </c>
      <c r="R80" s="13" t="str">
        <f t="shared" si="21"/>
        <v>Thu</v>
      </c>
      <c r="S80" s="14">
        <f>VLOOKUP($B80,Deals_Demo!$H:$S,8,0)</f>
        <v>45925.923680555556</v>
      </c>
      <c r="T80" s="14">
        <f>VLOOKUP($B80,Deals_Demo!$H:$S,9,0)</f>
        <v>45926.132013888891</v>
      </c>
      <c r="U80" s="15" t="str">
        <f t="shared" si="22"/>
        <v>2025-09-26</v>
      </c>
      <c r="V80" s="13" t="str">
        <f>VLOOKUP($B80,Deals_Demo!$H:$S,11,0)</f>
        <v>03</v>
      </c>
      <c r="W80" s="13" t="str">
        <f>VLOOKUP($B80,Deals_Demo!$H:$S,12,0)</f>
        <v>Fri</v>
      </c>
      <c r="X80" s="13">
        <f t="shared" si="15"/>
        <v>-0.03</v>
      </c>
      <c r="Y80" s="13">
        <f t="shared" si="16"/>
        <v>-0.06</v>
      </c>
      <c r="Z80" s="13">
        <f t="shared" si="17"/>
        <v>-0.09</v>
      </c>
      <c r="AA80" s="13">
        <f t="shared" si="23"/>
        <v>-3</v>
      </c>
    </row>
    <row r="81" spans="1:27" x14ac:dyDescent="0.25">
      <c r="A81" s="81">
        <v>45925.932708333334</v>
      </c>
      <c r="B81" s="82">
        <v>177604390</v>
      </c>
      <c r="C81" s="83" t="s">
        <v>103</v>
      </c>
      <c r="D81" s="83" t="s">
        <v>37</v>
      </c>
      <c r="E81" s="83" t="s">
        <v>104</v>
      </c>
      <c r="F81" s="84">
        <v>3753.03</v>
      </c>
      <c r="G81" s="84">
        <v>3750.44</v>
      </c>
      <c r="H81" s="83"/>
      <c r="I81" s="83" t="s">
        <v>267</v>
      </c>
      <c r="J81" s="84">
        <v>3750.49</v>
      </c>
      <c r="K81" s="84">
        <v>0</v>
      </c>
      <c r="L81" s="84">
        <v>0</v>
      </c>
      <c r="M81" s="84">
        <v>0.25</v>
      </c>
      <c r="N81" s="10" t="str">
        <f t="shared" si="18"/>
        <v>W</v>
      </c>
      <c r="O81" s="11">
        <f t="shared" si="19"/>
        <v>45925</v>
      </c>
      <c r="P81" s="12" t="str">
        <f t="shared" si="20"/>
        <v>22</v>
      </c>
      <c r="Q81" s="13" t="str">
        <f>VLOOKUP($B81,Deals_Demo!$H:$N,7,0)</f>
        <v>strategy_19_live</v>
      </c>
      <c r="R81" s="13" t="str">
        <f t="shared" si="21"/>
        <v>Thu</v>
      </c>
      <c r="S81" s="14">
        <f>VLOOKUP($B81,Deals_Demo!$H:$S,8,0)</f>
        <v>45925.932708333334</v>
      </c>
      <c r="T81" s="14">
        <f>VLOOKUP($B81,Deals_Demo!$H:$S,9,0)</f>
        <v>45926.141041666669</v>
      </c>
      <c r="U81" s="15" t="str">
        <f t="shared" si="22"/>
        <v>2025-09-26</v>
      </c>
      <c r="V81" s="13" t="str">
        <f>VLOOKUP($B81,Deals_Demo!$H:$S,11,0)</f>
        <v>03</v>
      </c>
      <c r="W81" s="13" t="str">
        <f>VLOOKUP($B81,Deals_Demo!$H:$S,12,0)</f>
        <v>Fri</v>
      </c>
      <c r="X81" s="13">
        <f t="shared" si="15"/>
        <v>2.5000000000000001E-2</v>
      </c>
      <c r="Y81" s="13">
        <f t="shared" si="16"/>
        <v>0.05</v>
      </c>
      <c r="Z81" s="13">
        <f t="shared" si="17"/>
        <v>7.4999999999999997E-2</v>
      </c>
      <c r="AA81" s="13">
        <f t="shared" si="23"/>
        <v>-3</v>
      </c>
    </row>
    <row r="82" spans="1:27" x14ac:dyDescent="0.25">
      <c r="A82" s="77">
        <v>45925.937569444446</v>
      </c>
      <c r="B82" s="78">
        <v>177605573</v>
      </c>
      <c r="C82" s="79" t="s">
        <v>103</v>
      </c>
      <c r="D82" s="79" t="s">
        <v>37</v>
      </c>
      <c r="E82" s="79" t="s">
        <v>104</v>
      </c>
      <c r="F82" s="80">
        <v>3751.86</v>
      </c>
      <c r="G82" s="80">
        <v>3754.87</v>
      </c>
      <c r="H82" s="80">
        <v>3748.37</v>
      </c>
      <c r="I82" s="79" t="s">
        <v>268</v>
      </c>
      <c r="J82" s="80">
        <v>3748.36</v>
      </c>
      <c r="K82" s="80">
        <v>0</v>
      </c>
      <c r="L82" s="80">
        <v>0</v>
      </c>
      <c r="M82" s="80">
        <v>0.35</v>
      </c>
      <c r="N82" s="10" t="str">
        <f t="shared" si="18"/>
        <v>W</v>
      </c>
      <c r="O82" s="11">
        <f t="shared" si="19"/>
        <v>45925</v>
      </c>
      <c r="P82" s="12" t="str">
        <f t="shared" si="20"/>
        <v>22</v>
      </c>
      <c r="Q82" s="13" t="str">
        <f>VLOOKUP($B82,Deals_Demo!$H:$N,7,0)</f>
        <v>strategy_31.py</v>
      </c>
      <c r="R82" s="13" t="str">
        <f t="shared" si="21"/>
        <v>Thu</v>
      </c>
      <c r="S82" s="14">
        <f>VLOOKUP($B82,Deals_Demo!$H:$S,8,0)</f>
        <v>45925.937569444446</v>
      </c>
      <c r="T82" s="14">
        <f>VLOOKUP($B82,Deals_Demo!$H:$S,9,0)</f>
        <v>45926.145902777782</v>
      </c>
      <c r="U82" s="15" t="str">
        <f t="shared" si="22"/>
        <v>2025-09-26</v>
      </c>
      <c r="V82" s="13" t="str">
        <f>VLOOKUP($B82,Deals_Demo!$H:$S,11,0)</f>
        <v>03</v>
      </c>
      <c r="W82" s="13" t="str">
        <f>VLOOKUP($B82,Deals_Demo!$H:$S,12,0)</f>
        <v>Fri</v>
      </c>
      <c r="X82" s="13">
        <f t="shared" si="15"/>
        <v>3.4999999999999996E-2</v>
      </c>
      <c r="Y82" s="13">
        <f t="shared" si="16"/>
        <v>6.9999999999999993E-2</v>
      </c>
      <c r="Z82" s="13">
        <f t="shared" si="17"/>
        <v>0.105</v>
      </c>
      <c r="AA82" s="13">
        <f t="shared" si="23"/>
        <v>-3</v>
      </c>
    </row>
    <row r="83" spans="1:27" x14ac:dyDescent="0.25">
      <c r="A83" s="81">
        <v>45925.940115740741</v>
      </c>
      <c r="B83" s="82">
        <v>177606397</v>
      </c>
      <c r="C83" s="83" t="s">
        <v>103</v>
      </c>
      <c r="D83" s="83" t="s">
        <v>37</v>
      </c>
      <c r="E83" s="83" t="s">
        <v>104</v>
      </c>
      <c r="F83" s="84">
        <v>3750.49</v>
      </c>
      <c r="G83" s="84">
        <v>3746.79</v>
      </c>
      <c r="H83" s="83"/>
      <c r="I83" s="83" t="s">
        <v>269</v>
      </c>
      <c r="J83" s="84">
        <v>3747.09</v>
      </c>
      <c r="K83" s="84">
        <v>0</v>
      </c>
      <c r="L83" s="84">
        <v>0</v>
      </c>
      <c r="M83" s="84">
        <v>0.34</v>
      </c>
      <c r="N83" s="10" t="str">
        <f t="shared" si="18"/>
        <v>W</v>
      </c>
      <c r="O83" s="11">
        <f t="shared" si="19"/>
        <v>45925</v>
      </c>
      <c r="P83" s="12" t="str">
        <f t="shared" si="20"/>
        <v>22</v>
      </c>
      <c r="Q83" s="13" t="str">
        <f>VLOOKUP($B83,Deals_Demo!$H:$N,7,0)</f>
        <v>strategy_19_live</v>
      </c>
      <c r="R83" s="13" t="str">
        <f t="shared" si="21"/>
        <v>Thu</v>
      </c>
      <c r="S83" s="14">
        <f>VLOOKUP($B83,Deals_Demo!$H:$S,8,0)</f>
        <v>45925.940115740741</v>
      </c>
      <c r="T83" s="14">
        <f>VLOOKUP($B83,Deals_Demo!$H:$S,9,0)</f>
        <v>45926.148449074077</v>
      </c>
      <c r="U83" s="15" t="str">
        <f t="shared" si="22"/>
        <v>2025-09-26</v>
      </c>
      <c r="V83" s="13" t="str">
        <f>VLOOKUP($B83,Deals_Demo!$H:$S,11,0)</f>
        <v>03</v>
      </c>
      <c r="W83" s="13" t="str">
        <f>VLOOKUP($B83,Deals_Demo!$H:$S,12,0)</f>
        <v>Fri</v>
      </c>
      <c r="X83" s="13">
        <f t="shared" si="15"/>
        <v>3.4000000000000002E-2</v>
      </c>
      <c r="Y83" s="13">
        <f t="shared" si="16"/>
        <v>6.8000000000000005E-2</v>
      </c>
      <c r="Z83" s="13">
        <f t="shared" si="17"/>
        <v>0.10200000000000001</v>
      </c>
      <c r="AA83" s="13">
        <f t="shared" si="23"/>
        <v>-3</v>
      </c>
    </row>
    <row r="84" spans="1:27" x14ac:dyDescent="0.25">
      <c r="A84" s="77">
        <v>45925.946250000001</v>
      </c>
      <c r="B84" s="78">
        <v>177608496</v>
      </c>
      <c r="C84" s="79" t="s">
        <v>103</v>
      </c>
      <c r="D84" s="79" t="s">
        <v>37</v>
      </c>
      <c r="E84" s="79" t="s">
        <v>104</v>
      </c>
      <c r="F84" s="80">
        <v>3745.43</v>
      </c>
      <c r="G84" s="80">
        <v>3748.43</v>
      </c>
      <c r="H84" s="79"/>
      <c r="I84" s="79" t="s">
        <v>270</v>
      </c>
      <c r="J84" s="80">
        <v>3748.55</v>
      </c>
      <c r="K84" s="80">
        <v>0</v>
      </c>
      <c r="L84" s="80">
        <v>0</v>
      </c>
      <c r="M84" s="80">
        <v>-0.31</v>
      </c>
      <c r="N84" s="10" t="str">
        <f t="shared" si="18"/>
        <v>L</v>
      </c>
      <c r="O84" s="11">
        <f t="shared" si="19"/>
        <v>45925</v>
      </c>
      <c r="P84" s="12" t="str">
        <f t="shared" si="20"/>
        <v>22</v>
      </c>
      <c r="Q84" s="13" t="str">
        <f>VLOOKUP($B84,Deals_Demo!$H:$N,7,0)</f>
        <v>strategy_19_live</v>
      </c>
      <c r="R84" s="13" t="str">
        <f t="shared" si="21"/>
        <v>Thu</v>
      </c>
      <c r="S84" s="14">
        <f>VLOOKUP($B84,Deals_Demo!$H:$S,8,0)</f>
        <v>45925.946250000001</v>
      </c>
      <c r="T84" s="14">
        <f>VLOOKUP($B84,Deals_Demo!$H:$S,9,0)</f>
        <v>45926.154583333337</v>
      </c>
      <c r="U84" s="15" t="str">
        <f t="shared" si="22"/>
        <v>2025-09-26</v>
      </c>
      <c r="V84" s="13" t="str">
        <f>VLOOKUP($B84,Deals_Demo!$H:$S,11,0)</f>
        <v>03</v>
      </c>
      <c r="W84" s="13" t="str">
        <f>VLOOKUP($B84,Deals_Demo!$H:$S,12,0)</f>
        <v>Fri</v>
      </c>
      <c r="X84" s="13">
        <f t="shared" si="15"/>
        <v>-3.1E-2</v>
      </c>
      <c r="Y84" s="13">
        <f t="shared" si="16"/>
        <v>-6.2E-2</v>
      </c>
      <c r="Z84" s="13">
        <f t="shared" si="17"/>
        <v>-9.2999999999999999E-2</v>
      </c>
      <c r="AA84" s="13">
        <f t="shared" si="23"/>
        <v>-3</v>
      </c>
    </row>
    <row r="85" spans="1:27" x14ac:dyDescent="0.25">
      <c r="A85" s="81">
        <v>45925.947106481479</v>
      </c>
      <c r="B85" s="82">
        <v>177608775</v>
      </c>
      <c r="C85" s="83" t="s">
        <v>103</v>
      </c>
      <c r="D85" s="83" t="s">
        <v>37</v>
      </c>
      <c r="E85" s="83" t="s">
        <v>104</v>
      </c>
      <c r="F85" s="84">
        <v>3746.56</v>
      </c>
      <c r="G85" s="84">
        <v>3749.53</v>
      </c>
      <c r="H85" s="84">
        <v>3743.03</v>
      </c>
      <c r="I85" s="83" t="s">
        <v>271</v>
      </c>
      <c r="J85" s="84">
        <v>3749.88</v>
      </c>
      <c r="K85" s="84">
        <v>0</v>
      </c>
      <c r="L85" s="84">
        <v>0</v>
      </c>
      <c r="M85" s="84">
        <v>-0.33</v>
      </c>
      <c r="N85" s="10" t="str">
        <f t="shared" si="18"/>
        <v>L</v>
      </c>
      <c r="O85" s="11">
        <f t="shared" si="19"/>
        <v>45925</v>
      </c>
      <c r="P85" s="12" t="str">
        <f t="shared" si="20"/>
        <v>22</v>
      </c>
      <c r="Q85" s="13" t="str">
        <f>VLOOKUP($B85,Deals_Demo!$H:$N,7,0)</f>
        <v>strategy_31.py</v>
      </c>
      <c r="R85" s="13" t="str">
        <f t="shared" si="21"/>
        <v>Thu</v>
      </c>
      <c r="S85" s="14">
        <f>VLOOKUP($B85,Deals_Demo!$H:$S,8,0)</f>
        <v>45925.947106481479</v>
      </c>
      <c r="T85" s="14">
        <f>VLOOKUP($B85,Deals_Demo!$H:$S,9,0)</f>
        <v>45926.155439814815</v>
      </c>
      <c r="U85" s="15" t="str">
        <f t="shared" si="22"/>
        <v>2025-09-26</v>
      </c>
      <c r="V85" s="13" t="str">
        <f>VLOOKUP($B85,Deals_Demo!$H:$S,11,0)</f>
        <v>03</v>
      </c>
      <c r="W85" s="13" t="str">
        <f>VLOOKUP($B85,Deals_Demo!$H:$S,12,0)</f>
        <v>Fri</v>
      </c>
      <c r="X85" s="13">
        <f t="shared" si="15"/>
        <v>-3.3000000000000002E-2</v>
      </c>
      <c r="Y85" s="13">
        <f t="shared" si="16"/>
        <v>-6.6000000000000003E-2</v>
      </c>
      <c r="Z85" s="13">
        <f t="shared" si="17"/>
        <v>-9.9000000000000005E-2</v>
      </c>
      <c r="AA85" s="13">
        <f t="shared" si="23"/>
        <v>-3</v>
      </c>
    </row>
    <row r="86" spans="1:27" x14ac:dyDescent="0.25">
      <c r="A86" s="77">
        <v>45925.950925925928</v>
      </c>
      <c r="B86" s="78">
        <v>177609906</v>
      </c>
      <c r="C86" s="79" t="s">
        <v>103</v>
      </c>
      <c r="D86" s="79" t="s">
        <v>36</v>
      </c>
      <c r="E86" s="79" t="s">
        <v>104</v>
      </c>
      <c r="F86" s="80">
        <v>3749.78</v>
      </c>
      <c r="G86" s="80">
        <v>3746.77</v>
      </c>
      <c r="H86" s="79"/>
      <c r="I86" s="79" t="s">
        <v>272</v>
      </c>
      <c r="J86" s="80">
        <v>3746.76</v>
      </c>
      <c r="K86" s="80">
        <v>0</v>
      </c>
      <c r="L86" s="80">
        <v>0</v>
      </c>
      <c r="M86" s="80">
        <v>-0.3</v>
      </c>
      <c r="N86" s="10" t="str">
        <f t="shared" si="18"/>
        <v>L</v>
      </c>
      <c r="O86" s="11">
        <f t="shared" si="19"/>
        <v>45925</v>
      </c>
      <c r="P86" s="12" t="str">
        <f t="shared" si="20"/>
        <v>22</v>
      </c>
      <c r="Q86" s="13" t="str">
        <f>VLOOKUP($B86,Deals_Demo!$H:$N,7,0)</f>
        <v>strategy_19_live</v>
      </c>
      <c r="R86" s="13" t="str">
        <f t="shared" si="21"/>
        <v>Thu</v>
      </c>
      <c r="S86" s="14">
        <f>VLOOKUP($B86,Deals_Demo!$H:$S,8,0)</f>
        <v>45925.950925925928</v>
      </c>
      <c r="T86" s="14">
        <f>VLOOKUP($B86,Deals_Demo!$H:$S,9,0)</f>
        <v>45926.159259259264</v>
      </c>
      <c r="U86" s="15" t="str">
        <f t="shared" si="22"/>
        <v>2025-09-26</v>
      </c>
      <c r="V86" s="13" t="str">
        <f>VLOOKUP($B86,Deals_Demo!$H:$S,11,0)</f>
        <v>03</v>
      </c>
      <c r="W86" s="13" t="str">
        <f>VLOOKUP($B86,Deals_Demo!$H:$S,12,0)</f>
        <v>Fri</v>
      </c>
      <c r="X86" s="13">
        <f t="shared" si="15"/>
        <v>-0.03</v>
      </c>
      <c r="Y86" s="13">
        <f t="shared" si="16"/>
        <v>-0.06</v>
      </c>
      <c r="Z86" s="13">
        <f t="shared" si="17"/>
        <v>-0.09</v>
      </c>
      <c r="AA86" s="13">
        <f t="shared" si="23"/>
        <v>-3</v>
      </c>
    </row>
    <row r="87" spans="1:27" x14ac:dyDescent="0.25">
      <c r="A87" s="81">
        <v>45925.954282407409</v>
      </c>
      <c r="B87" s="82">
        <v>177610549</v>
      </c>
      <c r="C87" s="83" t="s">
        <v>103</v>
      </c>
      <c r="D87" s="83" t="s">
        <v>37</v>
      </c>
      <c r="E87" s="83" t="s">
        <v>104</v>
      </c>
      <c r="F87" s="84">
        <v>3747.7</v>
      </c>
      <c r="G87" s="84">
        <v>3750.7</v>
      </c>
      <c r="H87" s="84">
        <v>3744.2</v>
      </c>
      <c r="I87" s="83" t="s">
        <v>273</v>
      </c>
      <c r="J87" s="84">
        <v>3750.71</v>
      </c>
      <c r="K87" s="84">
        <v>0</v>
      </c>
      <c r="L87" s="84">
        <v>0</v>
      </c>
      <c r="M87" s="84">
        <v>-0.3</v>
      </c>
      <c r="N87" s="10" t="str">
        <f t="shared" si="18"/>
        <v>L</v>
      </c>
      <c r="O87" s="11">
        <f t="shared" si="19"/>
        <v>45925</v>
      </c>
      <c r="P87" s="12" t="str">
        <f t="shared" si="20"/>
        <v>22</v>
      </c>
      <c r="Q87" s="13" t="str">
        <f>VLOOKUP($B87,Deals_Demo!$H:$N,7,0)</f>
        <v>strategy_31.py</v>
      </c>
      <c r="R87" s="13" t="str">
        <f t="shared" si="21"/>
        <v>Thu</v>
      </c>
      <c r="S87" s="14">
        <f>VLOOKUP($B87,Deals_Demo!$H:$S,8,0)</f>
        <v>45925.954282407409</v>
      </c>
      <c r="T87" s="14">
        <f>VLOOKUP($B87,Deals_Demo!$H:$S,9,0)</f>
        <v>45926.162615740745</v>
      </c>
      <c r="U87" s="15" t="str">
        <f t="shared" si="22"/>
        <v>2025-09-26</v>
      </c>
      <c r="V87" s="13" t="str">
        <f>VLOOKUP($B87,Deals_Demo!$H:$S,11,0)</f>
        <v>03</v>
      </c>
      <c r="W87" s="13" t="str">
        <f>VLOOKUP($B87,Deals_Demo!$H:$S,12,0)</f>
        <v>Fri</v>
      </c>
      <c r="X87" s="13">
        <f t="shared" si="15"/>
        <v>-0.03</v>
      </c>
      <c r="Y87" s="13">
        <f t="shared" si="16"/>
        <v>-0.06</v>
      </c>
      <c r="Z87" s="13">
        <f t="shared" si="17"/>
        <v>-0.09</v>
      </c>
      <c r="AA87" s="13">
        <f t="shared" si="23"/>
        <v>-3</v>
      </c>
    </row>
    <row r="88" spans="1:27" x14ac:dyDescent="0.25">
      <c r="A88" s="77">
        <v>45925.954976851855</v>
      </c>
      <c r="B88" s="78">
        <v>177610626</v>
      </c>
      <c r="C88" s="79" t="s">
        <v>103</v>
      </c>
      <c r="D88" s="79" t="s">
        <v>37</v>
      </c>
      <c r="E88" s="79" t="s">
        <v>104</v>
      </c>
      <c r="F88" s="80">
        <v>3747.32</v>
      </c>
      <c r="G88" s="80">
        <v>3750.42</v>
      </c>
      <c r="H88" s="79"/>
      <c r="I88" s="79" t="s">
        <v>274</v>
      </c>
      <c r="J88" s="80">
        <v>3750.44</v>
      </c>
      <c r="K88" s="80">
        <v>0</v>
      </c>
      <c r="L88" s="80">
        <v>0</v>
      </c>
      <c r="M88" s="80">
        <v>-0.31</v>
      </c>
      <c r="N88" s="10" t="str">
        <f t="shared" si="18"/>
        <v>L</v>
      </c>
      <c r="O88" s="11">
        <f t="shared" si="19"/>
        <v>45925</v>
      </c>
      <c r="P88" s="12" t="str">
        <f t="shared" si="20"/>
        <v>22</v>
      </c>
      <c r="Q88" s="13" t="str">
        <f>VLOOKUP($B88,Deals_Demo!$H:$N,7,0)</f>
        <v>strategy_19_live</v>
      </c>
      <c r="R88" s="13" t="str">
        <f t="shared" si="21"/>
        <v>Thu</v>
      </c>
      <c r="S88" s="14">
        <f>VLOOKUP($B88,Deals_Demo!$H:$S,8,0)</f>
        <v>45925.954976851855</v>
      </c>
      <c r="T88" s="14">
        <f>VLOOKUP($B88,Deals_Demo!$H:$S,9,0)</f>
        <v>45926.163310185191</v>
      </c>
      <c r="U88" s="15" t="str">
        <f t="shared" si="22"/>
        <v>2025-09-26</v>
      </c>
      <c r="V88" s="13" t="str">
        <f>VLOOKUP($B88,Deals_Demo!$H:$S,11,0)</f>
        <v>03</v>
      </c>
      <c r="W88" s="13" t="str">
        <f>VLOOKUP($B88,Deals_Demo!$H:$S,12,0)</f>
        <v>Fri</v>
      </c>
      <c r="X88" s="13">
        <f t="shared" si="15"/>
        <v>-3.1E-2</v>
      </c>
      <c r="Y88" s="13">
        <f t="shared" si="16"/>
        <v>-6.2E-2</v>
      </c>
      <c r="Z88" s="13">
        <f t="shared" si="17"/>
        <v>-9.2999999999999999E-2</v>
      </c>
      <c r="AA88" s="13">
        <f t="shared" si="23"/>
        <v>-3</v>
      </c>
    </row>
    <row r="89" spans="1:27" x14ac:dyDescent="0.25">
      <c r="A89" s="81">
        <v>45925.969675925924</v>
      </c>
      <c r="B89" s="82">
        <v>177613038</v>
      </c>
      <c r="C89" s="83" t="s">
        <v>103</v>
      </c>
      <c r="D89" s="83" t="s">
        <v>36</v>
      </c>
      <c r="E89" s="83" t="s">
        <v>104</v>
      </c>
      <c r="F89" s="84">
        <v>3750.3</v>
      </c>
      <c r="G89" s="84">
        <v>3747.3</v>
      </c>
      <c r="H89" s="83"/>
      <c r="I89" s="83" t="s">
        <v>275</v>
      </c>
      <c r="J89" s="84">
        <v>3747.26</v>
      </c>
      <c r="K89" s="84">
        <v>0</v>
      </c>
      <c r="L89" s="84">
        <v>0</v>
      </c>
      <c r="M89" s="84">
        <v>-0.3</v>
      </c>
      <c r="N89" s="10" t="str">
        <f t="shared" si="18"/>
        <v>L</v>
      </c>
      <c r="O89" s="11">
        <f t="shared" si="19"/>
        <v>45925</v>
      </c>
      <c r="P89" s="12" t="str">
        <f t="shared" si="20"/>
        <v>23</v>
      </c>
      <c r="Q89" s="13" t="str">
        <f>VLOOKUP($B89,Deals_Demo!$H:$N,7,0)</f>
        <v>strategy_19_live</v>
      </c>
      <c r="R89" s="13" t="str">
        <f t="shared" si="21"/>
        <v>Thu</v>
      </c>
      <c r="S89" s="14">
        <f>VLOOKUP($B89,Deals_Demo!$H:$S,8,0)</f>
        <v>45925.969675925924</v>
      </c>
      <c r="T89" s="14">
        <f>VLOOKUP($B89,Deals_Demo!$H:$S,9,0)</f>
        <v>45926.17800925926</v>
      </c>
      <c r="U89" s="15" t="str">
        <f t="shared" si="22"/>
        <v>2025-09-26</v>
      </c>
      <c r="V89" s="13" t="str">
        <f>VLOOKUP($B89,Deals_Demo!$H:$S,11,0)</f>
        <v>04</v>
      </c>
      <c r="W89" s="13" t="str">
        <f>VLOOKUP($B89,Deals_Demo!$H:$S,12,0)</f>
        <v>Fri</v>
      </c>
      <c r="X89" s="13">
        <f t="shared" si="15"/>
        <v>-0.03</v>
      </c>
      <c r="Y89" s="13">
        <f t="shared" si="16"/>
        <v>-0.06</v>
      </c>
      <c r="Z89" s="13">
        <f t="shared" si="17"/>
        <v>-0.09</v>
      </c>
      <c r="AA89" s="13">
        <f t="shared" si="23"/>
        <v>-3</v>
      </c>
    </row>
    <row r="90" spans="1:27" x14ac:dyDescent="0.25">
      <c r="A90" s="77">
        <v>45925.985069444447</v>
      </c>
      <c r="B90" s="78">
        <v>177614240</v>
      </c>
      <c r="C90" s="79" t="s">
        <v>103</v>
      </c>
      <c r="D90" s="79" t="s">
        <v>36</v>
      </c>
      <c r="E90" s="79" t="s">
        <v>104</v>
      </c>
      <c r="F90" s="80">
        <v>3750.68</v>
      </c>
      <c r="G90" s="80">
        <v>3747.68</v>
      </c>
      <c r="H90" s="80">
        <v>3754.18</v>
      </c>
      <c r="I90" s="79" t="s">
        <v>276</v>
      </c>
      <c r="J90" s="80">
        <v>3747.61</v>
      </c>
      <c r="K90" s="80">
        <v>0</v>
      </c>
      <c r="L90" s="80">
        <v>0</v>
      </c>
      <c r="M90" s="80">
        <v>-0.31</v>
      </c>
      <c r="N90" s="10" t="str">
        <f t="shared" si="18"/>
        <v>L</v>
      </c>
      <c r="O90" s="11">
        <f t="shared" si="19"/>
        <v>45925</v>
      </c>
      <c r="P90" s="12" t="str">
        <f t="shared" si="20"/>
        <v>23</v>
      </c>
      <c r="Q90" s="13" t="str">
        <f>VLOOKUP($B90,Deals_Demo!$H:$N,7,0)</f>
        <v>strategy_31.py</v>
      </c>
      <c r="R90" s="13" t="str">
        <f t="shared" si="21"/>
        <v>Thu</v>
      </c>
      <c r="S90" s="14">
        <f>VLOOKUP($B90,Deals_Demo!$H:$S,8,0)</f>
        <v>45925.985069444447</v>
      </c>
      <c r="T90" s="14">
        <f>VLOOKUP($B90,Deals_Demo!$H:$S,9,0)</f>
        <v>45926.193402777782</v>
      </c>
      <c r="U90" s="15" t="str">
        <f t="shared" si="22"/>
        <v>2025-09-26</v>
      </c>
      <c r="V90" s="13" t="str">
        <f>VLOOKUP($B90,Deals_Demo!$H:$S,11,0)</f>
        <v>04</v>
      </c>
      <c r="W90" s="13" t="str">
        <f>VLOOKUP($B90,Deals_Demo!$H:$S,12,0)</f>
        <v>Fri</v>
      </c>
      <c r="X90" s="13">
        <f t="shared" si="15"/>
        <v>-3.1E-2</v>
      </c>
      <c r="Y90" s="13">
        <f t="shared" si="16"/>
        <v>-6.2E-2</v>
      </c>
      <c r="Z90" s="13">
        <f t="shared" si="17"/>
        <v>-9.2999999999999999E-2</v>
      </c>
      <c r="AA90" s="13">
        <f t="shared" si="23"/>
        <v>-3</v>
      </c>
    </row>
    <row r="91" spans="1:27" x14ac:dyDescent="0.25">
      <c r="A91" s="81">
        <v>45926.101493055554</v>
      </c>
      <c r="B91" s="82">
        <v>177625795</v>
      </c>
      <c r="C91" s="83" t="s">
        <v>103</v>
      </c>
      <c r="D91" s="83" t="s">
        <v>37</v>
      </c>
      <c r="E91" s="83" t="s">
        <v>104</v>
      </c>
      <c r="F91" s="84">
        <v>3741.31</v>
      </c>
      <c r="G91" s="84">
        <v>3744.31</v>
      </c>
      <c r="H91" s="84">
        <v>3737.81</v>
      </c>
      <c r="I91" s="83" t="s">
        <v>277</v>
      </c>
      <c r="J91" s="84">
        <v>3742.79</v>
      </c>
      <c r="K91" s="84">
        <v>0</v>
      </c>
      <c r="L91" s="84">
        <v>0</v>
      </c>
      <c r="M91" s="84">
        <v>-0.15</v>
      </c>
      <c r="N91" s="10" t="str">
        <f t="shared" si="18"/>
        <v>L</v>
      </c>
      <c r="O91" s="11">
        <f t="shared" si="19"/>
        <v>45926</v>
      </c>
      <c r="P91" s="12" t="str">
        <f t="shared" si="20"/>
        <v>02</v>
      </c>
      <c r="Q91" s="13" t="str">
        <f>VLOOKUP($B91,Deals_Demo!$H:$N,7,0)</f>
        <v>strategy_31.py</v>
      </c>
      <c r="R91" s="13" t="str">
        <f t="shared" si="21"/>
        <v>Fri</v>
      </c>
      <c r="S91" s="14">
        <f>VLOOKUP($B91,Deals_Demo!$H:$S,8,0)</f>
        <v>45926.101493055554</v>
      </c>
      <c r="T91" s="14">
        <f>VLOOKUP($B91,Deals_Demo!$H:$S,9,0)</f>
        <v>45926.30982638889</v>
      </c>
      <c r="U91" s="15" t="str">
        <f t="shared" si="22"/>
        <v>2025-09-26</v>
      </c>
      <c r="V91" s="13" t="str">
        <f>VLOOKUP($B91,Deals_Demo!$H:$S,11,0)</f>
        <v>07</v>
      </c>
      <c r="W91" s="13" t="str">
        <f>VLOOKUP($B91,Deals_Demo!$H:$S,12,0)</f>
        <v>Fri</v>
      </c>
      <c r="X91" s="13">
        <f t="shared" si="15"/>
        <v>-1.4999999999999999E-2</v>
      </c>
      <c r="Y91" s="13">
        <f t="shared" si="16"/>
        <v>-0.03</v>
      </c>
      <c r="Z91" s="13">
        <f t="shared" si="17"/>
        <v>-4.4999999999999998E-2</v>
      </c>
      <c r="AA91" s="13">
        <f t="shared" si="23"/>
        <v>-3</v>
      </c>
    </row>
    <row r="92" spans="1:27" x14ac:dyDescent="0.25">
      <c r="A92" s="77">
        <v>45926.103113425925</v>
      </c>
      <c r="B92" s="78">
        <v>177626238</v>
      </c>
      <c r="C92" s="79" t="s">
        <v>103</v>
      </c>
      <c r="D92" s="79" t="s">
        <v>37</v>
      </c>
      <c r="E92" s="79" t="s">
        <v>104</v>
      </c>
      <c r="F92" s="80">
        <v>3742.52</v>
      </c>
      <c r="G92" s="80">
        <v>3745.59</v>
      </c>
      <c r="H92" s="80">
        <v>3739.09</v>
      </c>
      <c r="I92" s="79" t="s">
        <v>278</v>
      </c>
      <c r="J92" s="80">
        <v>3745.6</v>
      </c>
      <c r="K92" s="80">
        <v>0</v>
      </c>
      <c r="L92" s="80">
        <v>0</v>
      </c>
      <c r="M92" s="80">
        <v>-0.31</v>
      </c>
      <c r="N92" s="10" t="str">
        <f t="shared" si="18"/>
        <v>L</v>
      </c>
      <c r="O92" s="11">
        <f t="shared" si="19"/>
        <v>45926</v>
      </c>
      <c r="P92" s="12" t="str">
        <f t="shared" si="20"/>
        <v>02</v>
      </c>
      <c r="Q92" s="13" t="str">
        <f>VLOOKUP($B92,Deals_Demo!$H:$N,7,0)</f>
        <v>strategy_31.py</v>
      </c>
      <c r="R92" s="13" t="str">
        <f t="shared" si="21"/>
        <v>Fri</v>
      </c>
      <c r="S92" s="14">
        <f>VLOOKUP($B92,Deals_Demo!$H:$S,8,0)</f>
        <v>45926.103113425925</v>
      </c>
      <c r="T92" s="14">
        <f>VLOOKUP($B92,Deals_Demo!$H:$S,9,0)</f>
        <v>45926.31144675926</v>
      </c>
      <c r="U92" s="15" t="str">
        <f t="shared" si="22"/>
        <v>2025-09-26</v>
      </c>
      <c r="V92" s="13" t="str">
        <f>VLOOKUP($B92,Deals_Demo!$H:$S,11,0)</f>
        <v>07</v>
      </c>
      <c r="W92" s="13" t="str">
        <f>VLOOKUP($B92,Deals_Demo!$H:$S,12,0)</f>
        <v>Fri</v>
      </c>
      <c r="X92" s="13">
        <f t="shared" si="15"/>
        <v>-3.1E-2</v>
      </c>
      <c r="Y92" s="13">
        <f t="shared" si="16"/>
        <v>-6.2E-2</v>
      </c>
      <c r="Z92" s="13">
        <f t="shared" si="17"/>
        <v>-9.2999999999999999E-2</v>
      </c>
      <c r="AA92" s="13">
        <f t="shared" si="23"/>
        <v>-3</v>
      </c>
    </row>
    <row r="93" spans="1:27" x14ac:dyDescent="0.25">
      <c r="A93" s="81">
        <v>45926.124525462961</v>
      </c>
      <c r="B93" s="82">
        <v>177629764</v>
      </c>
      <c r="C93" s="83" t="s">
        <v>103</v>
      </c>
      <c r="D93" s="83" t="s">
        <v>36</v>
      </c>
      <c r="E93" s="83" t="s">
        <v>104</v>
      </c>
      <c r="F93" s="84">
        <v>3745.07</v>
      </c>
      <c r="G93" s="84">
        <v>3746.43</v>
      </c>
      <c r="H93" s="84">
        <v>3748.57</v>
      </c>
      <c r="I93" s="83" t="s">
        <v>279</v>
      </c>
      <c r="J93" s="84">
        <v>3748.63</v>
      </c>
      <c r="K93" s="84">
        <v>0</v>
      </c>
      <c r="L93" s="84">
        <v>0</v>
      </c>
      <c r="M93" s="84">
        <v>0.36</v>
      </c>
      <c r="N93" s="10" t="str">
        <f t="shared" si="18"/>
        <v>W</v>
      </c>
      <c r="O93" s="11">
        <f t="shared" si="19"/>
        <v>45926</v>
      </c>
      <c r="P93" s="12" t="str">
        <f t="shared" si="20"/>
        <v>02</v>
      </c>
      <c r="Q93" s="13" t="str">
        <f>VLOOKUP($B93,Deals_Demo!$H:$N,7,0)</f>
        <v>strategy_31.py</v>
      </c>
      <c r="R93" s="13" t="str">
        <f t="shared" si="21"/>
        <v>Fri</v>
      </c>
      <c r="S93" s="14">
        <f>VLOOKUP($B93,Deals_Demo!$H:$S,8,0)</f>
        <v>45926.124525462961</v>
      </c>
      <c r="T93" s="14">
        <f>VLOOKUP($B93,Deals_Demo!$H:$S,9,0)</f>
        <v>45926.332858796297</v>
      </c>
      <c r="U93" s="15" t="str">
        <f t="shared" si="22"/>
        <v>2025-09-26</v>
      </c>
      <c r="V93" s="13" t="str">
        <f>VLOOKUP($B93,Deals_Demo!$H:$S,11,0)</f>
        <v>07</v>
      </c>
      <c r="W93" s="13" t="str">
        <f>VLOOKUP($B93,Deals_Demo!$H:$S,12,0)</f>
        <v>Fri</v>
      </c>
      <c r="X93" s="13">
        <f t="shared" si="15"/>
        <v>3.5999999999999997E-2</v>
      </c>
      <c r="Y93" s="13">
        <f t="shared" si="16"/>
        <v>7.1999999999999995E-2</v>
      </c>
      <c r="Z93" s="13">
        <f t="shared" si="17"/>
        <v>0.108</v>
      </c>
      <c r="AA93" s="13">
        <f t="shared" si="23"/>
        <v>-3</v>
      </c>
    </row>
    <row r="94" spans="1:27" x14ac:dyDescent="0.25">
      <c r="A94" s="77">
        <v>45926.128807870373</v>
      </c>
      <c r="B94" s="78">
        <v>177631427</v>
      </c>
      <c r="C94" s="79" t="s">
        <v>103</v>
      </c>
      <c r="D94" s="79" t="s">
        <v>36</v>
      </c>
      <c r="E94" s="79" t="s">
        <v>104</v>
      </c>
      <c r="F94" s="80">
        <v>3745.99</v>
      </c>
      <c r="G94" s="80">
        <v>3742.94</v>
      </c>
      <c r="H94" s="80">
        <v>3749.44</v>
      </c>
      <c r="I94" s="79" t="s">
        <v>280</v>
      </c>
      <c r="J94" s="80">
        <v>3742.93</v>
      </c>
      <c r="K94" s="80">
        <v>0</v>
      </c>
      <c r="L94" s="80">
        <v>0</v>
      </c>
      <c r="M94" s="80">
        <v>-0.31</v>
      </c>
      <c r="N94" s="10" t="str">
        <f t="shared" si="18"/>
        <v>L</v>
      </c>
      <c r="O94" s="11">
        <f t="shared" si="19"/>
        <v>45926</v>
      </c>
      <c r="P94" s="12" t="str">
        <f t="shared" si="20"/>
        <v>03</v>
      </c>
      <c r="Q94" s="13" t="str">
        <f>VLOOKUP($B94,Deals_Demo!$H:$N,7,0)</f>
        <v>strategy_31.py</v>
      </c>
      <c r="R94" s="13" t="str">
        <f t="shared" si="21"/>
        <v>Fri</v>
      </c>
      <c r="S94" s="14">
        <f>VLOOKUP($B94,Deals_Demo!$H:$S,8,0)</f>
        <v>45926.128807870373</v>
      </c>
      <c r="T94" s="14">
        <f>VLOOKUP($B94,Deals_Demo!$H:$S,9,0)</f>
        <v>45926.337141203709</v>
      </c>
      <c r="U94" s="15" t="str">
        <f t="shared" si="22"/>
        <v>2025-09-26</v>
      </c>
      <c r="V94" s="13" t="str">
        <f>VLOOKUP($B94,Deals_Demo!$H:$S,11,0)</f>
        <v>08</v>
      </c>
      <c r="W94" s="13" t="str">
        <f>VLOOKUP($B94,Deals_Demo!$H:$S,12,0)</f>
        <v>Fri</v>
      </c>
      <c r="X94" s="13">
        <f t="shared" si="15"/>
        <v>-3.1E-2</v>
      </c>
      <c r="Y94" s="13">
        <f t="shared" si="16"/>
        <v>-6.2E-2</v>
      </c>
      <c r="Z94" s="13">
        <f t="shared" si="17"/>
        <v>-9.2999999999999999E-2</v>
      </c>
      <c r="AA94" s="13">
        <f t="shared" si="23"/>
        <v>-3</v>
      </c>
    </row>
    <row r="95" spans="1:27" x14ac:dyDescent="0.25">
      <c r="A95" s="81">
        <v>45926.13621527778</v>
      </c>
      <c r="B95" s="82">
        <v>177633392</v>
      </c>
      <c r="C95" s="83" t="s">
        <v>103</v>
      </c>
      <c r="D95" s="83" t="s">
        <v>36</v>
      </c>
      <c r="E95" s="83" t="s">
        <v>104</v>
      </c>
      <c r="F95" s="84">
        <v>3746.22</v>
      </c>
      <c r="G95" s="84">
        <v>3743.22</v>
      </c>
      <c r="H95" s="84">
        <v>3749.72</v>
      </c>
      <c r="I95" s="83" t="s">
        <v>281</v>
      </c>
      <c r="J95" s="84">
        <v>3743.21</v>
      </c>
      <c r="K95" s="84">
        <v>0</v>
      </c>
      <c r="L95" s="84">
        <v>0</v>
      </c>
      <c r="M95" s="84">
        <v>-0.3</v>
      </c>
      <c r="N95" s="10" t="str">
        <f t="shared" si="18"/>
        <v>L</v>
      </c>
      <c r="O95" s="11">
        <f t="shared" si="19"/>
        <v>45926</v>
      </c>
      <c r="P95" s="12" t="str">
        <f t="shared" si="20"/>
        <v>03</v>
      </c>
      <c r="Q95" s="13" t="str">
        <f>VLOOKUP($B95,Deals_Demo!$H:$N,7,0)</f>
        <v>strategy_31.py</v>
      </c>
      <c r="R95" s="13" t="str">
        <f t="shared" si="21"/>
        <v>Fri</v>
      </c>
      <c r="S95" s="14">
        <f>VLOOKUP($B95,Deals_Demo!$H:$S,8,0)</f>
        <v>45926.13621527778</v>
      </c>
      <c r="T95" s="14">
        <f>VLOOKUP($B95,Deals_Demo!$H:$S,9,0)</f>
        <v>45926.344548611116</v>
      </c>
      <c r="U95" s="15" t="str">
        <f t="shared" si="22"/>
        <v>2025-09-26</v>
      </c>
      <c r="V95" s="13" t="str">
        <f>VLOOKUP($B95,Deals_Demo!$H:$S,11,0)</f>
        <v>08</v>
      </c>
      <c r="W95" s="13" t="str">
        <f>VLOOKUP($B95,Deals_Demo!$H:$S,12,0)</f>
        <v>Fri</v>
      </c>
      <c r="X95" s="13">
        <f t="shared" si="15"/>
        <v>-0.03</v>
      </c>
      <c r="Y95" s="13">
        <f t="shared" si="16"/>
        <v>-0.06</v>
      </c>
      <c r="Z95" s="13">
        <f t="shared" si="17"/>
        <v>-0.09</v>
      </c>
      <c r="AA95" s="13">
        <f t="shared" si="23"/>
        <v>-3</v>
      </c>
    </row>
    <row r="96" spans="1:27" x14ac:dyDescent="0.25">
      <c r="A96" s="77">
        <v>45926.14640046296</v>
      </c>
      <c r="B96" s="78">
        <v>177636197</v>
      </c>
      <c r="C96" s="79" t="s">
        <v>103</v>
      </c>
      <c r="D96" s="79" t="s">
        <v>37</v>
      </c>
      <c r="E96" s="79" t="s">
        <v>104</v>
      </c>
      <c r="F96" s="80">
        <v>3742.81</v>
      </c>
      <c r="G96" s="80">
        <v>3745.81</v>
      </c>
      <c r="H96" s="80">
        <v>3739.31</v>
      </c>
      <c r="I96" s="79" t="s">
        <v>282</v>
      </c>
      <c r="J96" s="80">
        <v>3745.83</v>
      </c>
      <c r="K96" s="80">
        <v>0</v>
      </c>
      <c r="L96" s="80">
        <v>0</v>
      </c>
      <c r="M96" s="80">
        <v>-0.3</v>
      </c>
      <c r="N96" s="10" t="str">
        <f t="shared" si="18"/>
        <v>L</v>
      </c>
      <c r="O96" s="11">
        <f t="shared" si="19"/>
        <v>45926</v>
      </c>
      <c r="P96" s="12" t="str">
        <f t="shared" si="20"/>
        <v>03</v>
      </c>
      <c r="Q96" s="13" t="str">
        <f>VLOOKUP($B96,Deals_Demo!$H:$N,7,0)</f>
        <v>strategy_31.py</v>
      </c>
      <c r="R96" s="13" t="str">
        <f t="shared" si="21"/>
        <v>Fri</v>
      </c>
      <c r="S96" s="14">
        <f>VLOOKUP($B96,Deals_Demo!$H:$S,8,0)</f>
        <v>45926.14640046296</v>
      </c>
      <c r="T96" s="14">
        <f>VLOOKUP($B96,Deals_Demo!$H:$S,9,0)</f>
        <v>45926.354733796295</v>
      </c>
      <c r="U96" s="15" t="str">
        <f t="shared" si="22"/>
        <v>2025-09-26</v>
      </c>
      <c r="V96" s="13" t="str">
        <f>VLOOKUP($B96,Deals_Demo!$H:$S,11,0)</f>
        <v>08</v>
      </c>
      <c r="W96" s="13" t="str">
        <f>VLOOKUP($B96,Deals_Demo!$H:$S,12,0)</f>
        <v>Fri</v>
      </c>
      <c r="X96" s="13">
        <f t="shared" si="15"/>
        <v>-0.03</v>
      </c>
      <c r="Y96" s="13">
        <f t="shared" si="16"/>
        <v>-0.06</v>
      </c>
      <c r="Z96" s="13">
        <f t="shared" si="17"/>
        <v>-0.09</v>
      </c>
      <c r="AA96" s="13">
        <f t="shared" si="23"/>
        <v>-3</v>
      </c>
    </row>
    <row r="97" spans="1:27" x14ac:dyDescent="0.25">
      <c r="A97" s="81">
        <v>45926.165613425925</v>
      </c>
      <c r="B97" s="82">
        <v>177640141</v>
      </c>
      <c r="C97" s="83" t="s">
        <v>103</v>
      </c>
      <c r="D97" s="83" t="s">
        <v>36</v>
      </c>
      <c r="E97" s="83" t="s">
        <v>104</v>
      </c>
      <c r="F97" s="84">
        <v>3748.57</v>
      </c>
      <c r="G97" s="84">
        <v>3745.41</v>
      </c>
      <c r="H97" s="84">
        <v>3751.91</v>
      </c>
      <c r="I97" s="83" t="s">
        <v>283</v>
      </c>
      <c r="J97" s="84">
        <v>3751.98</v>
      </c>
      <c r="K97" s="84">
        <v>0</v>
      </c>
      <c r="L97" s="84">
        <v>0</v>
      </c>
      <c r="M97" s="84">
        <v>0.34</v>
      </c>
      <c r="N97" s="10" t="str">
        <f t="shared" si="18"/>
        <v>W</v>
      </c>
      <c r="O97" s="11">
        <f t="shared" si="19"/>
        <v>45926</v>
      </c>
      <c r="P97" s="12" t="str">
        <f t="shared" si="20"/>
        <v>03</v>
      </c>
      <c r="Q97" s="13" t="str">
        <f>VLOOKUP($B97,Deals_Demo!$H:$N,7,0)</f>
        <v>strategy_31.py</v>
      </c>
      <c r="R97" s="13" t="str">
        <f t="shared" si="21"/>
        <v>Fri</v>
      </c>
      <c r="S97" s="14">
        <f>VLOOKUP($B97,Deals_Demo!$H:$S,8,0)</f>
        <v>45926.165613425925</v>
      </c>
      <c r="T97" s="14">
        <f>VLOOKUP($B97,Deals_Demo!$H:$S,9,0)</f>
        <v>45926.37394675926</v>
      </c>
      <c r="U97" s="15" t="str">
        <f t="shared" si="22"/>
        <v>2025-09-26</v>
      </c>
      <c r="V97" s="13" t="str">
        <f>VLOOKUP($B97,Deals_Demo!$H:$S,11,0)</f>
        <v>08</v>
      </c>
      <c r="W97" s="13" t="str">
        <f>VLOOKUP($B97,Deals_Demo!$H:$S,12,0)</f>
        <v>Fri</v>
      </c>
      <c r="X97" s="13">
        <f t="shared" si="15"/>
        <v>3.4000000000000002E-2</v>
      </c>
      <c r="Y97" s="13">
        <f t="shared" si="16"/>
        <v>6.8000000000000005E-2</v>
      </c>
      <c r="Z97" s="13">
        <f t="shared" si="17"/>
        <v>0.10200000000000001</v>
      </c>
      <c r="AA97" s="13">
        <f t="shared" si="23"/>
        <v>-3</v>
      </c>
    </row>
    <row r="98" spans="1:27" x14ac:dyDescent="0.25">
      <c r="A98" s="77">
        <v>45926.17255787037</v>
      </c>
      <c r="B98" s="78">
        <v>177643324</v>
      </c>
      <c r="C98" s="79" t="s">
        <v>103</v>
      </c>
      <c r="D98" s="79" t="s">
        <v>36</v>
      </c>
      <c r="E98" s="79" t="s">
        <v>104</v>
      </c>
      <c r="F98" s="80">
        <v>3751.04</v>
      </c>
      <c r="G98" s="80">
        <v>3747.9</v>
      </c>
      <c r="H98" s="80">
        <v>3754.4</v>
      </c>
      <c r="I98" s="79" t="s">
        <v>284</v>
      </c>
      <c r="J98" s="80">
        <v>3747.83</v>
      </c>
      <c r="K98" s="80">
        <v>0</v>
      </c>
      <c r="L98" s="80">
        <v>0</v>
      </c>
      <c r="M98" s="80">
        <v>-0.32</v>
      </c>
      <c r="N98" s="10" t="str">
        <f t="shared" si="18"/>
        <v>L</v>
      </c>
      <c r="O98" s="11">
        <f t="shared" si="19"/>
        <v>45926</v>
      </c>
      <c r="P98" s="12" t="str">
        <f t="shared" si="20"/>
        <v>04</v>
      </c>
      <c r="Q98" s="13" t="str">
        <f>VLOOKUP($B98,Deals_Demo!$H:$N,7,0)</f>
        <v>strategy_31.py</v>
      </c>
      <c r="R98" s="13" t="str">
        <f t="shared" si="21"/>
        <v>Fri</v>
      </c>
      <c r="S98" s="14">
        <f>VLOOKUP($B98,Deals_Demo!$H:$S,8,0)</f>
        <v>45926.17255787037</v>
      </c>
      <c r="T98" s="14">
        <f>VLOOKUP($B98,Deals_Demo!$H:$S,9,0)</f>
        <v>45926.380891203706</v>
      </c>
      <c r="U98" s="15" t="str">
        <f t="shared" si="22"/>
        <v>2025-09-26</v>
      </c>
      <c r="V98" s="13" t="str">
        <f>VLOOKUP($B98,Deals_Demo!$H:$S,11,0)</f>
        <v>09</v>
      </c>
      <c r="W98" s="13" t="str">
        <f>VLOOKUP($B98,Deals_Demo!$H:$S,12,0)</f>
        <v>Fri</v>
      </c>
      <c r="X98" s="13">
        <f t="shared" si="15"/>
        <v>-3.2000000000000001E-2</v>
      </c>
      <c r="Y98" s="13">
        <f t="shared" si="16"/>
        <v>-6.4000000000000001E-2</v>
      </c>
      <c r="Z98" s="13">
        <f t="shared" si="17"/>
        <v>-9.6000000000000002E-2</v>
      </c>
      <c r="AA98" s="13">
        <f t="shared" si="23"/>
        <v>-3</v>
      </c>
    </row>
    <row r="99" spans="1:27" x14ac:dyDescent="0.25">
      <c r="A99" s="81">
        <v>45926.183553240742</v>
      </c>
      <c r="B99" s="82">
        <v>177648568</v>
      </c>
      <c r="C99" s="83" t="s">
        <v>103</v>
      </c>
      <c r="D99" s="83" t="s">
        <v>37</v>
      </c>
      <c r="E99" s="83" t="s">
        <v>104</v>
      </c>
      <c r="F99" s="84">
        <v>3740.79</v>
      </c>
      <c r="G99" s="84">
        <v>3743.72</v>
      </c>
      <c r="H99" s="84">
        <v>3737.22</v>
      </c>
      <c r="I99" s="83" t="s">
        <v>285</v>
      </c>
      <c r="J99" s="84">
        <v>3743.82</v>
      </c>
      <c r="K99" s="84">
        <v>0</v>
      </c>
      <c r="L99" s="84">
        <v>0</v>
      </c>
      <c r="M99" s="84">
        <v>-0.3</v>
      </c>
      <c r="N99" s="10" t="str">
        <f t="shared" si="18"/>
        <v>L</v>
      </c>
      <c r="O99" s="11">
        <f t="shared" si="19"/>
        <v>45926</v>
      </c>
      <c r="P99" s="12" t="str">
        <f t="shared" si="20"/>
        <v>04</v>
      </c>
      <c r="Q99" s="13" t="str">
        <f>VLOOKUP($B99,Deals_Demo!$H:$N,7,0)</f>
        <v>strategy_31.py</v>
      </c>
      <c r="R99" s="13" t="str">
        <f t="shared" si="21"/>
        <v>Fri</v>
      </c>
      <c r="S99" s="14">
        <f>VLOOKUP($B99,Deals_Demo!$H:$S,8,0)</f>
        <v>45926.183553240742</v>
      </c>
      <c r="T99" s="14">
        <f>VLOOKUP($B99,Deals_Demo!$H:$S,9,0)</f>
        <v>45926.391886574078</v>
      </c>
      <c r="U99" s="15" t="str">
        <f t="shared" si="22"/>
        <v>2025-09-26</v>
      </c>
      <c r="V99" s="13" t="str">
        <f>VLOOKUP($B99,Deals_Demo!$H:$S,11,0)</f>
        <v>09</v>
      </c>
      <c r="W99" s="13" t="str">
        <f>VLOOKUP($B99,Deals_Demo!$H:$S,12,0)</f>
        <v>Fri</v>
      </c>
      <c r="X99" s="13">
        <f t="shared" si="15"/>
        <v>-0.03</v>
      </c>
      <c r="Y99" s="13">
        <f t="shared" si="16"/>
        <v>-0.06</v>
      </c>
      <c r="Z99" s="13">
        <f t="shared" si="17"/>
        <v>-0.09</v>
      </c>
      <c r="AA99" s="13">
        <f t="shared" si="23"/>
        <v>-3</v>
      </c>
    </row>
    <row r="100" spans="1:27" x14ac:dyDescent="0.25">
      <c r="A100" s="77">
        <v>45926.202997685185</v>
      </c>
      <c r="B100" s="78">
        <v>177653654</v>
      </c>
      <c r="C100" s="79" t="s">
        <v>103</v>
      </c>
      <c r="D100" s="79" t="s">
        <v>37</v>
      </c>
      <c r="E100" s="79" t="s">
        <v>104</v>
      </c>
      <c r="F100" s="80">
        <v>3740.44</v>
      </c>
      <c r="G100" s="80">
        <v>3743.56</v>
      </c>
      <c r="H100" s="80">
        <v>3737.06</v>
      </c>
      <c r="I100" s="79" t="s">
        <v>286</v>
      </c>
      <c r="J100" s="80">
        <v>3736.94</v>
      </c>
      <c r="K100" s="80">
        <v>0</v>
      </c>
      <c r="L100" s="80">
        <v>0</v>
      </c>
      <c r="M100" s="80">
        <v>0.35</v>
      </c>
      <c r="N100" s="10" t="str">
        <f t="shared" si="18"/>
        <v>W</v>
      </c>
      <c r="O100" s="11">
        <f t="shared" si="19"/>
        <v>45926</v>
      </c>
      <c r="P100" s="12" t="str">
        <f t="shared" si="20"/>
        <v>04</v>
      </c>
      <c r="Q100" s="13" t="str">
        <f>VLOOKUP($B100,Deals_Demo!$H:$N,7,0)</f>
        <v>strategy_31.py</v>
      </c>
      <c r="R100" s="13" t="str">
        <f t="shared" si="21"/>
        <v>Fri</v>
      </c>
      <c r="S100" s="14">
        <f>VLOOKUP($B100,Deals_Demo!$H:$S,8,0)</f>
        <v>45926.202997685185</v>
      </c>
      <c r="T100" s="14">
        <f>VLOOKUP($B100,Deals_Demo!$H:$S,9,0)</f>
        <v>45926.41133101852</v>
      </c>
      <c r="U100" s="15" t="str">
        <f t="shared" si="22"/>
        <v>2025-09-26</v>
      </c>
      <c r="V100" s="13" t="str">
        <f>VLOOKUP($B100,Deals_Demo!$H:$S,11,0)</f>
        <v>09</v>
      </c>
      <c r="W100" s="13" t="str">
        <f>VLOOKUP($B100,Deals_Demo!$H:$S,12,0)</f>
        <v>Fri</v>
      </c>
      <c r="X100" s="13">
        <f t="shared" si="15"/>
        <v>3.4999999999999996E-2</v>
      </c>
      <c r="Y100" s="13">
        <f t="shared" si="16"/>
        <v>6.9999999999999993E-2</v>
      </c>
      <c r="Z100" s="13">
        <f t="shared" si="17"/>
        <v>0.105</v>
      </c>
      <c r="AA100" s="13">
        <f t="shared" si="23"/>
        <v>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199"/>
  <sheetViews>
    <sheetView showGridLines="0" topLeftCell="H98" workbookViewId="0">
      <selection activeCell="O199" sqref="O131:T199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38</v>
      </c>
      <c r="C1" s="3" t="s">
        <v>17</v>
      </c>
      <c r="D1" s="3" t="s">
        <v>18</v>
      </c>
      <c r="E1" s="3" t="s">
        <v>39</v>
      </c>
      <c r="F1" s="3" t="s">
        <v>19</v>
      </c>
      <c r="G1" s="3" t="s">
        <v>20</v>
      </c>
      <c r="H1" s="3" t="s">
        <v>40</v>
      </c>
      <c r="I1" s="3" t="s">
        <v>23</v>
      </c>
      <c r="J1" s="3" t="s">
        <v>41</v>
      </c>
      <c r="K1" s="3" t="s">
        <v>24</v>
      </c>
      <c r="L1" s="3" t="s">
        <v>25</v>
      </c>
      <c r="M1" s="3" t="s">
        <v>42</v>
      </c>
      <c r="N1" s="4" t="s">
        <v>43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77">
        <v>45925.267465277779</v>
      </c>
      <c r="B2" s="78">
        <v>188942026</v>
      </c>
      <c r="C2" s="79" t="s">
        <v>103</v>
      </c>
      <c r="D2" s="79" t="s">
        <v>36</v>
      </c>
      <c r="E2" s="79" t="s">
        <v>44</v>
      </c>
      <c r="F2" s="79" t="s">
        <v>104</v>
      </c>
      <c r="G2" s="80">
        <v>3737.4</v>
      </c>
      <c r="H2" s="78">
        <v>177237158</v>
      </c>
      <c r="I2" s="80">
        <v>0</v>
      </c>
      <c r="J2" s="80">
        <v>0</v>
      </c>
      <c r="K2" s="80">
        <v>0</v>
      </c>
      <c r="L2" s="80">
        <v>0</v>
      </c>
      <c r="M2" s="80">
        <v>24.6</v>
      </c>
      <c r="N2" s="79" t="s">
        <v>118</v>
      </c>
      <c r="O2" s="14">
        <f>A2</f>
        <v>45925.267465277779</v>
      </c>
      <c r="P2" s="19">
        <f>O2+(5/24)</f>
        <v>45925.475798611114</v>
      </c>
      <c r="Q2" s="20" t="str">
        <f>TEXT(P2,"dd/mm/yyyy")</f>
        <v>25/09/2025</v>
      </c>
      <c r="R2" s="13" t="str">
        <f>TEXT(P2,"hh")</f>
        <v>11</v>
      </c>
      <c r="S2" s="13" t="str">
        <f>TEXT(P2,"ddd")</f>
        <v>Thu</v>
      </c>
    </row>
    <row r="3" spans="1:19" x14ac:dyDescent="0.25">
      <c r="A3" s="81">
        <v>45925.282048611109</v>
      </c>
      <c r="B3" s="82">
        <v>188945009</v>
      </c>
      <c r="C3" s="83" t="s">
        <v>103</v>
      </c>
      <c r="D3" s="83" t="s">
        <v>36</v>
      </c>
      <c r="E3" s="83" t="s">
        <v>44</v>
      </c>
      <c r="F3" s="83" t="s">
        <v>104</v>
      </c>
      <c r="G3" s="84">
        <v>3738.15</v>
      </c>
      <c r="H3" s="82">
        <v>177240017</v>
      </c>
      <c r="I3" s="84">
        <v>0</v>
      </c>
      <c r="J3" s="84">
        <v>0</v>
      </c>
      <c r="K3" s="84">
        <v>0</v>
      </c>
      <c r="L3" s="84">
        <v>0</v>
      </c>
      <c r="M3" s="84">
        <v>24.6</v>
      </c>
      <c r="N3" s="83" t="s">
        <v>93</v>
      </c>
      <c r="O3" s="14">
        <f t="shared" ref="O3:O4" si="0">A3</f>
        <v>45925.282048611109</v>
      </c>
      <c r="P3" s="19">
        <f t="shared" ref="P3:P4" si="1">O3+(5/24)</f>
        <v>45925.490381944444</v>
      </c>
      <c r="Q3" s="20" t="str">
        <f t="shared" ref="Q3:Q4" si="2">TEXT(P3,"dd/mm/yyyy")</f>
        <v>25/09/2025</v>
      </c>
      <c r="R3" s="13" t="str">
        <f t="shared" ref="R3:R4" si="3">TEXT(P3,"hh")</f>
        <v>11</v>
      </c>
      <c r="S3" s="13" t="str">
        <f t="shared" ref="S3:S4" si="4">TEXT(P3,"ddd")</f>
        <v>Thu</v>
      </c>
    </row>
    <row r="4" spans="1:19" x14ac:dyDescent="0.25">
      <c r="A4" s="77">
        <v>45925.287743055553</v>
      </c>
      <c r="B4" s="78">
        <v>188946062</v>
      </c>
      <c r="C4" s="79" t="s">
        <v>103</v>
      </c>
      <c r="D4" s="79" t="s">
        <v>37</v>
      </c>
      <c r="E4" s="79" t="s">
        <v>45</v>
      </c>
      <c r="F4" s="79" t="s">
        <v>104</v>
      </c>
      <c r="G4" s="80">
        <v>3735.16</v>
      </c>
      <c r="H4" s="78">
        <v>177241048</v>
      </c>
      <c r="I4" s="80">
        <v>0</v>
      </c>
      <c r="J4" s="80">
        <v>0</v>
      </c>
      <c r="K4" s="80">
        <v>0</v>
      </c>
      <c r="L4" s="80">
        <v>-0.3</v>
      </c>
      <c r="M4" s="80">
        <v>24.3</v>
      </c>
      <c r="N4" s="79" t="s">
        <v>119</v>
      </c>
      <c r="O4" s="14">
        <f t="shared" si="0"/>
        <v>45925.287743055553</v>
      </c>
      <c r="P4" s="19">
        <f t="shared" si="1"/>
        <v>45925.496076388888</v>
      </c>
      <c r="Q4" s="20" t="str">
        <f t="shared" si="2"/>
        <v>25/09/2025</v>
      </c>
      <c r="R4" s="13" t="str">
        <f t="shared" si="3"/>
        <v>11</v>
      </c>
      <c r="S4" s="13" t="str">
        <f t="shared" si="4"/>
        <v>Thu</v>
      </c>
    </row>
    <row r="5" spans="1:19" x14ac:dyDescent="0.25">
      <c r="A5" s="81">
        <v>45925.288217592592</v>
      </c>
      <c r="B5" s="82">
        <v>188946287</v>
      </c>
      <c r="C5" s="83" t="s">
        <v>103</v>
      </c>
      <c r="D5" s="83" t="s">
        <v>37</v>
      </c>
      <c r="E5" s="83" t="s">
        <v>45</v>
      </c>
      <c r="F5" s="83" t="s">
        <v>104</v>
      </c>
      <c r="G5" s="84">
        <v>3734.35</v>
      </c>
      <c r="H5" s="82">
        <v>177241277</v>
      </c>
      <c r="I5" s="84">
        <v>0</v>
      </c>
      <c r="J5" s="84">
        <v>0</v>
      </c>
      <c r="K5" s="84">
        <v>0</v>
      </c>
      <c r="L5" s="84">
        <v>-0.31</v>
      </c>
      <c r="M5" s="84">
        <v>23.99</v>
      </c>
      <c r="N5" s="83" t="s">
        <v>120</v>
      </c>
      <c r="O5" s="14">
        <f t="shared" ref="O5:O28" si="5">A5</f>
        <v>45925.288217592592</v>
      </c>
      <c r="P5" s="19">
        <f t="shared" ref="P5:P28" si="6">O5+(5/24)</f>
        <v>45925.496550925927</v>
      </c>
      <c r="Q5" s="20" t="str">
        <f t="shared" ref="Q5:Q28" si="7">TEXT(P5,"dd/mm/yyyy")</f>
        <v>25/09/2025</v>
      </c>
      <c r="R5" s="13" t="str">
        <f t="shared" ref="R5:R28" si="8">TEXT(P5,"hh")</f>
        <v>11</v>
      </c>
      <c r="S5" s="13" t="str">
        <f t="shared" ref="S5:S28" si="9">TEXT(P5,"ddd")</f>
        <v>Thu</v>
      </c>
    </row>
    <row r="6" spans="1:19" x14ac:dyDescent="0.25">
      <c r="A6" s="77">
        <v>45925.288414351853</v>
      </c>
      <c r="B6" s="78">
        <v>188946420</v>
      </c>
      <c r="C6" s="79" t="s">
        <v>103</v>
      </c>
      <c r="D6" s="79" t="s">
        <v>37</v>
      </c>
      <c r="E6" s="79" t="s">
        <v>44</v>
      </c>
      <c r="F6" s="79" t="s">
        <v>104</v>
      </c>
      <c r="G6" s="80">
        <v>3735.02</v>
      </c>
      <c r="H6" s="78">
        <v>177241403</v>
      </c>
      <c r="I6" s="80">
        <v>0</v>
      </c>
      <c r="J6" s="80">
        <v>0</v>
      </c>
      <c r="K6" s="80">
        <v>0</v>
      </c>
      <c r="L6" s="80">
        <v>0</v>
      </c>
      <c r="M6" s="80">
        <v>23.99</v>
      </c>
      <c r="N6" s="79" t="s">
        <v>118</v>
      </c>
      <c r="O6" s="14">
        <f t="shared" si="5"/>
        <v>45925.288414351853</v>
      </c>
      <c r="P6" s="19">
        <f t="shared" si="6"/>
        <v>45925.496747685189</v>
      </c>
      <c r="Q6" s="20" t="str">
        <f t="shared" si="7"/>
        <v>25/09/2025</v>
      </c>
      <c r="R6" s="13" t="str">
        <f t="shared" si="8"/>
        <v>11</v>
      </c>
      <c r="S6" s="13" t="str">
        <f t="shared" si="9"/>
        <v>Thu</v>
      </c>
    </row>
    <row r="7" spans="1:19" x14ac:dyDescent="0.25">
      <c r="A7" s="81">
        <v>45925.288993055554</v>
      </c>
      <c r="B7" s="82">
        <v>188946550</v>
      </c>
      <c r="C7" s="83" t="s">
        <v>103</v>
      </c>
      <c r="D7" s="83" t="s">
        <v>37</v>
      </c>
      <c r="E7" s="83" t="s">
        <v>44</v>
      </c>
      <c r="F7" s="83" t="s">
        <v>104</v>
      </c>
      <c r="G7" s="84">
        <v>3735.86</v>
      </c>
      <c r="H7" s="82">
        <v>177241530</v>
      </c>
      <c r="I7" s="84">
        <v>0</v>
      </c>
      <c r="J7" s="84">
        <v>0</v>
      </c>
      <c r="K7" s="84">
        <v>0</v>
      </c>
      <c r="L7" s="84">
        <v>0</v>
      </c>
      <c r="M7" s="84">
        <v>23.99</v>
      </c>
      <c r="N7" s="83" t="s">
        <v>93</v>
      </c>
      <c r="O7" s="14">
        <f t="shared" si="5"/>
        <v>45925.288993055554</v>
      </c>
      <c r="P7" s="19">
        <f t="shared" si="6"/>
        <v>45925.49732638889</v>
      </c>
      <c r="Q7" s="20" t="str">
        <f t="shared" si="7"/>
        <v>25/09/2025</v>
      </c>
      <c r="R7" s="13" t="str">
        <f t="shared" si="8"/>
        <v>11</v>
      </c>
      <c r="S7" s="13" t="str">
        <f t="shared" si="9"/>
        <v>Thu</v>
      </c>
    </row>
    <row r="8" spans="1:19" x14ac:dyDescent="0.25">
      <c r="A8" s="77">
        <v>45925.299456018518</v>
      </c>
      <c r="B8" s="78">
        <v>188949586</v>
      </c>
      <c r="C8" s="79" t="s">
        <v>103</v>
      </c>
      <c r="D8" s="79" t="s">
        <v>36</v>
      </c>
      <c r="E8" s="79" t="s">
        <v>45</v>
      </c>
      <c r="F8" s="79" t="s">
        <v>104</v>
      </c>
      <c r="G8" s="80">
        <v>3733.54</v>
      </c>
      <c r="H8" s="78">
        <v>177244442</v>
      </c>
      <c r="I8" s="80">
        <v>0</v>
      </c>
      <c r="J8" s="80">
        <v>0</v>
      </c>
      <c r="K8" s="80">
        <v>0</v>
      </c>
      <c r="L8" s="80">
        <v>0.23</v>
      </c>
      <c r="M8" s="80">
        <v>24.22</v>
      </c>
      <c r="N8" s="79" t="s">
        <v>121</v>
      </c>
      <c r="O8" s="14">
        <f t="shared" si="5"/>
        <v>45925.299456018518</v>
      </c>
      <c r="P8" s="19">
        <f t="shared" si="6"/>
        <v>45925.507789351854</v>
      </c>
      <c r="Q8" s="20" t="str">
        <f t="shared" si="7"/>
        <v>25/09/2025</v>
      </c>
      <c r="R8" s="13" t="str">
        <f t="shared" si="8"/>
        <v>12</v>
      </c>
      <c r="S8" s="13" t="str">
        <f t="shared" si="9"/>
        <v>Thu</v>
      </c>
    </row>
    <row r="9" spans="1:19" x14ac:dyDescent="0.25">
      <c r="A9" s="81">
        <v>45925.299513888887</v>
      </c>
      <c r="B9" s="82">
        <v>188949619</v>
      </c>
      <c r="C9" s="83" t="s">
        <v>103</v>
      </c>
      <c r="D9" s="83" t="s">
        <v>37</v>
      </c>
      <c r="E9" s="83" t="s">
        <v>44</v>
      </c>
      <c r="F9" s="83" t="s">
        <v>104</v>
      </c>
      <c r="G9" s="84">
        <v>3733.33</v>
      </c>
      <c r="H9" s="82">
        <v>177244477</v>
      </c>
      <c r="I9" s="84">
        <v>0</v>
      </c>
      <c r="J9" s="84">
        <v>0</v>
      </c>
      <c r="K9" s="84">
        <v>0</v>
      </c>
      <c r="L9" s="84">
        <v>0</v>
      </c>
      <c r="M9" s="84">
        <v>24.22</v>
      </c>
      <c r="N9" s="83" t="s">
        <v>93</v>
      </c>
      <c r="O9" s="14">
        <f t="shared" si="5"/>
        <v>45925.299513888887</v>
      </c>
      <c r="P9" s="19">
        <f t="shared" si="6"/>
        <v>45925.507847222223</v>
      </c>
      <c r="Q9" s="20" t="str">
        <f t="shared" si="7"/>
        <v>25/09/2025</v>
      </c>
      <c r="R9" s="13" t="str">
        <f t="shared" si="8"/>
        <v>12</v>
      </c>
      <c r="S9" s="13" t="str">
        <f t="shared" si="9"/>
        <v>Thu</v>
      </c>
    </row>
    <row r="10" spans="1:19" x14ac:dyDescent="0.25">
      <c r="A10" s="77">
        <v>45925.314814814818</v>
      </c>
      <c r="B10" s="78">
        <v>188953586</v>
      </c>
      <c r="C10" s="79" t="s">
        <v>103</v>
      </c>
      <c r="D10" s="79" t="s">
        <v>36</v>
      </c>
      <c r="E10" s="79" t="s">
        <v>45</v>
      </c>
      <c r="F10" s="79" t="s">
        <v>104</v>
      </c>
      <c r="G10" s="80">
        <v>3736.34</v>
      </c>
      <c r="H10" s="78">
        <v>177248185</v>
      </c>
      <c r="I10" s="80">
        <v>0</v>
      </c>
      <c r="J10" s="80">
        <v>0</v>
      </c>
      <c r="K10" s="80">
        <v>0</v>
      </c>
      <c r="L10" s="80">
        <v>-0.3</v>
      </c>
      <c r="M10" s="80">
        <v>23.92</v>
      </c>
      <c r="N10" s="79" t="s">
        <v>122</v>
      </c>
      <c r="O10" s="14">
        <f t="shared" si="5"/>
        <v>45925.314814814818</v>
      </c>
      <c r="P10" s="19">
        <f t="shared" si="6"/>
        <v>45925.523148148153</v>
      </c>
      <c r="Q10" s="20" t="str">
        <f t="shared" si="7"/>
        <v>25/09/2025</v>
      </c>
      <c r="R10" s="13" t="str">
        <f t="shared" si="8"/>
        <v>12</v>
      </c>
      <c r="S10" s="13" t="str">
        <f t="shared" si="9"/>
        <v>Thu</v>
      </c>
    </row>
    <row r="11" spans="1:19" x14ac:dyDescent="0.25">
      <c r="A11" s="81">
        <v>45925.315567129626</v>
      </c>
      <c r="B11" s="82">
        <v>188954062</v>
      </c>
      <c r="C11" s="83" t="s">
        <v>103</v>
      </c>
      <c r="D11" s="83" t="s">
        <v>36</v>
      </c>
      <c r="E11" s="83" t="s">
        <v>45</v>
      </c>
      <c r="F11" s="83" t="s">
        <v>104</v>
      </c>
      <c r="G11" s="84">
        <v>3738.12</v>
      </c>
      <c r="H11" s="82">
        <v>177248640</v>
      </c>
      <c r="I11" s="84">
        <v>0</v>
      </c>
      <c r="J11" s="84">
        <v>0</v>
      </c>
      <c r="K11" s="84">
        <v>0</v>
      </c>
      <c r="L11" s="84">
        <v>-0.31</v>
      </c>
      <c r="M11" s="84">
        <v>23.61</v>
      </c>
      <c r="N11" s="83" t="s">
        <v>95</v>
      </c>
      <c r="O11" s="14">
        <f t="shared" si="5"/>
        <v>45925.315567129626</v>
      </c>
      <c r="P11" s="19">
        <f t="shared" si="6"/>
        <v>45925.523900462962</v>
      </c>
      <c r="Q11" s="20" t="str">
        <f t="shared" si="7"/>
        <v>25/09/2025</v>
      </c>
      <c r="R11" s="13" t="str">
        <f t="shared" si="8"/>
        <v>12</v>
      </c>
      <c r="S11" s="13" t="str">
        <f t="shared" si="9"/>
        <v>Thu</v>
      </c>
    </row>
    <row r="12" spans="1:19" x14ac:dyDescent="0.25">
      <c r="A12" s="77">
        <v>45925.317453703705</v>
      </c>
      <c r="B12" s="78">
        <v>188955666</v>
      </c>
      <c r="C12" s="79" t="s">
        <v>103</v>
      </c>
      <c r="D12" s="79" t="s">
        <v>36</v>
      </c>
      <c r="E12" s="79" t="s">
        <v>44</v>
      </c>
      <c r="F12" s="79" t="s">
        <v>104</v>
      </c>
      <c r="G12" s="80">
        <v>3739.48</v>
      </c>
      <c r="H12" s="78">
        <v>177250104</v>
      </c>
      <c r="I12" s="80">
        <v>0</v>
      </c>
      <c r="J12" s="80">
        <v>0</v>
      </c>
      <c r="K12" s="80">
        <v>0</v>
      </c>
      <c r="L12" s="80">
        <v>0</v>
      </c>
      <c r="M12" s="80">
        <v>23.61</v>
      </c>
      <c r="N12" s="79" t="s">
        <v>118</v>
      </c>
      <c r="O12" s="14">
        <f t="shared" si="5"/>
        <v>45925.317453703705</v>
      </c>
      <c r="P12" s="19">
        <f t="shared" si="6"/>
        <v>45925.525787037041</v>
      </c>
      <c r="Q12" s="20" t="str">
        <f t="shared" si="7"/>
        <v>25/09/2025</v>
      </c>
      <c r="R12" s="13" t="str">
        <f t="shared" si="8"/>
        <v>12</v>
      </c>
      <c r="S12" s="13" t="str">
        <f t="shared" si="9"/>
        <v>Thu</v>
      </c>
    </row>
    <row r="13" spans="1:19" x14ac:dyDescent="0.25">
      <c r="A13" s="81">
        <v>45925.319421296299</v>
      </c>
      <c r="B13" s="82">
        <v>188956340</v>
      </c>
      <c r="C13" s="83" t="s">
        <v>103</v>
      </c>
      <c r="D13" s="83" t="s">
        <v>36</v>
      </c>
      <c r="E13" s="83" t="s">
        <v>44</v>
      </c>
      <c r="F13" s="83" t="s">
        <v>104</v>
      </c>
      <c r="G13" s="84">
        <v>3738.62</v>
      </c>
      <c r="H13" s="82">
        <v>177250730</v>
      </c>
      <c r="I13" s="84">
        <v>0</v>
      </c>
      <c r="J13" s="84">
        <v>0</v>
      </c>
      <c r="K13" s="84">
        <v>0</v>
      </c>
      <c r="L13" s="84">
        <v>0</v>
      </c>
      <c r="M13" s="84">
        <v>23.61</v>
      </c>
      <c r="N13" s="83" t="s">
        <v>93</v>
      </c>
      <c r="O13" s="14">
        <f t="shared" si="5"/>
        <v>45925.319421296299</v>
      </c>
      <c r="P13" s="19">
        <f t="shared" si="6"/>
        <v>45925.527754629635</v>
      </c>
      <c r="Q13" s="20" t="str">
        <f t="shared" si="7"/>
        <v>25/09/2025</v>
      </c>
      <c r="R13" s="13" t="str">
        <f t="shared" si="8"/>
        <v>12</v>
      </c>
      <c r="S13" s="13" t="str">
        <f t="shared" si="9"/>
        <v>Thu</v>
      </c>
    </row>
    <row r="14" spans="1:19" x14ac:dyDescent="0.25">
      <c r="A14" s="77">
        <v>45925.337858796294</v>
      </c>
      <c r="B14" s="78">
        <v>188960226</v>
      </c>
      <c r="C14" s="79" t="s">
        <v>103</v>
      </c>
      <c r="D14" s="79" t="s">
        <v>37</v>
      </c>
      <c r="E14" s="79" t="s">
        <v>45</v>
      </c>
      <c r="F14" s="79" t="s">
        <v>104</v>
      </c>
      <c r="G14" s="80">
        <v>3736.46</v>
      </c>
      <c r="H14" s="78">
        <v>177254538</v>
      </c>
      <c r="I14" s="80">
        <v>0</v>
      </c>
      <c r="J14" s="80">
        <v>0</v>
      </c>
      <c r="K14" s="80">
        <v>0</v>
      </c>
      <c r="L14" s="80">
        <v>-0.3</v>
      </c>
      <c r="M14" s="80">
        <v>23.31</v>
      </c>
      <c r="N14" s="79" t="s">
        <v>123</v>
      </c>
      <c r="O14" s="14">
        <f t="shared" si="5"/>
        <v>45925.337858796294</v>
      </c>
      <c r="P14" s="19">
        <f t="shared" si="6"/>
        <v>45925.54619212963</v>
      </c>
      <c r="Q14" s="20" t="str">
        <f t="shared" si="7"/>
        <v>25/09/2025</v>
      </c>
      <c r="R14" s="13" t="str">
        <f t="shared" si="8"/>
        <v>13</v>
      </c>
      <c r="S14" s="13" t="str">
        <f t="shared" si="9"/>
        <v>Thu</v>
      </c>
    </row>
    <row r="15" spans="1:19" x14ac:dyDescent="0.25">
      <c r="A15" s="81">
        <v>45925.338750000003</v>
      </c>
      <c r="B15" s="82">
        <v>188960695</v>
      </c>
      <c r="C15" s="83" t="s">
        <v>103</v>
      </c>
      <c r="D15" s="83" t="s">
        <v>37</v>
      </c>
      <c r="E15" s="83" t="s">
        <v>44</v>
      </c>
      <c r="F15" s="83" t="s">
        <v>104</v>
      </c>
      <c r="G15" s="84">
        <v>3736.52</v>
      </c>
      <c r="H15" s="82">
        <v>177254998</v>
      </c>
      <c r="I15" s="84">
        <v>0</v>
      </c>
      <c r="J15" s="84">
        <v>0</v>
      </c>
      <c r="K15" s="84">
        <v>0</v>
      </c>
      <c r="L15" s="84">
        <v>0</v>
      </c>
      <c r="M15" s="84">
        <v>23.31</v>
      </c>
      <c r="N15" s="83" t="s">
        <v>118</v>
      </c>
      <c r="O15" s="14">
        <f t="shared" si="5"/>
        <v>45925.338750000003</v>
      </c>
      <c r="P15" s="19">
        <f t="shared" si="6"/>
        <v>45925.547083333338</v>
      </c>
      <c r="Q15" s="20" t="str">
        <f t="shared" si="7"/>
        <v>25/09/2025</v>
      </c>
      <c r="R15" s="13" t="str">
        <f t="shared" si="8"/>
        <v>13</v>
      </c>
      <c r="S15" s="13" t="str">
        <f t="shared" si="9"/>
        <v>Thu</v>
      </c>
    </row>
    <row r="16" spans="1:19" x14ac:dyDescent="0.25">
      <c r="A16" s="77">
        <v>45925.339085648149</v>
      </c>
      <c r="B16" s="78">
        <v>188960792</v>
      </c>
      <c r="C16" s="79" t="s">
        <v>103</v>
      </c>
      <c r="D16" s="79" t="s">
        <v>37</v>
      </c>
      <c r="E16" s="79" t="s">
        <v>45</v>
      </c>
      <c r="F16" s="79" t="s">
        <v>104</v>
      </c>
      <c r="G16" s="80">
        <v>3735.58</v>
      </c>
      <c r="H16" s="78">
        <v>177255094</v>
      </c>
      <c r="I16" s="80">
        <v>0</v>
      </c>
      <c r="J16" s="80">
        <v>0</v>
      </c>
      <c r="K16" s="80">
        <v>0</v>
      </c>
      <c r="L16" s="80">
        <v>-0.3</v>
      </c>
      <c r="M16" s="80">
        <v>23.01</v>
      </c>
      <c r="N16" s="79" t="s">
        <v>124</v>
      </c>
      <c r="O16" s="14">
        <f t="shared" si="5"/>
        <v>45925.339085648149</v>
      </c>
      <c r="P16" s="19">
        <f t="shared" si="6"/>
        <v>45925.547418981485</v>
      </c>
      <c r="Q16" s="20" t="str">
        <f t="shared" si="7"/>
        <v>25/09/2025</v>
      </c>
      <c r="R16" s="13" t="str">
        <f t="shared" si="8"/>
        <v>13</v>
      </c>
      <c r="S16" s="13" t="str">
        <f t="shared" si="9"/>
        <v>Thu</v>
      </c>
    </row>
    <row r="17" spans="1:19" x14ac:dyDescent="0.25">
      <c r="A17" s="81">
        <v>45925.34175925926</v>
      </c>
      <c r="B17" s="82">
        <v>188961321</v>
      </c>
      <c r="C17" s="83" t="s">
        <v>103</v>
      </c>
      <c r="D17" s="83" t="s">
        <v>37</v>
      </c>
      <c r="E17" s="83" t="s">
        <v>44</v>
      </c>
      <c r="F17" s="83" t="s">
        <v>104</v>
      </c>
      <c r="G17" s="84">
        <v>3735.83</v>
      </c>
      <c r="H17" s="82">
        <v>177255633</v>
      </c>
      <c r="I17" s="84">
        <v>0</v>
      </c>
      <c r="J17" s="84">
        <v>0</v>
      </c>
      <c r="K17" s="84">
        <v>0</v>
      </c>
      <c r="L17" s="84">
        <v>0</v>
      </c>
      <c r="M17" s="84">
        <v>23.01</v>
      </c>
      <c r="N17" s="83" t="s">
        <v>93</v>
      </c>
      <c r="O17" s="14">
        <f t="shared" si="5"/>
        <v>45925.34175925926</v>
      </c>
      <c r="P17" s="19">
        <f t="shared" si="6"/>
        <v>45925.550092592595</v>
      </c>
      <c r="Q17" s="20" t="str">
        <f t="shared" si="7"/>
        <v>25/09/2025</v>
      </c>
      <c r="R17" s="13" t="str">
        <f t="shared" si="8"/>
        <v>13</v>
      </c>
      <c r="S17" s="13" t="str">
        <f t="shared" si="9"/>
        <v>Thu</v>
      </c>
    </row>
    <row r="18" spans="1:19" x14ac:dyDescent="0.25">
      <c r="A18" s="77">
        <v>45925.358113425929</v>
      </c>
      <c r="B18" s="78">
        <v>188965405</v>
      </c>
      <c r="C18" s="79" t="s">
        <v>103</v>
      </c>
      <c r="D18" s="79" t="s">
        <v>36</v>
      </c>
      <c r="E18" s="79" t="s">
        <v>45</v>
      </c>
      <c r="F18" s="79" t="s">
        <v>104</v>
      </c>
      <c r="G18" s="80">
        <v>3738.84</v>
      </c>
      <c r="H18" s="78">
        <v>177259453</v>
      </c>
      <c r="I18" s="80">
        <v>0</v>
      </c>
      <c r="J18" s="80">
        <v>0</v>
      </c>
      <c r="K18" s="80">
        <v>0</v>
      </c>
      <c r="L18" s="80">
        <v>-0.3</v>
      </c>
      <c r="M18" s="80">
        <v>22.71</v>
      </c>
      <c r="N18" s="79" t="s">
        <v>125</v>
      </c>
      <c r="O18" s="14">
        <f t="shared" si="5"/>
        <v>45925.358113425929</v>
      </c>
      <c r="P18" s="19">
        <f t="shared" si="6"/>
        <v>45925.566446759265</v>
      </c>
      <c r="Q18" s="20" t="str">
        <f t="shared" si="7"/>
        <v>25/09/2025</v>
      </c>
      <c r="R18" s="13" t="str">
        <f t="shared" si="8"/>
        <v>13</v>
      </c>
      <c r="S18" s="13" t="str">
        <f t="shared" si="9"/>
        <v>Thu</v>
      </c>
    </row>
    <row r="19" spans="1:19" x14ac:dyDescent="0.25">
      <c r="A19" s="81">
        <v>45925.358495370368</v>
      </c>
      <c r="B19" s="82">
        <v>188965694</v>
      </c>
      <c r="C19" s="83" t="s">
        <v>103</v>
      </c>
      <c r="D19" s="83" t="s">
        <v>36</v>
      </c>
      <c r="E19" s="83" t="s">
        <v>45</v>
      </c>
      <c r="F19" s="83" t="s">
        <v>104</v>
      </c>
      <c r="G19" s="84">
        <v>3739.55</v>
      </c>
      <c r="H19" s="82">
        <v>177259738</v>
      </c>
      <c r="I19" s="84">
        <v>0</v>
      </c>
      <c r="J19" s="84">
        <v>0</v>
      </c>
      <c r="K19" s="84">
        <v>0</v>
      </c>
      <c r="L19" s="84">
        <v>-0.3</v>
      </c>
      <c r="M19" s="84">
        <v>22.41</v>
      </c>
      <c r="N19" s="83" t="s">
        <v>87</v>
      </c>
      <c r="O19" s="14">
        <f t="shared" si="5"/>
        <v>45925.358495370368</v>
      </c>
      <c r="P19" s="19">
        <f t="shared" si="6"/>
        <v>45925.566828703704</v>
      </c>
      <c r="Q19" s="20" t="str">
        <f t="shared" si="7"/>
        <v>25/09/2025</v>
      </c>
      <c r="R19" s="13" t="str">
        <f t="shared" si="8"/>
        <v>13</v>
      </c>
      <c r="S19" s="13" t="str">
        <f t="shared" si="9"/>
        <v>Thu</v>
      </c>
    </row>
    <row r="20" spans="1:19" x14ac:dyDescent="0.25">
      <c r="A20" s="77">
        <v>45925.359814814816</v>
      </c>
      <c r="B20" s="78">
        <v>188967077</v>
      </c>
      <c r="C20" s="79" t="s">
        <v>103</v>
      </c>
      <c r="D20" s="79" t="s">
        <v>36</v>
      </c>
      <c r="E20" s="79" t="s">
        <v>44</v>
      </c>
      <c r="F20" s="79" t="s">
        <v>104</v>
      </c>
      <c r="G20" s="80">
        <v>3739</v>
      </c>
      <c r="H20" s="78">
        <v>177261044</v>
      </c>
      <c r="I20" s="80">
        <v>0</v>
      </c>
      <c r="J20" s="80">
        <v>0</v>
      </c>
      <c r="K20" s="80">
        <v>0</v>
      </c>
      <c r="L20" s="80">
        <v>0</v>
      </c>
      <c r="M20" s="80">
        <v>22.41</v>
      </c>
      <c r="N20" s="79" t="s">
        <v>93</v>
      </c>
      <c r="O20" s="14">
        <f t="shared" si="5"/>
        <v>45925.359814814816</v>
      </c>
      <c r="P20" s="19">
        <f t="shared" si="6"/>
        <v>45925.568148148152</v>
      </c>
      <c r="Q20" s="20" t="str">
        <f t="shared" si="7"/>
        <v>25/09/2025</v>
      </c>
      <c r="R20" s="13" t="str">
        <f t="shared" si="8"/>
        <v>13</v>
      </c>
      <c r="S20" s="13" t="str">
        <f t="shared" si="9"/>
        <v>Thu</v>
      </c>
    </row>
    <row r="21" spans="1:19" x14ac:dyDescent="0.25">
      <c r="A21" s="81">
        <v>45925.361203703702</v>
      </c>
      <c r="B21" s="82">
        <v>188967737</v>
      </c>
      <c r="C21" s="83" t="s">
        <v>103</v>
      </c>
      <c r="D21" s="83" t="s">
        <v>36</v>
      </c>
      <c r="E21" s="83" t="s">
        <v>44</v>
      </c>
      <c r="F21" s="83" t="s">
        <v>104</v>
      </c>
      <c r="G21" s="84">
        <v>3738.47</v>
      </c>
      <c r="H21" s="82">
        <v>177261677</v>
      </c>
      <c r="I21" s="84">
        <v>0</v>
      </c>
      <c r="J21" s="84">
        <v>0</v>
      </c>
      <c r="K21" s="84">
        <v>0</v>
      </c>
      <c r="L21" s="84">
        <v>0</v>
      </c>
      <c r="M21" s="84">
        <v>22.41</v>
      </c>
      <c r="N21" s="83" t="s">
        <v>118</v>
      </c>
      <c r="O21" s="14">
        <f t="shared" si="5"/>
        <v>45925.361203703702</v>
      </c>
      <c r="P21" s="19">
        <f t="shared" si="6"/>
        <v>45925.569537037038</v>
      </c>
      <c r="Q21" s="20" t="str">
        <f t="shared" si="7"/>
        <v>25/09/2025</v>
      </c>
      <c r="R21" s="13" t="str">
        <f t="shared" si="8"/>
        <v>13</v>
      </c>
      <c r="S21" s="13" t="str">
        <f t="shared" si="9"/>
        <v>Thu</v>
      </c>
    </row>
    <row r="22" spans="1:19" x14ac:dyDescent="0.25">
      <c r="A22" s="77">
        <v>45925.382222222222</v>
      </c>
      <c r="B22" s="78">
        <v>188973637</v>
      </c>
      <c r="C22" s="79" t="s">
        <v>103</v>
      </c>
      <c r="D22" s="79" t="s">
        <v>37</v>
      </c>
      <c r="E22" s="79" t="s">
        <v>45</v>
      </c>
      <c r="F22" s="79" t="s">
        <v>104</v>
      </c>
      <c r="G22" s="80">
        <v>3742.54</v>
      </c>
      <c r="H22" s="78">
        <v>177267263</v>
      </c>
      <c r="I22" s="80">
        <v>0</v>
      </c>
      <c r="J22" s="80">
        <v>0</v>
      </c>
      <c r="K22" s="80">
        <v>0</v>
      </c>
      <c r="L22" s="80">
        <v>0.35</v>
      </c>
      <c r="M22" s="80">
        <v>22.76</v>
      </c>
      <c r="N22" s="79" t="s">
        <v>126</v>
      </c>
      <c r="O22" s="14">
        <f t="shared" si="5"/>
        <v>45925.382222222222</v>
      </c>
      <c r="P22" s="19">
        <f t="shared" si="6"/>
        <v>45925.590555555558</v>
      </c>
      <c r="Q22" s="20" t="str">
        <f t="shared" si="7"/>
        <v>25/09/2025</v>
      </c>
      <c r="R22" s="13" t="str">
        <f t="shared" si="8"/>
        <v>14</v>
      </c>
      <c r="S22" s="13" t="str">
        <f t="shared" si="9"/>
        <v>Thu</v>
      </c>
    </row>
    <row r="23" spans="1:19" x14ac:dyDescent="0.25">
      <c r="A23" s="81">
        <v>45925.384409722225</v>
      </c>
      <c r="B23" s="82">
        <v>188976610</v>
      </c>
      <c r="C23" s="83" t="s">
        <v>103</v>
      </c>
      <c r="D23" s="83" t="s">
        <v>37</v>
      </c>
      <c r="E23" s="83" t="s">
        <v>45</v>
      </c>
      <c r="F23" s="83" t="s">
        <v>104</v>
      </c>
      <c r="G23" s="84">
        <v>3745.35</v>
      </c>
      <c r="H23" s="82">
        <v>177269857</v>
      </c>
      <c r="I23" s="84">
        <v>0</v>
      </c>
      <c r="J23" s="84">
        <v>0</v>
      </c>
      <c r="K23" s="84">
        <v>0</v>
      </c>
      <c r="L23" s="84">
        <v>0.69</v>
      </c>
      <c r="M23" s="84">
        <v>23.45</v>
      </c>
      <c r="N23" s="83" t="s">
        <v>127</v>
      </c>
      <c r="O23" s="14">
        <f t="shared" si="5"/>
        <v>45925.384409722225</v>
      </c>
      <c r="P23" s="19">
        <f t="shared" si="6"/>
        <v>45925.59274305556</v>
      </c>
      <c r="Q23" s="20" t="str">
        <f t="shared" si="7"/>
        <v>25/09/2025</v>
      </c>
      <c r="R23" s="13" t="str">
        <f t="shared" si="8"/>
        <v>14</v>
      </c>
      <c r="S23" s="13" t="str">
        <f t="shared" si="9"/>
        <v>Thu</v>
      </c>
    </row>
    <row r="24" spans="1:19" x14ac:dyDescent="0.25">
      <c r="A24" s="77">
        <v>45925.384467592594</v>
      </c>
      <c r="B24" s="78">
        <v>188976669</v>
      </c>
      <c r="C24" s="79" t="s">
        <v>103</v>
      </c>
      <c r="D24" s="79" t="s">
        <v>36</v>
      </c>
      <c r="E24" s="79" t="s">
        <v>44</v>
      </c>
      <c r="F24" s="79" t="s">
        <v>104</v>
      </c>
      <c r="G24" s="80">
        <v>3745.44</v>
      </c>
      <c r="H24" s="78">
        <v>177269910</v>
      </c>
      <c r="I24" s="80">
        <v>0</v>
      </c>
      <c r="J24" s="80">
        <v>0</v>
      </c>
      <c r="K24" s="80">
        <v>0</v>
      </c>
      <c r="L24" s="80">
        <v>0</v>
      </c>
      <c r="M24" s="80">
        <v>23.45</v>
      </c>
      <c r="N24" s="79" t="s">
        <v>118</v>
      </c>
      <c r="O24" s="14">
        <f t="shared" si="5"/>
        <v>45925.384467592594</v>
      </c>
      <c r="P24" s="19">
        <f t="shared" si="6"/>
        <v>45925.59280092593</v>
      </c>
      <c r="Q24" s="20" t="str">
        <f t="shared" si="7"/>
        <v>25/09/2025</v>
      </c>
      <c r="R24" s="13" t="str">
        <f t="shared" si="8"/>
        <v>14</v>
      </c>
      <c r="S24" s="13" t="str">
        <f t="shared" si="9"/>
        <v>Thu</v>
      </c>
    </row>
    <row r="25" spans="1:19" x14ac:dyDescent="0.25">
      <c r="A25" s="81">
        <v>45925.389560185184</v>
      </c>
      <c r="B25" s="82">
        <v>188979831</v>
      </c>
      <c r="C25" s="83" t="s">
        <v>103</v>
      </c>
      <c r="D25" s="83" t="s">
        <v>36</v>
      </c>
      <c r="E25" s="83" t="s">
        <v>44</v>
      </c>
      <c r="F25" s="83" t="s">
        <v>104</v>
      </c>
      <c r="G25" s="84">
        <v>3746.84</v>
      </c>
      <c r="H25" s="82">
        <v>177272834</v>
      </c>
      <c r="I25" s="84">
        <v>0</v>
      </c>
      <c r="J25" s="84">
        <v>0</v>
      </c>
      <c r="K25" s="84">
        <v>0</v>
      </c>
      <c r="L25" s="84">
        <v>0</v>
      </c>
      <c r="M25" s="84">
        <v>23.45</v>
      </c>
      <c r="N25" s="83" t="s">
        <v>93</v>
      </c>
      <c r="O25" s="14">
        <f t="shared" si="5"/>
        <v>45925.389560185184</v>
      </c>
      <c r="P25" s="19">
        <f t="shared" si="6"/>
        <v>45925.597893518519</v>
      </c>
      <c r="Q25" s="20" t="str">
        <f t="shared" si="7"/>
        <v>25/09/2025</v>
      </c>
      <c r="R25" s="13" t="str">
        <f t="shared" si="8"/>
        <v>14</v>
      </c>
      <c r="S25" s="13" t="str">
        <f t="shared" si="9"/>
        <v>Thu</v>
      </c>
    </row>
    <row r="26" spans="1:19" x14ac:dyDescent="0.25">
      <c r="A26" s="77">
        <v>45925.400081018517</v>
      </c>
      <c r="B26" s="78">
        <v>188982766</v>
      </c>
      <c r="C26" s="79" t="s">
        <v>103</v>
      </c>
      <c r="D26" s="79" t="s">
        <v>37</v>
      </c>
      <c r="E26" s="79" t="s">
        <v>45</v>
      </c>
      <c r="F26" s="79" t="s">
        <v>104</v>
      </c>
      <c r="G26" s="80">
        <v>3743.6</v>
      </c>
      <c r="H26" s="78">
        <v>177275538</v>
      </c>
      <c r="I26" s="80">
        <v>0</v>
      </c>
      <c r="J26" s="80">
        <v>0</v>
      </c>
      <c r="K26" s="80">
        <v>0</v>
      </c>
      <c r="L26" s="80">
        <v>-0.32</v>
      </c>
      <c r="M26" s="80">
        <v>23.13</v>
      </c>
      <c r="N26" s="79" t="s">
        <v>128</v>
      </c>
      <c r="O26" s="14">
        <f t="shared" si="5"/>
        <v>45925.400081018517</v>
      </c>
      <c r="P26" s="19">
        <f t="shared" si="6"/>
        <v>45925.608414351853</v>
      </c>
      <c r="Q26" s="20" t="str">
        <f t="shared" si="7"/>
        <v>25/09/2025</v>
      </c>
      <c r="R26" s="13" t="str">
        <f t="shared" si="8"/>
        <v>14</v>
      </c>
      <c r="S26" s="13" t="str">
        <f t="shared" si="9"/>
        <v>Thu</v>
      </c>
    </row>
    <row r="27" spans="1:19" x14ac:dyDescent="0.25">
      <c r="A27" s="81">
        <v>45925.403240740743</v>
      </c>
      <c r="B27" s="82">
        <v>188983927</v>
      </c>
      <c r="C27" s="83" t="s">
        <v>103</v>
      </c>
      <c r="D27" s="83" t="s">
        <v>37</v>
      </c>
      <c r="E27" s="83" t="s">
        <v>45</v>
      </c>
      <c r="F27" s="83" t="s">
        <v>104</v>
      </c>
      <c r="G27" s="84">
        <v>3742.33</v>
      </c>
      <c r="H27" s="82">
        <v>177276630</v>
      </c>
      <c r="I27" s="84">
        <v>0</v>
      </c>
      <c r="J27" s="84">
        <v>0</v>
      </c>
      <c r="K27" s="84">
        <v>0</v>
      </c>
      <c r="L27" s="84">
        <v>-0.31</v>
      </c>
      <c r="M27" s="84">
        <v>22.82</v>
      </c>
      <c r="N27" s="83" t="s">
        <v>94</v>
      </c>
      <c r="O27" s="14">
        <f t="shared" si="5"/>
        <v>45925.403240740743</v>
      </c>
      <c r="P27" s="19">
        <f t="shared" si="6"/>
        <v>45925.611574074079</v>
      </c>
      <c r="Q27" s="20" t="str">
        <f t="shared" si="7"/>
        <v>25/09/2025</v>
      </c>
      <c r="R27" s="13" t="str">
        <f t="shared" si="8"/>
        <v>14</v>
      </c>
      <c r="S27" s="13" t="str">
        <f t="shared" si="9"/>
        <v>Thu</v>
      </c>
    </row>
    <row r="28" spans="1:19" x14ac:dyDescent="0.25">
      <c r="A28" s="77">
        <v>45925.404722222222</v>
      </c>
      <c r="B28" s="78">
        <v>188985028</v>
      </c>
      <c r="C28" s="79" t="s">
        <v>103</v>
      </c>
      <c r="D28" s="79" t="s">
        <v>37</v>
      </c>
      <c r="E28" s="79" t="s">
        <v>44</v>
      </c>
      <c r="F28" s="79" t="s">
        <v>104</v>
      </c>
      <c r="G28" s="80">
        <v>3741.64</v>
      </c>
      <c r="H28" s="78">
        <v>177277660</v>
      </c>
      <c r="I28" s="80">
        <v>0</v>
      </c>
      <c r="J28" s="80">
        <v>0</v>
      </c>
      <c r="K28" s="80">
        <v>0</v>
      </c>
      <c r="L28" s="80">
        <v>0</v>
      </c>
      <c r="M28" s="80">
        <v>22.82</v>
      </c>
      <c r="N28" s="79" t="s">
        <v>118</v>
      </c>
      <c r="O28" s="14">
        <f t="shared" si="5"/>
        <v>45925.404722222222</v>
      </c>
      <c r="P28" s="19">
        <f t="shared" si="6"/>
        <v>45925.613055555557</v>
      </c>
      <c r="Q28" s="20" t="str">
        <f t="shared" si="7"/>
        <v>25/09/2025</v>
      </c>
      <c r="R28" s="13" t="str">
        <f t="shared" si="8"/>
        <v>14</v>
      </c>
      <c r="S28" s="13" t="str">
        <f t="shared" si="9"/>
        <v>Thu</v>
      </c>
    </row>
    <row r="29" spans="1:19" x14ac:dyDescent="0.25">
      <c r="A29" s="81">
        <v>45925.412592592591</v>
      </c>
      <c r="B29" s="82">
        <v>188987404</v>
      </c>
      <c r="C29" s="83" t="s">
        <v>103</v>
      </c>
      <c r="D29" s="83" t="s">
        <v>37</v>
      </c>
      <c r="E29" s="83" t="s">
        <v>44</v>
      </c>
      <c r="F29" s="83" t="s">
        <v>104</v>
      </c>
      <c r="G29" s="84">
        <v>3741.88</v>
      </c>
      <c r="H29" s="82">
        <v>177279981</v>
      </c>
      <c r="I29" s="84">
        <v>0</v>
      </c>
      <c r="J29" s="84">
        <v>0</v>
      </c>
      <c r="K29" s="84">
        <v>0</v>
      </c>
      <c r="L29" s="84">
        <v>0</v>
      </c>
      <c r="M29" s="84">
        <v>22.82</v>
      </c>
      <c r="N29" s="83" t="s">
        <v>93</v>
      </c>
      <c r="O29" s="14">
        <f t="shared" ref="O29:O52" si="10">A29</f>
        <v>45925.412592592591</v>
      </c>
      <c r="P29" s="19">
        <f t="shared" ref="P29:P52" si="11">O29+(5/24)</f>
        <v>45925.620925925927</v>
      </c>
      <c r="Q29" s="20" t="str">
        <f t="shared" ref="Q29:Q52" si="12">TEXT(P29,"dd/mm/yyyy")</f>
        <v>25/09/2025</v>
      </c>
      <c r="R29" s="13" t="str">
        <f t="shared" ref="R29:R52" si="13">TEXT(P29,"hh")</f>
        <v>14</v>
      </c>
      <c r="S29" s="13" t="str">
        <f t="shared" ref="S29:S52" si="14">TEXT(P29,"ddd")</f>
        <v>Thu</v>
      </c>
    </row>
    <row r="30" spans="1:19" x14ac:dyDescent="0.25">
      <c r="A30" s="77">
        <v>45925.427546296298</v>
      </c>
      <c r="B30" s="78">
        <v>188992668</v>
      </c>
      <c r="C30" s="79" t="s">
        <v>103</v>
      </c>
      <c r="D30" s="79" t="s">
        <v>36</v>
      </c>
      <c r="E30" s="79" t="s">
        <v>45</v>
      </c>
      <c r="F30" s="79" t="s">
        <v>104</v>
      </c>
      <c r="G30" s="80">
        <v>3744.66</v>
      </c>
      <c r="H30" s="78">
        <v>177284930</v>
      </c>
      <c r="I30" s="80">
        <v>0</v>
      </c>
      <c r="J30" s="80">
        <v>0</v>
      </c>
      <c r="K30" s="80">
        <v>0</v>
      </c>
      <c r="L30" s="80">
        <v>-0.3</v>
      </c>
      <c r="M30" s="80">
        <v>22.52</v>
      </c>
      <c r="N30" s="79" t="s">
        <v>150</v>
      </c>
      <c r="O30" s="14">
        <f t="shared" si="10"/>
        <v>45925.427546296298</v>
      </c>
      <c r="P30" s="19">
        <f t="shared" si="11"/>
        <v>45925.635879629634</v>
      </c>
      <c r="Q30" s="20" t="str">
        <f t="shared" si="12"/>
        <v>25/09/2025</v>
      </c>
      <c r="R30" s="13" t="str">
        <f t="shared" si="13"/>
        <v>15</v>
      </c>
      <c r="S30" s="13" t="str">
        <f t="shared" si="14"/>
        <v>Thu</v>
      </c>
    </row>
    <row r="31" spans="1:19" x14ac:dyDescent="0.25">
      <c r="A31" s="81">
        <v>45925.427569444444</v>
      </c>
      <c r="B31" s="82">
        <v>188992716</v>
      </c>
      <c r="C31" s="83" t="s">
        <v>103</v>
      </c>
      <c r="D31" s="83" t="s">
        <v>36</v>
      </c>
      <c r="E31" s="83" t="s">
        <v>45</v>
      </c>
      <c r="F31" s="83" t="s">
        <v>104</v>
      </c>
      <c r="G31" s="84">
        <v>3744.88</v>
      </c>
      <c r="H31" s="82">
        <v>177284971</v>
      </c>
      <c r="I31" s="84">
        <v>0</v>
      </c>
      <c r="J31" s="84">
        <v>0</v>
      </c>
      <c r="K31" s="84">
        <v>0</v>
      </c>
      <c r="L31" s="84">
        <v>-0.3</v>
      </c>
      <c r="M31" s="84">
        <v>22.22</v>
      </c>
      <c r="N31" s="83" t="s">
        <v>151</v>
      </c>
      <c r="O31" s="14">
        <f t="shared" si="10"/>
        <v>45925.427569444444</v>
      </c>
      <c r="P31" s="19">
        <f t="shared" si="11"/>
        <v>45925.63590277778</v>
      </c>
      <c r="Q31" s="20" t="str">
        <f t="shared" si="12"/>
        <v>25/09/2025</v>
      </c>
      <c r="R31" s="13" t="str">
        <f t="shared" si="13"/>
        <v>15</v>
      </c>
      <c r="S31" s="13" t="str">
        <f t="shared" si="14"/>
        <v>Thu</v>
      </c>
    </row>
    <row r="32" spans="1:19" x14ac:dyDescent="0.25">
      <c r="A32" s="77">
        <v>45925.428564814814</v>
      </c>
      <c r="B32" s="78">
        <v>188993180</v>
      </c>
      <c r="C32" s="79" t="s">
        <v>103</v>
      </c>
      <c r="D32" s="79" t="s">
        <v>36</v>
      </c>
      <c r="E32" s="79" t="s">
        <v>44</v>
      </c>
      <c r="F32" s="79" t="s">
        <v>104</v>
      </c>
      <c r="G32" s="80">
        <v>3744.55</v>
      </c>
      <c r="H32" s="78">
        <v>177285426</v>
      </c>
      <c r="I32" s="80">
        <v>0</v>
      </c>
      <c r="J32" s="80">
        <v>0</v>
      </c>
      <c r="K32" s="80">
        <v>0</v>
      </c>
      <c r="L32" s="80">
        <v>0</v>
      </c>
      <c r="M32" s="80">
        <v>22.22</v>
      </c>
      <c r="N32" s="79" t="s">
        <v>118</v>
      </c>
      <c r="O32" s="14">
        <f t="shared" si="10"/>
        <v>45925.428564814814</v>
      </c>
      <c r="P32" s="19">
        <f t="shared" si="11"/>
        <v>45925.63689814815</v>
      </c>
      <c r="Q32" s="20" t="str">
        <f t="shared" si="12"/>
        <v>25/09/2025</v>
      </c>
      <c r="R32" s="13" t="str">
        <f t="shared" si="13"/>
        <v>15</v>
      </c>
      <c r="S32" s="13" t="str">
        <f t="shared" si="14"/>
        <v>Thu</v>
      </c>
    </row>
    <row r="33" spans="1:19" x14ac:dyDescent="0.25">
      <c r="A33" s="81">
        <v>45925.429259259261</v>
      </c>
      <c r="B33" s="82">
        <v>188993384</v>
      </c>
      <c r="C33" s="83" t="s">
        <v>103</v>
      </c>
      <c r="D33" s="83" t="s">
        <v>36</v>
      </c>
      <c r="E33" s="83" t="s">
        <v>44</v>
      </c>
      <c r="F33" s="83" t="s">
        <v>104</v>
      </c>
      <c r="G33" s="84">
        <v>3744.24</v>
      </c>
      <c r="H33" s="82">
        <v>177285613</v>
      </c>
      <c r="I33" s="84">
        <v>0</v>
      </c>
      <c r="J33" s="84">
        <v>0</v>
      </c>
      <c r="K33" s="84">
        <v>0</v>
      </c>
      <c r="L33" s="84">
        <v>0</v>
      </c>
      <c r="M33" s="84">
        <v>22.22</v>
      </c>
      <c r="N33" s="83" t="s">
        <v>93</v>
      </c>
      <c r="O33" s="14">
        <f t="shared" si="10"/>
        <v>45925.429259259261</v>
      </c>
      <c r="P33" s="19">
        <f t="shared" si="11"/>
        <v>45925.637592592597</v>
      </c>
      <c r="Q33" s="20" t="str">
        <f t="shared" si="12"/>
        <v>25/09/2025</v>
      </c>
      <c r="R33" s="13" t="str">
        <f t="shared" si="13"/>
        <v>15</v>
      </c>
      <c r="S33" s="13" t="str">
        <f t="shared" si="14"/>
        <v>Thu</v>
      </c>
    </row>
    <row r="34" spans="1:19" x14ac:dyDescent="0.25">
      <c r="A34" s="77">
        <v>45925.440891203703</v>
      </c>
      <c r="B34" s="78">
        <v>188997677</v>
      </c>
      <c r="C34" s="79" t="s">
        <v>103</v>
      </c>
      <c r="D34" s="79" t="s">
        <v>37</v>
      </c>
      <c r="E34" s="79" t="s">
        <v>45</v>
      </c>
      <c r="F34" s="79" t="s">
        <v>104</v>
      </c>
      <c r="G34" s="80">
        <v>3747.74</v>
      </c>
      <c r="H34" s="78">
        <v>177289716</v>
      </c>
      <c r="I34" s="80">
        <v>0</v>
      </c>
      <c r="J34" s="80">
        <v>0</v>
      </c>
      <c r="K34" s="80">
        <v>0</v>
      </c>
      <c r="L34" s="80">
        <v>0.35</v>
      </c>
      <c r="M34" s="80">
        <v>22.57</v>
      </c>
      <c r="N34" s="79" t="s">
        <v>152</v>
      </c>
      <c r="O34" s="14">
        <f t="shared" si="10"/>
        <v>45925.440891203703</v>
      </c>
      <c r="P34" s="19">
        <f t="shared" si="11"/>
        <v>45925.649224537039</v>
      </c>
      <c r="Q34" s="20" t="str">
        <f t="shared" si="12"/>
        <v>25/09/2025</v>
      </c>
      <c r="R34" s="13" t="str">
        <f t="shared" si="13"/>
        <v>15</v>
      </c>
      <c r="S34" s="13" t="str">
        <f t="shared" si="14"/>
        <v>Thu</v>
      </c>
    </row>
    <row r="35" spans="1:19" x14ac:dyDescent="0.25">
      <c r="A35" s="81">
        <v>45925.444537037038</v>
      </c>
      <c r="B35" s="82">
        <v>189001971</v>
      </c>
      <c r="C35" s="83" t="s">
        <v>103</v>
      </c>
      <c r="D35" s="83" t="s">
        <v>37</v>
      </c>
      <c r="E35" s="83" t="s">
        <v>45</v>
      </c>
      <c r="F35" s="83" t="s">
        <v>104</v>
      </c>
      <c r="G35" s="84">
        <v>3750.69</v>
      </c>
      <c r="H35" s="82">
        <v>177293554</v>
      </c>
      <c r="I35" s="84">
        <v>0</v>
      </c>
      <c r="J35" s="84">
        <v>0</v>
      </c>
      <c r="K35" s="84">
        <v>0</v>
      </c>
      <c r="L35" s="84">
        <v>0.61</v>
      </c>
      <c r="M35" s="84">
        <v>23.18</v>
      </c>
      <c r="N35" s="83" t="s">
        <v>153</v>
      </c>
      <c r="O35" s="14">
        <f t="shared" si="10"/>
        <v>45925.444537037038</v>
      </c>
      <c r="P35" s="19">
        <f t="shared" si="11"/>
        <v>45925.652870370373</v>
      </c>
      <c r="Q35" s="20" t="str">
        <f t="shared" si="12"/>
        <v>25/09/2025</v>
      </c>
      <c r="R35" s="13" t="str">
        <f t="shared" si="13"/>
        <v>15</v>
      </c>
      <c r="S35" s="13" t="str">
        <f t="shared" si="14"/>
        <v>Thu</v>
      </c>
    </row>
    <row r="36" spans="1:19" x14ac:dyDescent="0.25">
      <c r="A36" s="77">
        <v>45925.444652777776</v>
      </c>
      <c r="B36" s="78">
        <v>189002186</v>
      </c>
      <c r="C36" s="79" t="s">
        <v>103</v>
      </c>
      <c r="D36" s="79" t="s">
        <v>36</v>
      </c>
      <c r="E36" s="79" t="s">
        <v>44</v>
      </c>
      <c r="F36" s="79" t="s">
        <v>104</v>
      </c>
      <c r="G36" s="80">
        <v>3750.46</v>
      </c>
      <c r="H36" s="78">
        <v>177293762</v>
      </c>
      <c r="I36" s="80">
        <v>0</v>
      </c>
      <c r="J36" s="80">
        <v>0</v>
      </c>
      <c r="K36" s="80">
        <v>0</v>
      </c>
      <c r="L36" s="80">
        <v>0</v>
      </c>
      <c r="M36" s="80">
        <v>23.18</v>
      </c>
      <c r="N36" s="79" t="s">
        <v>118</v>
      </c>
      <c r="O36" s="14">
        <f t="shared" si="10"/>
        <v>45925.444652777776</v>
      </c>
      <c r="P36" s="19">
        <f t="shared" si="11"/>
        <v>45925.652986111112</v>
      </c>
      <c r="Q36" s="20" t="str">
        <f t="shared" si="12"/>
        <v>25/09/2025</v>
      </c>
      <c r="R36" s="13" t="str">
        <f t="shared" si="13"/>
        <v>15</v>
      </c>
      <c r="S36" s="13" t="str">
        <f t="shared" si="14"/>
        <v>Thu</v>
      </c>
    </row>
    <row r="37" spans="1:19" x14ac:dyDescent="0.25">
      <c r="A37" s="81">
        <v>45925.44604166667</v>
      </c>
      <c r="B37" s="82">
        <v>189003079</v>
      </c>
      <c r="C37" s="83" t="s">
        <v>103</v>
      </c>
      <c r="D37" s="83" t="s">
        <v>36</v>
      </c>
      <c r="E37" s="83" t="s">
        <v>44</v>
      </c>
      <c r="F37" s="83" t="s">
        <v>104</v>
      </c>
      <c r="G37" s="84">
        <v>3749.78</v>
      </c>
      <c r="H37" s="82">
        <v>177294581</v>
      </c>
      <c r="I37" s="84">
        <v>0</v>
      </c>
      <c r="J37" s="84">
        <v>0</v>
      </c>
      <c r="K37" s="84">
        <v>0</v>
      </c>
      <c r="L37" s="84">
        <v>0</v>
      </c>
      <c r="M37" s="84">
        <v>23.18</v>
      </c>
      <c r="N37" s="83" t="s">
        <v>93</v>
      </c>
      <c r="O37" s="14">
        <f t="shared" si="10"/>
        <v>45925.44604166667</v>
      </c>
      <c r="P37" s="19">
        <f t="shared" si="11"/>
        <v>45925.654375000006</v>
      </c>
      <c r="Q37" s="20" t="str">
        <f t="shared" si="12"/>
        <v>25/09/2025</v>
      </c>
      <c r="R37" s="13" t="str">
        <f t="shared" si="13"/>
        <v>15</v>
      </c>
      <c r="S37" s="13" t="str">
        <f t="shared" si="14"/>
        <v>Thu</v>
      </c>
    </row>
    <row r="38" spans="1:19" x14ac:dyDescent="0.25">
      <c r="A38" s="77">
        <v>45925.448009259257</v>
      </c>
      <c r="B38" s="78">
        <v>189004485</v>
      </c>
      <c r="C38" s="79" t="s">
        <v>103</v>
      </c>
      <c r="D38" s="79" t="s">
        <v>37</v>
      </c>
      <c r="E38" s="79" t="s">
        <v>45</v>
      </c>
      <c r="F38" s="79" t="s">
        <v>104</v>
      </c>
      <c r="G38" s="80">
        <v>3753.31</v>
      </c>
      <c r="H38" s="78">
        <v>177295866</v>
      </c>
      <c r="I38" s="80">
        <v>0</v>
      </c>
      <c r="J38" s="80">
        <v>0</v>
      </c>
      <c r="K38" s="80">
        <v>0</v>
      </c>
      <c r="L38" s="80">
        <v>0.35</v>
      </c>
      <c r="M38" s="80">
        <v>23.53</v>
      </c>
      <c r="N38" s="79" t="s">
        <v>154</v>
      </c>
      <c r="O38" s="14">
        <f t="shared" si="10"/>
        <v>45925.448009259257</v>
      </c>
      <c r="P38" s="19">
        <f t="shared" si="11"/>
        <v>45925.656342592592</v>
      </c>
      <c r="Q38" s="20" t="str">
        <f t="shared" si="12"/>
        <v>25/09/2025</v>
      </c>
      <c r="R38" s="13" t="str">
        <f t="shared" si="13"/>
        <v>15</v>
      </c>
      <c r="S38" s="13" t="str">
        <f t="shared" si="14"/>
        <v>Thu</v>
      </c>
    </row>
    <row r="39" spans="1:19" x14ac:dyDescent="0.25">
      <c r="A39" s="81">
        <v>45925.449525462966</v>
      </c>
      <c r="B39" s="82">
        <v>189006375</v>
      </c>
      <c r="C39" s="83" t="s">
        <v>103</v>
      </c>
      <c r="D39" s="83" t="s">
        <v>37</v>
      </c>
      <c r="E39" s="83" t="s">
        <v>45</v>
      </c>
      <c r="F39" s="83" t="s">
        <v>104</v>
      </c>
      <c r="G39" s="84">
        <v>3752.74</v>
      </c>
      <c r="H39" s="82">
        <v>177297639</v>
      </c>
      <c r="I39" s="84">
        <v>0</v>
      </c>
      <c r="J39" s="84">
        <v>0</v>
      </c>
      <c r="K39" s="84">
        <v>0</v>
      </c>
      <c r="L39" s="84">
        <v>0.23</v>
      </c>
      <c r="M39" s="84">
        <v>23.76</v>
      </c>
      <c r="N39" s="83" t="s">
        <v>155</v>
      </c>
      <c r="O39" s="14">
        <f t="shared" si="10"/>
        <v>45925.449525462966</v>
      </c>
      <c r="P39" s="19">
        <f t="shared" si="11"/>
        <v>45925.657858796301</v>
      </c>
      <c r="Q39" s="20" t="str">
        <f t="shared" si="12"/>
        <v>25/09/2025</v>
      </c>
      <c r="R39" s="13" t="str">
        <f t="shared" si="13"/>
        <v>15</v>
      </c>
      <c r="S39" s="13" t="str">
        <f t="shared" si="14"/>
        <v>Thu</v>
      </c>
    </row>
    <row r="40" spans="1:19" x14ac:dyDescent="0.25">
      <c r="A40" s="77">
        <v>45925.449629629627</v>
      </c>
      <c r="B40" s="78">
        <v>189006466</v>
      </c>
      <c r="C40" s="79" t="s">
        <v>103</v>
      </c>
      <c r="D40" s="79" t="s">
        <v>36</v>
      </c>
      <c r="E40" s="79" t="s">
        <v>44</v>
      </c>
      <c r="F40" s="79" t="s">
        <v>104</v>
      </c>
      <c r="G40" s="80">
        <v>3753.34</v>
      </c>
      <c r="H40" s="78">
        <v>177297721</v>
      </c>
      <c r="I40" s="80">
        <v>0</v>
      </c>
      <c r="J40" s="80">
        <v>0</v>
      </c>
      <c r="K40" s="80">
        <v>0</v>
      </c>
      <c r="L40" s="80">
        <v>0</v>
      </c>
      <c r="M40" s="80">
        <v>23.76</v>
      </c>
      <c r="N40" s="79" t="s">
        <v>118</v>
      </c>
      <c r="O40" s="14">
        <f t="shared" si="10"/>
        <v>45925.449629629627</v>
      </c>
      <c r="P40" s="19">
        <f t="shared" si="11"/>
        <v>45925.657962962963</v>
      </c>
      <c r="Q40" s="20" t="str">
        <f t="shared" si="12"/>
        <v>25/09/2025</v>
      </c>
      <c r="R40" s="13" t="str">
        <f t="shared" si="13"/>
        <v>15</v>
      </c>
      <c r="S40" s="13" t="str">
        <f t="shared" si="14"/>
        <v>Thu</v>
      </c>
    </row>
    <row r="41" spans="1:19" x14ac:dyDescent="0.25">
      <c r="A41" s="81">
        <v>45925.452870370369</v>
      </c>
      <c r="B41" s="82">
        <v>189008978</v>
      </c>
      <c r="C41" s="83" t="s">
        <v>103</v>
      </c>
      <c r="D41" s="83" t="s">
        <v>36</v>
      </c>
      <c r="E41" s="83" t="s">
        <v>44</v>
      </c>
      <c r="F41" s="83" t="s">
        <v>104</v>
      </c>
      <c r="G41" s="84">
        <v>3753.38</v>
      </c>
      <c r="H41" s="82">
        <v>177300048</v>
      </c>
      <c r="I41" s="84">
        <v>0</v>
      </c>
      <c r="J41" s="84">
        <v>0</v>
      </c>
      <c r="K41" s="84">
        <v>0</v>
      </c>
      <c r="L41" s="84">
        <v>0</v>
      </c>
      <c r="M41" s="84">
        <v>23.76</v>
      </c>
      <c r="N41" s="83" t="s">
        <v>93</v>
      </c>
      <c r="O41" s="14">
        <f t="shared" si="10"/>
        <v>45925.452870370369</v>
      </c>
      <c r="P41" s="19">
        <f t="shared" si="11"/>
        <v>45925.661203703705</v>
      </c>
      <c r="Q41" s="20" t="str">
        <f t="shared" si="12"/>
        <v>25/09/2025</v>
      </c>
      <c r="R41" s="13" t="str">
        <f t="shared" si="13"/>
        <v>15</v>
      </c>
      <c r="S41" s="13" t="str">
        <f t="shared" si="14"/>
        <v>Thu</v>
      </c>
    </row>
    <row r="42" spans="1:19" x14ac:dyDescent="0.25">
      <c r="A42" s="77">
        <v>45925.453819444447</v>
      </c>
      <c r="B42" s="78">
        <v>189009847</v>
      </c>
      <c r="C42" s="79" t="s">
        <v>103</v>
      </c>
      <c r="D42" s="79" t="s">
        <v>37</v>
      </c>
      <c r="E42" s="79" t="s">
        <v>45</v>
      </c>
      <c r="F42" s="79" t="s">
        <v>104</v>
      </c>
      <c r="G42" s="80">
        <v>3750.38</v>
      </c>
      <c r="H42" s="78">
        <v>177300886</v>
      </c>
      <c r="I42" s="80">
        <v>0</v>
      </c>
      <c r="J42" s="80">
        <v>0</v>
      </c>
      <c r="K42" s="80">
        <v>0</v>
      </c>
      <c r="L42" s="80">
        <v>-0.3</v>
      </c>
      <c r="M42" s="80">
        <v>23.46</v>
      </c>
      <c r="N42" s="79" t="s">
        <v>156</v>
      </c>
      <c r="O42" s="14">
        <f t="shared" si="10"/>
        <v>45925.453819444447</v>
      </c>
      <c r="P42" s="19">
        <f t="shared" si="11"/>
        <v>45925.662152777782</v>
      </c>
      <c r="Q42" s="20" t="str">
        <f t="shared" si="12"/>
        <v>25/09/2025</v>
      </c>
      <c r="R42" s="13" t="str">
        <f t="shared" si="13"/>
        <v>15</v>
      </c>
      <c r="S42" s="13" t="str">
        <f t="shared" si="14"/>
        <v>Thu</v>
      </c>
    </row>
    <row r="43" spans="1:19" x14ac:dyDescent="0.25">
      <c r="A43" s="81">
        <v>45925.45385416667</v>
      </c>
      <c r="B43" s="82">
        <v>189009945</v>
      </c>
      <c r="C43" s="83" t="s">
        <v>103</v>
      </c>
      <c r="D43" s="83" t="s">
        <v>37</v>
      </c>
      <c r="E43" s="83" t="s">
        <v>45</v>
      </c>
      <c r="F43" s="83" t="s">
        <v>104</v>
      </c>
      <c r="G43" s="84">
        <v>3750.13</v>
      </c>
      <c r="H43" s="82">
        <v>177300984</v>
      </c>
      <c r="I43" s="84">
        <v>0</v>
      </c>
      <c r="J43" s="84">
        <v>0</v>
      </c>
      <c r="K43" s="84">
        <v>0</v>
      </c>
      <c r="L43" s="84">
        <v>-0.32</v>
      </c>
      <c r="M43" s="84">
        <v>23.14</v>
      </c>
      <c r="N43" s="83" t="s">
        <v>157</v>
      </c>
      <c r="O43" s="14">
        <f t="shared" si="10"/>
        <v>45925.45385416667</v>
      </c>
      <c r="P43" s="19">
        <f t="shared" si="11"/>
        <v>45925.662187500006</v>
      </c>
      <c r="Q43" s="20" t="str">
        <f t="shared" si="12"/>
        <v>25/09/2025</v>
      </c>
      <c r="R43" s="13" t="str">
        <f t="shared" si="13"/>
        <v>15</v>
      </c>
      <c r="S43" s="13" t="str">
        <f t="shared" si="14"/>
        <v>Thu</v>
      </c>
    </row>
    <row r="44" spans="1:19" x14ac:dyDescent="0.25">
      <c r="A44" s="77">
        <v>45925.454259259262</v>
      </c>
      <c r="B44" s="78">
        <v>189010502</v>
      </c>
      <c r="C44" s="79" t="s">
        <v>103</v>
      </c>
      <c r="D44" s="79" t="s">
        <v>36</v>
      </c>
      <c r="E44" s="79" t="s">
        <v>44</v>
      </c>
      <c r="F44" s="79" t="s">
        <v>104</v>
      </c>
      <c r="G44" s="80">
        <v>3751.16</v>
      </c>
      <c r="H44" s="78">
        <v>177301510</v>
      </c>
      <c r="I44" s="80">
        <v>0</v>
      </c>
      <c r="J44" s="80">
        <v>0</v>
      </c>
      <c r="K44" s="80">
        <v>0</v>
      </c>
      <c r="L44" s="80">
        <v>0</v>
      </c>
      <c r="M44" s="80">
        <v>23.14</v>
      </c>
      <c r="N44" s="79" t="s">
        <v>93</v>
      </c>
      <c r="O44" s="14">
        <f t="shared" si="10"/>
        <v>45925.454259259262</v>
      </c>
      <c r="P44" s="19">
        <f t="shared" si="11"/>
        <v>45925.662592592598</v>
      </c>
      <c r="Q44" s="20" t="str">
        <f t="shared" si="12"/>
        <v>25/09/2025</v>
      </c>
      <c r="R44" s="13" t="str">
        <f t="shared" si="13"/>
        <v>15</v>
      </c>
      <c r="S44" s="13" t="str">
        <f t="shared" si="14"/>
        <v>Thu</v>
      </c>
    </row>
    <row r="45" spans="1:19" x14ac:dyDescent="0.25">
      <c r="A45" s="81">
        <v>45925.460092592592</v>
      </c>
      <c r="B45" s="82">
        <v>189013845</v>
      </c>
      <c r="C45" s="83" t="s">
        <v>103</v>
      </c>
      <c r="D45" s="83" t="s">
        <v>37</v>
      </c>
      <c r="E45" s="83" t="s">
        <v>45</v>
      </c>
      <c r="F45" s="83" t="s">
        <v>104</v>
      </c>
      <c r="G45" s="84">
        <v>3754.75</v>
      </c>
      <c r="H45" s="82">
        <v>177304760</v>
      </c>
      <c r="I45" s="84">
        <v>0</v>
      </c>
      <c r="J45" s="84">
        <v>0</v>
      </c>
      <c r="K45" s="84">
        <v>0</v>
      </c>
      <c r="L45" s="84">
        <v>0.36</v>
      </c>
      <c r="M45" s="84">
        <v>23.5</v>
      </c>
      <c r="N45" s="83" t="s">
        <v>158</v>
      </c>
      <c r="O45" s="14">
        <f t="shared" si="10"/>
        <v>45925.460092592592</v>
      </c>
      <c r="P45" s="19">
        <f t="shared" si="11"/>
        <v>45925.668425925927</v>
      </c>
      <c r="Q45" s="20" t="str">
        <f t="shared" si="12"/>
        <v>25/09/2025</v>
      </c>
      <c r="R45" s="13" t="str">
        <f t="shared" si="13"/>
        <v>16</v>
      </c>
      <c r="S45" s="13" t="str">
        <f t="shared" si="14"/>
        <v>Thu</v>
      </c>
    </row>
    <row r="46" spans="1:19" x14ac:dyDescent="0.25">
      <c r="A46" s="77">
        <v>45925.461319444446</v>
      </c>
      <c r="B46" s="78">
        <v>189016031</v>
      </c>
      <c r="C46" s="79" t="s">
        <v>103</v>
      </c>
      <c r="D46" s="79" t="s">
        <v>36</v>
      </c>
      <c r="E46" s="79" t="s">
        <v>44</v>
      </c>
      <c r="F46" s="79" t="s">
        <v>104</v>
      </c>
      <c r="G46" s="80">
        <v>3753.04</v>
      </c>
      <c r="H46" s="78">
        <v>177306772</v>
      </c>
      <c r="I46" s="80">
        <v>0</v>
      </c>
      <c r="J46" s="80">
        <v>0</v>
      </c>
      <c r="K46" s="80">
        <v>0</v>
      </c>
      <c r="L46" s="80">
        <v>0</v>
      </c>
      <c r="M46" s="80">
        <v>23.5</v>
      </c>
      <c r="N46" s="79" t="s">
        <v>93</v>
      </c>
      <c r="O46" s="14">
        <f t="shared" si="10"/>
        <v>45925.461319444446</v>
      </c>
      <c r="P46" s="19">
        <f t="shared" si="11"/>
        <v>45925.669652777782</v>
      </c>
      <c r="Q46" s="20" t="str">
        <f t="shared" si="12"/>
        <v>25/09/2025</v>
      </c>
      <c r="R46" s="13" t="str">
        <f t="shared" si="13"/>
        <v>16</v>
      </c>
      <c r="S46" s="13" t="str">
        <f t="shared" si="14"/>
        <v>Thu</v>
      </c>
    </row>
    <row r="47" spans="1:19" x14ac:dyDescent="0.25">
      <c r="A47" s="81">
        <v>45925.462592592594</v>
      </c>
      <c r="B47" s="82">
        <v>189016853</v>
      </c>
      <c r="C47" s="83" t="s">
        <v>103</v>
      </c>
      <c r="D47" s="83" t="s">
        <v>36</v>
      </c>
      <c r="E47" s="83" t="s">
        <v>44</v>
      </c>
      <c r="F47" s="83" t="s">
        <v>104</v>
      </c>
      <c r="G47" s="84">
        <v>3755.33</v>
      </c>
      <c r="H47" s="82">
        <v>177307570</v>
      </c>
      <c r="I47" s="84">
        <v>0</v>
      </c>
      <c r="J47" s="84">
        <v>0</v>
      </c>
      <c r="K47" s="84">
        <v>0</v>
      </c>
      <c r="L47" s="84">
        <v>0</v>
      </c>
      <c r="M47" s="84">
        <v>23.5</v>
      </c>
      <c r="N47" s="83" t="s">
        <v>118</v>
      </c>
      <c r="O47" s="14">
        <f t="shared" si="10"/>
        <v>45925.462592592594</v>
      </c>
      <c r="P47" s="19">
        <f t="shared" si="11"/>
        <v>45925.67092592593</v>
      </c>
      <c r="Q47" s="20" t="str">
        <f t="shared" si="12"/>
        <v>25/09/2025</v>
      </c>
      <c r="R47" s="13" t="str">
        <f t="shared" si="13"/>
        <v>16</v>
      </c>
      <c r="S47" s="13" t="str">
        <f t="shared" si="14"/>
        <v>Thu</v>
      </c>
    </row>
    <row r="48" spans="1:19" x14ac:dyDescent="0.25">
      <c r="A48" s="77">
        <v>45925.465127314812</v>
      </c>
      <c r="B48" s="78">
        <v>189018176</v>
      </c>
      <c r="C48" s="79" t="s">
        <v>103</v>
      </c>
      <c r="D48" s="79" t="s">
        <v>37</v>
      </c>
      <c r="E48" s="79" t="s">
        <v>45</v>
      </c>
      <c r="F48" s="79" t="s">
        <v>104</v>
      </c>
      <c r="G48" s="80">
        <v>3756.55</v>
      </c>
      <c r="H48" s="78">
        <v>177308836</v>
      </c>
      <c r="I48" s="80">
        <v>0</v>
      </c>
      <c r="J48" s="80">
        <v>0</v>
      </c>
      <c r="K48" s="80">
        <v>0</v>
      </c>
      <c r="L48" s="80">
        <v>0.35</v>
      </c>
      <c r="M48" s="80">
        <v>23.85</v>
      </c>
      <c r="N48" s="79" t="s">
        <v>159</v>
      </c>
      <c r="O48" s="14">
        <f t="shared" si="10"/>
        <v>45925.465127314812</v>
      </c>
      <c r="P48" s="19">
        <f t="shared" si="11"/>
        <v>45925.673460648148</v>
      </c>
      <c r="Q48" s="20" t="str">
        <f t="shared" si="12"/>
        <v>25/09/2025</v>
      </c>
      <c r="R48" s="13" t="str">
        <f t="shared" si="13"/>
        <v>16</v>
      </c>
      <c r="S48" s="13" t="str">
        <f t="shared" si="14"/>
        <v>Thu</v>
      </c>
    </row>
    <row r="49" spans="1:19" x14ac:dyDescent="0.25">
      <c r="A49" s="81">
        <v>45925.466527777775</v>
      </c>
      <c r="B49" s="82">
        <v>189018732</v>
      </c>
      <c r="C49" s="83" t="s">
        <v>103</v>
      </c>
      <c r="D49" s="83" t="s">
        <v>36</v>
      </c>
      <c r="E49" s="83" t="s">
        <v>44</v>
      </c>
      <c r="F49" s="83" t="s">
        <v>104</v>
      </c>
      <c r="G49" s="84">
        <v>3755.25</v>
      </c>
      <c r="H49" s="82">
        <v>177309350</v>
      </c>
      <c r="I49" s="84">
        <v>0</v>
      </c>
      <c r="J49" s="84">
        <v>0</v>
      </c>
      <c r="K49" s="84">
        <v>0</v>
      </c>
      <c r="L49" s="84">
        <v>0</v>
      </c>
      <c r="M49" s="84">
        <v>23.85</v>
      </c>
      <c r="N49" s="83" t="s">
        <v>93</v>
      </c>
      <c r="O49" s="14">
        <f t="shared" si="10"/>
        <v>45925.466527777775</v>
      </c>
      <c r="P49" s="19">
        <f t="shared" si="11"/>
        <v>45925.674861111111</v>
      </c>
      <c r="Q49" s="20" t="str">
        <f t="shared" si="12"/>
        <v>25/09/2025</v>
      </c>
      <c r="R49" s="13" t="str">
        <f t="shared" si="13"/>
        <v>16</v>
      </c>
      <c r="S49" s="13" t="str">
        <f t="shared" si="14"/>
        <v>Thu</v>
      </c>
    </row>
    <row r="50" spans="1:19" x14ac:dyDescent="0.25">
      <c r="A50" s="77">
        <v>45925.468518518515</v>
      </c>
      <c r="B50" s="78">
        <v>189020605</v>
      </c>
      <c r="C50" s="79" t="s">
        <v>103</v>
      </c>
      <c r="D50" s="79" t="s">
        <v>37</v>
      </c>
      <c r="E50" s="79" t="s">
        <v>45</v>
      </c>
      <c r="F50" s="79" t="s">
        <v>104</v>
      </c>
      <c r="G50" s="80">
        <v>3758.88</v>
      </c>
      <c r="H50" s="78">
        <v>177311081</v>
      </c>
      <c r="I50" s="80">
        <v>0</v>
      </c>
      <c r="J50" s="80">
        <v>0</v>
      </c>
      <c r="K50" s="80">
        <v>0</v>
      </c>
      <c r="L50" s="80">
        <v>0.36</v>
      </c>
      <c r="M50" s="80">
        <v>24.21</v>
      </c>
      <c r="N50" s="79" t="s">
        <v>160</v>
      </c>
      <c r="O50" s="14">
        <f t="shared" si="10"/>
        <v>45925.468518518515</v>
      </c>
      <c r="P50" s="19">
        <f t="shared" si="11"/>
        <v>45925.676851851851</v>
      </c>
      <c r="Q50" s="20" t="str">
        <f t="shared" si="12"/>
        <v>25/09/2025</v>
      </c>
      <c r="R50" s="13" t="str">
        <f t="shared" si="13"/>
        <v>16</v>
      </c>
      <c r="S50" s="13" t="str">
        <f t="shared" si="14"/>
        <v>Thu</v>
      </c>
    </row>
    <row r="51" spans="1:19" x14ac:dyDescent="0.25">
      <c r="A51" s="81">
        <v>45925.471493055556</v>
      </c>
      <c r="B51" s="82">
        <v>189024276</v>
      </c>
      <c r="C51" s="83" t="s">
        <v>103</v>
      </c>
      <c r="D51" s="83" t="s">
        <v>37</v>
      </c>
      <c r="E51" s="83" t="s">
        <v>45</v>
      </c>
      <c r="F51" s="83" t="s">
        <v>104</v>
      </c>
      <c r="G51" s="84">
        <v>3760.36</v>
      </c>
      <c r="H51" s="82">
        <v>177314373</v>
      </c>
      <c r="I51" s="84">
        <v>0</v>
      </c>
      <c r="J51" s="84">
        <v>0</v>
      </c>
      <c r="K51" s="84">
        <v>0</v>
      </c>
      <c r="L51" s="84">
        <v>0.5</v>
      </c>
      <c r="M51" s="84">
        <v>24.71</v>
      </c>
      <c r="N51" s="83" t="s">
        <v>161</v>
      </c>
      <c r="O51" s="14">
        <f t="shared" si="10"/>
        <v>45925.471493055556</v>
      </c>
      <c r="P51" s="19">
        <f t="shared" si="11"/>
        <v>45925.679826388892</v>
      </c>
      <c r="Q51" s="20" t="str">
        <f t="shared" si="12"/>
        <v>25/09/2025</v>
      </c>
      <c r="R51" s="13" t="str">
        <f t="shared" si="13"/>
        <v>16</v>
      </c>
      <c r="S51" s="13" t="str">
        <f t="shared" si="14"/>
        <v>Thu</v>
      </c>
    </row>
    <row r="52" spans="1:19" x14ac:dyDescent="0.25">
      <c r="A52" s="77">
        <v>45925.471504629626</v>
      </c>
      <c r="B52" s="78">
        <v>189024305</v>
      </c>
      <c r="C52" s="79" t="s">
        <v>103</v>
      </c>
      <c r="D52" s="79" t="s">
        <v>36</v>
      </c>
      <c r="E52" s="79" t="s">
        <v>44</v>
      </c>
      <c r="F52" s="79" t="s">
        <v>104</v>
      </c>
      <c r="G52" s="80">
        <v>3760.53</v>
      </c>
      <c r="H52" s="78">
        <v>177314400</v>
      </c>
      <c r="I52" s="80">
        <v>0</v>
      </c>
      <c r="J52" s="80">
        <v>0</v>
      </c>
      <c r="K52" s="80">
        <v>0</v>
      </c>
      <c r="L52" s="80">
        <v>0</v>
      </c>
      <c r="M52" s="80">
        <v>24.71</v>
      </c>
      <c r="N52" s="79" t="s">
        <v>118</v>
      </c>
      <c r="O52" s="14">
        <f t="shared" si="10"/>
        <v>45925.471504629626</v>
      </c>
      <c r="P52" s="19">
        <f t="shared" si="11"/>
        <v>45925.679837962962</v>
      </c>
      <c r="Q52" s="20" t="str">
        <f t="shared" si="12"/>
        <v>25/09/2025</v>
      </c>
      <c r="R52" s="13" t="str">
        <f t="shared" si="13"/>
        <v>16</v>
      </c>
      <c r="S52" s="13" t="str">
        <f t="shared" si="14"/>
        <v>Thu</v>
      </c>
    </row>
    <row r="53" spans="1:19" x14ac:dyDescent="0.25">
      <c r="A53" s="81">
        <v>45925.472314814811</v>
      </c>
      <c r="B53" s="82">
        <v>189024856</v>
      </c>
      <c r="C53" s="83" t="s">
        <v>103</v>
      </c>
      <c r="D53" s="83" t="s">
        <v>36</v>
      </c>
      <c r="E53" s="83" t="s">
        <v>44</v>
      </c>
      <c r="F53" s="83" t="s">
        <v>104</v>
      </c>
      <c r="G53" s="84">
        <v>3759.8</v>
      </c>
      <c r="H53" s="82">
        <v>177314905</v>
      </c>
      <c r="I53" s="84">
        <v>0</v>
      </c>
      <c r="J53" s="84">
        <v>0</v>
      </c>
      <c r="K53" s="84">
        <v>0</v>
      </c>
      <c r="L53" s="84">
        <v>0</v>
      </c>
      <c r="M53" s="84">
        <v>24.71</v>
      </c>
      <c r="N53" s="83" t="s">
        <v>93</v>
      </c>
      <c r="O53" s="14">
        <f t="shared" ref="O53:O85" si="15">A53</f>
        <v>45925.472314814811</v>
      </c>
      <c r="P53" s="19">
        <f t="shared" ref="P53:P85" si="16">O53+(5/24)</f>
        <v>45925.680648148147</v>
      </c>
      <c r="Q53" s="20" t="str">
        <f t="shared" ref="Q53:Q85" si="17">TEXT(P53,"dd/mm/yyyy")</f>
        <v>25/09/2025</v>
      </c>
      <c r="R53" s="13" t="str">
        <f t="shared" ref="R53:R85" si="18">TEXT(P53,"hh")</f>
        <v>16</v>
      </c>
      <c r="S53" s="13" t="str">
        <f t="shared" ref="S53:S85" si="19">TEXT(P53,"ddd")</f>
        <v>Thu</v>
      </c>
    </row>
    <row r="54" spans="1:19" x14ac:dyDescent="0.25">
      <c r="A54" s="77">
        <v>45925.477407407408</v>
      </c>
      <c r="B54" s="78">
        <v>189027791</v>
      </c>
      <c r="C54" s="79" t="s">
        <v>103</v>
      </c>
      <c r="D54" s="79" t="s">
        <v>37</v>
      </c>
      <c r="E54" s="79" t="s">
        <v>45</v>
      </c>
      <c r="F54" s="79" t="s">
        <v>104</v>
      </c>
      <c r="G54" s="80">
        <v>3757.55</v>
      </c>
      <c r="H54" s="78">
        <v>177317638</v>
      </c>
      <c r="I54" s="80">
        <v>0</v>
      </c>
      <c r="J54" s="80">
        <v>0</v>
      </c>
      <c r="K54" s="80">
        <v>0</v>
      </c>
      <c r="L54" s="80">
        <v>-0.3</v>
      </c>
      <c r="M54" s="80">
        <v>24.41</v>
      </c>
      <c r="N54" s="79" t="s">
        <v>181</v>
      </c>
      <c r="O54" s="14">
        <f t="shared" si="15"/>
        <v>45925.477407407408</v>
      </c>
      <c r="P54" s="19">
        <f t="shared" si="16"/>
        <v>45925.685740740744</v>
      </c>
      <c r="Q54" s="20" t="str">
        <f t="shared" si="17"/>
        <v>25/09/2025</v>
      </c>
      <c r="R54" s="13" t="str">
        <f t="shared" si="18"/>
        <v>16</v>
      </c>
      <c r="S54" s="13" t="str">
        <f t="shared" si="19"/>
        <v>Thu</v>
      </c>
    </row>
    <row r="55" spans="1:19" x14ac:dyDescent="0.25">
      <c r="A55" s="81">
        <v>45925.477766203701</v>
      </c>
      <c r="B55" s="82">
        <v>189028235</v>
      </c>
      <c r="C55" s="83" t="s">
        <v>103</v>
      </c>
      <c r="D55" s="83" t="s">
        <v>37</v>
      </c>
      <c r="E55" s="83" t="s">
        <v>45</v>
      </c>
      <c r="F55" s="83" t="s">
        <v>104</v>
      </c>
      <c r="G55" s="84">
        <v>3756.74</v>
      </c>
      <c r="H55" s="82">
        <v>177318082</v>
      </c>
      <c r="I55" s="84">
        <v>0</v>
      </c>
      <c r="J55" s="84">
        <v>0</v>
      </c>
      <c r="K55" s="84">
        <v>0</v>
      </c>
      <c r="L55" s="84">
        <v>-0.31</v>
      </c>
      <c r="M55" s="84">
        <v>24.1</v>
      </c>
      <c r="N55" s="83" t="s">
        <v>182</v>
      </c>
      <c r="O55" s="14">
        <f t="shared" si="15"/>
        <v>45925.477766203701</v>
      </c>
      <c r="P55" s="19">
        <f t="shared" si="16"/>
        <v>45925.686099537037</v>
      </c>
      <c r="Q55" s="20" t="str">
        <f t="shared" si="17"/>
        <v>25/09/2025</v>
      </c>
      <c r="R55" s="13" t="str">
        <f t="shared" si="18"/>
        <v>16</v>
      </c>
      <c r="S55" s="13" t="str">
        <f t="shared" si="19"/>
        <v>Thu</v>
      </c>
    </row>
    <row r="56" spans="1:19" x14ac:dyDescent="0.25">
      <c r="A56" s="77">
        <v>45925.478912037041</v>
      </c>
      <c r="B56" s="78">
        <v>189029066</v>
      </c>
      <c r="C56" s="79" t="s">
        <v>103</v>
      </c>
      <c r="D56" s="79" t="s">
        <v>37</v>
      </c>
      <c r="E56" s="79" t="s">
        <v>44</v>
      </c>
      <c r="F56" s="79" t="s">
        <v>104</v>
      </c>
      <c r="G56" s="80">
        <v>3757.07</v>
      </c>
      <c r="H56" s="78">
        <v>177318879</v>
      </c>
      <c r="I56" s="80">
        <v>0</v>
      </c>
      <c r="J56" s="80">
        <v>0</v>
      </c>
      <c r="K56" s="80">
        <v>0</v>
      </c>
      <c r="L56" s="80">
        <v>0</v>
      </c>
      <c r="M56" s="80">
        <v>24.1</v>
      </c>
      <c r="N56" s="79" t="s">
        <v>118</v>
      </c>
      <c r="O56" s="14">
        <f t="shared" si="15"/>
        <v>45925.478912037041</v>
      </c>
      <c r="P56" s="19">
        <f t="shared" si="16"/>
        <v>45925.687245370376</v>
      </c>
      <c r="Q56" s="20" t="str">
        <f t="shared" si="17"/>
        <v>25/09/2025</v>
      </c>
      <c r="R56" s="13" t="str">
        <f t="shared" si="18"/>
        <v>16</v>
      </c>
      <c r="S56" s="13" t="str">
        <f t="shared" si="19"/>
        <v>Thu</v>
      </c>
    </row>
    <row r="57" spans="1:19" x14ac:dyDescent="0.25">
      <c r="A57" s="81">
        <v>45925.483136574076</v>
      </c>
      <c r="B57" s="82">
        <v>189032663</v>
      </c>
      <c r="C57" s="83" t="s">
        <v>103</v>
      </c>
      <c r="D57" s="83" t="s">
        <v>36</v>
      </c>
      <c r="E57" s="83" t="s">
        <v>45</v>
      </c>
      <c r="F57" s="83" t="s">
        <v>104</v>
      </c>
      <c r="G57" s="84">
        <v>3753.49</v>
      </c>
      <c r="H57" s="82">
        <v>177322295</v>
      </c>
      <c r="I57" s="84">
        <v>0</v>
      </c>
      <c r="J57" s="84">
        <v>0</v>
      </c>
      <c r="K57" s="84">
        <v>0</v>
      </c>
      <c r="L57" s="84">
        <v>0.36</v>
      </c>
      <c r="M57" s="84">
        <v>24.46</v>
      </c>
      <c r="N57" s="83" t="s">
        <v>183</v>
      </c>
      <c r="O57" s="14">
        <f t="shared" si="15"/>
        <v>45925.483136574076</v>
      </c>
      <c r="P57" s="19">
        <f t="shared" si="16"/>
        <v>45925.691469907411</v>
      </c>
      <c r="Q57" s="20" t="str">
        <f t="shared" si="17"/>
        <v>25/09/2025</v>
      </c>
      <c r="R57" s="13" t="str">
        <f t="shared" si="18"/>
        <v>16</v>
      </c>
      <c r="S57" s="13" t="str">
        <f t="shared" si="19"/>
        <v>Thu</v>
      </c>
    </row>
    <row r="58" spans="1:19" x14ac:dyDescent="0.25">
      <c r="A58" s="77">
        <v>45925.483657407407</v>
      </c>
      <c r="B58" s="78">
        <v>189033069</v>
      </c>
      <c r="C58" s="79" t="s">
        <v>103</v>
      </c>
      <c r="D58" s="79" t="s">
        <v>37</v>
      </c>
      <c r="E58" s="79" t="s">
        <v>44</v>
      </c>
      <c r="F58" s="79" t="s">
        <v>104</v>
      </c>
      <c r="G58" s="80">
        <v>3753.71</v>
      </c>
      <c r="H58" s="78">
        <v>177322682</v>
      </c>
      <c r="I58" s="80">
        <v>0</v>
      </c>
      <c r="J58" s="80">
        <v>0</v>
      </c>
      <c r="K58" s="80">
        <v>0</v>
      </c>
      <c r="L58" s="80">
        <v>0</v>
      </c>
      <c r="M58" s="80">
        <v>24.46</v>
      </c>
      <c r="N58" s="79" t="s">
        <v>118</v>
      </c>
      <c r="O58" s="14">
        <f t="shared" si="15"/>
        <v>45925.483657407407</v>
      </c>
      <c r="P58" s="19">
        <f t="shared" si="16"/>
        <v>45925.691990740743</v>
      </c>
      <c r="Q58" s="20" t="str">
        <f t="shared" si="17"/>
        <v>25/09/2025</v>
      </c>
      <c r="R58" s="13" t="str">
        <f t="shared" si="18"/>
        <v>16</v>
      </c>
      <c r="S58" s="13" t="str">
        <f t="shared" si="19"/>
        <v>Thu</v>
      </c>
    </row>
    <row r="59" spans="1:19" x14ac:dyDescent="0.25">
      <c r="A59" s="81">
        <v>45925.487592592595</v>
      </c>
      <c r="B59" s="82">
        <v>189035172</v>
      </c>
      <c r="C59" s="83" t="s">
        <v>103</v>
      </c>
      <c r="D59" s="83" t="s">
        <v>37</v>
      </c>
      <c r="E59" s="83" t="s">
        <v>44</v>
      </c>
      <c r="F59" s="83" t="s">
        <v>104</v>
      </c>
      <c r="G59" s="84">
        <v>3752.98</v>
      </c>
      <c r="H59" s="82">
        <v>177324730</v>
      </c>
      <c r="I59" s="84">
        <v>0</v>
      </c>
      <c r="J59" s="84">
        <v>0</v>
      </c>
      <c r="K59" s="84">
        <v>0</v>
      </c>
      <c r="L59" s="84">
        <v>0</v>
      </c>
      <c r="M59" s="84">
        <v>24.46</v>
      </c>
      <c r="N59" s="83" t="s">
        <v>93</v>
      </c>
      <c r="O59" s="14">
        <f t="shared" si="15"/>
        <v>45925.487592592595</v>
      </c>
      <c r="P59" s="19">
        <f t="shared" si="16"/>
        <v>45925.695925925931</v>
      </c>
      <c r="Q59" s="20" t="str">
        <f t="shared" si="17"/>
        <v>25/09/2025</v>
      </c>
      <c r="R59" s="13" t="str">
        <f t="shared" si="18"/>
        <v>16</v>
      </c>
      <c r="S59" s="13" t="str">
        <f t="shared" si="19"/>
        <v>Thu</v>
      </c>
    </row>
    <row r="60" spans="1:19" x14ac:dyDescent="0.25">
      <c r="A60" s="77">
        <v>45925.494618055556</v>
      </c>
      <c r="B60" s="78">
        <v>189038043</v>
      </c>
      <c r="C60" s="79" t="s">
        <v>103</v>
      </c>
      <c r="D60" s="79" t="s">
        <v>36</v>
      </c>
      <c r="E60" s="79" t="s">
        <v>45</v>
      </c>
      <c r="F60" s="79" t="s">
        <v>104</v>
      </c>
      <c r="G60" s="80">
        <v>3756.04</v>
      </c>
      <c r="H60" s="78">
        <v>177327569</v>
      </c>
      <c r="I60" s="80">
        <v>0</v>
      </c>
      <c r="J60" s="80">
        <v>0</v>
      </c>
      <c r="K60" s="80">
        <v>0</v>
      </c>
      <c r="L60" s="80">
        <v>-0.31</v>
      </c>
      <c r="M60" s="80">
        <v>24.15</v>
      </c>
      <c r="N60" s="79" t="s">
        <v>184</v>
      </c>
      <c r="O60" s="14">
        <f t="shared" si="15"/>
        <v>45925.494618055556</v>
      </c>
      <c r="P60" s="19">
        <f t="shared" si="16"/>
        <v>45925.702951388892</v>
      </c>
      <c r="Q60" s="20" t="str">
        <f t="shared" si="17"/>
        <v>25/09/2025</v>
      </c>
      <c r="R60" s="13" t="str">
        <f t="shared" si="18"/>
        <v>16</v>
      </c>
      <c r="S60" s="13" t="str">
        <f t="shared" si="19"/>
        <v>Thu</v>
      </c>
    </row>
    <row r="61" spans="1:19" x14ac:dyDescent="0.25">
      <c r="A61" s="81">
        <v>45925.494826388887</v>
      </c>
      <c r="B61" s="82">
        <v>189038276</v>
      </c>
      <c r="C61" s="83" t="s">
        <v>103</v>
      </c>
      <c r="D61" s="83" t="s">
        <v>36</v>
      </c>
      <c r="E61" s="83" t="s">
        <v>45</v>
      </c>
      <c r="F61" s="83" t="s">
        <v>104</v>
      </c>
      <c r="G61" s="84">
        <v>3756.71</v>
      </c>
      <c r="H61" s="82">
        <v>177327789</v>
      </c>
      <c r="I61" s="84">
        <v>0</v>
      </c>
      <c r="J61" s="84">
        <v>0</v>
      </c>
      <c r="K61" s="84">
        <v>0</v>
      </c>
      <c r="L61" s="84">
        <v>-0.3</v>
      </c>
      <c r="M61" s="84">
        <v>23.85</v>
      </c>
      <c r="N61" s="83" t="s">
        <v>185</v>
      </c>
      <c r="O61" s="14">
        <f t="shared" si="15"/>
        <v>45925.494826388887</v>
      </c>
      <c r="P61" s="19">
        <f t="shared" si="16"/>
        <v>45925.703159722223</v>
      </c>
      <c r="Q61" s="20" t="str">
        <f t="shared" si="17"/>
        <v>25/09/2025</v>
      </c>
      <c r="R61" s="13" t="str">
        <f t="shared" si="18"/>
        <v>16</v>
      </c>
      <c r="S61" s="13" t="str">
        <f t="shared" si="19"/>
        <v>Thu</v>
      </c>
    </row>
    <row r="62" spans="1:19" x14ac:dyDescent="0.25">
      <c r="A62" s="77">
        <v>45925.496967592589</v>
      </c>
      <c r="B62" s="78">
        <v>189039558</v>
      </c>
      <c r="C62" s="79" t="s">
        <v>103</v>
      </c>
      <c r="D62" s="79" t="s">
        <v>36</v>
      </c>
      <c r="E62" s="79" t="s">
        <v>44</v>
      </c>
      <c r="F62" s="79" t="s">
        <v>104</v>
      </c>
      <c r="G62" s="80">
        <v>3757.31</v>
      </c>
      <c r="H62" s="78">
        <v>177329023</v>
      </c>
      <c r="I62" s="80">
        <v>0</v>
      </c>
      <c r="J62" s="80">
        <v>0</v>
      </c>
      <c r="K62" s="80">
        <v>0</v>
      </c>
      <c r="L62" s="80">
        <v>0</v>
      </c>
      <c r="M62" s="80">
        <v>23.85</v>
      </c>
      <c r="N62" s="79" t="s">
        <v>118</v>
      </c>
      <c r="O62" s="14">
        <f t="shared" si="15"/>
        <v>45925.496967592589</v>
      </c>
      <c r="P62" s="19">
        <f t="shared" si="16"/>
        <v>45925.705300925925</v>
      </c>
      <c r="Q62" s="20" t="str">
        <f t="shared" si="17"/>
        <v>25/09/2025</v>
      </c>
      <c r="R62" s="13" t="str">
        <f t="shared" si="18"/>
        <v>16</v>
      </c>
      <c r="S62" s="13" t="str">
        <f t="shared" si="19"/>
        <v>Thu</v>
      </c>
    </row>
    <row r="63" spans="1:19" x14ac:dyDescent="0.25">
      <c r="A63" s="81">
        <v>45925.497546296298</v>
      </c>
      <c r="B63" s="82">
        <v>189039858</v>
      </c>
      <c r="C63" s="83" t="s">
        <v>103</v>
      </c>
      <c r="D63" s="83" t="s">
        <v>36</v>
      </c>
      <c r="E63" s="83" t="s">
        <v>44</v>
      </c>
      <c r="F63" s="83" t="s">
        <v>104</v>
      </c>
      <c r="G63" s="84">
        <v>3756.73</v>
      </c>
      <c r="H63" s="82">
        <v>177329314</v>
      </c>
      <c r="I63" s="84">
        <v>0</v>
      </c>
      <c r="J63" s="84">
        <v>0</v>
      </c>
      <c r="K63" s="84">
        <v>0</v>
      </c>
      <c r="L63" s="84">
        <v>0</v>
      </c>
      <c r="M63" s="84">
        <v>23.85</v>
      </c>
      <c r="N63" s="83" t="s">
        <v>93</v>
      </c>
      <c r="O63" s="14">
        <f t="shared" si="15"/>
        <v>45925.497546296298</v>
      </c>
      <c r="P63" s="19">
        <f t="shared" si="16"/>
        <v>45925.705879629633</v>
      </c>
      <c r="Q63" s="20" t="str">
        <f t="shared" si="17"/>
        <v>25/09/2025</v>
      </c>
      <c r="R63" s="13" t="str">
        <f t="shared" si="18"/>
        <v>16</v>
      </c>
      <c r="S63" s="13" t="str">
        <f t="shared" si="19"/>
        <v>Thu</v>
      </c>
    </row>
    <row r="64" spans="1:19" x14ac:dyDescent="0.25">
      <c r="A64" s="77">
        <v>45925.502858796295</v>
      </c>
      <c r="B64" s="78">
        <v>189041737</v>
      </c>
      <c r="C64" s="79" t="s">
        <v>103</v>
      </c>
      <c r="D64" s="79" t="s">
        <v>37</v>
      </c>
      <c r="E64" s="79" t="s">
        <v>45</v>
      </c>
      <c r="F64" s="79" t="s">
        <v>104</v>
      </c>
      <c r="G64" s="80">
        <v>3754.1</v>
      </c>
      <c r="H64" s="78">
        <v>177331203</v>
      </c>
      <c r="I64" s="80">
        <v>0</v>
      </c>
      <c r="J64" s="80">
        <v>0</v>
      </c>
      <c r="K64" s="80">
        <v>0</v>
      </c>
      <c r="L64" s="80">
        <v>-0.32</v>
      </c>
      <c r="M64" s="80">
        <v>23.53</v>
      </c>
      <c r="N64" s="79" t="s">
        <v>186</v>
      </c>
      <c r="O64" s="14">
        <f t="shared" si="15"/>
        <v>45925.502858796295</v>
      </c>
      <c r="P64" s="19">
        <f t="shared" si="16"/>
        <v>45925.711192129631</v>
      </c>
      <c r="Q64" s="20" t="str">
        <f t="shared" si="17"/>
        <v>25/09/2025</v>
      </c>
      <c r="R64" s="13" t="str">
        <f t="shared" si="18"/>
        <v>17</v>
      </c>
      <c r="S64" s="13" t="str">
        <f t="shared" si="19"/>
        <v>Thu</v>
      </c>
    </row>
    <row r="65" spans="1:19" x14ac:dyDescent="0.25">
      <c r="A65" s="81">
        <v>45925.505648148152</v>
      </c>
      <c r="B65" s="82">
        <v>189042550</v>
      </c>
      <c r="C65" s="83" t="s">
        <v>103</v>
      </c>
      <c r="D65" s="83" t="s">
        <v>36</v>
      </c>
      <c r="E65" s="83" t="s">
        <v>44</v>
      </c>
      <c r="F65" s="83" t="s">
        <v>104</v>
      </c>
      <c r="G65" s="84">
        <v>3756.7</v>
      </c>
      <c r="H65" s="82">
        <v>177332017</v>
      </c>
      <c r="I65" s="84">
        <v>0</v>
      </c>
      <c r="J65" s="84">
        <v>0</v>
      </c>
      <c r="K65" s="84">
        <v>0</v>
      </c>
      <c r="L65" s="84">
        <v>0</v>
      </c>
      <c r="M65" s="84">
        <v>23.53</v>
      </c>
      <c r="N65" s="83" t="s">
        <v>118</v>
      </c>
      <c r="O65" s="14">
        <f t="shared" si="15"/>
        <v>45925.505648148152</v>
      </c>
      <c r="P65" s="19">
        <f t="shared" si="16"/>
        <v>45925.713981481487</v>
      </c>
      <c r="Q65" s="20" t="str">
        <f t="shared" si="17"/>
        <v>25/09/2025</v>
      </c>
      <c r="R65" s="13" t="str">
        <f t="shared" si="18"/>
        <v>17</v>
      </c>
      <c r="S65" s="13" t="str">
        <f t="shared" si="19"/>
        <v>Thu</v>
      </c>
    </row>
    <row r="66" spans="1:19" x14ac:dyDescent="0.25">
      <c r="A66" s="77">
        <v>45925.515821759262</v>
      </c>
      <c r="B66" s="78">
        <v>189045339</v>
      </c>
      <c r="C66" s="79" t="s">
        <v>103</v>
      </c>
      <c r="D66" s="79" t="s">
        <v>37</v>
      </c>
      <c r="E66" s="79" t="s">
        <v>45</v>
      </c>
      <c r="F66" s="79" t="s">
        <v>104</v>
      </c>
      <c r="G66" s="80">
        <v>3753.72</v>
      </c>
      <c r="H66" s="78">
        <v>177334726</v>
      </c>
      <c r="I66" s="80">
        <v>0</v>
      </c>
      <c r="J66" s="80">
        <v>0</v>
      </c>
      <c r="K66" s="80">
        <v>0</v>
      </c>
      <c r="L66" s="80">
        <v>-0.3</v>
      </c>
      <c r="M66" s="80">
        <v>23.23</v>
      </c>
      <c r="N66" s="79" t="s">
        <v>187</v>
      </c>
      <c r="O66" s="14">
        <f t="shared" si="15"/>
        <v>45925.515821759262</v>
      </c>
      <c r="P66" s="19">
        <f t="shared" si="16"/>
        <v>45925.724155092597</v>
      </c>
      <c r="Q66" s="20" t="str">
        <f t="shared" si="17"/>
        <v>25/09/2025</v>
      </c>
      <c r="R66" s="13" t="str">
        <f t="shared" si="18"/>
        <v>17</v>
      </c>
      <c r="S66" s="13" t="str">
        <f t="shared" si="19"/>
        <v>Thu</v>
      </c>
    </row>
    <row r="67" spans="1:19" x14ac:dyDescent="0.25">
      <c r="A67" s="81">
        <v>45925.515844907408</v>
      </c>
      <c r="B67" s="82">
        <v>189045372</v>
      </c>
      <c r="C67" s="83" t="s">
        <v>103</v>
      </c>
      <c r="D67" s="83" t="s">
        <v>37</v>
      </c>
      <c r="E67" s="83" t="s">
        <v>45</v>
      </c>
      <c r="F67" s="83" t="s">
        <v>104</v>
      </c>
      <c r="G67" s="84">
        <v>3753.68</v>
      </c>
      <c r="H67" s="82">
        <v>177334754</v>
      </c>
      <c r="I67" s="84">
        <v>0</v>
      </c>
      <c r="J67" s="84">
        <v>0</v>
      </c>
      <c r="K67" s="84">
        <v>0</v>
      </c>
      <c r="L67" s="84">
        <v>-0.3</v>
      </c>
      <c r="M67" s="84">
        <v>22.93</v>
      </c>
      <c r="N67" s="83" t="s">
        <v>188</v>
      </c>
      <c r="O67" s="14">
        <f t="shared" si="15"/>
        <v>45925.515844907408</v>
      </c>
      <c r="P67" s="19">
        <f t="shared" si="16"/>
        <v>45925.724178240744</v>
      </c>
      <c r="Q67" s="20" t="str">
        <f t="shared" si="17"/>
        <v>25/09/2025</v>
      </c>
      <c r="R67" s="13" t="str">
        <f t="shared" si="18"/>
        <v>17</v>
      </c>
      <c r="S67" s="13" t="str">
        <f t="shared" si="19"/>
        <v>Thu</v>
      </c>
    </row>
    <row r="68" spans="1:19" x14ac:dyDescent="0.25">
      <c r="A68" s="77">
        <v>45925.516064814816</v>
      </c>
      <c r="B68" s="78">
        <v>189045593</v>
      </c>
      <c r="C68" s="79" t="s">
        <v>103</v>
      </c>
      <c r="D68" s="79" t="s">
        <v>37</v>
      </c>
      <c r="E68" s="79" t="s">
        <v>44</v>
      </c>
      <c r="F68" s="79" t="s">
        <v>104</v>
      </c>
      <c r="G68" s="80">
        <v>3753.68</v>
      </c>
      <c r="H68" s="78">
        <v>177334972</v>
      </c>
      <c r="I68" s="80">
        <v>0</v>
      </c>
      <c r="J68" s="80">
        <v>0</v>
      </c>
      <c r="K68" s="80">
        <v>0</v>
      </c>
      <c r="L68" s="80">
        <v>0</v>
      </c>
      <c r="M68" s="80">
        <v>22.93</v>
      </c>
      <c r="N68" s="79" t="s">
        <v>118</v>
      </c>
      <c r="O68" s="14">
        <f t="shared" si="15"/>
        <v>45925.516064814816</v>
      </c>
      <c r="P68" s="19">
        <f t="shared" si="16"/>
        <v>45925.724398148152</v>
      </c>
      <c r="Q68" s="20" t="str">
        <f t="shared" si="17"/>
        <v>25/09/2025</v>
      </c>
      <c r="R68" s="13" t="str">
        <f t="shared" si="18"/>
        <v>17</v>
      </c>
      <c r="S68" s="13" t="str">
        <f t="shared" si="19"/>
        <v>Thu</v>
      </c>
    </row>
    <row r="69" spans="1:19" x14ac:dyDescent="0.25">
      <c r="A69" s="81">
        <v>45925.516759259262</v>
      </c>
      <c r="B69" s="82">
        <v>189045901</v>
      </c>
      <c r="C69" s="83" t="s">
        <v>103</v>
      </c>
      <c r="D69" s="83" t="s">
        <v>37</v>
      </c>
      <c r="E69" s="83" t="s">
        <v>44</v>
      </c>
      <c r="F69" s="83" t="s">
        <v>104</v>
      </c>
      <c r="G69" s="84">
        <v>3754.58</v>
      </c>
      <c r="H69" s="82">
        <v>177335268</v>
      </c>
      <c r="I69" s="84">
        <v>0</v>
      </c>
      <c r="J69" s="84">
        <v>0</v>
      </c>
      <c r="K69" s="84">
        <v>0</v>
      </c>
      <c r="L69" s="84">
        <v>0</v>
      </c>
      <c r="M69" s="84">
        <v>22.93</v>
      </c>
      <c r="N69" s="83" t="s">
        <v>93</v>
      </c>
      <c r="O69" s="14">
        <f t="shared" si="15"/>
        <v>45925.516759259262</v>
      </c>
      <c r="P69" s="19">
        <f t="shared" si="16"/>
        <v>45925.725092592598</v>
      </c>
      <c r="Q69" s="20" t="str">
        <f t="shared" si="17"/>
        <v>25/09/2025</v>
      </c>
      <c r="R69" s="13" t="str">
        <f t="shared" si="18"/>
        <v>17</v>
      </c>
      <c r="S69" s="13" t="str">
        <f t="shared" si="19"/>
        <v>Thu</v>
      </c>
    </row>
    <row r="70" spans="1:19" x14ac:dyDescent="0.25">
      <c r="A70" s="77">
        <v>45925.520590277774</v>
      </c>
      <c r="B70" s="78">
        <v>189048278</v>
      </c>
      <c r="C70" s="79" t="s">
        <v>103</v>
      </c>
      <c r="D70" s="79" t="s">
        <v>36</v>
      </c>
      <c r="E70" s="79" t="s">
        <v>45</v>
      </c>
      <c r="F70" s="79" t="s">
        <v>104</v>
      </c>
      <c r="G70" s="80">
        <v>3750.78</v>
      </c>
      <c r="H70" s="78">
        <v>177337486</v>
      </c>
      <c r="I70" s="80">
        <v>0</v>
      </c>
      <c r="J70" s="80">
        <v>0</v>
      </c>
      <c r="K70" s="80">
        <v>0</v>
      </c>
      <c r="L70" s="80">
        <v>0.38</v>
      </c>
      <c r="M70" s="80">
        <v>23.31</v>
      </c>
      <c r="N70" s="79" t="s">
        <v>189</v>
      </c>
      <c r="O70" s="14">
        <f t="shared" si="15"/>
        <v>45925.520590277774</v>
      </c>
      <c r="P70" s="19">
        <f t="shared" si="16"/>
        <v>45925.72892361111</v>
      </c>
      <c r="Q70" s="20" t="str">
        <f t="shared" si="17"/>
        <v>25/09/2025</v>
      </c>
      <c r="R70" s="13" t="str">
        <f t="shared" si="18"/>
        <v>17</v>
      </c>
      <c r="S70" s="13" t="str">
        <f t="shared" si="19"/>
        <v>Thu</v>
      </c>
    </row>
    <row r="71" spans="1:19" x14ac:dyDescent="0.25">
      <c r="A71" s="81">
        <v>45925.52138888889</v>
      </c>
      <c r="B71" s="82">
        <v>189048988</v>
      </c>
      <c r="C71" s="83" t="s">
        <v>103</v>
      </c>
      <c r="D71" s="83" t="s">
        <v>37</v>
      </c>
      <c r="E71" s="83" t="s">
        <v>44</v>
      </c>
      <c r="F71" s="83" t="s">
        <v>104</v>
      </c>
      <c r="G71" s="84">
        <v>3752.29</v>
      </c>
      <c r="H71" s="82">
        <v>177338172</v>
      </c>
      <c r="I71" s="84">
        <v>0</v>
      </c>
      <c r="J71" s="84">
        <v>0</v>
      </c>
      <c r="K71" s="84">
        <v>0</v>
      </c>
      <c r="L71" s="84">
        <v>0</v>
      </c>
      <c r="M71" s="84">
        <v>23.31</v>
      </c>
      <c r="N71" s="83" t="s">
        <v>93</v>
      </c>
      <c r="O71" s="14">
        <f t="shared" si="15"/>
        <v>45925.52138888889</v>
      </c>
      <c r="P71" s="19">
        <f t="shared" si="16"/>
        <v>45925.729722222226</v>
      </c>
      <c r="Q71" s="20" t="str">
        <f t="shared" si="17"/>
        <v>25/09/2025</v>
      </c>
      <c r="R71" s="13" t="str">
        <f t="shared" si="18"/>
        <v>17</v>
      </c>
      <c r="S71" s="13" t="str">
        <f t="shared" si="19"/>
        <v>Thu</v>
      </c>
    </row>
    <row r="72" spans="1:19" x14ac:dyDescent="0.25">
      <c r="A72" s="77">
        <v>45925.529918981483</v>
      </c>
      <c r="B72" s="78">
        <v>189051881</v>
      </c>
      <c r="C72" s="79" t="s">
        <v>103</v>
      </c>
      <c r="D72" s="79" t="s">
        <v>36</v>
      </c>
      <c r="E72" s="79" t="s">
        <v>45</v>
      </c>
      <c r="F72" s="79" t="s">
        <v>104</v>
      </c>
      <c r="G72" s="80">
        <v>3755.46</v>
      </c>
      <c r="H72" s="78">
        <v>177341012</v>
      </c>
      <c r="I72" s="80">
        <v>0</v>
      </c>
      <c r="J72" s="80">
        <v>0</v>
      </c>
      <c r="K72" s="80">
        <v>0</v>
      </c>
      <c r="L72" s="80">
        <v>-0.32</v>
      </c>
      <c r="M72" s="80">
        <v>22.99</v>
      </c>
      <c r="N72" s="79" t="s">
        <v>190</v>
      </c>
      <c r="O72" s="14">
        <f t="shared" si="15"/>
        <v>45925.529918981483</v>
      </c>
      <c r="P72" s="19">
        <f t="shared" si="16"/>
        <v>45925.738252314819</v>
      </c>
      <c r="Q72" s="20" t="str">
        <f t="shared" si="17"/>
        <v>25/09/2025</v>
      </c>
      <c r="R72" s="13" t="str">
        <f t="shared" si="18"/>
        <v>17</v>
      </c>
      <c r="S72" s="13" t="str">
        <f t="shared" si="19"/>
        <v>Thu</v>
      </c>
    </row>
    <row r="73" spans="1:19" x14ac:dyDescent="0.25">
      <c r="A73" s="81">
        <v>45925.5312962963</v>
      </c>
      <c r="B73" s="82">
        <v>189052955</v>
      </c>
      <c r="C73" s="83" t="s">
        <v>103</v>
      </c>
      <c r="D73" s="83" t="s">
        <v>36</v>
      </c>
      <c r="E73" s="83" t="s">
        <v>45</v>
      </c>
      <c r="F73" s="83" t="s">
        <v>104</v>
      </c>
      <c r="G73" s="84">
        <v>3756.71</v>
      </c>
      <c r="H73" s="82">
        <v>177342054</v>
      </c>
      <c r="I73" s="84">
        <v>0</v>
      </c>
      <c r="J73" s="84">
        <v>0</v>
      </c>
      <c r="K73" s="84">
        <v>0</v>
      </c>
      <c r="L73" s="84">
        <v>-0.3</v>
      </c>
      <c r="M73" s="84">
        <v>22.69</v>
      </c>
      <c r="N73" s="83" t="s">
        <v>191</v>
      </c>
      <c r="O73" s="14">
        <f t="shared" si="15"/>
        <v>45925.5312962963</v>
      </c>
      <c r="P73" s="19">
        <f t="shared" si="16"/>
        <v>45925.739629629636</v>
      </c>
      <c r="Q73" s="20" t="str">
        <f t="shared" si="17"/>
        <v>25/09/2025</v>
      </c>
      <c r="R73" s="13" t="str">
        <f t="shared" si="18"/>
        <v>17</v>
      </c>
      <c r="S73" s="13" t="str">
        <f t="shared" si="19"/>
        <v>Thu</v>
      </c>
    </row>
    <row r="74" spans="1:19" x14ac:dyDescent="0.25">
      <c r="A74" s="77">
        <v>45925.533425925925</v>
      </c>
      <c r="B74" s="78">
        <v>189055251</v>
      </c>
      <c r="C74" s="79" t="s">
        <v>103</v>
      </c>
      <c r="D74" s="79" t="s">
        <v>36</v>
      </c>
      <c r="E74" s="79" t="s">
        <v>44</v>
      </c>
      <c r="F74" s="79" t="s">
        <v>104</v>
      </c>
      <c r="G74" s="80">
        <v>3758.43</v>
      </c>
      <c r="H74" s="78">
        <v>177344228</v>
      </c>
      <c r="I74" s="80">
        <v>0</v>
      </c>
      <c r="J74" s="80">
        <v>0</v>
      </c>
      <c r="K74" s="80">
        <v>0</v>
      </c>
      <c r="L74" s="80">
        <v>0</v>
      </c>
      <c r="M74" s="80">
        <v>22.69</v>
      </c>
      <c r="N74" s="79" t="s">
        <v>118</v>
      </c>
      <c r="O74" s="14">
        <f t="shared" si="15"/>
        <v>45925.533425925925</v>
      </c>
      <c r="P74" s="19">
        <f t="shared" si="16"/>
        <v>45925.741759259261</v>
      </c>
      <c r="Q74" s="20" t="str">
        <f t="shared" si="17"/>
        <v>25/09/2025</v>
      </c>
      <c r="R74" s="13" t="str">
        <f t="shared" si="18"/>
        <v>17</v>
      </c>
      <c r="S74" s="13" t="str">
        <f t="shared" si="19"/>
        <v>Thu</v>
      </c>
    </row>
    <row r="75" spans="1:19" x14ac:dyDescent="0.25">
      <c r="A75" s="81">
        <v>45925.536550925928</v>
      </c>
      <c r="B75" s="82">
        <v>189057638</v>
      </c>
      <c r="C75" s="83" t="s">
        <v>103</v>
      </c>
      <c r="D75" s="83" t="s">
        <v>36</v>
      </c>
      <c r="E75" s="83" t="s">
        <v>44</v>
      </c>
      <c r="F75" s="83" t="s">
        <v>104</v>
      </c>
      <c r="G75" s="84">
        <v>3759.44</v>
      </c>
      <c r="H75" s="82">
        <v>177346406</v>
      </c>
      <c r="I75" s="84">
        <v>0</v>
      </c>
      <c r="J75" s="84">
        <v>0</v>
      </c>
      <c r="K75" s="84">
        <v>0</v>
      </c>
      <c r="L75" s="84">
        <v>0</v>
      </c>
      <c r="M75" s="84">
        <v>22.69</v>
      </c>
      <c r="N75" s="83" t="s">
        <v>93</v>
      </c>
      <c r="O75" s="14">
        <f t="shared" si="15"/>
        <v>45925.536550925928</v>
      </c>
      <c r="P75" s="19">
        <f t="shared" si="16"/>
        <v>45925.744884259264</v>
      </c>
      <c r="Q75" s="20" t="str">
        <f t="shared" si="17"/>
        <v>25/09/2025</v>
      </c>
      <c r="R75" s="13" t="str">
        <f t="shared" si="18"/>
        <v>17</v>
      </c>
      <c r="S75" s="13" t="str">
        <f t="shared" si="19"/>
        <v>Thu</v>
      </c>
    </row>
    <row r="76" spans="1:19" x14ac:dyDescent="0.25">
      <c r="A76" s="77">
        <v>45925.539918981478</v>
      </c>
      <c r="B76" s="78">
        <v>189059406</v>
      </c>
      <c r="C76" s="79" t="s">
        <v>103</v>
      </c>
      <c r="D76" s="79" t="s">
        <v>37</v>
      </c>
      <c r="E76" s="79" t="s">
        <v>45</v>
      </c>
      <c r="F76" s="79" t="s">
        <v>104</v>
      </c>
      <c r="G76" s="80">
        <v>3756.37</v>
      </c>
      <c r="H76" s="78">
        <v>177348094</v>
      </c>
      <c r="I76" s="80">
        <v>0</v>
      </c>
      <c r="J76" s="80">
        <v>0</v>
      </c>
      <c r="K76" s="80">
        <v>0</v>
      </c>
      <c r="L76" s="80">
        <v>-0.31</v>
      </c>
      <c r="M76" s="80">
        <v>22.38</v>
      </c>
      <c r="N76" s="79" t="s">
        <v>192</v>
      </c>
      <c r="O76" s="14">
        <f t="shared" si="15"/>
        <v>45925.539918981478</v>
      </c>
      <c r="P76" s="19">
        <f t="shared" si="16"/>
        <v>45925.748252314814</v>
      </c>
      <c r="Q76" s="20" t="str">
        <f t="shared" si="17"/>
        <v>25/09/2025</v>
      </c>
      <c r="R76" s="13" t="str">
        <f t="shared" si="18"/>
        <v>17</v>
      </c>
      <c r="S76" s="13" t="str">
        <f t="shared" si="19"/>
        <v>Thu</v>
      </c>
    </row>
    <row r="77" spans="1:19" x14ac:dyDescent="0.25">
      <c r="A77" s="81">
        <v>45925.540162037039</v>
      </c>
      <c r="B77" s="82">
        <v>189059905</v>
      </c>
      <c r="C77" s="83" t="s">
        <v>103</v>
      </c>
      <c r="D77" s="83" t="s">
        <v>37</v>
      </c>
      <c r="E77" s="83" t="s">
        <v>45</v>
      </c>
      <c r="F77" s="83" t="s">
        <v>104</v>
      </c>
      <c r="G77" s="84">
        <v>3755.53</v>
      </c>
      <c r="H77" s="82">
        <v>177348592</v>
      </c>
      <c r="I77" s="84">
        <v>0</v>
      </c>
      <c r="J77" s="84">
        <v>0</v>
      </c>
      <c r="K77" s="84">
        <v>0</v>
      </c>
      <c r="L77" s="84">
        <v>-0.28999999999999998</v>
      </c>
      <c r="M77" s="84">
        <v>22.09</v>
      </c>
      <c r="N77" s="83" t="s">
        <v>193</v>
      </c>
      <c r="O77" s="14">
        <f t="shared" si="15"/>
        <v>45925.540162037039</v>
      </c>
      <c r="P77" s="19">
        <f t="shared" si="16"/>
        <v>45925.748495370375</v>
      </c>
      <c r="Q77" s="20" t="str">
        <f t="shared" si="17"/>
        <v>25/09/2025</v>
      </c>
      <c r="R77" s="13" t="str">
        <f t="shared" si="18"/>
        <v>17</v>
      </c>
      <c r="S77" s="13" t="str">
        <f t="shared" si="19"/>
        <v>Thu</v>
      </c>
    </row>
    <row r="78" spans="1:19" x14ac:dyDescent="0.25">
      <c r="A78" s="77">
        <v>45925.541296296295</v>
      </c>
      <c r="B78" s="78">
        <v>189060545</v>
      </c>
      <c r="C78" s="79" t="s">
        <v>103</v>
      </c>
      <c r="D78" s="79" t="s">
        <v>37</v>
      </c>
      <c r="E78" s="79" t="s">
        <v>44</v>
      </c>
      <c r="F78" s="79" t="s">
        <v>104</v>
      </c>
      <c r="G78" s="80">
        <v>3756.13</v>
      </c>
      <c r="H78" s="78">
        <v>177349228</v>
      </c>
      <c r="I78" s="80">
        <v>0</v>
      </c>
      <c r="J78" s="80">
        <v>0</v>
      </c>
      <c r="K78" s="80">
        <v>0</v>
      </c>
      <c r="L78" s="80">
        <v>0</v>
      </c>
      <c r="M78" s="80">
        <v>22.09</v>
      </c>
      <c r="N78" s="79" t="s">
        <v>118</v>
      </c>
      <c r="O78" s="14">
        <f t="shared" si="15"/>
        <v>45925.541296296295</v>
      </c>
      <c r="P78" s="19">
        <f t="shared" si="16"/>
        <v>45925.74962962963</v>
      </c>
      <c r="Q78" s="20" t="str">
        <f t="shared" si="17"/>
        <v>25/09/2025</v>
      </c>
      <c r="R78" s="13" t="str">
        <f t="shared" si="18"/>
        <v>17</v>
      </c>
      <c r="S78" s="13" t="str">
        <f t="shared" si="19"/>
        <v>Thu</v>
      </c>
    </row>
    <row r="79" spans="1:19" x14ac:dyDescent="0.25">
      <c r="A79" s="81">
        <v>45925.54314814815</v>
      </c>
      <c r="B79" s="82">
        <v>189061230</v>
      </c>
      <c r="C79" s="83" t="s">
        <v>103</v>
      </c>
      <c r="D79" s="83" t="s">
        <v>36</v>
      </c>
      <c r="E79" s="83" t="s">
        <v>44</v>
      </c>
      <c r="F79" s="83" t="s">
        <v>104</v>
      </c>
      <c r="G79" s="84">
        <v>3757.71</v>
      </c>
      <c r="H79" s="82">
        <v>177349875</v>
      </c>
      <c r="I79" s="84">
        <v>0</v>
      </c>
      <c r="J79" s="84">
        <v>0</v>
      </c>
      <c r="K79" s="84">
        <v>0</v>
      </c>
      <c r="L79" s="84">
        <v>0</v>
      </c>
      <c r="M79" s="84">
        <v>22.09</v>
      </c>
      <c r="N79" s="83" t="s">
        <v>93</v>
      </c>
      <c r="O79" s="14">
        <f t="shared" si="15"/>
        <v>45925.54314814815</v>
      </c>
      <c r="P79" s="19">
        <f t="shared" si="16"/>
        <v>45925.751481481486</v>
      </c>
      <c r="Q79" s="20" t="str">
        <f t="shared" si="17"/>
        <v>25/09/2025</v>
      </c>
      <c r="R79" s="13" t="str">
        <f t="shared" si="18"/>
        <v>18</v>
      </c>
      <c r="S79" s="13" t="str">
        <f t="shared" si="19"/>
        <v>Thu</v>
      </c>
    </row>
    <row r="80" spans="1:19" x14ac:dyDescent="0.25">
      <c r="A80" s="77">
        <v>45925.575196759259</v>
      </c>
      <c r="B80" s="78">
        <v>189069378</v>
      </c>
      <c r="C80" s="79" t="s">
        <v>103</v>
      </c>
      <c r="D80" s="79" t="s">
        <v>36</v>
      </c>
      <c r="E80" s="79" t="s">
        <v>45</v>
      </c>
      <c r="F80" s="79" t="s">
        <v>104</v>
      </c>
      <c r="G80" s="80">
        <v>3759.32</v>
      </c>
      <c r="H80" s="78">
        <v>177357789</v>
      </c>
      <c r="I80" s="80">
        <v>0</v>
      </c>
      <c r="J80" s="80">
        <v>0</v>
      </c>
      <c r="K80" s="80">
        <v>0</v>
      </c>
      <c r="L80" s="80">
        <v>-0.32</v>
      </c>
      <c r="M80" s="80">
        <v>21.77</v>
      </c>
      <c r="N80" s="79" t="s">
        <v>194</v>
      </c>
      <c r="O80" s="14">
        <f t="shared" si="15"/>
        <v>45925.575196759259</v>
      </c>
      <c r="P80" s="19">
        <f t="shared" si="16"/>
        <v>45925.783530092594</v>
      </c>
      <c r="Q80" s="20" t="str">
        <f t="shared" si="17"/>
        <v>25/09/2025</v>
      </c>
      <c r="R80" s="13" t="str">
        <f t="shared" si="18"/>
        <v>18</v>
      </c>
      <c r="S80" s="13" t="str">
        <f t="shared" si="19"/>
        <v>Thu</v>
      </c>
    </row>
    <row r="81" spans="1:19" x14ac:dyDescent="0.25">
      <c r="A81" s="81">
        <v>45925.585057870368</v>
      </c>
      <c r="B81" s="82">
        <v>189074797</v>
      </c>
      <c r="C81" s="83" t="s">
        <v>103</v>
      </c>
      <c r="D81" s="83" t="s">
        <v>37</v>
      </c>
      <c r="E81" s="83" t="s">
        <v>45</v>
      </c>
      <c r="F81" s="83" t="s">
        <v>104</v>
      </c>
      <c r="G81" s="84">
        <v>3754.6</v>
      </c>
      <c r="H81" s="82">
        <v>177362944</v>
      </c>
      <c r="I81" s="84">
        <v>0</v>
      </c>
      <c r="J81" s="84">
        <v>0</v>
      </c>
      <c r="K81" s="84">
        <v>0</v>
      </c>
      <c r="L81" s="84">
        <v>-0.31</v>
      </c>
      <c r="M81" s="84">
        <v>21.46</v>
      </c>
      <c r="N81" s="83" t="s">
        <v>195</v>
      </c>
      <c r="O81" s="14">
        <f t="shared" si="15"/>
        <v>45925.585057870368</v>
      </c>
      <c r="P81" s="19">
        <f t="shared" si="16"/>
        <v>45925.793391203704</v>
      </c>
      <c r="Q81" s="20" t="str">
        <f t="shared" si="17"/>
        <v>25/09/2025</v>
      </c>
      <c r="R81" s="13" t="str">
        <f t="shared" si="18"/>
        <v>19</v>
      </c>
      <c r="S81" s="13" t="str">
        <f t="shared" si="19"/>
        <v>Thu</v>
      </c>
    </row>
    <row r="82" spans="1:19" x14ac:dyDescent="0.25">
      <c r="A82" s="77">
        <v>45925.594756944447</v>
      </c>
      <c r="B82" s="78">
        <v>189089670</v>
      </c>
      <c r="C82" s="79" t="s">
        <v>103</v>
      </c>
      <c r="D82" s="79" t="s">
        <v>37</v>
      </c>
      <c r="E82" s="79" t="s">
        <v>44</v>
      </c>
      <c r="F82" s="79" t="s">
        <v>104</v>
      </c>
      <c r="G82" s="80">
        <v>3744.64</v>
      </c>
      <c r="H82" s="78">
        <v>177376615</v>
      </c>
      <c r="I82" s="80">
        <v>0</v>
      </c>
      <c r="J82" s="80">
        <v>0</v>
      </c>
      <c r="K82" s="80">
        <v>0</v>
      </c>
      <c r="L82" s="80">
        <v>0</v>
      </c>
      <c r="M82" s="80">
        <v>21.46</v>
      </c>
      <c r="N82" s="79" t="s">
        <v>93</v>
      </c>
      <c r="O82" s="14">
        <f t="shared" si="15"/>
        <v>45925.594756944447</v>
      </c>
      <c r="P82" s="19">
        <f t="shared" si="16"/>
        <v>45925.803090277783</v>
      </c>
      <c r="Q82" s="20" t="str">
        <f t="shared" si="17"/>
        <v>25/09/2025</v>
      </c>
      <c r="R82" s="13" t="str">
        <f t="shared" si="18"/>
        <v>19</v>
      </c>
      <c r="S82" s="13" t="str">
        <f t="shared" si="19"/>
        <v>Thu</v>
      </c>
    </row>
    <row r="83" spans="1:19" x14ac:dyDescent="0.25">
      <c r="A83" s="81">
        <v>45925.598634259259</v>
      </c>
      <c r="B83" s="82">
        <v>189092685</v>
      </c>
      <c r="C83" s="83" t="s">
        <v>103</v>
      </c>
      <c r="D83" s="83" t="s">
        <v>36</v>
      </c>
      <c r="E83" s="83" t="s">
        <v>45</v>
      </c>
      <c r="F83" s="83" t="s">
        <v>104</v>
      </c>
      <c r="G83" s="84">
        <v>3747.61</v>
      </c>
      <c r="H83" s="82">
        <v>177379505</v>
      </c>
      <c r="I83" s="84">
        <v>0</v>
      </c>
      <c r="J83" s="84">
        <v>0</v>
      </c>
      <c r="K83" s="84">
        <v>0</v>
      </c>
      <c r="L83" s="84">
        <v>-0.3</v>
      </c>
      <c r="M83" s="84">
        <v>21.16</v>
      </c>
      <c r="N83" s="83" t="s">
        <v>196</v>
      </c>
      <c r="O83" s="14">
        <f t="shared" si="15"/>
        <v>45925.598634259259</v>
      </c>
      <c r="P83" s="19">
        <f t="shared" si="16"/>
        <v>45925.806967592594</v>
      </c>
      <c r="Q83" s="20" t="str">
        <f t="shared" si="17"/>
        <v>25/09/2025</v>
      </c>
      <c r="R83" s="13" t="str">
        <f t="shared" si="18"/>
        <v>19</v>
      </c>
      <c r="S83" s="13" t="str">
        <f t="shared" si="19"/>
        <v>Thu</v>
      </c>
    </row>
    <row r="84" spans="1:19" x14ac:dyDescent="0.25">
      <c r="A84" s="77">
        <v>45925.598807870374</v>
      </c>
      <c r="B84" s="78">
        <v>189092816</v>
      </c>
      <c r="C84" s="79" t="s">
        <v>103</v>
      </c>
      <c r="D84" s="79" t="s">
        <v>37</v>
      </c>
      <c r="E84" s="79" t="s">
        <v>44</v>
      </c>
      <c r="F84" s="79" t="s">
        <v>104</v>
      </c>
      <c r="G84" s="80">
        <v>3746.94</v>
      </c>
      <c r="H84" s="78">
        <v>177379628</v>
      </c>
      <c r="I84" s="80">
        <v>0</v>
      </c>
      <c r="J84" s="80">
        <v>0</v>
      </c>
      <c r="K84" s="80">
        <v>0</v>
      </c>
      <c r="L84" s="80">
        <v>0</v>
      </c>
      <c r="M84" s="80">
        <v>21.16</v>
      </c>
      <c r="N84" s="79" t="s">
        <v>93</v>
      </c>
      <c r="O84" s="14">
        <f t="shared" si="15"/>
        <v>45925.598807870374</v>
      </c>
      <c r="P84" s="19">
        <f t="shared" si="16"/>
        <v>45925.80714120371</v>
      </c>
      <c r="Q84" s="20" t="str">
        <f t="shared" si="17"/>
        <v>25/09/2025</v>
      </c>
      <c r="R84" s="13" t="str">
        <f t="shared" si="18"/>
        <v>19</v>
      </c>
      <c r="S84" s="13" t="str">
        <f t="shared" si="19"/>
        <v>Thu</v>
      </c>
    </row>
    <row r="85" spans="1:19" x14ac:dyDescent="0.25">
      <c r="A85" s="81">
        <v>45925.601655092592</v>
      </c>
      <c r="B85" s="82">
        <v>189095036</v>
      </c>
      <c r="C85" s="83" t="s">
        <v>103</v>
      </c>
      <c r="D85" s="83" t="s">
        <v>36</v>
      </c>
      <c r="E85" s="83" t="s">
        <v>45</v>
      </c>
      <c r="F85" s="83" t="s">
        <v>104</v>
      </c>
      <c r="G85" s="84">
        <v>3750.07</v>
      </c>
      <c r="H85" s="82">
        <v>177381697</v>
      </c>
      <c r="I85" s="84">
        <v>0</v>
      </c>
      <c r="J85" s="84">
        <v>0</v>
      </c>
      <c r="K85" s="84">
        <v>0</v>
      </c>
      <c r="L85" s="84">
        <v>-0.31</v>
      </c>
      <c r="M85" s="84">
        <v>20.85</v>
      </c>
      <c r="N85" s="83" t="s">
        <v>197</v>
      </c>
      <c r="O85" s="14">
        <f t="shared" si="15"/>
        <v>45925.601655092592</v>
      </c>
      <c r="P85" s="19">
        <f t="shared" si="16"/>
        <v>45925.809988425928</v>
      </c>
      <c r="Q85" s="20" t="str">
        <f t="shared" si="17"/>
        <v>25/09/2025</v>
      </c>
      <c r="R85" s="13" t="str">
        <f t="shared" si="18"/>
        <v>19</v>
      </c>
      <c r="S85" s="13" t="str">
        <f t="shared" si="19"/>
        <v>Thu</v>
      </c>
    </row>
    <row r="86" spans="1:19" x14ac:dyDescent="0.25">
      <c r="A86" s="77">
        <v>45925.617442129631</v>
      </c>
      <c r="B86" s="78">
        <v>189104729</v>
      </c>
      <c r="C86" s="79" t="s">
        <v>103</v>
      </c>
      <c r="D86" s="79" t="s">
        <v>36</v>
      </c>
      <c r="E86" s="79" t="s">
        <v>44</v>
      </c>
      <c r="F86" s="79" t="s">
        <v>104</v>
      </c>
      <c r="G86" s="80">
        <v>3752.22</v>
      </c>
      <c r="H86" s="78">
        <v>177390984</v>
      </c>
      <c r="I86" s="80">
        <v>0</v>
      </c>
      <c r="J86" s="80">
        <v>0</v>
      </c>
      <c r="K86" s="80">
        <v>0</v>
      </c>
      <c r="L86" s="80">
        <v>0</v>
      </c>
      <c r="M86" s="80">
        <v>20.85</v>
      </c>
      <c r="N86" s="79" t="s">
        <v>93</v>
      </c>
      <c r="O86" s="14">
        <f t="shared" ref="O86:O107" si="20">A86</f>
        <v>45925.617442129631</v>
      </c>
      <c r="P86" s="19">
        <f t="shared" ref="P86:P107" si="21">O86+(5/24)</f>
        <v>45925.825775462967</v>
      </c>
      <c r="Q86" s="20" t="str">
        <f t="shared" ref="Q86:Q107" si="22">TEXT(P86,"dd/mm/yyyy")</f>
        <v>25/09/2025</v>
      </c>
      <c r="R86" s="13" t="str">
        <f t="shared" ref="R86:R107" si="23">TEXT(P86,"hh")</f>
        <v>19</v>
      </c>
      <c r="S86" s="13" t="str">
        <f t="shared" ref="S86:S107" si="24">TEXT(P86,"ddd")</f>
        <v>Thu</v>
      </c>
    </row>
    <row r="87" spans="1:19" x14ac:dyDescent="0.25">
      <c r="A87" s="81">
        <v>45925.640486111108</v>
      </c>
      <c r="B87" s="82">
        <v>189115785</v>
      </c>
      <c r="C87" s="83" t="s">
        <v>103</v>
      </c>
      <c r="D87" s="83" t="s">
        <v>37</v>
      </c>
      <c r="E87" s="83" t="s">
        <v>45</v>
      </c>
      <c r="F87" s="83" t="s">
        <v>104</v>
      </c>
      <c r="G87" s="84">
        <v>3755.81</v>
      </c>
      <c r="H87" s="82">
        <v>177401432</v>
      </c>
      <c r="I87" s="84">
        <v>0</v>
      </c>
      <c r="J87" s="84">
        <v>0</v>
      </c>
      <c r="K87" s="84">
        <v>0</v>
      </c>
      <c r="L87" s="84">
        <v>0.36</v>
      </c>
      <c r="M87" s="84">
        <v>21.21</v>
      </c>
      <c r="N87" s="83" t="s">
        <v>212</v>
      </c>
      <c r="O87" s="14">
        <f t="shared" si="20"/>
        <v>45925.640486111108</v>
      </c>
      <c r="P87" s="19">
        <f t="shared" si="21"/>
        <v>45925.848819444444</v>
      </c>
      <c r="Q87" s="20" t="str">
        <f t="shared" si="22"/>
        <v>25/09/2025</v>
      </c>
      <c r="R87" s="13" t="str">
        <f t="shared" si="23"/>
        <v>20</v>
      </c>
      <c r="S87" s="13" t="str">
        <f t="shared" si="24"/>
        <v>Thu</v>
      </c>
    </row>
    <row r="88" spans="1:19" x14ac:dyDescent="0.25">
      <c r="A88" s="77">
        <v>45925.641747685186</v>
      </c>
      <c r="B88" s="78">
        <v>189116541</v>
      </c>
      <c r="C88" s="79" t="s">
        <v>103</v>
      </c>
      <c r="D88" s="79" t="s">
        <v>36</v>
      </c>
      <c r="E88" s="79" t="s">
        <v>44</v>
      </c>
      <c r="F88" s="79" t="s">
        <v>104</v>
      </c>
      <c r="G88" s="80">
        <v>3754.44</v>
      </c>
      <c r="H88" s="78">
        <v>177402156</v>
      </c>
      <c r="I88" s="80">
        <v>0</v>
      </c>
      <c r="J88" s="80">
        <v>0</v>
      </c>
      <c r="K88" s="80">
        <v>0</v>
      </c>
      <c r="L88" s="80">
        <v>0</v>
      </c>
      <c r="M88" s="80">
        <v>21.21</v>
      </c>
      <c r="N88" s="79" t="s">
        <v>93</v>
      </c>
      <c r="O88" s="14">
        <f t="shared" si="20"/>
        <v>45925.641747685186</v>
      </c>
      <c r="P88" s="19">
        <f t="shared" si="21"/>
        <v>45925.850081018521</v>
      </c>
      <c r="Q88" s="20" t="str">
        <f t="shared" si="22"/>
        <v>25/09/2025</v>
      </c>
      <c r="R88" s="13" t="str">
        <f t="shared" si="23"/>
        <v>20</v>
      </c>
      <c r="S88" s="13" t="str">
        <f t="shared" si="24"/>
        <v>Thu</v>
      </c>
    </row>
    <row r="89" spans="1:19" x14ac:dyDescent="0.25">
      <c r="A89" s="81">
        <v>45925.645833333336</v>
      </c>
      <c r="B89" s="82">
        <v>189119421</v>
      </c>
      <c r="C89" s="83" t="s">
        <v>103</v>
      </c>
      <c r="D89" s="83" t="s">
        <v>37</v>
      </c>
      <c r="E89" s="83" t="s">
        <v>45</v>
      </c>
      <c r="F89" s="83" t="s">
        <v>104</v>
      </c>
      <c r="G89" s="84">
        <v>3748.68</v>
      </c>
      <c r="H89" s="82">
        <v>177405009</v>
      </c>
      <c r="I89" s="84">
        <v>0</v>
      </c>
      <c r="J89" s="84">
        <v>0</v>
      </c>
      <c r="K89" s="84">
        <v>0</v>
      </c>
      <c r="L89" s="84">
        <v>-0.57999999999999996</v>
      </c>
      <c r="M89" s="84">
        <v>20.63</v>
      </c>
      <c r="N89" s="83" t="s">
        <v>213</v>
      </c>
      <c r="O89" s="14">
        <f t="shared" si="20"/>
        <v>45925.645833333336</v>
      </c>
      <c r="P89" s="19">
        <f t="shared" si="21"/>
        <v>45925.854166666672</v>
      </c>
      <c r="Q89" s="20" t="str">
        <f t="shared" si="22"/>
        <v>25/09/2025</v>
      </c>
      <c r="R89" s="13" t="str">
        <f t="shared" si="23"/>
        <v>20</v>
      </c>
      <c r="S89" s="13" t="str">
        <f t="shared" si="24"/>
        <v>Thu</v>
      </c>
    </row>
    <row r="90" spans="1:19" x14ac:dyDescent="0.25">
      <c r="A90" s="77">
        <v>45925.654247685183</v>
      </c>
      <c r="B90" s="78">
        <v>189141553</v>
      </c>
      <c r="C90" s="79" t="s">
        <v>103</v>
      </c>
      <c r="D90" s="79" t="s">
        <v>37</v>
      </c>
      <c r="E90" s="79" t="s">
        <v>44</v>
      </c>
      <c r="F90" s="79" t="s">
        <v>104</v>
      </c>
      <c r="G90" s="80">
        <v>3742.18</v>
      </c>
      <c r="H90" s="78">
        <v>177425533</v>
      </c>
      <c r="I90" s="80">
        <v>0</v>
      </c>
      <c r="J90" s="80">
        <v>0</v>
      </c>
      <c r="K90" s="80">
        <v>0</v>
      </c>
      <c r="L90" s="80">
        <v>0</v>
      </c>
      <c r="M90" s="80">
        <v>20.63</v>
      </c>
      <c r="N90" s="79" t="s">
        <v>93</v>
      </c>
      <c r="O90" s="14">
        <f t="shared" si="20"/>
        <v>45925.654247685183</v>
      </c>
      <c r="P90" s="19">
        <f t="shared" si="21"/>
        <v>45925.862581018519</v>
      </c>
      <c r="Q90" s="20" t="str">
        <f t="shared" si="22"/>
        <v>25/09/2025</v>
      </c>
      <c r="R90" s="13" t="str">
        <f t="shared" si="23"/>
        <v>20</v>
      </c>
      <c r="S90" s="13" t="str">
        <f t="shared" si="24"/>
        <v>Thu</v>
      </c>
    </row>
    <row r="91" spans="1:19" x14ac:dyDescent="0.25">
      <c r="A91" s="81">
        <v>45925.655289351853</v>
      </c>
      <c r="B91" s="82">
        <v>189142999</v>
      </c>
      <c r="C91" s="83" t="s">
        <v>103</v>
      </c>
      <c r="D91" s="83" t="s">
        <v>36</v>
      </c>
      <c r="E91" s="83" t="s">
        <v>45</v>
      </c>
      <c r="F91" s="83" t="s">
        <v>104</v>
      </c>
      <c r="G91" s="84">
        <v>3738.68</v>
      </c>
      <c r="H91" s="82">
        <v>177426917</v>
      </c>
      <c r="I91" s="84">
        <v>0</v>
      </c>
      <c r="J91" s="84">
        <v>0</v>
      </c>
      <c r="K91" s="84">
        <v>0</v>
      </c>
      <c r="L91" s="84">
        <v>0.35</v>
      </c>
      <c r="M91" s="84">
        <v>20.98</v>
      </c>
      <c r="N91" s="83" t="s">
        <v>214</v>
      </c>
      <c r="O91" s="14">
        <f t="shared" si="20"/>
        <v>45925.655289351853</v>
      </c>
      <c r="P91" s="19">
        <f t="shared" si="21"/>
        <v>45925.863622685189</v>
      </c>
      <c r="Q91" s="20" t="str">
        <f t="shared" si="22"/>
        <v>25/09/2025</v>
      </c>
      <c r="R91" s="13" t="str">
        <f t="shared" si="23"/>
        <v>20</v>
      </c>
      <c r="S91" s="13" t="str">
        <f t="shared" si="24"/>
        <v>Thu</v>
      </c>
    </row>
    <row r="92" spans="1:19" x14ac:dyDescent="0.25">
      <c r="A92" s="77">
        <v>45925.655752314815</v>
      </c>
      <c r="B92" s="78">
        <v>189143880</v>
      </c>
      <c r="C92" s="79" t="s">
        <v>103</v>
      </c>
      <c r="D92" s="79" t="s">
        <v>37</v>
      </c>
      <c r="E92" s="79" t="s">
        <v>44</v>
      </c>
      <c r="F92" s="79" t="s">
        <v>104</v>
      </c>
      <c r="G92" s="80">
        <v>3742.49</v>
      </c>
      <c r="H92" s="78">
        <v>177427766</v>
      </c>
      <c r="I92" s="80">
        <v>0</v>
      </c>
      <c r="J92" s="80">
        <v>0</v>
      </c>
      <c r="K92" s="80">
        <v>0</v>
      </c>
      <c r="L92" s="80">
        <v>0</v>
      </c>
      <c r="M92" s="80">
        <v>20.98</v>
      </c>
      <c r="N92" s="79" t="s">
        <v>93</v>
      </c>
      <c r="O92" s="14">
        <f t="shared" si="20"/>
        <v>45925.655752314815</v>
      </c>
      <c r="P92" s="19">
        <f t="shared" si="21"/>
        <v>45925.864085648151</v>
      </c>
      <c r="Q92" s="20" t="str">
        <f t="shared" si="22"/>
        <v>25/09/2025</v>
      </c>
      <c r="R92" s="13" t="str">
        <f t="shared" si="23"/>
        <v>20</v>
      </c>
      <c r="S92" s="13" t="str">
        <f t="shared" si="24"/>
        <v>Thu</v>
      </c>
    </row>
    <row r="93" spans="1:19" x14ac:dyDescent="0.25">
      <c r="A93" s="81">
        <v>45925.657418981478</v>
      </c>
      <c r="B93" s="82">
        <v>189145900</v>
      </c>
      <c r="C93" s="83" t="s">
        <v>103</v>
      </c>
      <c r="D93" s="83" t="s">
        <v>36</v>
      </c>
      <c r="E93" s="83" t="s">
        <v>45</v>
      </c>
      <c r="F93" s="83" t="s">
        <v>104</v>
      </c>
      <c r="G93" s="84">
        <v>3738.77</v>
      </c>
      <c r="H93" s="82">
        <v>177429724</v>
      </c>
      <c r="I93" s="84">
        <v>0</v>
      </c>
      <c r="J93" s="84">
        <v>0</v>
      </c>
      <c r="K93" s="84">
        <v>0</v>
      </c>
      <c r="L93" s="84">
        <v>0.37</v>
      </c>
      <c r="M93" s="84">
        <v>21.35</v>
      </c>
      <c r="N93" s="83" t="s">
        <v>215</v>
      </c>
      <c r="O93" s="14">
        <f t="shared" si="20"/>
        <v>45925.657418981478</v>
      </c>
      <c r="P93" s="19">
        <f t="shared" si="21"/>
        <v>45925.865752314814</v>
      </c>
      <c r="Q93" s="20" t="str">
        <f t="shared" si="22"/>
        <v>25/09/2025</v>
      </c>
      <c r="R93" s="13" t="str">
        <f t="shared" si="23"/>
        <v>20</v>
      </c>
      <c r="S93" s="13" t="str">
        <f t="shared" si="24"/>
        <v>Thu</v>
      </c>
    </row>
    <row r="94" spans="1:19" x14ac:dyDescent="0.25">
      <c r="A94" s="77">
        <v>45925.663622685184</v>
      </c>
      <c r="B94" s="78">
        <v>189156579</v>
      </c>
      <c r="C94" s="79" t="s">
        <v>103</v>
      </c>
      <c r="D94" s="79" t="s">
        <v>37</v>
      </c>
      <c r="E94" s="79" t="s">
        <v>44</v>
      </c>
      <c r="F94" s="79" t="s">
        <v>104</v>
      </c>
      <c r="G94" s="80">
        <v>3735.59</v>
      </c>
      <c r="H94" s="78">
        <v>177439865</v>
      </c>
      <c r="I94" s="80">
        <v>0</v>
      </c>
      <c r="J94" s="80">
        <v>0</v>
      </c>
      <c r="K94" s="80">
        <v>0</v>
      </c>
      <c r="L94" s="80">
        <v>0</v>
      </c>
      <c r="M94" s="80">
        <v>21.35</v>
      </c>
      <c r="N94" s="79" t="s">
        <v>93</v>
      </c>
      <c r="O94" s="14">
        <f t="shared" si="20"/>
        <v>45925.663622685184</v>
      </c>
      <c r="P94" s="19">
        <f t="shared" si="21"/>
        <v>45925.87195601852</v>
      </c>
      <c r="Q94" s="20" t="str">
        <f t="shared" si="22"/>
        <v>25/09/2025</v>
      </c>
      <c r="R94" s="13" t="str">
        <f t="shared" si="23"/>
        <v>20</v>
      </c>
      <c r="S94" s="13" t="str">
        <f t="shared" si="24"/>
        <v>Thu</v>
      </c>
    </row>
    <row r="95" spans="1:19" x14ac:dyDescent="0.25">
      <c r="A95" s="81">
        <v>45925.664513888885</v>
      </c>
      <c r="B95" s="82">
        <v>189158351</v>
      </c>
      <c r="C95" s="83" t="s">
        <v>103</v>
      </c>
      <c r="D95" s="83" t="s">
        <v>36</v>
      </c>
      <c r="E95" s="83" t="s">
        <v>45</v>
      </c>
      <c r="F95" s="83" t="s">
        <v>104</v>
      </c>
      <c r="G95" s="84">
        <v>3738.67</v>
      </c>
      <c r="H95" s="82">
        <v>177441601</v>
      </c>
      <c r="I95" s="84">
        <v>0</v>
      </c>
      <c r="J95" s="84">
        <v>0</v>
      </c>
      <c r="K95" s="84">
        <v>0</v>
      </c>
      <c r="L95" s="84">
        <v>-0.31</v>
      </c>
      <c r="M95" s="84">
        <v>21.04</v>
      </c>
      <c r="N95" s="83" t="s">
        <v>216</v>
      </c>
      <c r="O95" s="14">
        <f t="shared" si="20"/>
        <v>45925.664513888885</v>
      </c>
      <c r="P95" s="19">
        <f t="shared" si="21"/>
        <v>45925.872847222221</v>
      </c>
      <c r="Q95" s="20" t="str">
        <f t="shared" si="22"/>
        <v>25/09/2025</v>
      </c>
      <c r="R95" s="13" t="str">
        <f t="shared" si="23"/>
        <v>20</v>
      </c>
      <c r="S95" s="13" t="str">
        <f t="shared" si="24"/>
        <v>Thu</v>
      </c>
    </row>
    <row r="96" spans="1:19" x14ac:dyDescent="0.25">
      <c r="A96" s="77">
        <v>45925.665243055555</v>
      </c>
      <c r="B96" s="78">
        <v>189159428</v>
      </c>
      <c r="C96" s="79" t="s">
        <v>103</v>
      </c>
      <c r="D96" s="79" t="s">
        <v>37</v>
      </c>
      <c r="E96" s="79" t="s">
        <v>44</v>
      </c>
      <c r="F96" s="79" t="s">
        <v>104</v>
      </c>
      <c r="G96" s="80">
        <v>3738.12</v>
      </c>
      <c r="H96" s="78">
        <v>177442675</v>
      </c>
      <c r="I96" s="80">
        <v>0</v>
      </c>
      <c r="J96" s="80">
        <v>0</v>
      </c>
      <c r="K96" s="80">
        <v>0</v>
      </c>
      <c r="L96" s="80">
        <v>0</v>
      </c>
      <c r="M96" s="80">
        <v>21.04</v>
      </c>
      <c r="N96" s="79" t="s">
        <v>93</v>
      </c>
      <c r="O96" s="14">
        <f t="shared" si="20"/>
        <v>45925.665243055555</v>
      </c>
      <c r="P96" s="19">
        <f t="shared" si="21"/>
        <v>45925.873576388891</v>
      </c>
      <c r="Q96" s="20" t="str">
        <f t="shared" si="22"/>
        <v>25/09/2025</v>
      </c>
      <c r="R96" s="13" t="str">
        <f t="shared" si="23"/>
        <v>20</v>
      </c>
      <c r="S96" s="13" t="str">
        <f t="shared" si="24"/>
        <v>Thu</v>
      </c>
    </row>
    <row r="97" spans="1:19" x14ac:dyDescent="0.25">
      <c r="A97" s="81">
        <v>45925.668136574073</v>
      </c>
      <c r="B97" s="82">
        <v>189162238</v>
      </c>
      <c r="C97" s="83" t="s">
        <v>103</v>
      </c>
      <c r="D97" s="83" t="s">
        <v>36</v>
      </c>
      <c r="E97" s="83" t="s">
        <v>45</v>
      </c>
      <c r="F97" s="83" t="s">
        <v>104</v>
      </c>
      <c r="G97" s="84">
        <v>3734.46</v>
      </c>
      <c r="H97" s="82">
        <v>177445420</v>
      </c>
      <c r="I97" s="84">
        <v>0</v>
      </c>
      <c r="J97" s="84">
        <v>0</v>
      </c>
      <c r="K97" s="84">
        <v>0</v>
      </c>
      <c r="L97" s="84">
        <v>0.37</v>
      </c>
      <c r="M97" s="84">
        <v>21.41</v>
      </c>
      <c r="N97" s="83" t="s">
        <v>217</v>
      </c>
      <c r="O97" s="14">
        <f t="shared" si="20"/>
        <v>45925.668136574073</v>
      </c>
      <c r="P97" s="19">
        <f t="shared" si="21"/>
        <v>45925.876469907409</v>
      </c>
      <c r="Q97" s="20" t="str">
        <f t="shared" si="22"/>
        <v>25/09/2025</v>
      </c>
      <c r="R97" s="13" t="str">
        <f t="shared" si="23"/>
        <v>21</v>
      </c>
      <c r="S97" s="13" t="str">
        <f t="shared" si="24"/>
        <v>Thu</v>
      </c>
    </row>
    <row r="98" spans="1:19" x14ac:dyDescent="0.25">
      <c r="A98" s="77">
        <v>45925.684803240743</v>
      </c>
      <c r="B98" s="78">
        <v>189178068</v>
      </c>
      <c r="C98" s="79" t="s">
        <v>103</v>
      </c>
      <c r="D98" s="79" t="s">
        <v>36</v>
      </c>
      <c r="E98" s="79" t="s">
        <v>44</v>
      </c>
      <c r="F98" s="79" t="s">
        <v>104</v>
      </c>
      <c r="G98" s="80">
        <v>3742.44</v>
      </c>
      <c r="H98" s="78">
        <v>177460407</v>
      </c>
      <c r="I98" s="80">
        <v>0</v>
      </c>
      <c r="J98" s="80">
        <v>0</v>
      </c>
      <c r="K98" s="80">
        <v>0</v>
      </c>
      <c r="L98" s="80">
        <v>0</v>
      </c>
      <c r="M98" s="80">
        <v>21.41</v>
      </c>
      <c r="N98" s="79" t="s">
        <v>93</v>
      </c>
      <c r="O98" s="14">
        <f t="shared" si="20"/>
        <v>45925.684803240743</v>
      </c>
      <c r="P98" s="19">
        <f t="shared" si="21"/>
        <v>45925.893136574079</v>
      </c>
      <c r="Q98" s="20" t="str">
        <f t="shared" si="22"/>
        <v>25/09/2025</v>
      </c>
      <c r="R98" s="13" t="str">
        <f t="shared" si="23"/>
        <v>21</v>
      </c>
      <c r="S98" s="13" t="str">
        <f t="shared" si="24"/>
        <v>Thu</v>
      </c>
    </row>
    <row r="99" spans="1:19" x14ac:dyDescent="0.25">
      <c r="A99" s="81">
        <v>45925.688287037039</v>
      </c>
      <c r="B99" s="82">
        <v>189180593</v>
      </c>
      <c r="C99" s="83" t="s">
        <v>103</v>
      </c>
      <c r="D99" s="83" t="s">
        <v>37</v>
      </c>
      <c r="E99" s="83" t="s">
        <v>45</v>
      </c>
      <c r="F99" s="83" t="s">
        <v>104</v>
      </c>
      <c r="G99" s="84">
        <v>3739.45</v>
      </c>
      <c r="H99" s="82">
        <v>177462819</v>
      </c>
      <c r="I99" s="84">
        <v>0</v>
      </c>
      <c r="J99" s="84">
        <v>0</v>
      </c>
      <c r="K99" s="84">
        <v>0</v>
      </c>
      <c r="L99" s="84">
        <v>-0.3</v>
      </c>
      <c r="M99" s="84">
        <v>21.11</v>
      </c>
      <c r="N99" s="83" t="s">
        <v>218</v>
      </c>
      <c r="O99" s="14">
        <f t="shared" si="20"/>
        <v>45925.688287037039</v>
      </c>
      <c r="P99" s="19">
        <f t="shared" si="21"/>
        <v>45925.896620370375</v>
      </c>
      <c r="Q99" s="20" t="str">
        <f t="shared" si="22"/>
        <v>25/09/2025</v>
      </c>
      <c r="R99" s="13" t="str">
        <f t="shared" si="23"/>
        <v>21</v>
      </c>
      <c r="S99" s="13" t="str">
        <f t="shared" si="24"/>
        <v>Thu</v>
      </c>
    </row>
    <row r="100" spans="1:19" x14ac:dyDescent="0.25">
      <c r="A100" s="77">
        <v>45925.702511574076</v>
      </c>
      <c r="B100" s="78">
        <v>189202849</v>
      </c>
      <c r="C100" s="79" t="s">
        <v>103</v>
      </c>
      <c r="D100" s="79" t="s">
        <v>37</v>
      </c>
      <c r="E100" s="79" t="s">
        <v>44</v>
      </c>
      <c r="F100" s="79" t="s">
        <v>104</v>
      </c>
      <c r="G100" s="80">
        <v>3727.45</v>
      </c>
      <c r="H100" s="78">
        <v>177483615</v>
      </c>
      <c r="I100" s="80">
        <v>0</v>
      </c>
      <c r="J100" s="80">
        <v>0</v>
      </c>
      <c r="K100" s="80">
        <v>0</v>
      </c>
      <c r="L100" s="80">
        <v>0</v>
      </c>
      <c r="M100" s="80">
        <v>21.11</v>
      </c>
      <c r="N100" s="79" t="s">
        <v>93</v>
      </c>
      <c r="O100" s="14">
        <f t="shared" si="20"/>
        <v>45925.702511574076</v>
      </c>
      <c r="P100" s="19">
        <f t="shared" si="21"/>
        <v>45925.910844907412</v>
      </c>
      <c r="Q100" s="20" t="str">
        <f t="shared" si="22"/>
        <v>25/09/2025</v>
      </c>
      <c r="R100" s="13" t="str">
        <f t="shared" si="23"/>
        <v>21</v>
      </c>
      <c r="S100" s="13" t="str">
        <f t="shared" si="24"/>
        <v>Thu</v>
      </c>
    </row>
    <row r="101" spans="1:19" x14ac:dyDescent="0.25">
      <c r="A101" s="81">
        <v>45925.706863425927</v>
      </c>
      <c r="B101" s="82">
        <v>189206907</v>
      </c>
      <c r="C101" s="83" t="s">
        <v>103</v>
      </c>
      <c r="D101" s="83" t="s">
        <v>36</v>
      </c>
      <c r="E101" s="83" t="s">
        <v>45</v>
      </c>
      <c r="F101" s="83" t="s">
        <v>104</v>
      </c>
      <c r="G101" s="84">
        <v>3730.51</v>
      </c>
      <c r="H101" s="82">
        <v>177487552</v>
      </c>
      <c r="I101" s="84">
        <v>0</v>
      </c>
      <c r="J101" s="84">
        <v>0</v>
      </c>
      <c r="K101" s="84">
        <v>0</v>
      </c>
      <c r="L101" s="84">
        <v>-0.31</v>
      </c>
      <c r="M101" s="84">
        <v>20.8</v>
      </c>
      <c r="N101" s="83" t="s">
        <v>219</v>
      </c>
      <c r="O101" s="14">
        <f t="shared" si="20"/>
        <v>45925.706863425927</v>
      </c>
      <c r="P101" s="19">
        <f t="shared" si="21"/>
        <v>45925.915196759262</v>
      </c>
      <c r="Q101" s="20" t="str">
        <f t="shared" si="22"/>
        <v>25/09/2025</v>
      </c>
      <c r="R101" s="13" t="str">
        <f t="shared" si="23"/>
        <v>21</v>
      </c>
      <c r="S101" s="13" t="str">
        <f t="shared" si="24"/>
        <v>Thu</v>
      </c>
    </row>
    <row r="102" spans="1:19" x14ac:dyDescent="0.25">
      <c r="A102" s="77">
        <v>45925.726701388892</v>
      </c>
      <c r="B102" s="78">
        <v>189226300</v>
      </c>
      <c r="C102" s="79" t="s">
        <v>103</v>
      </c>
      <c r="D102" s="79" t="s">
        <v>36</v>
      </c>
      <c r="E102" s="79" t="s">
        <v>44</v>
      </c>
      <c r="F102" s="79" t="s">
        <v>104</v>
      </c>
      <c r="G102" s="80">
        <v>3734.01</v>
      </c>
      <c r="H102" s="78">
        <v>177506074</v>
      </c>
      <c r="I102" s="80">
        <v>0</v>
      </c>
      <c r="J102" s="80">
        <v>0</v>
      </c>
      <c r="K102" s="80">
        <v>0</v>
      </c>
      <c r="L102" s="80">
        <v>0</v>
      </c>
      <c r="M102" s="80">
        <v>20.8</v>
      </c>
      <c r="N102" s="79" t="s">
        <v>93</v>
      </c>
      <c r="O102" s="14">
        <f t="shared" si="20"/>
        <v>45925.726701388892</v>
      </c>
      <c r="P102" s="19">
        <f t="shared" si="21"/>
        <v>45925.935034722228</v>
      </c>
      <c r="Q102" s="20" t="str">
        <f t="shared" si="22"/>
        <v>25/09/2025</v>
      </c>
      <c r="R102" s="13" t="str">
        <f t="shared" si="23"/>
        <v>22</v>
      </c>
      <c r="S102" s="13" t="str">
        <f t="shared" si="24"/>
        <v>Thu</v>
      </c>
    </row>
    <row r="103" spans="1:19" x14ac:dyDescent="0.25">
      <c r="A103" s="81">
        <v>45925.727546296293</v>
      </c>
      <c r="B103" s="82">
        <v>189227173</v>
      </c>
      <c r="C103" s="83" t="s">
        <v>103</v>
      </c>
      <c r="D103" s="83" t="s">
        <v>37</v>
      </c>
      <c r="E103" s="83" t="s">
        <v>45</v>
      </c>
      <c r="F103" s="83" t="s">
        <v>104</v>
      </c>
      <c r="G103" s="84">
        <v>3730.73</v>
      </c>
      <c r="H103" s="82">
        <v>177506904</v>
      </c>
      <c r="I103" s="84">
        <v>0</v>
      </c>
      <c r="J103" s="84">
        <v>0</v>
      </c>
      <c r="K103" s="84">
        <v>0</v>
      </c>
      <c r="L103" s="84">
        <v>-0.33</v>
      </c>
      <c r="M103" s="84">
        <v>20.47</v>
      </c>
      <c r="N103" s="83" t="s">
        <v>220</v>
      </c>
      <c r="O103" s="14">
        <f t="shared" si="20"/>
        <v>45925.727546296293</v>
      </c>
      <c r="P103" s="19">
        <f t="shared" si="21"/>
        <v>45925.935879629629</v>
      </c>
      <c r="Q103" s="20" t="str">
        <f t="shared" si="22"/>
        <v>25/09/2025</v>
      </c>
      <c r="R103" s="13" t="str">
        <f t="shared" si="23"/>
        <v>22</v>
      </c>
      <c r="S103" s="13" t="str">
        <f t="shared" si="24"/>
        <v>Thu</v>
      </c>
    </row>
    <row r="104" spans="1:19" x14ac:dyDescent="0.25">
      <c r="A104" s="77">
        <v>45925.739548611113</v>
      </c>
      <c r="B104" s="78">
        <v>189235766</v>
      </c>
      <c r="C104" s="79" t="s">
        <v>103</v>
      </c>
      <c r="D104" s="79" t="s">
        <v>37</v>
      </c>
      <c r="E104" s="79" t="s">
        <v>44</v>
      </c>
      <c r="F104" s="79" t="s">
        <v>104</v>
      </c>
      <c r="G104" s="80">
        <v>3727.52</v>
      </c>
      <c r="H104" s="78">
        <v>177515117</v>
      </c>
      <c r="I104" s="80">
        <v>0</v>
      </c>
      <c r="J104" s="80">
        <v>0</v>
      </c>
      <c r="K104" s="80">
        <v>0</v>
      </c>
      <c r="L104" s="80">
        <v>0</v>
      </c>
      <c r="M104" s="80">
        <v>20.47</v>
      </c>
      <c r="N104" s="79" t="s">
        <v>93</v>
      </c>
      <c r="O104" s="14">
        <f t="shared" si="20"/>
        <v>45925.739548611113</v>
      </c>
      <c r="P104" s="19">
        <f t="shared" si="21"/>
        <v>45925.947881944448</v>
      </c>
      <c r="Q104" s="20" t="str">
        <f t="shared" si="22"/>
        <v>25/09/2025</v>
      </c>
      <c r="R104" s="13" t="str">
        <f t="shared" si="23"/>
        <v>22</v>
      </c>
      <c r="S104" s="13" t="str">
        <f t="shared" si="24"/>
        <v>Thu</v>
      </c>
    </row>
    <row r="105" spans="1:19" x14ac:dyDescent="0.25">
      <c r="A105" s="81">
        <v>45925.744756944441</v>
      </c>
      <c r="B105" s="82">
        <v>189238898</v>
      </c>
      <c r="C105" s="83" t="s">
        <v>103</v>
      </c>
      <c r="D105" s="83" t="s">
        <v>36</v>
      </c>
      <c r="E105" s="83" t="s">
        <v>45</v>
      </c>
      <c r="F105" s="83" t="s">
        <v>104</v>
      </c>
      <c r="G105" s="84">
        <v>3724.12</v>
      </c>
      <c r="H105" s="82">
        <v>177518191</v>
      </c>
      <c r="I105" s="84">
        <v>0</v>
      </c>
      <c r="J105" s="84">
        <v>0</v>
      </c>
      <c r="K105" s="84">
        <v>0</v>
      </c>
      <c r="L105" s="84">
        <v>0.34</v>
      </c>
      <c r="M105" s="84">
        <v>20.81</v>
      </c>
      <c r="N105" s="83" t="s">
        <v>221</v>
      </c>
      <c r="O105" s="14">
        <f t="shared" si="20"/>
        <v>45925.744756944441</v>
      </c>
      <c r="P105" s="19">
        <f t="shared" si="21"/>
        <v>45925.953090277777</v>
      </c>
      <c r="Q105" s="20" t="str">
        <f t="shared" si="22"/>
        <v>25/09/2025</v>
      </c>
      <c r="R105" s="13" t="str">
        <f t="shared" si="23"/>
        <v>22</v>
      </c>
      <c r="S105" s="13" t="str">
        <f t="shared" si="24"/>
        <v>Thu</v>
      </c>
    </row>
    <row r="106" spans="1:19" x14ac:dyDescent="0.25">
      <c r="A106" s="77">
        <v>45925.747071759259</v>
      </c>
      <c r="B106" s="78">
        <v>189240379</v>
      </c>
      <c r="C106" s="79" t="s">
        <v>103</v>
      </c>
      <c r="D106" s="79" t="s">
        <v>37</v>
      </c>
      <c r="E106" s="79" t="s">
        <v>44</v>
      </c>
      <c r="F106" s="79" t="s">
        <v>104</v>
      </c>
      <c r="G106" s="80">
        <v>3726.64</v>
      </c>
      <c r="H106" s="78">
        <v>177519593</v>
      </c>
      <c r="I106" s="80">
        <v>0</v>
      </c>
      <c r="J106" s="80">
        <v>0</v>
      </c>
      <c r="K106" s="80">
        <v>0</v>
      </c>
      <c r="L106" s="80">
        <v>0</v>
      </c>
      <c r="M106" s="80">
        <v>20.81</v>
      </c>
      <c r="N106" s="79" t="s">
        <v>93</v>
      </c>
      <c r="O106" s="14">
        <f t="shared" si="20"/>
        <v>45925.747071759259</v>
      </c>
      <c r="P106" s="19">
        <f t="shared" si="21"/>
        <v>45925.955405092594</v>
      </c>
      <c r="Q106" s="20" t="str">
        <f t="shared" si="22"/>
        <v>25/09/2025</v>
      </c>
      <c r="R106" s="13" t="str">
        <f t="shared" si="23"/>
        <v>22</v>
      </c>
      <c r="S106" s="13" t="str">
        <f t="shared" si="24"/>
        <v>Thu</v>
      </c>
    </row>
    <row r="107" spans="1:19" x14ac:dyDescent="0.25">
      <c r="A107" s="81">
        <v>45925.747604166667</v>
      </c>
      <c r="B107" s="82">
        <v>189240992</v>
      </c>
      <c r="C107" s="83" t="s">
        <v>103</v>
      </c>
      <c r="D107" s="83" t="s">
        <v>36</v>
      </c>
      <c r="E107" s="83" t="s">
        <v>45</v>
      </c>
      <c r="F107" s="83" t="s">
        <v>104</v>
      </c>
      <c r="G107" s="84">
        <v>3730.21</v>
      </c>
      <c r="H107" s="82">
        <v>177520194</v>
      </c>
      <c r="I107" s="84">
        <v>0</v>
      </c>
      <c r="J107" s="84">
        <v>0</v>
      </c>
      <c r="K107" s="84">
        <v>0</v>
      </c>
      <c r="L107" s="84">
        <v>-0.36</v>
      </c>
      <c r="M107" s="84">
        <v>20.45</v>
      </c>
      <c r="N107" s="83" t="s">
        <v>222</v>
      </c>
      <c r="O107" s="14">
        <f t="shared" si="20"/>
        <v>45925.747604166667</v>
      </c>
      <c r="P107" s="19">
        <f t="shared" si="21"/>
        <v>45925.955937500003</v>
      </c>
      <c r="Q107" s="20" t="str">
        <f t="shared" si="22"/>
        <v>25/09/2025</v>
      </c>
      <c r="R107" s="13" t="str">
        <f t="shared" si="23"/>
        <v>22</v>
      </c>
      <c r="S107" s="13" t="str">
        <f t="shared" si="24"/>
        <v>Thu</v>
      </c>
    </row>
    <row r="108" spans="1:19" x14ac:dyDescent="0.25">
      <c r="A108" s="77">
        <v>45925.765127314815</v>
      </c>
      <c r="B108" s="78">
        <v>189254605</v>
      </c>
      <c r="C108" s="79" t="s">
        <v>103</v>
      </c>
      <c r="D108" s="79" t="s">
        <v>36</v>
      </c>
      <c r="E108" s="79" t="s">
        <v>44</v>
      </c>
      <c r="F108" s="79" t="s">
        <v>104</v>
      </c>
      <c r="G108" s="80">
        <v>3736.29</v>
      </c>
      <c r="H108" s="78">
        <v>177533273</v>
      </c>
      <c r="I108" s="80">
        <v>0</v>
      </c>
      <c r="J108" s="80">
        <v>0</v>
      </c>
      <c r="K108" s="80">
        <v>0</v>
      </c>
      <c r="L108" s="80">
        <v>0</v>
      </c>
      <c r="M108" s="80">
        <v>20.45</v>
      </c>
      <c r="N108" s="79" t="s">
        <v>93</v>
      </c>
      <c r="O108" s="14">
        <f t="shared" ref="O108:O131" si="25">A108</f>
        <v>45925.765127314815</v>
      </c>
      <c r="P108" s="19">
        <f t="shared" ref="P108:P131" si="26">O108+(5/24)</f>
        <v>45925.973460648151</v>
      </c>
      <c r="Q108" s="20" t="str">
        <f t="shared" ref="Q108:Q131" si="27">TEXT(P108,"dd/mm/yyyy")</f>
        <v>25/09/2025</v>
      </c>
      <c r="R108" s="13" t="str">
        <f t="shared" ref="R108:R131" si="28">TEXT(P108,"hh")</f>
        <v>23</v>
      </c>
      <c r="S108" s="13" t="str">
        <f t="shared" ref="S108:S131" si="29">TEXT(P108,"ddd")</f>
        <v>Thu</v>
      </c>
    </row>
    <row r="109" spans="1:19" x14ac:dyDescent="0.25">
      <c r="A109" s="81">
        <v>45925.767175925925</v>
      </c>
      <c r="B109" s="82">
        <v>189256035</v>
      </c>
      <c r="C109" s="83" t="s">
        <v>103</v>
      </c>
      <c r="D109" s="83" t="s">
        <v>37</v>
      </c>
      <c r="E109" s="83" t="s">
        <v>45</v>
      </c>
      <c r="F109" s="83" t="s">
        <v>104</v>
      </c>
      <c r="G109" s="84">
        <v>3733.29</v>
      </c>
      <c r="H109" s="82">
        <v>177534612</v>
      </c>
      <c r="I109" s="84">
        <v>0</v>
      </c>
      <c r="J109" s="84">
        <v>0</v>
      </c>
      <c r="K109" s="84">
        <v>0</v>
      </c>
      <c r="L109" s="84">
        <v>-0.3</v>
      </c>
      <c r="M109" s="84">
        <v>20.149999999999999</v>
      </c>
      <c r="N109" s="83" t="s">
        <v>238</v>
      </c>
      <c r="O109" s="14">
        <f t="shared" si="25"/>
        <v>45925.767175925925</v>
      </c>
      <c r="P109" s="19">
        <f t="shared" si="26"/>
        <v>45925.97550925926</v>
      </c>
      <c r="Q109" s="20" t="str">
        <f t="shared" si="27"/>
        <v>25/09/2025</v>
      </c>
      <c r="R109" s="13" t="str">
        <f t="shared" si="28"/>
        <v>23</v>
      </c>
      <c r="S109" s="13" t="str">
        <f t="shared" si="29"/>
        <v>Thu</v>
      </c>
    </row>
    <row r="110" spans="1:19" x14ac:dyDescent="0.25">
      <c r="A110" s="77">
        <v>45925.779537037037</v>
      </c>
      <c r="B110" s="78">
        <v>189263184</v>
      </c>
      <c r="C110" s="79" t="s">
        <v>103</v>
      </c>
      <c r="D110" s="79" t="s">
        <v>36</v>
      </c>
      <c r="E110" s="79" t="s">
        <v>44</v>
      </c>
      <c r="F110" s="79" t="s">
        <v>104</v>
      </c>
      <c r="G110" s="80">
        <v>3734.9</v>
      </c>
      <c r="H110" s="78">
        <v>177541507</v>
      </c>
      <c r="I110" s="80">
        <v>0</v>
      </c>
      <c r="J110" s="80">
        <v>0</v>
      </c>
      <c r="K110" s="80">
        <v>0</v>
      </c>
      <c r="L110" s="80">
        <v>0</v>
      </c>
      <c r="M110" s="80">
        <v>20.149999999999999</v>
      </c>
      <c r="N110" s="79" t="s">
        <v>239</v>
      </c>
      <c r="O110" s="14">
        <f t="shared" si="25"/>
        <v>45925.779537037037</v>
      </c>
      <c r="P110" s="19">
        <f t="shared" si="26"/>
        <v>45925.987870370373</v>
      </c>
      <c r="Q110" s="20" t="str">
        <f t="shared" si="27"/>
        <v>25/09/2025</v>
      </c>
      <c r="R110" s="13" t="str">
        <f t="shared" si="28"/>
        <v>23</v>
      </c>
      <c r="S110" s="13" t="str">
        <f t="shared" si="29"/>
        <v>Thu</v>
      </c>
    </row>
    <row r="111" spans="1:19" x14ac:dyDescent="0.25">
      <c r="A111" s="81">
        <v>45925.782256944447</v>
      </c>
      <c r="B111" s="82">
        <v>189264645</v>
      </c>
      <c r="C111" s="83" t="s">
        <v>103</v>
      </c>
      <c r="D111" s="83" t="s">
        <v>36</v>
      </c>
      <c r="E111" s="83" t="s">
        <v>44</v>
      </c>
      <c r="F111" s="83" t="s">
        <v>104</v>
      </c>
      <c r="G111" s="84">
        <v>3734.98</v>
      </c>
      <c r="H111" s="82">
        <v>177542901</v>
      </c>
      <c r="I111" s="84">
        <v>0</v>
      </c>
      <c r="J111" s="84">
        <v>0</v>
      </c>
      <c r="K111" s="84">
        <v>0</v>
      </c>
      <c r="L111" s="84">
        <v>0</v>
      </c>
      <c r="M111" s="84">
        <v>20.149999999999999</v>
      </c>
      <c r="N111" s="83" t="s">
        <v>93</v>
      </c>
      <c r="O111" s="14">
        <f t="shared" si="25"/>
        <v>45925.782256944447</v>
      </c>
      <c r="P111" s="19">
        <f t="shared" si="26"/>
        <v>45925.990590277783</v>
      </c>
      <c r="Q111" s="20" t="str">
        <f t="shared" si="27"/>
        <v>25/09/2025</v>
      </c>
      <c r="R111" s="13" t="str">
        <f t="shared" si="28"/>
        <v>23</v>
      </c>
      <c r="S111" s="13" t="str">
        <f t="shared" si="29"/>
        <v>Thu</v>
      </c>
    </row>
    <row r="112" spans="1:19" x14ac:dyDescent="0.25">
      <c r="A112" s="77">
        <v>45925.797037037039</v>
      </c>
      <c r="B112" s="78">
        <v>189269830</v>
      </c>
      <c r="C112" s="79" t="s">
        <v>103</v>
      </c>
      <c r="D112" s="79" t="s">
        <v>37</v>
      </c>
      <c r="E112" s="79" t="s">
        <v>45</v>
      </c>
      <c r="F112" s="79" t="s">
        <v>104</v>
      </c>
      <c r="G112" s="80">
        <v>3738.48</v>
      </c>
      <c r="H112" s="78">
        <v>177547865</v>
      </c>
      <c r="I112" s="80">
        <v>0</v>
      </c>
      <c r="J112" s="80">
        <v>0</v>
      </c>
      <c r="K112" s="80">
        <v>0</v>
      </c>
      <c r="L112" s="80">
        <v>0.35</v>
      </c>
      <c r="M112" s="80">
        <v>20.5</v>
      </c>
      <c r="N112" s="79" t="s">
        <v>240</v>
      </c>
      <c r="O112" s="14">
        <f t="shared" si="25"/>
        <v>45925.797037037039</v>
      </c>
      <c r="P112" s="19">
        <f t="shared" si="26"/>
        <v>45926.005370370374</v>
      </c>
      <c r="Q112" s="20" t="str">
        <f t="shared" si="27"/>
        <v>26/09/2025</v>
      </c>
      <c r="R112" s="13" t="str">
        <f t="shared" si="28"/>
        <v>00</v>
      </c>
      <c r="S112" s="13" t="str">
        <f t="shared" si="29"/>
        <v>Fri</v>
      </c>
    </row>
    <row r="113" spans="1:19" x14ac:dyDescent="0.25">
      <c r="A113" s="81">
        <v>45925.797615740739</v>
      </c>
      <c r="B113" s="82">
        <v>189270457</v>
      </c>
      <c r="C113" s="83" t="s">
        <v>103</v>
      </c>
      <c r="D113" s="83" t="s">
        <v>36</v>
      </c>
      <c r="E113" s="83" t="s">
        <v>44</v>
      </c>
      <c r="F113" s="83" t="s">
        <v>104</v>
      </c>
      <c r="G113" s="84">
        <v>3739.78</v>
      </c>
      <c r="H113" s="82">
        <v>177548439</v>
      </c>
      <c r="I113" s="84">
        <v>0</v>
      </c>
      <c r="J113" s="84">
        <v>0</v>
      </c>
      <c r="K113" s="84">
        <v>0</v>
      </c>
      <c r="L113" s="84">
        <v>0</v>
      </c>
      <c r="M113" s="84">
        <v>20.5</v>
      </c>
      <c r="N113" s="83" t="s">
        <v>239</v>
      </c>
      <c r="O113" s="14">
        <f t="shared" si="25"/>
        <v>45925.797615740739</v>
      </c>
      <c r="P113" s="19">
        <f t="shared" si="26"/>
        <v>45926.005949074075</v>
      </c>
      <c r="Q113" s="20" t="str">
        <f t="shared" si="27"/>
        <v>26/09/2025</v>
      </c>
      <c r="R113" s="13" t="str">
        <f t="shared" si="28"/>
        <v>00</v>
      </c>
      <c r="S113" s="13" t="str">
        <f t="shared" si="29"/>
        <v>Fri</v>
      </c>
    </row>
    <row r="114" spans="1:19" x14ac:dyDescent="0.25">
      <c r="A114" s="77">
        <v>45925.799189814818</v>
      </c>
      <c r="B114" s="78">
        <v>189271941</v>
      </c>
      <c r="C114" s="79" t="s">
        <v>103</v>
      </c>
      <c r="D114" s="79" t="s">
        <v>36</v>
      </c>
      <c r="E114" s="79" t="s">
        <v>44</v>
      </c>
      <c r="F114" s="79" t="s">
        <v>104</v>
      </c>
      <c r="G114" s="80">
        <v>3741.2</v>
      </c>
      <c r="H114" s="78">
        <v>177549802</v>
      </c>
      <c r="I114" s="80">
        <v>0</v>
      </c>
      <c r="J114" s="80">
        <v>0</v>
      </c>
      <c r="K114" s="80">
        <v>0</v>
      </c>
      <c r="L114" s="80">
        <v>0</v>
      </c>
      <c r="M114" s="80">
        <v>20.5</v>
      </c>
      <c r="N114" s="79" t="s">
        <v>239</v>
      </c>
      <c r="O114" s="14">
        <f t="shared" si="25"/>
        <v>45925.799189814818</v>
      </c>
      <c r="P114" s="19">
        <f t="shared" si="26"/>
        <v>45926.007523148153</v>
      </c>
      <c r="Q114" s="20" t="str">
        <f t="shared" si="27"/>
        <v>26/09/2025</v>
      </c>
      <c r="R114" s="13" t="str">
        <f t="shared" si="28"/>
        <v>00</v>
      </c>
      <c r="S114" s="13" t="str">
        <f t="shared" si="29"/>
        <v>Fri</v>
      </c>
    </row>
    <row r="115" spans="1:19" x14ac:dyDescent="0.25">
      <c r="A115" s="81">
        <v>45925.802662037036</v>
      </c>
      <c r="B115" s="82">
        <v>189274253</v>
      </c>
      <c r="C115" s="83" t="s">
        <v>103</v>
      </c>
      <c r="D115" s="83" t="s">
        <v>37</v>
      </c>
      <c r="E115" s="83" t="s">
        <v>45</v>
      </c>
      <c r="F115" s="83" t="s">
        <v>104</v>
      </c>
      <c r="G115" s="84">
        <v>3741.7</v>
      </c>
      <c r="H115" s="82">
        <v>177551905</v>
      </c>
      <c r="I115" s="84">
        <v>0</v>
      </c>
      <c r="J115" s="84">
        <v>0</v>
      </c>
      <c r="K115" s="84">
        <v>0</v>
      </c>
      <c r="L115" s="84">
        <v>0.68</v>
      </c>
      <c r="M115" s="84">
        <v>21.18</v>
      </c>
      <c r="N115" s="83"/>
      <c r="O115" s="14">
        <f t="shared" si="25"/>
        <v>45925.802662037036</v>
      </c>
      <c r="P115" s="19">
        <f t="shared" si="26"/>
        <v>45926.010995370372</v>
      </c>
      <c r="Q115" s="20" t="str">
        <f t="shared" si="27"/>
        <v>26/09/2025</v>
      </c>
      <c r="R115" s="13" t="str">
        <f t="shared" si="28"/>
        <v>00</v>
      </c>
      <c r="S115" s="13" t="str">
        <f t="shared" si="29"/>
        <v>Fri</v>
      </c>
    </row>
    <row r="116" spans="1:19" x14ac:dyDescent="0.25">
      <c r="A116" s="77">
        <v>45925.802858796298</v>
      </c>
      <c r="B116" s="78">
        <v>189274393</v>
      </c>
      <c r="C116" s="79" t="s">
        <v>103</v>
      </c>
      <c r="D116" s="79" t="s">
        <v>36</v>
      </c>
      <c r="E116" s="79" t="s">
        <v>44</v>
      </c>
      <c r="F116" s="79" t="s">
        <v>104</v>
      </c>
      <c r="G116" s="80">
        <v>3741.1</v>
      </c>
      <c r="H116" s="78">
        <v>177552038</v>
      </c>
      <c r="I116" s="80">
        <v>0</v>
      </c>
      <c r="J116" s="80">
        <v>0</v>
      </c>
      <c r="K116" s="80">
        <v>0</v>
      </c>
      <c r="L116" s="80">
        <v>0</v>
      </c>
      <c r="M116" s="80">
        <v>21.18</v>
      </c>
      <c r="N116" s="79" t="s">
        <v>93</v>
      </c>
      <c r="O116" s="14">
        <f t="shared" si="25"/>
        <v>45925.802858796298</v>
      </c>
      <c r="P116" s="19">
        <f t="shared" si="26"/>
        <v>45926.011192129634</v>
      </c>
      <c r="Q116" s="20" t="str">
        <f t="shared" si="27"/>
        <v>26/09/2025</v>
      </c>
      <c r="R116" s="13" t="str">
        <f t="shared" si="28"/>
        <v>00</v>
      </c>
      <c r="S116" s="13" t="str">
        <f t="shared" si="29"/>
        <v>Fri</v>
      </c>
    </row>
    <row r="117" spans="1:19" x14ac:dyDescent="0.25">
      <c r="A117" s="81">
        <v>45925.803171296298</v>
      </c>
      <c r="B117" s="82">
        <v>189274709</v>
      </c>
      <c r="C117" s="83" t="s">
        <v>103</v>
      </c>
      <c r="D117" s="83" t="s">
        <v>37</v>
      </c>
      <c r="E117" s="83" t="s">
        <v>45</v>
      </c>
      <c r="F117" s="83" t="s">
        <v>104</v>
      </c>
      <c r="G117" s="84">
        <v>3739.86</v>
      </c>
      <c r="H117" s="82">
        <v>177552345</v>
      </c>
      <c r="I117" s="84">
        <v>0</v>
      </c>
      <c r="J117" s="84">
        <v>0</v>
      </c>
      <c r="K117" s="84">
        <v>0</v>
      </c>
      <c r="L117" s="84">
        <v>0.01</v>
      </c>
      <c r="M117" s="84">
        <v>21.19</v>
      </c>
      <c r="N117" s="83" t="s">
        <v>241</v>
      </c>
      <c r="O117" s="14">
        <f t="shared" si="25"/>
        <v>45925.803171296298</v>
      </c>
      <c r="P117" s="19">
        <f t="shared" si="26"/>
        <v>45926.011504629634</v>
      </c>
      <c r="Q117" s="20" t="str">
        <f t="shared" si="27"/>
        <v>26/09/2025</v>
      </c>
      <c r="R117" s="13" t="str">
        <f t="shared" si="28"/>
        <v>00</v>
      </c>
      <c r="S117" s="13" t="str">
        <f t="shared" si="29"/>
        <v>Fri</v>
      </c>
    </row>
    <row r="118" spans="1:19" x14ac:dyDescent="0.25">
      <c r="A118" s="77">
        <v>45925.806875000002</v>
      </c>
      <c r="B118" s="78">
        <v>189276299</v>
      </c>
      <c r="C118" s="79" t="s">
        <v>103</v>
      </c>
      <c r="D118" s="79" t="s">
        <v>37</v>
      </c>
      <c r="E118" s="79" t="s">
        <v>45</v>
      </c>
      <c r="F118" s="79" t="s">
        <v>104</v>
      </c>
      <c r="G118" s="80">
        <v>3738.87</v>
      </c>
      <c r="H118" s="78">
        <v>177553849</v>
      </c>
      <c r="I118" s="80">
        <v>0</v>
      </c>
      <c r="J118" s="80">
        <v>0</v>
      </c>
      <c r="K118" s="80">
        <v>0</v>
      </c>
      <c r="L118" s="80">
        <v>-0.23</v>
      </c>
      <c r="M118" s="80">
        <v>20.96</v>
      </c>
      <c r="N118" s="79"/>
      <c r="O118" s="14">
        <f t="shared" si="25"/>
        <v>45925.806875000002</v>
      </c>
      <c r="P118" s="19">
        <f t="shared" si="26"/>
        <v>45926.015208333338</v>
      </c>
      <c r="Q118" s="20" t="str">
        <f t="shared" si="27"/>
        <v>26/09/2025</v>
      </c>
      <c r="R118" s="13" t="str">
        <f t="shared" si="28"/>
        <v>00</v>
      </c>
      <c r="S118" s="13" t="str">
        <f t="shared" si="29"/>
        <v>Fri</v>
      </c>
    </row>
    <row r="119" spans="1:19" x14ac:dyDescent="0.25">
      <c r="A119" s="81">
        <v>45925.806956018518</v>
      </c>
      <c r="B119" s="82">
        <v>189276344</v>
      </c>
      <c r="C119" s="83" t="s">
        <v>103</v>
      </c>
      <c r="D119" s="83" t="s">
        <v>37</v>
      </c>
      <c r="E119" s="83" t="s">
        <v>45</v>
      </c>
      <c r="F119" s="83" t="s">
        <v>104</v>
      </c>
      <c r="G119" s="84">
        <v>3738.91</v>
      </c>
      <c r="H119" s="82">
        <v>177553891</v>
      </c>
      <c r="I119" s="84">
        <v>0</v>
      </c>
      <c r="J119" s="84">
        <v>0</v>
      </c>
      <c r="K119" s="84">
        <v>0</v>
      </c>
      <c r="L119" s="84">
        <v>-0.22</v>
      </c>
      <c r="M119" s="84">
        <v>20.74</v>
      </c>
      <c r="N119" s="83"/>
      <c r="O119" s="14">
        <f t="shared" si="25"/>
        <v>45925.806956018518</v>
      </c>
      <c r="P119" s="19">
        <f t="shared" si="26"/>
        <v>45926.015289351853</v>
      </c>
      <c r="Q119" s="20" t="str">
        <f t="shared" si="27"/>
        <v>26/09/2025</v>
      </c>
      <c r="R119" s="13" t="str">
        <f t="shared" si="28"/>
        <v>00</v>
      </c>
      <c r="S119" s="13" t="str">
        <f t="shared" si="29"/>
        <v>Fri</v>
      </c>
    </row>
    <row r="120" spans="1:19" x14ac:dyDescent="0.25">
      <c r="A120" s="77">
        <v>45925.807326388887</v>
      </c>
      <c r="B120" s="78">
        <v>189276638</v>
      </c>
      <c r="C120" s="79" t="s">
        <v>103</v>
      </c>
      <c r="D120" s="79" t="s">
        <v>37</v>
      </c>
      <c r="E120" s="79" t="s">
        <v>44</v>
      </c>
      <c r="F120" s="79" t="s">
        <v>104</v>
      </c>
      <c r="G120" s="80">
        <v>3737.96</v>
      </c>
      <c r="H120" s="78">
        <v>177554174</v>
      </c>
      <c r="I120" s="80">
        <v>0</v>
      </c>
      <c r="J120" s="80">
        <v>0</v>
      </c>
      <c r="K120" s="80">
        <v>0</v>
      </c>
      <c r="L120" s="80">
        <v>0</v>
      </c>
      <c r="M120" s="80">
        <v>20.74</v>
      </c>
      <c r="N120" s="79" t="s">
        <v>239</v>
      </c>
      <c r="O120" s="14">
        <f t="shared" si="25"/>
        <v>45925.807326388887</v>
      </c>
      <c r="P120" s="19">
        <f t="shared" si="26"/>
        <v>45926.015659722223</v>
      </c>
      <c r="Q120" s="20" t="str">
        <f t="shared" si="27"/>
        <v>26/09/2025</v>
      </c>
      <c r="R120" s="13" t="str">
        <f t="shared" si="28"/>
        <v>00</v>
      </c>
      <c r="S120" s="13" t="str">
        <f t="shared" si="29"/>
        <v>Fri</v>
      </c>
    </row>
    <row r="121" spans="1:19" x14ac:dyDescent="0.25">
      <c r="A121" s="81">
        <v>45925.810590277775</v>
      </c>
      <c r="B121" s="82">
        <v>189278865</v>
      </c>
      <c r="C121" s="83" t="s">
        <v>103</v>
      </c>
      <c r="D121" s="83" t="s">
        <v>36</v>
      </c>
      <c r="E121" s="83" t="s">
        <v>45</v>
      </c>
      <c r="F121" s="83" t="s">
        <v>104</v>
      </c>
      <c r="G121" s="84">
        <v>3737.17</v>
      </c>
      <c r="H121" s="82">
        <v>177556303</v>
      </c>
      <c r="I121" s="84">
        <v>0</v>
      </c>
      <c r="J121" s="84">
        <v>0</v>
      </c>
      <c r="K121" s="84">
        <v>0</v>
      </c>
      <c r="L121" s="84">
        <v>0.08</v>
      </c>
      <c r="M121" s="84">
        <v>20.82</v>
      </c>
      <c r="N121" s="83" t="s">
        <v>242</v>
      </c>
      <c r="O121" s="14">
        <f t="shared" si="25"/>
        <v>45925.810590277775</v>
      </c>
      <c r="P121" s="19">
        <f t="shared" si="26"/>
        <v>45926.018923611111</v>
      </c>
      <c r="Q121" s="20" t="str">
        <f t="shared" si="27"/>
        <v>26/09/2025</v>
      </c>
      <c r="R121" s="13" t="str">
        <f t="shared" si="28"/>
        <v>00</v>
      </c>
      <c r="S121" s="13" t="str">
        <f t="shared" si="29"/>
        <v>Fri</v>
      </c>
    </row>
    <row r="122" spans="1:19" x14ac:dyDescent="0.25">
      <c r="A122" s="77">
        <v>45925.811435185184</v>
      </c>
      <c r="B122" s="78">
        <v>189279242</v>
      </c>
      <c r="C122" s="79" t="s">
        <v>103</v>
      </c>
      <c r="D122" s="79" t="s">
        <v>36</v>
      </c>
      <c r="E122" s="79" t="s">
        <v>44</v>
      </c>
      <c r="F122" s="79" t="s">
        <v>104</v>
      </c>
      <c r="G122" s="80">
        <v>3737.72</v>
      </c>
      <c r="H122" s="78">
        <v>177556663</v>
      </c>
      <c r="I122" s="80">
        <v>0</v>
      </c>
      <c r="J122" s="80">
        <v>0</v>
      </c>
      <c r="K122" s="80">
        <v>0</v>
      </c>
      <c r="L122" s="80">
        <v>0</v>
      </c>
      <c r="M122" s="80">
        <v>20.82</v>
      </c>
      <c r="N122" s="79" t="s">
        <v>239</v>
      </c>
      <c r="O122" s="14">
        <f t="shared" si="25"/>
        <v>45925.811435185184</v>
      </c>
      <c r="P122" s="19">
        <f t="shared" si="26"/>
        <v>45926.019768518519</v>
      </c>
      <c r="Q122" s="20" t="str">
        <f t="shared" si="27"/>
        <v>26/09/2025</v>
      </c>
      <c r="R122" s="13" t="str">
        <f t="shared" si="28"/>
        <v>00</v>
      </c>
      <c r="S122" s="13" t="str">
        <f t="shared" si="29"/>
        <v>Fri</v>
      </c>
    </row>
    <row r="123" spans="1:19" x14ac:dyDescent="0.25">
      <c r="A123" s="81">
        <v>45925.813831018517</v>
      </c>
      <c r="B123" s="82">
        <v>189280236</v>
      </c>
      <c r="C123" s="83" t="s">
        <v>103</v>
      </c>
      <c r="D123" s="83" t="s">
        <v>37</v>
      </c>
      <c r="E123" s="83" t="s">
        <v>45</v>
      </c>
      <c r="F123" s="83" t="s">
        <v>104</v>
      </c>
      <c r="G123" s="84">
        <v>3735.6</v>
      </c>
      <c r="H123" s="82">
        <v>177557630</v>
      </c>
      <c r="I123" s="84">
        <v>0</v>
      </c>
      <c r="J123" s="84">
        <v>0</v>
      </c>
      <c r="K123" s="84">
        <v>0</v>
      </c>
      <c r="L123" s="84">
        <v>-0.21</v>
      </c>
      <c r="M123" s="84">
        <v>20.61</v>
      </c>
      <c r="N123" s="83" t="s">
        <v>243</v>
      </c>
      <c r="O123" s="14">
        <f t="shared" si="25"/>
        <v>45925.813831018517</v>
      </c>
      <c r="P123" s="19">
        <f t="shared" si="26"/>
        <v>45926.022164351853</v>
      </c>
      <c r="Q123" s="20" t="str">
        <f t="shared" si="27"/>
        <v>26/09/2025</v>
      </c>
      <c r="R123" s="13" t="str">
        <f t="shared" si="28"/>
        <v>00</v>
      </c>
      <c r="S123" s="13" t="str">
        <f t="shared" si="29"/>
        <v>Fri</v>
      </c>
    </row>
    <row r="124" spans="1:19" x14ac:dyDescent="0.25">
      <c r="A124" s="77">
        <v>45925.814155092594</v>
      </c>
      <c r="B124" s="78">
        <v>189280303</v>
      </c>
      <c r="C124" s="79" t="s">
        <v>103</v>
      </c>
      <c r="D124" s="79" t="s">
        <v>37</v>
      </c>
      <c r="E124" s="79" t="s">
        <v>44</v>
      </c>
      <c r="F124" s="79" t="s">
        <v>104</v>
      </c>
      <c r="G124" s="80">
        <v>3735.74</v>
      </c>
      <c r="H124" s="78">
        <v>177557698</v>
      </c>
      <c r="I124" s="80">
        <v>0</v>
      </c>
      <c r="J124" s="80">
        <v>0</v>
      </c>
      <c r="K124" s="80">
        <v>0</v>
      </c>
      <c r="L124" s="80">
        <v>0</v>
      </c>
      <c r="M124" s="80">
        <v>20.61</v>
      </c>
      <c r="N124" s="79" t="s">
        <v>239</v>
      </c>
      <c r="O124" s="14">
        <f t="shared" si="25"/>
        <v>45925.814155092594</v>
      </c>
      <c r="P124" s="19">
        <f t="shared" si="26"/>
        <v>45926.02248842593</v>
      </c>
      <c r="Q124" s="20" t="str">
        <f t="shared" si="27"/>
        <v>26/09/2025</v>
      </c>
      <c r="R124" s="13" t="str">
        <f t="shared" si="28"/>
        <v>00</v>
      </c>
      <c r="S124" s="13" t="str">
        <f t="shared" si="29"/>
        <v>Fri</v>
      </c>
    </row>
    <row r="125" spans="1:19" x14ac:dyDescent="0.25">
      <c r="A125" s="81">
        <v>45925.818136574075</v>
      </c>
      <c r="B125" s="82">
        <v>189281325</v>
      </c>
      <c r="C125" s="83" t="s">
        <v>103</v>
      </c>
      <c r="D125" s="83" t="s">
        <v>37</v>
      </c>
      <c r="E125" s="83" t="s">
        <v>44</v>
      </c>
      <c r="F125" s="83" t="s">
        <v>104</v>
      </c>
      <c r="G125" s="84">
        <v>3735.73</v>
      </c>
      <c r="H125" s="82">
        <v>177558685</v>
      </c>
      <c r="I125" s="84">
        <v>0</v>
      </c>
      <c r="J125" s="84">
        <v>0</v>
      </c>
      <c r="K125" s="84">
        <v>0</v>
      </c>
      <c r="L125" s="84">
        <v>0</v>
      </c>
      <c r="M125" s="84">
        <v>20.61</v>
      </c>
      <c r="N125" s="83" t="s">
        <v>93</v>
      </c>
      <c r="O125" s="14">
        <f t="shared" si="25"/>
        <v>45925.818136574075</v>
      </c>
      <c r="P125" s="19">
        <f t="shared" si="26"/>
        <v>45926.026469907411</v>
      </c>
      <c r="Q125" s="20" t="str">
        <f t="shared" si="27"/>
        <v>26/09/2025</v>
      </c>
      <c r="R125" s="13" t="str">
        <f t="shared" si="28"/>
        <v>00</v>
      </c>
      <c r="S125" s="13" t="str">
        <f t="shared" si="29"/>
        <v>Fri</v>
      </c>
    </row>
    <row r="126" spans="1:19" x14ac:dyDescent="0.25">
      <c r="A126" s="77">
        <v>45925.818958333337</v>
      </c>
      <c r="B126" s="78">
        <v>189281636</v>
      </c>
      <c r="C126" s="79" t="s">
        <v>103</v>
      </c>
      <c r="D126" s="79" t="s">
        <v>36</v>
      </c>
      <c r="E126" s="79" t="s">
        <v>45</v>
      </c>
      <c r="F126" s="79" t="s">
        <v>104</v>
      </c>
      <c r="G126" s="80">
        <v>3736.88</v>
      </c>
      <c r="H126" s="78">
        <v>177558993</v>
      </c>
      <c r="I126" s="80">
        <v>0</v>
      </c>
      <c r="J126" s="80">
        <v>0</v>
      </c>
      <c r="K126" s="80">
        <v>0</v>
      </c>
      <c r="L126" s="80">
        <v>-0.11</v>
      </c>
      <c r="M126" s="80">
        <v>20.5</v>
      </c>
      <c r="N126" s="79" t="s">
        <v>244</v>
      </c>
      <c r="O126" s="14">
        <f t="shared" si="25"/>
        <v>45925.818958333337</v>
      </c>
      <c r="P126" s="19">
        <f t="shared" si="26"/>
        <v>45926.027291666673</v>
      </c>
      <c r="Q126" s="20" t="str">
        <f t="shared" si="27"/>
        <v>26/09/2025</v>
      </c>
      <c r="R126" s="13" t="str">
        <f t="shared" si="28"/>
        <v>00</v>
      </c>
      <c r="S126" s="13" t="str">
        <f t="shared" si="29"/>
        <v>Fri</v>
      </c>
    </row>
    <row r="127" spans="1:19" x14ac:dyDescent="0.25">
      <c r="A127" s="81">
        <v>45925.836180555554</v>
      </c>
      <c r="B127" s="82">
        <v>189287582</v>
      </c>
      <c r="C127" s="83" t="s">
        <v>103</v>
      </c>
      <c r="D127" s="83" t="s">
        <v>37</v>
      </c>
      <c r="E127" s="83" t="s">
        <v>44</v>
      </c>
      <c r="F127" s="83" t="s">
        <v>104</v>
      </c>
      <c r="G127" s="84">
        <v>3733.49</v>
      </c>
      <c r="H127" s="82">
        <v>177564707</v>
      </c>
      <c r="I127" s="84">
        <v>0</v>
      </c>
      <c r="J127" s="84">
        <v>0</v>
      </c>
      <c r="K127" s="84">
        <v>0</v>
      </c>
      <c r="L127" s="84">
        <v>0</v>
      </c>
      <c r="M127" s="84">
        <v>20.5</v>
      </c>
      <c r="N127" s="83" t="s">
        <v>118</v>
      </c>
      <c r="O127" s="14">
        <f t="shared" si="25"/>
        <v>45925.836180555554</v>
      </c>
      <c r="P127" s="19">
        <f t="shared" si="26"/>
        <v>45926.04451388889</v>
      </c>
      <c r="Q127" s="20" t="str">
        <f t="shared" si="27"/>
        <v>26/09/2025</v>
      </c>
      <c r="R127" s="13" t="str">
        <f t="shared" si="28"/>
        <v>01</v>
      </c>
      <c r="S127" s="13" t="str">
        <f t="shared" si="29"/>
        <v>Fri</v>
      </c>
    </row>
    <row r="128" spans="1:19" x14ac:dyDescent="0.25">
      <c r="A128" s="77">
        <v>45925.837858796294</v>
      </c>
      <c r="B128" s="78">
        <v>189288141</v>
      </c>
      <c r="C128" s="79" t="s">
        <v>103</v>
      </c>
      <c r="D128" s="79" t="s">
        <v>36</v>
      </c>
      <c r="E128" s="79" t="s">
        <v>45</v>
      </c>
      <c r="F128" s="79" t="s">
        <v>104</v>
      </c>
      <c r="G128" s="80">
        <v>3733.42</v>
      </c>
      <c r="H128" s="78">
        <v>177565259</v>
      </c>
      <c r="I128" s="80">
        <v>0</v>
      </c>
      <c r="J128" s="80">
        <v>0</v>
      </c>
      <c r="K128" s="80">
        <v>0</v>
      </c>
      <c r="L128" s="80">
        <v>0.23</v>
      </c>
      <c r="M128" s="80">
        <v>20.73</v>
      </c>
      <c r="N128" s="79" t="s">
        <v>245</v>
      </c>
      <c r="O128" s="14">
        <f t="shared" si="25"/>
        <v>45925.837858796294</v>
      </c>
      <c r="P128" s="19">
        <f t="shared" si="26"/>
        <v>45926.04619212963</v>
      </c>
      <c r="Q128" s="20" t="str">
        <f t="shared" si="27"/>
        <v>26/09/2025</v>
      </c>
      <c r="R128" s="13" t="str">
        <f t="shared" si="28"/>
        <v>01</v>
      </c>
      <c r="S128" s="13" t="str">
        <f t="shared" si="29"/>
        <v>Fri</v>
      </c>
    </row>
    <row r="129" spans="1:19" x14ac:dyDescent="0.25">
      <c r="A129" s="81">
        <v>45925.837916666664</v>
      </c>
      <c r="B129" s="82">
        <v>189288155</v>
      </c>
      <c r="C129" s="83" t="s">
        <v>103</v>
      </c>
      <c r="D129" s="83" t="s">
        <v>37</v>
      </c>
      <c r="E129" s="83" t="s">
        <v>44</v>
      </c>
      <c r="F129" s="83" t="s">
        <v>104</v>
      </c>
      <c r="G129" s="84">
        <v>3733.37</v>
      </c>
      <c r="H129" s="82">
        <v>177565274</v>
      </c>
      <c r="I129" s="84">
        <v>0</v>
      </c>
      <c r="J129" s="84">
        <v>0</v>
      </c>
      <c r="K129" s="84">
        <v>0</v>
      </c>
      <c r="L129" s="84">
        <v>0</v>
      </c>
      <c r="M129" s="84">
        <v>20.73</v>
      </c>
      <c r="N129" s="83" t="s">
        <v>93</v>
      </c>
      <c r="O129" s="14">
        <f t="shared" si="25"/>
        <v>45925.837916666664</v>
      </c>
      <c r="P129" s="19">
        <f t="shared" si="26"/>
        <v>45926.046249999999</v>
      </c>
      <c r="Q129" s="20" t="str">
        <f t="shared" si="27"/>
        <v>26/09/2025</v>
      </c>
      <c r="R129" s="13" t="str">
        <f t="shared" si="28"/>
        <v>01</v>
      </c>
      <c r="S129" s="13" t="str">
        <f t="shared" si="29"/>
        <v>Fri</v>
      </c>
    </row>
    <row r="130" spans="1:19" x14ac:dyDescent="0.25">
      <c r="A130" s="77">
        <v>45925.841053240743</v>
      </c>
      <c r="B130" s="78">
        <v>189289411</v>
      </c>
      <c r="C130" s="79" t="s">
        <v>103</v>
      </c>
      <c r="D130" s="79" t="s">
        <v>36</v>
      </c>
      <c r="E130" s="79" t="s">
        <v>45</v>
      </c>
      <c r="F130" s="79" t="s">
        <v>104</v>
      </c>
      <c r="G130" s="80">
        <v>3736.18</v>
      </c>
      <c r="H130" s="78">
        <v>177566485</v>
      </c>
      <c r="I130" s="80">
        <v>0</v>
      </c>
      <c r="J130" s="80">
        <v>0</v>
      </c>
      <c r="K130" s="80">
        <v>0</v>
      </c>
      <c r="L130" s="80">
        <v>-0.28000000000000003</v>
      </c>
      <c r="M130" s="80">
        <v>20.45</v>
      </c>
      <c r="N130" s="79" t="s">
        <v>246</v>
      </c>
      <c r="O130" s="14">
        <f t="shared" si="25"/>
        <v>45925.841053240743</v>
      </c>
      <c r="P130" s="19">
        <f t="shared" si="26"/>
        <v>45926.049386574079</v>
      </c>
      <c r="Q130" s="20" t="str">
        <f t="shared" si="27"/>
        <v>26/09/2025</v>
      </c>
      <c r="R130" s="13" t="str">
        <f t="shared" si="28"/>
        <v>01</v>
      </c>
      <c r="S130" s="13" t="str">
        <f t="shared" si="29"/>
        <v>Fri</v>
      </c>
    </row>
    <row r="131" spans="1:19" x14ac:dyDescent="0.25">
      <c r="A131" s="81">
        <v>45925.841446759259</v>
      </c>
      <c r="B131" s="82">
        <v>189289692</v>
      </c>
      <c r="C131" s="83" t="s">
        <v>103</v>
      </c>
      <c r="D131" s="83" t="s">
        <v>36</v>
      </c>
      <c r="E131" s="83" t="s">
        <v>45</v>
      </c>
      <c r="F131" s="83" t="s">
        <v>104</v>
      </c>
      <c r="G131" s="84">
        <v>3736.85</v>
      </c>
      <c r="H131" s="82">
        <v>177566729</v>
      </c>
      <c r="I131" s="84">
        <v>0</v>
      </c>
      <c r="J131" s="84">
        <v>0</v>
      </c>
      <c r="K131" s="84">
        <v>0</v>
      </c>
      <c r="L131" s="84">
        <v>-0.34</v>
      </c>
      <c r="M131" s="84">
        <v>20.11</v>
      </c>
      <c r="N131" s="83" t="s">
        <v>247</v>
      </c>
      <c r="O131" s="14">
        <f t="shared" si="25"/>
        <v>45925.841446759259</v>
      </c>
      <c r="P131" s="19">
        <f t="shared" si="26"/>
        <v>45926.049780092595</v>
      </c>
      <c r="Q131" s="20" t="str">
        <f t="shared" si="27"/>
        <v>26/09/2025</v>
      </c>
      <c r="R131" s="13" t="str">
        <f t="shared" si="28"/>
        <v>01</v>
      </c>
      <c r="S131" s="13" t="str">
        <f t="shared" si="29"/>
        <v>Fri</v>
      </c>
    </row>
    <row r="132" spans="1:19" x14ac:dyDescent="0.25">
      <c r="A132" s="77">
        <v>45925.846250000002</v>
      </c>
      <c r="B132" s="78">
        <v>189293819</v>
      </c>
      <c r="C132" s="79" t="s">
        <v>103</v>
      </c>
      <c r="D132" s="79" t="s">
        <v>36</v>
      </c>
      <c r="E132" s="79" t="s">
        <v>44</v>
      </c>
      <c r="F132" s="79" t="s">
        <v>104</v>
      </c>
      <c r="G132" s="80">
        <v>3741.63</v>
      </c>
      <c r="H132" s="78">
        <v>177570549</v>
      </c>
      <c r="I132" s="80">
        <v>0</v>
      </c>
      <c r="J132" s="80">
        <v>0</v>
      </c>
      <c r="K132" s="80">
        <v>0</v>
      </c>
      <c r="L132" s="80">
        <v>0</v>
      </c>
      <c r="M132" s="80">
        <v>20.11</v>
      </c>
      <c r="N132" s="79" t="s">
        <v>118</v>
      </c>
      <c r="O132" s="14">
        <f t="shared" ref="O132:O195" si="30">A132</f>
        <v>45925.846250000002</v>
      </c>
      <c r="P132" s="19">
        <f t="shared" ref="P132:P195" si="31">O132+(5/24)</f>
        <v>45926.054583333338</v>
      </c>
      <c r="Q132" s="20" t="str">
        <f t="shared" ref="Q132:Q195" si="32">TEXT(P132,"dd/mm/yyyy")</f>
        <v>26/09/2025</v>
      </c>
      <c r="R132" s="13" t="str">
        <f t="shared" ref="R132:R195" si="33">TEXT(P132,"hh")</f>
        <v>01</v>
      </c>
      <c r="S132" s="13" t="str">
        <f t="shared" ref="S132:S195" si="34">TEXT(P132,"ddd")</f>
        <v>Fri</v>
      </c>
    </row>
    <row r="133" spans="1:19" x14ac:dyDescent="0.25">
      <c r="A133" s="81">
        <v>45925.847175925926</v>
      </c>
      <c r="B133" s="82">
        <v>189294670</v>
      </c>
      <c r="C133" s="83" t="s">
        <v>103</v>
      </c>
      <c r="D133" s="83" t="s">
        <v>36</v>
      </c>
      <c r="E133" s="83" t="s">
        <v>44</v>
      </c>
      <c r="F133" s="83" t="s">
        <v>104</v>
      </c>
      <c r="G133" s="84">
        <v>3739.68</v>
      </c>
      <c r="H133" s="82">
        <v>177571380</v>
      </c>
      <c r="I133" s="84">
        <v>0</v>
      </c>
      <c r="J133" s="84">
        <v>0</v>
      </c>
      <c r="K133" s="84">
        <v>0</v>
      </c>
      <c r="L133" s="84">
        <v>0</v>
      </c>
      <c r="M133" s="84">
        <v>20.11</v>
      </c>
      <c r="N133" s="83" t="s">
        <v>93</v>
      </c>
      <c r="O133" s="14">
        <f t="shared" si="30"/>
        <v>45925.847175925926</v>
      </c>
      <c r="P133" s="19">
        <f t="shared" si="31"/>
        <v>45926.055509259262</v>
      </c>
      <c r="Q133" s="20" t="str">
        <f t="shared" si="32"/>
        <v>26/09/2025</v>
      </c>
      <c r="R133" s="13" t="str">
        <f t="shared" si="33"/>
        <v>01</v>
      </c>
      <c r="S133" s="13" t="str">
        <f t="shared" si="34"/>
        <v>Fri</v>
      </c>
    </row>
    <row r="134" spans="1:19" x14ac:dyDescent="0.25">
      <c r="A134" s="77">
        <v>45925.848946759259</v>
      </c>
      <c r="B134" s="78">
        <v>189296022</v>
      </c>
      <c r="C134" s="79" t="s">
        <v>103</v>
      </c>
      <c r="D134" s="79" t="s">
        <v>37</v>
      </c>
      <c r="E134" s="79" t="s">
        <v>45</v>
      </c>
      <c r="F134" s="79" t="s">
        <v>104</v>
      </c>
      <c r="G134" s="80">
        <v>3738.63</v>
      </c>
      <c r="H134" s="78">
        <v>177572609</v>
      </c>
      <c r="I134" s="80">
        <v>0</v>
      </c>
      <c r="J134" s="80">
        <v>0</v>
      </c>
      <c r="K134" s="80">
        <v>0</v>
      </c>
      <c r="L134" s="80">
        <v>-0.3</v>
      </c>
      <c r="M134" s="80">
        <v>19.809999999999999</v>
      </c>
      <c r="N134" s="79" t="s">
        <v>287</v>
      </c>
      <c r="O134" s="14">
        <f t="shared" si="30"/>
        <v>45925.848946759259</v>
      </c>
      <c r="P134" s="19">
        <f t="shared" si="31"/>
        <v>45926.057280092595</v>
      </c>
      <c r="Q134" s="20" t="str">
        <f t="shared" si="32"/>
        <v>26/09/2025</v>
      </c>
      <c r="R134" s="13" t="str">
        <f t="shared" si="33"/>
        <v>01</v>
      </c>
      <c r="S134" s="13" t="str">
        <f t="shared" si="34"/>
        <v>Fri</v>
      </c>
    </row>
    <row r="135" spans="1:19" x14ac:dyDescent="0.25">
      <c r="A135" s="81">
        <v>45925.855624999997</v>
      </c>
      <c r="B135" s="82">
        <v>189299869</v>
      </c>
      <c r="C135" s="83" t="s">
        <v>103</v>
      </c>
      <c r="D135" s="83" t="s">
        <v>36</v>
      </c>
      <c r="E135" s="83" t="s">
        <v>44</v>
      </c>
      <c r="F135" s="83" t="s">
        <v>104</v>
      </c>
      <c r="G135" s="84">
        <v>3741.63</v>
      </c>
      <c r="H135" s="82">
        <v>177576309</v>
      </c>
      <c r="I135" s="84">
        <v>0</v>
      </c>
      <c r="J135" s="84">
        <v>0</v>
      </c>
      <c r="K135" s="84">
        <v>0</v>
      </c>
      <c r="L135" s="84">
        <v>0</v>
      </c>
      <c r="M135" s="84">
        <v>19.809999999999999</v>
      </c>
      <c r="N135" s="83" t="s">
        <v>118</v>
      </c>
      <c r="O135" s="14">
        <f t="shared" si="30"/>
        <v>45925.855624999997</v>
      </c>
      <c r="P135" s="19">
        <f t="shared" si="31"/>
        <v>45926.063958333332</v>
      </c>
      <c r="Q135" s="20" t="str">
        <f t="shared" si="32"/>
        <v>26/09/2025</v>
      </c>
      <c r="R135" s="13" t="str">
        <f t="shared" si="33"/>
        <v>01</v>
      </c>
      <c r="S135" s="13" t="str">
        <f t="shared" si="34"/>
        <v>Fri</v>
      </c>
    </row>
    <row r="136" spans="1:19" x14ac:dyDescent="0.25">
      <c r="A136" s="77">
        <v>45925.857442129629</v>
      </c>
      <c r="B136" s="78">
        <v>189300670</v>
      </c>
      <c r="C136" s="79" t="s">
        <v>103</v>
      </c>
      <c r="D136" s="79" t="s">
        <v>37</v>
      </c>
      <c r="E136" s="79" t="s">
        <v>45</v>
      </c>
      <c r="F136" s="79" t="s">
        <v>104</v>
      </c>
      <c r="G136" s="80">
        <v>3738.44</v>
      </c>
      <c r="H136" s="78">
        <v>177577064</v>
      </c>
      <c r="I136" s="80">
        <v>0</v>
      </c>
      <c r="J136" s="80">
        <v>0</v>
      </c>
      <c r="K136" s="80">
        <v>0</v>
      </c>
      <c r="L136" s="80">
        <v>-0.32</v>
      </c>
      <c r="M136" s="80">
        <v>19.489999999999998</v>
      </c>
      <c r="N136" s="79" t="s">
        <v>288</v>
      </c>
      <c r="O136" s="14">
        <f t="shared" si="30"/>
        <v>45925.857442129629</v>
      </c>
      <c r="P136" s="19">
        <f t="shared" si="31"/>
        <v>45926.065775462965</v>
      </c>
      <c r="Q136" s="20" t="str">
        <f t="shared" si="32"/>
        <v>26/09/2025</v>
      </c>
      <c r="R136" s="13" t="str">
        <f t="shared" si="33"/>
        <v>01</v>
      </c>
      <c r="S136" s="13" t="str">
        <f t="shared" si="34"/>
        <v>Fri</v>
      </c>
    </row>
    <row r="137" spans="1:19" x14ac:dyDescent="0.25">
      <c r="A137" s="81">
        <v>45925.857708333337</v>
      </c>
      <c r="B137" s="82">
        <v>189300864</v>
      </c>
      <c r="C137" s="83" t="s">
        <v>103</v>
      </c>
      <c r="D137" s="83" t="s">
        <v>37</v>
      </c>
      <c r="E137" s="83" t="s">
        <v>44</v>
      </c>
      <c r="F137" s="83" t="s">
        <v>104</v>
      </c>
      <c r="G137" s="84">
        <v>3739.68</v>
      </c>
      <c r="H137" s="82">
        <v>177577252</v>
      </c>
      <c r="I137" s="84">
        <v>0</v>
      </c>
      <c r="J137" s="84">
        <v>0</v>
      </c>
      <c r="K137" s="84">
        <v>0</v>
      </c>
      <c r="L137" s="84">
        <v>0</v>
      </c>
      <c r="M137" s="84">
        <v>19.489999999999998</v>
      </c>
      <c r="N137" s="83" t="s">
        <v>118</v>
      </c>
      <c r="O137" s="14">
        <f t="shared" si="30"/>
        <v>45925.857708333337</v>
      </c>
      <c r="P137" s="19">
        <f t="shared" si="31"/>
        <v>45926.066041666672</v>
      </c>
      <c r="Q137" s="20" t="str">
        <f t="shared" si="32"/>
        <v>26/09/2025</v>
      </c>
      <c r="R137" s="13" t="str">
        <f t="shared" si="33"/>
        <v>01</v>
      </c>
      <c r="S137" s="13" t="str">
        <f t="shared" si="34"/>
        <v>Fri</v>
      </c>
    </row>
    <row r="138" spans="1:19" x14ac:dyDescent="0.25">
      <c r="A138" s="77">
        <v>45925.873240740744</v>
      </c>
      <c r="B138" s="78">
        <v>189304728</v>
      </c>
      <c r="C138" s="79" t="s">
        <v>103</v>
      </c>
      <c r="D138" s="79" t="s">
        <v>36</v>
      </c>
      <c r="E138" s="79" t="s">
        <v>45</v>
      </c>
      <c r="F138" s="79" t="s">
        <v>104</v>
      </c>
      <c r="G138" s="80">
        <v>3742.35</v>
      </c>
      <c r="H138" s="78">
        <v>177580875</v>
      </c>
      <c r="I138" s="80">
        <v>0</v>
      </c>
      <c r="J138" s="80">
        <v>0</v>
      </c>
      <c r="K138" s="80">
        <v>0</v>
      </c>
      <c r="L138" s="80">
        <v>-0.27</v>
      </c>
      <c r="M138" s="80">
        <v>19.22</v>
      </c>
      <c r="N138" s="79" t="s">
        <v>289</v>
      </c>
      <c r="O138" s="14">
        <f t="shared" si="30"/>
        <v>45925.873240740744</v>
      </c>
      <c r="P138" s="19">
        <f t="shared" si="31"/>
        <v>45926.08157407408</v>
      </c>
      <c r="Q138" s="20" t="str">
        <f t="shared" si="32"/>
        <v>26/09/2025</v>
      </c>
      <c r="R138" s="13" t="str">
        <f t="shared" si="33"/>
        <v>01</v>
      </c>
      <c r="S138" s="13" t="str">
        <f t="shared" si="34"/>
        <v>Fri</v>
      </c>
    </row>
    <row r="139" spans="1:19" x14ac:dyDescent="0.25">
      <c r="A139" s="81">
        <v>45925.873506944445</v>
      </c>
      <c r="B139" s="82">
        <v>189304999</v>
      </c>
      <c r="C139" s="83" t="s">
        <v>103</v>
      </c>
      <c r="D139" s="83" t="s">
        <v>37</v>
      </c>
      <c r="E139" s="83" t="s">
        <v>45</v>
      </c>
      <c r="F139" s="83" t="s">
        <v>104</v>
      </c>
      <c r="G139" s="84">
        <v>3743.27</v>
      </c>
      <c r="H139" s="82">
        <v>177581117</v>
      </c>
      <c r="I139" s="84">
        <v>0</v>
      </c>
      <c r="J139" s="84">
        <v>0</v>
      </c>
      <c r="K139" s="84">
        <v>0</v>
      </c>
      <c r="L139" s="84">
        <v>0.36</v>
      </c>
      <c r="M139" s="84">
        <v>19.579999999999998</v>
      </c>
      <c r="N139" s="83" t="s">
        <v>290</v>
      </c>
      <c r="O139" s="14">
        <f t="shared" si="30"/>
        <v>45925.873506944445</v>
      </c>
      <c r="P139" s="19">
        <f t="shared" si="31"/>
        <v>45926.08184027778</v>
      </c>
      <c r="Q139" s="20" t="str">
        <f t="shared" si="32"/>
        <v>26/09/2025</v>
      </c>
      <c r="R139" s="13" t="str">
        <f t="shared" si="33"/>
        <v>01</v>
      </c>
      <c r="S139" s="13" t="str">
        <f t="shared" si="34"/>
        <v>Fri</v>
      </c>
    </row>
    <row r="140" spans="1:19" x14ac:dyDescent="0.25">
      <c r="A140" s="77">
        <v>45925.874374999999</v>
      </c>
      <c r="B140" s="78">
        <v>189306121</v>
      </c>
      <c r="C140" s="79" t="s">
        <v>103</v>
      </c>
      <c r="D140" s="79" t="s">
        <v>36</v>
      </c>
      <c r="E140" s="79" t="s">
        <v>44</v>
      </c>
      <c r="F140" s="79" t="s">
        <v>104</v>
      </c>
      <c r="G140" s="80">
        <v>3742.62</v>
      </c>
      <c r="H140" s="78">
        <v>177582152</v>
      </c>
      <c r="I140" s="80">
        <v>0</v>
      </c>
      <c r="J140" s="80">
        <v>0</v>
      </c>
      <c r="K140" s="80">
        <v>0</v>
      </c>
      <c r="L140" s="80">
        <v>0</v>
      </c>
      <c r="M140" s="80">
        <v>19.579999999999998</v>
      </c>
      <c r="N140" s="79" t="s">
        <v>118</v>
      </c>
      <c r="O140" s="14">
        <f t="shared" si="30"/>
        <v>45925.874374999999</v>
      </c>
      <c r="P140" s="19">
        <f t="shared" si="31"/>
        <v>45926.082708333335</v>
      </c>
      <c r="Q140" s="20" t="str">
        <f t="shared" si="32"/>
        <v>26/09/2025</v>
      </c>
      <c r="R140" s="13" t="str">
        <f t="shared" si="33"/>
        <v>01</v>
      </c>
      <c r="S140" s="13" t="str">
        <f t="shared" si="34"/>
        <v>Fri</v>
      </c>
    </row>
    <row r="141" spans="1:19" x14ac:dyDescent="0.25">
      <c r="A141" s="81">
        <v>45925.877847222226</v>
      </c>
      <c r="B141" s="82">
        <v>189308239</v>
      </c>
      <c r="C141" s="83" t="s">
        <v>103</v>
      </c>
      <c r="D141" s="83" t="s">
        <v>36</v>
      </c>
      <c r="E141" s="83" t="s">
        <v>44</v>
      </c>
      <c r="F141" s="83" t="s">
        <v>104</v>
      </c>
      <c r="G141" s="84">
        <v>3742.72</v>
      </c>
      <c r="H141" s="82">
        <v>177584097</v>
      </c>
      <c r="I141" s="84">
        <v>0</v>
      </c>
      <c r="J141" s="84">
        <v>0</v>
      </c>
      <c r="K141" s="84">
        <v>0</v>
      </c>
      <c r="L141" s="84">
        <v>0</v>
      </c>
      <c r="M141" s="84">
        <v>19.579999999999998</v>
      </c>
      <c r="N141" s="83" t="s">
        <v>93</v>
      </c>
      <c r="O141" s="14">
        <f t="shared" si="30"/>
        <v>45925.877847222226</v>
      </c>
      <c r="P141" s="19">
        <f t="shared" si="31"/>
        <v>45926.086180555561</v>
      </c>
      <c r="Q141" s="20" t="str">
        <f t="shared" si="32"/>
        <v>26/09/2025</v>
      </c>
      <c r="R141" s="13" t="str">
        <f t="shared" si="33"/>
        <v>02</v>
      </c>
      <c r="S141" s="13" t="str">
        <f t="shared" si="34"/>
        <v>Fri</v>
      </c>
    </row>
    <row r="142" spans="1:19" x14ac:dyDescent="0.25">
      <c r="A142" s="77">
        <v>45925.882222222222</v>
      </c>
      <c r="B142" s="78">
        <v>189309893</v>
      </c>
      <c r="C142" s="79" t="s">
        <v>103</v>
      </c>
      <c r="D142" s="79" t="s">
        <v>37</v>
      </c>
      <c r="E142" s="79" t="s">
        <v>45</v>
      </c>
      <c r="F142" s="79" t="s">
        <v>104</v>
      </c>
      <c r="G142" s="80">
        <v>3739.68</v>
      </c>
      <c r="H142" s="78">
        <v>177585609</v>
      </c>
      <c r="I142" s="80">
        <v>0</v>
      </c>
      <c r="J142" s="80">
        <v>0</v>
      </c>
      <c r="K142" s="80">
        <v>0</v>
      </c>
      <c r="L142" s="80">
        <v>-0.3</v>
      </c>
      <c r="M142" s="80">
        <v>19.28</v>
      </c>
      <c r="N142" s="79" t="s">
        <v>291</v>
      </c>
      <c r="O142" s="14">
        <f t="shared" si="30"/>
        <v>45925.882222222222</v>
      </c>
      <c r="P142" s="19">
        <f t="shared" si="31"/>
        <v>45926.090555555558</v>
      </c>
      <c r="Q142" s="20" t="str">
        <f t="shared" si="32"/>
        <v>26/09/2025</v>
      </c>
      <c r="R142" s="13" t="str">
        <f t="shared" si="33"/>
        <v>02</v>
      </c>
      <c r="S142" s="13" t="str">
        <f t="shared" si="34"/>
        <v>Fri</v>
      </c>
    </row>
    <row r="143" spans="1:19" x14ac:dyDescent="0.25">
      <c r="A143" s="81">
        <v>45925.882256944446</v>
      </c>
      <c r="B143" s="82">
        <v>189309918</v>
      </c>
      <c r="C143" s="83" t="s">
        <v>103</v>
      </c>
      <c r="D143" s="83" t="s">
        <v>37</v>
      </c>
      <c r="E143" s="83" t="s">
        <v>45</v>
      </c>
      <c r="F143" s="83" t="s">
        <v>104</v>
      </c>
      <c r="G143" s="84">
        <v>3739.62</v>
      </c>
      <c r="H143" s="82">
        <v>177585633</v>
      </c>
      <c r="I143" s="84">
        <v>0</v>
      </c>
      <c r="J143" s="84">
        <v>0</v>
      </c>
      <c r="K143" s="84">
        <v>0</v>
      </c>
      <c r="L143" s="84">
        <v>-0.3</v>
      </c>
      <c r="M143" s="84">
        <v>18.98</v>
      </c>
      <c r="N143" s="83" t="s">
        <v>292</v>
      </c>
      <c r="O143" s="14">
        <f t="shared" si="30"/>
        <v>45925.882256944446</v>
      </c>
      <c r="P143" s="19">
        <f t="shared" si="31"/>
        <v>45926.090590277781</v>
      </c>
      <c r="Q143" s="20" t="str">
        <f t="shared" si="32"/>
        <v>26/09/2025</v>
      </c>
      <c r="R143" s="13" t="str">
        <f t="shared" si="33"/>
        <v>02</v>
      </c>
      <c r="S143" s="13" t="str">
        <f t="shared" si="34"/>
        <v>Fri</v>
      </c>
    </row>
    <row r="144" spans="1:19" x14ac:dyDescent="0.25">
      <c r="A144" s="77">
        <v>45925.883750000001</v>
      </c>
      <c r="B144" s="78">
        <v>189311088</v>
      </c>
      <c r="C144" s="79" t="s">
        <v>103</v>
      </c>
      <c r="D144" s="79" t="s">
        <v>37</v>
      </c>
      <c r="E144" s="79" t="s">
        <v>44</v>
      </c>
      <c r="F144" s="79" t="s">
        <v>104</v>
      </c>
      <c r="G144" s="80">
        <v>3738.06</v>
      </c>
      <c r="H144" s="78">
        <v>177586695</v>
      </c>
      <c r="I144" s="80">
        <v>0</v>
      </c>
      <c r="J144" s="80">
        <v>0</v>
      </c>
      <c r="K144" s="80">
        <v>0</v>
      </c>
      <c r="L144" s="80">
        <v>0</v>
      </c>
      <c r="M144" s="80">
        <v>18.98</v>
      </c>
      <c r="N144" s="79" t="s">
        <v>118</v>
      </c>
      <c r="O144" s="14">
        <f t="shared" si="30"/>
        <v>45925.883750000001</v>
      </c>
      <c r="P144" s="19">
        <f t="shared" si="31"/>
        <v>45926.092083333337</v>
      </c>
      <c r="Q144" s="20" t="str">
        <f t="shared" si="32"/>
        <v>26/09/2025</v>
      </c>
      <c r="R144" s="13" t="str">
        <f t="shared" si="33"/>
        <v>02</v>
      </c>
      <c r="S144" s="13" t="str">
        <f t="shared" si="34"/>
        <v>Fri</v>
      </c>
    </row>
    <row r="145" spans="1:19" x14ac:dyDescent="0.25">
      <c r="A145" s="81">
        <v>45925.887824074074</v>
      </c>
      <c r="B145" s="82">
        <v>189312269</v>
      </c>
      <c r="C145" s="83" t="s">
        <v>103</v>
      </c>
      <c r="D145" s="83" t="s">
        <v>36</v>
      </c>
      <c r="E145" s="83" t="s">
        <v>45</v>
      </c>
      <c r="F145" s="83" t="s">
        <v>104</v>
      </c>
      <c r="G145" s="84">
        <v>3740.97</v>
      </c>
      <c r="H145" s="82">
        <v>177587804</v>
      </c>
      <c r="I145" s="84">
        <v>0</v>
      </c>
      <c r="J145" s="84">
        <v>0</v>
      </c>
      <c r="K145" s="84">
        <v>0</v>
      </c>
      <c r="L145" s="84">
        <v>-0.28999999999999998</v>
      </c>
      <c r="M145" s="84">
        <v>18.690000000000001</v>
      </c>
      <c r="N145" s="83" t="s">
        <v>293</v>
      </c>
      <c r="O145" s="14">
        <f t="shared" si="30"/>
        <v>45925.887824074074</v>
      </c>
      <c r="P145" s="19">
        <f t="shared" si="31"/>
        <v>45926.09615740741</v>
      </c>
      <c r="Q145" s="20" t="str">
        <f t="shared" si="32"/>
        <v>26/09/2025</v>
      </c>
      <c r="R145" s="13" t="str">
        <f t="shared" si="33"/>
        <v>02</v>
      </c>
      <c r="S145" s="13" t="str">
        <f t="shared" si="34"/>
        <v>Fri</v>
      </c>
    </row>
    <row r="146" spans="1:19" x14ac:dyDescent="0.25">
      <c r="A146" s="77">
        <v>45925.893935185188</v>
      </c>
      <c r="B146" s="78">
        <v>189314967</v>
      </c>
      <c r="C146" s="79" t="s">
        <v>103</v>
      </c>
      <c r="D146" s="79" t="s">
        <v>36</v>
      </c>
      <c r="E146" s="79" t="s">
        <v>44</v>
      </c>
      <c r="F146" s="79" t="s">
        <v>104</v>
      </c>
      <c r="G146" s="80">
        <v>3746.39</v>
      </c>
      <c r="H146" s="78">
        <v>177590290</v>
      </c>
      <c r="I146" s="80">
        <v>0</v>
      </c>
      <c r="J146" s="80">
        <v>0</v>
      </c>
      <c r="K146" s="80">
        <v>0</v>
      </c>
      <c r="L146" s="80">
        <v>0</v>
      </c>
      <c r="M146" s="80">
        <v>18.690000000000001</v>
      </c>
      <c r="N146" s="79" t="s">
        <v>118</v>
      </c>
      <c r="O146" s="14">
        <f t="shared" si="30"/>
        <v>45925.893935185188</v>
      </c>
      <c r="P146" s="19">
        <f t="shared" si="31"/>
        <v>45926.102268518523</v>
      </c>
      <c r="Q146" s="20" t="str">
        <f t="shared" si="32"/>
        <v>26/09/2025</v>
      </c>
      <c r="R146" s="13" t="str">
        <f t="shared" si="33"/>
        <v>02</v>
      </c>
      <c r="S146" s="13" t="str">
        <f t="shared" si="34"/>
        <v>Fri</v>
      </c>
    </row>
    <row r="147" spans="1:19" x14ac:dyDescent="0.25">
      <c r="A147" s="81">
        <v>45925.896134259259</v>
      </c>
      <c r="B147" s="82">
        <v>189317069</v>
      </c>
      <c r="C147" s="83" t="s">
        <v>103</v>
      </c>
      <c r="D147" s="83" t="s">
        <v>37</v>
      </c>
      <c r="E147" s="83" t="s">
        <v>45</v>
      </c>
      <c r="F147" s="83" t="s">
        <v>104</v>
      </c>
      <c r="G147" s="84">
        <v>3749.11</v>
      </c>
      <c r="H147" s="82">
        <v>177592115</v>
      </c>
      <c r="I147" s="84">
        <v>0</v>
      </c>
      <c r="J147" s="84">
        <v>0</v>
      </c>
      <c r="K147" s="84">
        <v>0</v>
      </c>
      <c r="L147" s="84">
        <v>0.27</v>
      </c>
      <c r="M147" s="84">
        <v>18.96</v>
      </c>
      <c r="N147" s="83" t="s">
        <v>294</v>
      </c>
      <c r="O147" s="14">
        <f t="shared" si="30"/>
        <v>45925.896134259259</v>
      </c>
      <c r="P147" s="19">
        <f t="shared" si="31"/>
        <v>45926.104467592595</v>
      </c>
      <c r="Q147" s="20" t="str">
        <f t="shared" si="32"/>
        <v>26/09/2025</v>
      </c>
      <c r="R147" s="13" t="str">
        <f t="shared" si="33"/>
        <v>02</v>
      </c>
      <c r="S147" s="13" t="str">
        <f t="shared" si="34"/>
        <v>Fri</v>
      </c>
    </row>
    <row r="148" spans="1:19" x14ac:dyDescent="0.25">
      <c r="A148" s="77">
        <v>45925.896134259259</v>
      </c>
      <c r="B148" s="78">
        <v>189317075</v>
      </c>
      <c r="C148" s="79" t="s">
        <v>103</v>
      </c>
      <c r="D148" s="79" t="s">
        <v>36</v>
      </c>
      <c r="E148" s="79" t="s">
        <v>44</v>
      </c>
      <c r="F148" s="79" t="s">
        <v>104</v>
      </c>
      <c r="G148" s="80">
        <v>3749.33</v>
      </c>
      <c r="H148" s="78">
        <v>177592120</v>
      </c>
      <c r="I148" s="80">
        <v>0</v>
      </c>
      <c r="J148" s="80">
        <v>0</v>
      </c>
      <c r="K148" s="80">
        <v>0</v>
      </c>
      <c r="L148" s="80">
        <v>0</v>
      </c>
      <c r="M148" s="80">
        <v>18.96</v>
      </c>
      <c r="N148" s="79" t="s">
        <v>118</v>
      </c>
      <c r="O148" s="14">
        <f t="shared" si="30"/>
        <v>45925.896134259259</v>
      </c>
      <c r="P148" s="19">
        <f t="shared" si="31"/>
        <v>45926.104467592595</v>
      </c>
      <c r="Q148" s="20" t="str">
        <f t="shared" si="32"/>
        <v>26/09/2025</v>
      </c>
      <c r="R148" s="13" t="str">
        <f t="shared" si="33"/>
        <v>02</v>
      </c>
      <c r="S148" s="13" t="str">
        <f t="shared" si="34"/>
        <v>Fri</v>
      </c>
    </row>
    <row r="149" spans="1:19" x14ac:dyDescent="0.25">
      <c r="A149" s="81">
        <v>45925.898680555554</v>
      </c>
      <c r="B149" s="82">
        <v>189317944</v>
      </c>
      <c r="C149" s="83" t="s">
        <v>103</v>
      </c>
      <c r="D149" s="83" t="s">
        <v>36</v>
      </c>
      <c r="E149" s="83" t="s">
        <v>44</v>
      </c>
      <c r="F149" s="83" t="s">
        <v>104</v>
      </c>
      <c r="G149" s="84">
        <v>3749.41</v>
      </c>
      <c r="H149" s="82">
        <v>177592907</v>
      </c>
      <c r="I149" s="84">
        <v>0</v>
      </c>
      <c r="J149" s="84">
        <v>0</v>
      </c>
      <c r="K149" s="84">
        <v>0</v>
      </c>
      <c r="L149" s="84">
        <v>0</v>
      </c>
      <c r="M149" s="84">
        <v>18.96</v>
      </c>
      <c r="N149" s="83" t="s">
        <v>93</v>
      </c>
      <c r="O149" s="14">
        <f t="shared" si="30"/>
        <v>45925.898680555554</v>
      </c>
      <c r="P149" s="19">
        <f t="shared" si="31"/>
        <v>45926.10701388889</v>
      </c>
      <c r="Q149" s="20" t="str">
        <f t="shared" si="32"/>
        <v>26/09/2025</v>
      </c>
      <c r="R149" s="13" t="str">
        <f t="shared" si="33"/>
        <v>02</v>
      </c>
      <c r="S149" s="13" t="str">
        <f t="shared" si="34"/>
        <v>Fri</v>
      </c>
    </row>
    <row r="150" spans="1:19" x14ac:dyDescent="0.25">
      <c r="A150" s="77">
        <v>45925.900104166663</v>
      </c>
      <c r="B150" s="78">
        <v>189318760</v>
      </c>
      <c r="C150" s="79" t="s">
        <v>103</v>
      </c>
      <c r="D150" s="79" t="s">
        <v>37</v>
      </c>
      <c r="E150" s="79" t="s">
        <v>45</v>
      </c>
      <c r="F150" s="79" t="s">
        <v>104</v>
      </c>
      <c r="G150" s="80">
        <v>3752.93</v>
      </c>
      <c r="H150" s="78">
        <v>177593621</v>
      </c>
      <c r="I150" s="80">
        <v>0</v>
      </c>
      <c r="J150" s="80">
        <v>0</v>
      </c>
      <c r="K150" s="80">
        <v>0</v>
      </c>
      <c r="L150" s="80">
        <v>0.35</v>
      </c>
      <c r="M150" s="80">
        <v>19.309999999999999</v>
      </c>
      <c r="N150" s="79" t="s">
        <v>295</v>
      </c>
      <c r="O150" s="14">
        <f t="shared" si="30"/>
        <v>45925.900104166663</v>
      </c>
      <c r="P150" s="19">
        <f t="shared" si="31"/>
        <v>45926.108437499999</v>
      </c>
      <c r="Q150" s="20" t="str">
        <f t="shared" si="32"/>
        <v>26/09/2025</v>
      </c>
      <c r="R150" s="13" t="str">
        <f t="shared" si="33"/>
        <v>02</v>
      </c>
      <c r="S150" s="13" t="str">
        <f t="shared" si="34"/>
        <v>Fri</v>
      </c>
    </row>
    <row r="151" spans="1:19" x14ac:dyDescent="0.25">
      <c r="A151" s="81">
        <v>45925.904189814813</v>
      </c>
      <c r="B151" s="82">
        <v>189321690</v>
      </c>
      <c r="C151" s="83" t="s">
        <v>103</v>
      </c>
      <c r="D151" s="83" t="s">
        <v>37</v>
      </c>
      <c r="E151" s="83" t="s">
        <v>45</v>
      </c>
      <c r="F151" s="83" t="s">
        <v>104</v>
      </c>
      <c r="G151" s="84">
        <v>3755.91</v>
      </c>
      <c r="H151" s="82">
        <v>177596182</v>
      </c>
      <c r="I151" s="84">
        <v>0</v>
      </c>
      <c r="J151" s="84">
        <v>0</v>
      </c>
      <c r="K151" s="84">
        <v>0</v>
      </c>
      <c r="L151" s="84">
        <v>0.66</v>
      </c>
      <c r="M151" s="84">
        <v>19.97</v>
      </c>
      <c r="N151" s="83" t="s">
        <v>296</v>
      </c>
      <c r="O151" s="14">
        <f t="shared" si="30"/>
        <v>45925.904189814813</v>
      </c>
      <c r="P151" s="19">
        <f t="shared" si="31"/>
        <v>45926.112523148149</v>
      </c>
      <c r="Q151" s="20" t="str">
        <f t="shared" si="32"/>
        <v>26/09/2025</v>
      </c>
      <c r="R151" s="13" t="str">
        <f t="shared" si="33"/>
        <v>02</v>
      </c>
      <c r="S151" s="13" t="str">
        <f t="shared" si="34"/>
        <v>Fri</v>
      </c>
    </row>
    <row r="152" spans="1:19" x14ac:dyDescent="0.25">
      <c r="A152" s="77">
        <v>45925.904236111113</v>
      </c>
      <c r="B152" s="78">
        <v>189321723</v>
      </c>
      <c r="C152" s="79" t="s">
        <v>103</v>
      </c>
      <c r="D152" s="79" t="s">
        <v>36</v>
      </c>
      <c r="E152" s="79" t="s">
        <v>44</v>
      </c>
      <c r="F152" s="79" t="s">
        <v>104</v>
      </c>
      <c r="G152" s="80">
        <v>3756.08</v>
      </c>
      <c r="H152" s="78">
        <v>177596211</v>
      </c>
      <c r="I152" s="80">
        <v>0</v>
      </c>
      <c r="J152" s="80">
        <v>0</v>
      </c>
      <c r="K152" s="80">
        <v>0</v>
      </c>
      <c r="L152" s="80">
        <v>0</v>
      </c>
      <c r="M152" s="80">
        <v>19.97</v>
      </c>
      <c r="N152" s="79" t="s">
        <v>118</v>
      </c>
      <c r="O152" s="14">
        <f t="shared" si="30"/>
        <v>45925.904236111113</v>
      </c>
      <c r="P152" s="19">
        <f t="shared" si="31"/>
        <v>45926.112569444449</v>
      </c>
      <c r="Q152" s="20" t="str">
        <f t="shared" si="32"/>
        <v>26/09/2025</v>
      </c>
      <c r="R152" s="13" t="str">
        <f t="shared" si="33"/>
        <v>02</v>
      </c>
      <c r="S152" s="13" t="str">
        <f t="shared" si="34"/>
        <v>Fri</v>
      </c>
    </row>
    <row r="153" spans="1:19" x14ac:dyDescent="0.25">
      <c r="A153" s="81">
        <v>45925.905740740738</v>
      </c>
      <c r="B153" s="82">
        <v>189322347</v>
      </c>
      <c r="C153" s="83" t="s">
        <v>103</v>
      </c>
      <c r="D153" s="83" t="s">
        <v>36</v>
      </c>
      <c r="E153" s="83" t="s">
        <v>44</v>
      </c>
      <c r="F153" s="83" t="s">
        <v>104</v>
      </c>
      <c r="G153" s="84">
        <v>3755.44</v>
      </c>
      <c r="H153" s="82">
        <v>177596803</v>
      </c>
      <c r="I153" s="84">
        <v>0</v>
      </c>
      <c r="J153" s="84">
        <v>0</v>
      </c>
      <c r="K153" s="84">
        <v>0</v>
      </c>
      <c r="L153" s="84">
        <v>0</v>
      </c>
      <c r="M153" s="84">
        <v>19.97</v>
      </c>
      <c r="N153" s="83" t="s">
        <v>93</v>
      </c>
      <c r="O153" s="14">
        <f t="shared" si="30"/>
        <v>45925.905740740738</v>
      </c>
      <c r="P153" s="19">
        <f t="shared" si="31"/>
        <v>45926.114074074074</v>
      </c>
      <c r="Q153" s="20" t="str">
        <f t="shared" si="32"/>
        <v>26/09/2025</v>
      </c>
      <c r="R153" s="13" t="str">
        <f t="shared" si="33"/>
        <v>02</v>
      </c>
      <c r="S153" s="13" t="str">
        <f t="shared" si="34"/>
        <v>Fri</v>
      </c>
    </row>
    <row r="154" spans="1:19" x14ac:dyDescent="0.25">
      <c r="A154" s="77">
        <v>45925.917048611111</v>
      </c>
      <c r="B154" s="78">
        <v>189326371</v>
      </c>
      <c r="C154" s="79" t="s">
        <v>103</v>
      </c>
      <c r="D154" s="79" t="s">
        <v>37</v>
      </c>
      <c r="E154" s="79" t="s">
        <v>45</v>
      </c>
      <c r="F154" s="79" t="s">
        <v>104</v>
      </c>
      <c r="G154" s="80">
        <v>3753</v>
      </c>
      <c r="H154" s="78">
        <v>177600553</v>
      </c>
      <c r="I154" s="80">
        <v>0</v>
      </c>
      <c r="J154" s="80">
        <v>0</v>
      </c>
      <c r="K154" s="80">
        <v>0</v>
      </c>
      <c r="L154" s="80">
        <v>-0.31</v>
      </c>
      <c r="M154" s="80">
        <v>19.66</v>
      </c>
      <c r="N154" s="79" t="s">
        <v>297</v>
      </c>
      <c r="O154" s="14">
        <f t="shared" si="30"/>
        <v>45925.917048611111</v>
      </c>
      <c r="P154" s="19">
        <f t="shared" si="31"/>
        <v>45926.125381944446</v>
      </c>
      <c r="Q154" s="20" t="str">
        <f t="shared" si="32"/>
        <v>26/09/2025</v>
      </c>
      <c r="R154" s="13" t="str">
        <f t="shared" si="33"/>
        <v>03</v>
      </c>
      <c r="S154" s="13" t="str">
        <f t="shared" si="34"/>
        <v>Fri</v>
      </c>
    </row>
    <row r="155" spans="1:19" x14ac:dyDescent="0.25">
      <c r="A155" s="81">
        <v>45925.917615740742</v>
      </c>
      <c r="B155" s="82">
        <v>189326709</v>
      </c>
      <c r="C155" s="83" t="s">
        <v>103</v>
      </c>
      <c r="D155" s="83" t="s">
        <v>37</v>
      </c>
      <c r="E155" s="83" t="s">
        <v>45</v>
      </c>
      <c r="F155" s="83" t="s">
        <v>104</v>
      </c>
      <c r="G155" s="84">
        <v>3752.43</v>
      </c>
      <c r="H155" s="82">
        <v>177600887</v>
      </c>
      <c r="I155" s="84">
        <v>0</v>
      </c>
      <c r="J155" s="84">
        <v>0</v>
      </c>
      <c r="K155" s="84">
        <v>0</v>
      </c>
      <c r="L155" s="84">
        <v>-0.3</v>
      </c>
      <c r="M155" s="84">
        <v>19.36</v>
      </c>
      <c r="N155" s="83" t="s">
        <v>298</v>
      </c>
      <c r="O155" s="14">
        <f t="shared" si="30"/>
        <v>45925.917615740742</v>
      </c>
      <c r="P155" s="19">
        <f t="shared" si="31"/>
        <v>45926.125949074078</v>
      </c>
      <c r="Q155" s="20" t="str">
        <f t="shared" si="32"/>
        <v>26/09/2025</v>
      </c>
      <c r="R155" s="13" t="str">
        <f t="shared" si="33"/>
        <v>03</v>
      </c>
      <c r="S155" s="13" t="str">
        <f t="shared" si="34"/>
        <v>Fri</v>
      </c>
    </row>
    <row r="156" spans="1:19" x14ac:dyDescent="0.25">
      <c r="A156" s="77">
        <v>45925.918703703705</v>
      </c>
      <c r="B156" s="78">
        <v>189327241</v>
      </c>
      <c r="C156" s="79" t="s">
        <v>103</v>
      </c>
      <c r="D156" s="79" t="s">
        <v>37</v>
      </c>
      <c r="E156" s="79" t="s">
        <v>44</v>
      </c>
      <c r="F156" s="79" t="s">
        <v>104</v>
      </c>
      <c r="G156" s="80">
        <v>3753.26</v>
      </c>
      <c r="H156" s="78">
        <v>177601390</v>
      </c>
      <c r="I156" s="80">
        <v>0</v>
      </c>
      <c r="J156" s="80">
        <v>0</v>
      </c>
      <c r="K156" s="80">
        <v>0</v>
      </c>
      <c r="L156" s="80">
        <v>0</v>
      </c>
      <c r="M156" s="80">
        <v>19.36</v>
      </c>
      <c r="N156" s="79" t="s">
        <v>118</v>
      </c>
      <c r="O156" s="14">
        <f t="shared" si="30"/>
        <v>45925.918703703705</v>
      </c>
      <c r="P156" s="19">
        <f t="shared" si="31"/>
        <v>45926.12703703704</v>
      </c>
      <c r="Q156" s="20" t="str">
        <f t="shared" si="32"/>
        <v>26/09/2025</v>
      </c>
      <c r="R156" s="13" t="str">
        <f t="shared" si="33"/>
        <v>03</v>
      </c>
      <c r="S156" s="13" t="str">
        <f t="shared" si="34"/>
        <v>Fri</v>
      </c>
    </row>
    <row r="157" spans="1:19" x14ac:dyDescent="0.25">
      <c r="A157" s="81">
        <v>45925.920474537037</v>
      </c>
      <c r="B157" s="82">
        <v>189328053</v>
      </c>
      <c r="C157" s="83" t="s">
        <v>103</v>
      </c>
      <c r="D157" s="83" t="s">
        <v>36</v>
      </c>
      <c r="E157" s="83" t="s">
        <v>45</v>
      </c>
      <c r="F157" s="83" t="s">
        <v>104</v>
      </c>
      <c r="G157" s="84">
        <v>3756.17</v>
      </c>
      <c r="H157" s="82">
        <v>177602180</v>
      </c>
      <c r="I157" s="84">
        <v>0</v>
      </c>
      <c r="J157" s="84">
        <v>0</v>
      </c>
      <c r="K157" s="84">
        <v>0</v>
      </c>
      <c r="L157" s="84">
        <v>-0.28999999999999998</v>
      </c>
      <c r="M157" s="84">
        <v>19.07</v>
      </c>
      <c r="N157" s="83" t="s">
        <v>299</v>
      </c>
      <c r="O157" s="14">
        <f t="shared" si="30"/>
        <v>45925.920474537037</v>
      </c>
      <c r="P157" s="19">
        <f t="shared" si="31"/>
        <v>45926.128807870373</v>
      </c>
      <c r="Q157" s="20" t="str">
        <f t="shared" si="32"/>
        <v>26/09/2025</v>
      </c>
      <c r="R157" s="13" t="str">
        <f t="shared" si="33"/>
        <v>03</v>
      </c>
      <c r="S157" s="13" t="str">
        <f t="shared" si="34"/>
        <v>Fri</v>
      </c>
    </row>
    <row r="158" spans="1:19" x14ac:dyDescent="0.25">
      <c r="A158" s="77">
        <v>45925.923680555556</v>
      </c>
      <c r="B158" s="78">
        <v>189328799</v>
      </c>
      <c r="C158" s="79" t="s">
        <v>103</v>
      </c>
      <c r="D158" s="79" t="s">
        <v>36</v>
      </c>
      <c r="E158" s="79" t="s">
        <v>44</v>
      </c>
      <c r="F158" s="79" t="s">
        <v>104</v>
      </c>
      <c r="G158" s="80">
        <v>3755.57</v>
      </c>
      <c r="H158" s="78">
        <v>177602894</v>
      </c>
      <c r="I158" s="80">
        <v>0</v>
      </c>
      <c r="J158" s="80">
        <v>0</v>
      </c>
      <c r="K158" s="80">
        <v>0</v>
      </c>
      <c r="L158" s="80">
        <v>0</v>
      </c>
      <c r="M158" s="80">
        <v>19.07</v>
      </c>
      <c r="N158" s="79" t="s">
        <v>118</v>
      </c>
      <c r="O158" s="14">
        <f t="shared" si="30"/>
        <v>45925.923680555556</v>
      </c>
      <c r="P158" s="19">
        <f t="shared" si="31"/>
        <v>45926.132013888891</v>
      </c>
      <c r="Q158" s="20" t="str">
        <f t="shared" si="32"/>
        <v>26/09/2025</v>
      </c>
      <c r="R158" s="13" t="str">
        <f t="shared" si="33"/>
        <v>03</v>
      </c>
      <c r="S158" s="13" t="str">
        <f t="shared" si="34"/>
        <v>Fri</v>
      </c>
    </row>
    <row r="159" spans="1:19" x14ac:dyDescent="0.25">
      <c r="A159" s="81">
        <v>45925.932152777779</v>
      </c>
      <c r="B159" s="82">
        <v>189330126</v>
      </c>
      <c r="C159" s="83" t="s">
        <v>103</v>
      </c>
      <c r="D159" s="83" t="s">
        <v>37</v>
      </c>
      <c r="E159" s="83" t="s">
        <v>45</v>
      </c>
      <c r="F159" s="83" t="s">
        <v>104</v>
      </c>
      <c r="G159" s="84">
        <v>3752.56</v>
      </c>
      <c r="H159" s="82">
        <v>177604185</v>
      </c>
      <c r="I159" s="84">
        <v>0</v>
      </c>
      <c r="J159" s="84">
        <v>0</v>
      </c>
      <c r="K159" s="84">
        <v>0</v>
      </c>
      <c r="L159" s="84">
        <v>-0.3</v>
      </c>
      <c r="M159" s="84">
        <v>18.77</v>
      </c>
      <c r="N159" s="83" t="s">
        <v>300</v>
      </c>
      <c r="O159" s="14">
        <f t="shared" si="30"/>
        <v>45925.932152777779</v>
      </c>
      <c r="P159" s="19">
        <f t="shared" si="31"/>
        <v>45926.140486111115</v>
      </c>
      <c r="Q159" s="20" t="str">
        <f t="shared" si="32"/>
        <v>26/09/2025</v>
      </c>
      <c r="R159" s="13" t="str">
        <f t="shared" si="33"/>
        <v>03</v>
      </c>
      <c r="S159" s="13" t="str">
        <f t="shared" si="34"/>
        <v>Fri</v>
      </c>
    </row>
    <row r="160" spans="1:19" x14ac:dyDescent="0.25">
      <c r="A160" s="77">
        <v>45925.932708333334</v>
      </c>
      <c r="B160" s="78">
        <v>189330330</v>
      </c>
      <c r="C160" s="79" t="s">
        <v>103</v>
      </c>
      <c r="D160" s="79" t="s">
        <v>37</v>
      </c>
      <c r="E160" s="79" t="s">
        <v>44</v>
      </c>
      <c r="F160" s="79" t="s">
        <v>104</v>
      </c>
      <c r="G160" s="80">
        <v>3753.03</v>
      </c>
      <c r="H160" s="78">
        <v>177604390</v>
      </c>
      <c r="I160" s="80">
        <v>0</v>
      </c>
      <c r="J160" s="80">
        <v>0</v>
      </c>
      <c r="K160" s="80">
        <v>0</v>
      </c>
      <c r="L160" s="80">
        <v>0</v>
      </c>
      <c r="M160" s="80">
        <v>18.77</v>
      </c>
      <c r="N160" s="79" t="s">
        <v>118</v>
      </c>
      <c r="O160" s="14">
        <f t="shared" si="30"/>
        <v>45925.932708333334</v>
      </c>
      <c r="P160" s="19">
        <f t="shared" si="31"/>
        <v>45926.141041666669</v>
      </c>
      <c r="Q160" s="20" t="str">
        <f t="shared" si="32"/>
        <v>26/09/2025</v>
      </c>
      <c r="R160" s="13" t="str">
        <f t="shared" si="33"/>
        <v>03</v>
      </c>
      <c r="S160" s="13" t="str">
        <f t="shared" si="34"/>
        <v>Fri</v>
      </c>
    </row>
    <row r="161" spans="1:19" x14ac:dyDescent="0.25">
      <c r="A161" s="81">
        <v>45925.937569444446</v>
      </c>
      <c r="B161" s="82">
        <v>189331553</v>
      </c>
      <c r="C161" s="83" t="s">
        <v>103</v>
      </c>
      <c r="D161" s="83" t="s">
        <v>37</v>
      </c>
      <c r="E161" s="83" t="s">
        <v>44</v>
      </c>
      <c r="F161" s="83" t="s">
        <v>104</v>
      </c>
      <c r="G161" s="84">
        <v>3751.86</v>
      </c>
      <c r="H161" s="82">
        <v>177605573</v>
      </c>
      <c r="I161" s="84">
        <v>0</v>
      </c>
      <c r="J161" s="84">
        <v>0</v>
      </c>
      <c r="K161" s="84">
        <v>0</v>
      </c>
      <c r="L161" s="84">
        <v>0</v>
      </c>
      <c r="M161" s="84">
        <v>18.77</v>
      </c>
      <c r="N161" s="83" t="s">
        <v>93</v>
      </c>
      <c r="O161" s="14">
        <f t="shared" si="30"/>
        <v>45925.937569444446</v>
      </c>
      <c r="P161" s="19">
        <f t="shared" si="31"/>
        <v>45926.145902777782</v>
      </c>
      <c r="Q161" s="20" t="str">
        <f t="shared" si="32"/>
        <v>26/09/2025</v>
      </c>
      <c r="R161" s="13" t="str">
        <f t="shared" si="33"/>
        <v>03</v>
      </c>
      <c r="S161" s="13" t="str">
        <f t="shared" si="34"/>
        <v>Fri</v>
      </c>
    </row>
    <row r="162" spans="1:19" x14ac:dyDescent="0.25">
      <c r="A162" s="77">
        <v>45925.940034722225</v>
      </c>
      <c r="B162" s="78">
        <v>189332394</v>
      </c>
      <c r="C162" s="79" t="s">
        <v>103</v>
      </c>
      <c r="D162" s="79" t="s">
        <v>36</v>
      </c>
      <c r="E162" s="79" t="s">
        <v>45</v>
      </c>
      <c r="F162" s="79" t="s">
        <v>104</v>
      </c>
      <c r="G162" s="80">
        <v>3750.49</v>
      </c>
      <c r="H162" s="78">
        <v>177606371</v>
      </c>
      <c r="I162" s="80">
        <v>0</v>
      </c>
      <c r="J162" s="80">
        <v>0</v>
      </c>
      <c r="K162" s="80">
        <v>0</v>
      </c>
      <c r="L162" s="80">
        <v>0.25</v>
      </c>
      <c r="M162" s="80">
        <v>19.02</v>
      </c>
      <c r="N162" s="79" t="s">
        <v>301</v>
      </c>
      <c r="O162" s="14">
        <f t="shared" si="30"/>
        <v>45925.940034722225</v>
      </c>
      <c r="P162" s="19">
        <f t="shared" si="31"/>
        <v>45926.148368055561</v>
      </c>
      <c r="Q162" s="20" t="str">
        <f t="shared" si="32"/>
        <v>26/09/2025</v>
      </c>
      <c r="R162" s="13" t="str">
        <f t="shared" si="33"/>
        <v>03</v>
      </c>
      <c r="S162" s="13" t="str">
        <f t="shared" si="34"/>
        <v>Fri</v>
      </c>
    </row>
    <row r="163" spans="1:19" x14ac:dyDescent="0.25">
      <c r="A163" s="81">
        <v>45925.940115740741</v>
      </c>
      <c r="B163" s="82">
        <v>189332422</v>
      </c>
      <c r="C163" s="83" t="s">
        <v>103</v>
      </c>
      <c r="D163" s="83" t="s">
        <v>37</v>
      </c>
      <c r="E163" s="83" t="s">
        <v>44</v>
      </c>
      <c r="F163" s="83" t="s">
        <v>104</v>
      </c>
      <c r="G163" s="84">
        <v>3750.49</v>
      </c>
      <c r="H163" s="82">
        <v>177606397</v>
      </c>
      <c r="I163" s="84">
        <v>0</v>
      </c>
      <c r="J163" s="84">
        <v>0</v>
      </c>
      <c r="K163" s="84">
        <v>0</v>
      </c>
      <c r="L163" s="84">
        <v>0</v>
      </c>
      <c r="M163" s="84">
        <v>19.02</v>
      </c>
      <c r="N163" s="83" t="s">
        <v>118</v>
      </c>
      <c r="O163" s="14">
        <f t="shared" si="30"/>
        <v>45925.940115740741</v>
      </c>
      <c r="P163" s="19">
        <f t="shared" si="31"/>
        <v>45926.148449074077</v>
      </c>
      <c r="Q163" s="20" t="str">
        <f t="shared" si="32"/>
        <v>26/09/2025</v>
      </c>
      <c r="R163" s="13" t="str">
        <f t="shared" si="33"/>
        <v>03</v>
      </c>
      <c r="S163" s="13" t="str">
        <f t="shared" si="34"/>
        <v>Fri</v>
      </c>
    </row>
    <row r="164" spans="1:19" x14ac:dyDescent="0.25">
      <c r="A164" s="77">
        <v>45925.942303240743</v>
      </c>
      <c r="B164" s="78">
        <v>189333054</v>
      </c>
      <c r="C164" s="79" t="s">
        <v>103</v>
      </c>
      <c r="D164" s="79" t="s">
        <v>36</v>
      </c>
      <c r="E164" s="79" t="s">
        <v>45</v>
      </c>
      <c r="F164" s="79" t="s">
        <v>104</v>
      </c>
      <c r="G164" s="80">
        <v>3748.36</v>
      </c>
      <c r="H164" s="78">
        <v>177606972</v>
      </c>
      <c r="I164" s="80">
        <v>0</v>
      </c>
      <c r="J164" s="80">
        <v>0</v>
      </c>
      <c r="K164" s="80">
        <v>0</v>
      </c>
      <c r="L164" s="80">
        <v>0.35</v>
      </c>
      <c r="M164" s="80">
        <v>19.37</v>
      </c>
      <c r="N164" s="79" t="s">
        <v>302</v>
      </c>
      <c r="O164" s="14">
        <f t="shared" si="30"/>
        <v>45925.942303240743</v>
      </c>
      <c r="P164" s="19">
        <f t="shared" si="31"/>
        <v>45926.150636574079</v>
      </c>
      <c r="Q164" s="20" t="str">
        <f t="shared" si="32"/>
        <v>26/09/2025</v>
      </c>
      <c r="R164" s="13" t="str">
        <f t="shared" si="33"/>
        <v>03</v>
      </c>
      <c r="S164" s="13" t="str">
        <f t="shared" si="34"/>
        <v>Fri</v>
      </c>
    </row>
    <row r="165" spans="1:19" x14ac:dyDescent="0.25">
      <c r="A165" s="81">
        <v>45925.944143518522</v>
      </c>
      <c r="B165" s="82">
        <v>189334009</v>
      </c>
      <c r="C165" s="83" t="s">
        <v>103</v>
      </c>
      <c r="D165" s="83" t="s">
        <v>36</v>
      </c>
      <c r="E165" s="83" t="s">
        <v>45</v>
      </c>
      <c r="F165" s="83" t="s">
        <v>104</v>
      </c>
      <c r="G165" s="84">
        <v>3747.09</v>
      </c>
      <c r="H165" s="82">
        <v>177607900</v>
      </c>
      <c r="I165" s="84">
        <v>0</v>
      </c>
      <c r="J165" s="84">
        <v>0</v>
      </c>
      <c r="K165" s="84">
        <v>0</v>
      </c>
      <c r="L165" s="84">
        <v>0.34</v>
      </c>
      <c r="M165" s="84">
        <v>19.71</v>
      </c>
      <c r="N165" s="83" t="s">
        <v>303</v>
      </c>
      <c r="O165" s="14">
        <f t="shared" si="30"/>
        <v>45925.944143518522</v>
      </c>
      <c r="P165" s="19">
        <f t="shared" si="31"/>
        <v>45926.152476851858</v>
      </c>
      <c r="Q165" s="20" t="str">
        <f t="shared" si="32"/>
        <v>26/09/2025</v>
      </c>
      <c r="R165" s="13" t="str">
        <f t="shared" si="33"/>
        <v>03</v>
      </c>
      <c r="S165" s="13" t="str">
        <f t="shared" si="34"/>
        <v>Fri</v>
      </c>
    </row>
    <row r="166" spans="1:19" x14ac:dyDescent="0.25">
      <c r="A166" s="77">
        <v>45925.946250000001</v>
      </c>
      <c r="B166" s="78">
        <v>189334626</v>
      </c>
      <c r="C166" s="79" t="s">
        <v>103</v>
      </c>
      <c r="D166" s="79" t="s">
        <v>37</v>
      </c>
      <c r="E166" s="79" t="s">
        <v>44</v>
      </c>
      <c r="F166" s="79" t="s">
        <v>104</v>
      </c>
      <c r="G166" s="80">
        <v>3745.43</v>
      </c>
      <c r="H166" s="78">
        <v>177608496</v>
      </c>
      <c r="I166" s="80">
        <v>0</v>
      </c>
      <c r="J166" s="80">
        <v>0</v>
      </c>
      <c r="K166" s="80">
        <v>0</v>
      </c>
      <c r="L166" s="80">
        <v>0</v>
      </c>
      <c r="M166" s="80">
        <v>19.71</v>
      </c>
      <c r="N166" s="79" t="s">
        <v>118</v>
      </c>
      <c r="O166" s="14">
        <f t="shared" si="30"/>
        <v>45925.946250000001</v>
      </c>
      <c r="P166" s="19">
        <f t="shared" si="31"/>
        <v>45926.154583333337</v>
      </c>
      <c r="Q166" s="20" t="str">
        <f t="shared" si="32"/>
        <v>26/09/2025</v>
      </c>
      <c r="R166" s="13" t="str">
        <f t="shared" si="33"/>
        <v>03</v>
      </c>
      <c r="S166" s="13" t="str">
        <f t="shared" si="34"/>
        <v>Fri</v>
      </c>
    </row>
    <row r="167" spans="1:19" x14ac:dyDescent="0.25">
      <c r="A167" s="81">
        <v>45925.947106481479</v>
      </c>
      <c r="B167" s="82">
        <v>189334922</v>
      </c>
      <c r="C167" s="83" t="s">
        <v>103</v>
      </c>
      <c r="D167" s="83" t="s">
        <v>37</v>
      </c>
      <c r="E167" s="83" t="s">
        <v>44</v>
      </c>
      <c r="F167" s="83" t="s">
        <v>104</v>
      </c>
      <c r="G167" s="84">
        <v>3746.56</v>
      </c>
      <c r="H167" s="82">
        <v>177608775</v>
      </c>
      <c r="I167" s="84">
        <v>0</v>
      </c>
      <c r="J167" s="84">
        <v>0</v>
      </c>
      <c r="K167" s="84">
        <v>0</v>
      </c>
      <c r="L167" s="84">
        <v>0</v>
      </c>
      <c r="M167" s="84">
        <v>19.71</v>
      </c>
      <c r="N167" s="83" t="s">
        <v>93</v>
      </c>
      <c r="O167" s="14">
        <f t="shared" si="30"/>
        <v>45925.947106481479</v>
      </c>
      <c r="P167" s="19">
        <f t="shared" si="31"/>
        <v>45926.155439814815</v>
      </c>
      <c r="Q167" s="20" t="str">
        <f t="shared" si="32"/>
        <v>26/09/2025</v>
      </c>
      <c r="R167" s="13" t="str">
        <f t="shared" si="33"/>
        <v>03</v>
      </c>
      <c r="S167" s="13" t="str">
        <f t="shared" si="34"/>
        <v>Fri</v>
      </c>
    </row>
    <row r="168" spans="1:19" x14ac:dyDescent="0.25">
      <c r="A168" s="77">
        <v>45925.949363425927</v>
      </c>
      <c r="B168" s="78">
        <v>189335568</v>
      </c>
      <c r="C168" s="79" t="s">
        <v>103</v>
      </c>
      <c r="D168" s="79" t="s">
        <v>36</v>
      </c>
      <c r="E168" s="79" t="s">
        <v>45</v>
      </c>
      <c r="F168" s="79" t="s">
        <v>104</v>
      </c>
      <c r="G168" s="80">
        <v>3748.55</v>
      </c>
      <c r="H168" s="78">
        <v>177609369</v>
      </c>
      <c r="I168" s="80">
        <v>0</v>
      </c>
      <c r="J168" s="80">
        <v>0</v>
      </c>
      <c r="K168" s="80">
        <v>0</v>
      </c>
      <c r="L168" s="80">
        <v>-0.31</v>
      </c>
      <c r="M168" s="80">
        <v>19.399999999999999</v>
      </c>
      <c r="N168" s="79" t="s">
        <v>304</v>
      </c>
      <c r="O168" s="14">
        <f t="shared" si="30"/>
        <v>45925.949363425927</v>
      </c>
      <c r="P168" s="19">
        <f t="shared" si="31"/>
        <v>45926.157696759263</v>
      </c>
      <c r="Q168" s="20" t="str">
        <f t="shared" si="32"/>
        <v>26/09/2025</v>
      </c>
      <c r="R168" s="13" t="str">
        <f t="shared" si="33"/>
        <v>03</v>
      </c>
      <c r="S168" s="13" t="str">
        <f t="shared" si="34"/>
        <v>Fri</v>
      </c>
    </row>
    <row r="169" spans="1:19" x14ac:dyDescent="0.25">
      <c r="A169" s="81">
        <v>45925.94939814815</v>
      </c>
      <c r="B169" s="82">
        <v>189335625</v>
      </c>
      <c r="C169" s="83" t="s">
        <v>103</v>
      </c>
      <c r="D169" s="83" t="s">
        <v>36</v>
      </c>
      <c r="E169" s="83" t="s">
        <v>45</v>
      </c>
      <c r="F169" s="83" t="s">
        <v>104</v>
      </c>
      <c r="G169" s="84">
        <v>3749.88</v>
      </c>
      <c r="H169" s="82">
        <v>177609427</v>
      </c>
      <c r="I169" s="84">
        <v>0</v>
      </c>
      <c r="J169" s="84">
        <v>0</v>
      </c>
      <c r="K169" s="84">
        <v>0</v>
      </c>
      <c r="L169" s="84">
        <v>-0.33</v>
      </c>
      <c r="M169" s="84">
        <v>19.07</v>
      </c>
      <c r="N169" s="83" t="s">
        <v>305</v>
      </c>
      <c r="O169" s="14">
        <f t="shared" si="30"/>
        <v>45925.94939814815</v>
      </c>
      <c r="P169" s="19">
        <f t="shared" si="31"/>
        <v>45926.157731481486</v>
      </c>
      <c r="Q169" s="20" t="str">
        <f t="shared" si="32"/>
        <v>26/09/2025</v>
      </c>
      <c r="R169" s="13" t="str">
        <f t="shared" si="33"/>
        <v>03</v>
      </c>
      <c r="S169" s="13" t="str">
        <f t="shared" si="34"/>
        <v>Fri</v>
      </c>
    </row>
    <row r="170" spans="1:19" x14ac:dyDescent="0.25">
      <c r="A170" s="77">
        <v>45925.950925925928</v>
      </c>
      <c r="B170" s="78">
        <v>189336149</v>
      </c>
      <c r="C170" s="79" t="s">
        <v>103</v>
      </c>
      <c r="D170" s="79" t="s">
        <v>36</v>
      </c>
      <c r="E170" s="79" t="s">
        <v>44</v>
      </c>
      <c r="F170" s="79" t="s">
        <v>104</v>
      </c>
      <c r="G170" s="80">
        <v>3749.78</v>
      </c>
      <c r="H170" s="78">
        <v>177609906</v>
      </c>
      <c r="I170" s="80">
        <v>0</v>
      </c>
      <c r="J170" s="80">
        <v>0</v>
      </c>
      <c r="K170" s="80">
        <v>0</v>
      </c>
      <c r="L170" s="80">
        <v>0</v>
      </c>
      <c r="M170" s="80">
        <v>19.07</v>
      </c>
      <c r="N170" s="79" t="s">
        <v>118</v>
      </c>
      <c r="O170" s="14">
        <f t="shared" si="30"/>
        <v>45925.950925925928</v>
      </c>
      <c r="P170" s="19">
        <f t="shared" si="31"/>
        <v>45926.159259259264</v>
      </c>
      <c r="Q170" s="20" t="str">
        <f t="shared" si="32"/>
        <v>26/09/2025</v>
      </c>
      <c r="R170" s="13" t="str">
        <f t="shared" si="33"/>
        <v>03</v>
      </c>
      <c r="S170" s="13" t="str">
        <f t="shared" si="34"/>
        <v>Fri</v>
      </c>
    </row>
    <row r="171" spans="1:19" x14ac:dyDescent="0.25">
      <c r="A171" s="81">
        <v>45925.953067129631</v>
      </c>
      <c r="B171" s="82">
        <v>189336544</v>
      </c>
      <c r="C171" s="83" t="s">
        <v>103</v>
      </c>
      <c r="D171" s="83" t="s">
        <v>37</v>
      </c>
      <c r="E171" s="83" t="s">
        <v>45</v>
      </c>
      <c r="F171" s="83" t="s">
        <v>104</v>
      </c>
      <c r="G171" s="84">
        <v>3746.76</v>
      </c>
      <c r="H171" s="82">
        <v>177610261</v>
      </c>
      <c r="I171" s="84">
        <v>0</v>
      </c>
      <c r="J171" s="84">
        <v>0</v>
      </c>
      <c r="K171" s="84">
        <v>0</v>
      </c>
      <c r="L171" s="84">
        <v>-0.3</v>
      </c>
      <c r="M171" s="84">
        <v>18.77</v>
      </c>
      <c r="N171" s="83" t="s">
        <v>306</v>
      </c>
      <c r="O171" s="14">
        <f t="shared" si="30"/>
        <v>45925.953067129631</v>
      </c>
      <c r="P171" s="19">
        <f t="shared" si="31"/>
        <v>45926.161400462966</v>
      </c>
      <c r="Q171" s="20" t="str">
        <f t="shared" si="32"/>
        <v>26/09/2025</v>
      </c>
      <c r="R171" s="13" t="str">
        <f t="shared" si="33"/>
        <v>03</v>
      </c>
      <c r="S171" s="13" t="str">
        <f t="shared" si="34"/>
        <v>Fri</v>
      </c>
    </row>
    <row r="172" spans="1:19" x14ac:dyDescent="0.25">
      <c r="A172" s="77">
        <v>45925.954282407409</v>
      </c>
      <c r="B172" s="78">
        <v>189336854</v>
      </c>
      <c r="C172" s="79" t="s">
        <v>103</v>
      </c>
      <c r="D172" s="79" t="s">
        <v>37</v>
      </c>
      <c r="E172" s="79" t="s">
        <v>44</v>
      </c>
      <c r="F172" s="79" t="s">
        <v>104</v>
      </c>
      <c r="G172" s="80">
        <v>3747.7</v>
      </c>
      <c r="H172" s="78">
        <v>177610549</v>
      </c>
      <c r="I172" s="80">
        <v>0</v>
      </c>
      <c r="J172" s="80">
        <v>0</v>
      </c>
      <c r="K172" s="80">
        <v>0</v>
      </c>
      <c r="L172" s="80">
        <v>0</v>
      </c>
      <c r="M172" s="80">
        <v>18.77</v>
      </c>
      <c r="N172" s="79" t="s">
        <v>93</v>
      </c>
      <c r="O172" s="14">
        <f t="shared" si="30"/>
        <v>45925.954282407409</v>
      </c>
      <c r="P172" s="19">
        <f t="shared" si="31"/>
        <v>45926.162615740745</v>
      </c>
      <c r="Q172" s="20" t="str">
        <f t="shared" si="32"/>
        <v>26/09/2025</v>
      </c>
      <c r="R172" s="13" t="str">
        <f t="shared" si="33"/>
        <v>03</v>
      </c>
      <c r="S172" s="13" t="str">
        <f t="shared" si="34"/>
        <v>Fri</v>
      </c>
    </row>
    <row r="173" spans="1:19" x14ac:dyDescent="0.25">
      <c r="A173" s="81">
        <v>45925.954976851855</v>
      </c>
      <c r="B173" s="82">
        <v>189336944</v>
      </c>
      <c r="C173" s="83" t="s">
        <v>103</v>
      </c>
      <c r="D173" s="83" t="s">
        <v>37</v>
      </c>
      <c r="E173" s="83" t="s">
        <v>44</v>
      </c>
      <c r="F173" s="83" t="s">
        <v>104</v>
      </c>
      <c r="G173" s="84">
        <v>3747.32</v>
      </c>
      <c r="H173" s="82">
        <v>177610626</v>
      </c>
      <c r="I173" s="84">
        <v>0</v>
      </c>
      <c r="J173" s="84">
        <v>0</v>
      </c>
      <c r="K173" s="84">
        <v>0</v>
      </c>
      <c r="L173" s="84">
        <v>0</v>
      </c>
      <c r="M173" s="84">
        <v>18.77</v>
      </c>
      <c r="N173" s="83" t="s">
        <v>118</v>
      </c>
      <c r="O173" s="14">
        <f t="shared" si="30"/>
        <v>45925.954976851855</v>
      </c>
      <c r="P173" s="19">
        <f t="shared" si="31"/>
        <v>45926.163310185191</v>
      </c>
      <c r="Q173" s="20" t="str">
        <f t="shared" si="32"/>
        <v>26/09/2025</v>
      </c>
      <c r="R173" s="13" t="str">
        <f t="shared" si="33"/>
        <v>03</v>
      </c>
      <c r="S173" s="13" t="str">
        <f t="shared" si="34"/>
        <v>Fri</v>
      </c>
    </row>
    <row r="174" spans="1:19" x14ac:dyDescent="0.25">
      <c r="A174" s="77">
        <v>45925.969178240739</v>
      </c>
      <c r="B174" s="78">
        <v>189339360</v>
      </c>
      <c r="C174" s="79" t="s">
        <v>103</v>
      </c>
      <c r="D174" s="79" t="s">
        <v>36</v>
      </c>
      <c r="E174" s="79" t="s">
        <v>45</v>
      </c>
      <c r="F174" s="79" t="s">
        <v>104</v>
      </c>
      <c r="G174" s="80">
        <v>3750.44</v>
      </c>
      <c r="H174" s="78">
        <v>177612948</v>
      </c>
      <c r="I174" s="80">
        <v>0</v>
      </c>
      <c r="J174" s="80">
        <v>0</v>
      </c>
      <c r="K174" s="80">
        <v>0</v>
      </c>
      <c r="L174" s="80">
        <v>-0.31</v>
      </c>
      <c r="M174" s="80">
        <v>18.46</v>
      </c>
      <c r="N174" s="79" t="s">
        <v>307</v>
      </c>
      <c r="O174" s="14">
        <f t="shared" si="30"/>
        <v>45925.969178240739</v>
      </c>
      <c r="P174" s="19">
        <f t="shared" si="31"/>
        <v>45926.177511574075</v>
      </c>
      <c r="Q174" s="20" t="str">
        <f t="shared" si="32"/>
        <v>26/09/2025</v>
      </c>
      <c r="R174" s="13" t="str">
        <f t="shared" si="33"/>
        <v>04</v>
      </c>
      <c r="S174" s="13" t="str">
        <f t="shared" si="34"/>
        <v>Fri</v>
      </c>
    </row>
    <row r="175" spans="1:19" x14ac:dyDescent="0.25">
      <c r="A175" s="81">
        <v>45925.969675925924</v>
      </c>
      <c r="B175" s="82">
        <v>189339454</v>
      </c>
      <c r="C175" s="83" t="s">
        <v>103</v>
      </c>
      <c r="D175" s="83" t="s">
        <v>36</v>
      </c>
      <c r="E175" s="83" t="s">
        <v>44</v>
      </c>
      <c r="F175" s="83" t="s">
        <v>104</v>
      </c>
      <c r="G175" s="84">
        <v>3750.3</v>
      </c>
      <c r="H175" s="82">
        <v>177613038</v>
      </c>
      <c r="I175" s="84">
        <v>0</v>
      </c>
      <c r="J175" s="84">
        <v>0</v>
      </c>
      <c r="K175" s="84">
        <v>0</v>
      </c>
      <c r="L175" s="84">
        <v>0</v>
      </c>
      <c r="M175" s="84">
        <v>18.46</v>
      </c>
      <c r="N175" s="83" t="s">
        <v>118</v>
      </c>
      <c r="O175" s="14">
        <f t="shared" si="30"/>
        <v>45925.969675925924</v>
      </c>
      <c r="P175" s="19">
        <f t="shared" si="31"/>
        <v>45926.17800925926</v>
      </c>
      <c r="Q175" s="20" t="str">
        <f t="shared" si="32"/>
        <v>26/09/2025</v>
      </c>
      <c r="R175" s="13" t="str">
        <f t="shared" si="33"/>
        <v>04</v>
      </c>
      <c r="S175" s="13" t="str">
        <f t="shared" si="34"/>
        <v>Fri</v>
      </c>
    </row>
    <row r="176" spans="1:19" x14ac:dyDescent="0.25">
      <c r="A176" s="77">
        <v>45925.984340277777</v>
      </c>
      <c r="B176" s="78">
        <v>189340705</v>
      </c>
      <c r="C176" s="79" t="s">
        <v>103</v>
      </c>
      <c r="D176" s="79" t="s">
        <v>36</v>
      </c>
      <c r="E176" s="79" t="s">
        <v>45</v>
      </c>
      <c r="F176" s="79" t="s">
        <v>104</v>
      </c>
      <c r="G176" s="80">
        <v>3750.71</v>
      </c>
      <c r="H176" s="78">
        <v>177614169</v>
      </c>
      <c r="I176" s="80">
        <v>0</v>
      </c>
      <c r="J176" s="80">
        <v>0</v>
      </c>
      <c r="K176" s="80">
        <v>0</v>
      </c>
      <c r="L176" s="80">
        <v>-0.3</v>
      </c>
      <c r="M176" s="80">
        <v>18.16</v>
      </c>
      <c r="N176" s="79" t="s">
        <v>308</v>
      </c>
      <c r="O176" s="14">
        <f t="shared" si="30"/>
        <v>45925.984340277777</v>
      </c>
      <c r="P176" s="19">
        <f t="shared" si="31"/>
        <v>45926.192673611113</v>
      </c>
      <c r="Q176" s="20" t="str">
        <f t="shared" si="32"/>
        <v>26/09/2025</v>
      </c>
      <c r="R176" s="13" t="str">
        <f t="shared" si="33"/>
        <v>04</v>
      </c>
      <c r="S176" s="13" t="str">
        <f t="shared" si="34"/>
        <v>Fri</v>
      </c>
    </row>
    <row r="177" spans="1:19" x14ac:dyDescent="0.25">
      <c r="A177" s="81">
        <v>45925.985069444447</v>
      </c>
      <c r="B177" s="82">
        <v>189340799</v>
      </c>
      <c r="C177" s="83" t="s">
        <v>103</v>
      </c>
      <c r="D177" s="83" t="s">
        <v>36</v>
      </c>
      <c r="E177" s="83" t="s">
        <v>44</v>
      </c>
      <c r="F177" s="83" t="s">
        <v>104</v>
      </c>
      <c r="G177" s="84">
        <v>3750.68</v>
      </c>
      <c r="H177" s="82">
        <v>177614240</v>
      </c>
      <c r="I177" s="84">
        <v>0</v>
      </c>
      <c r="J177" s="84">
        <v>0</v>
      </c>
      <c r="K177" s="84">
        <v>0</v>
      </c>
      <c r="L177" s="84">
        <v>0</v>
      </c>
      <c r="M177" s="84">
        <v>18.16</v>
      </c>
      <c r="N177" s="83" t="s">
        <v>93</v>
      </c>
      <c r="O177" s="14">
        <f t="shared" si="30"/>
        <v>45925.985069444447</v>
      </c>
      <c r="P177" s="19">
        <f t="shared" si="31"/>
        <v>45926.193402777782</v>
      </c>
      <c r="Q177" s="20" t="str">
        <f t="shared" si="32"/>
        <v>26/09/2025</v>
      </c>
      <c r="R177" s="13" t="str">
        <f t="shared" si="33"/>
        <v>04</v>
      </c>
      <c r="S177" s="13" t="str">
        <f t="shared" si="34"/>
        <v>Fri</v>
      </c>
    </row>
    <row r="178" spans="1:19" x14ac:dyDescent="0.25">
      <c r="A178" s="77">
        <v>45926.043854166666</v>
      </c>
      <c r="B178" s="78">
        <v>189345929</v>
      </c>
      <c r="C178" s="79" t="s">
        <v>103</v>
      </c>
      <c r="D178" s="79" t="s">
        <v>37</v>
      </c>
      <c r="E178" s="79" t="s">
        <v>45</v>
      </c>
      <c r="F178" s="79" t="s">
        <v>104</v>
      </c>
      <c r="G178" s="80">
        <v>3747.61</v>
      </c>
      <c r="H178" s="78">
        <v>177617720</v>
      </c>
      <c r="I178" s="80">
        <v>0</v>
      </c>
      <c r="J178" s="80">
        <v>0</v>
      </c>
      <c r="K178" s="80">
        <v>0</v>
      </c>
      <c r="L178" s="80">
        <v>-0.31</v>
      </c>
      <c r="M178" s="80">
        <v>17.850000000000001</v>
      </c>
      <c r="N178" s="79" t="s">
        <v>309</v>
      </c>
      <c r="O178" s="14">
        <f t="shared" si="30"/>
        <v>45926.043854166666</v>
      </c>
      <c r="P178" s="19">
        <f t="shared" si="31"/>
        <v>45926.252187500002</v>
      </c>
      <c r="Q178" s="20" t="str">
        <f t="shared" si="32"/>
        <v>26/09/2025</v>
      </c>
      <c r="R178" s="13" t="str">
        <f t="shared" si="33"/>
        <v>06</v>
      </c>
      <c r="S178" s="13" t="str">
        <f t="shared" si="34"/>
        <v>Fri</v>
      </c>
    </row>
    <row r="179" spans="1:19" x14ac:dyDescent="0.25">
      <c r="A179" s="81">
        <v>45926.04488425926</v>
      </c>
      <c r="B179" s="82">
        <v>189346042</v>
      </c>
      <c r="C179" s="83" t="s">
        <v>103</v>
      </c>
      <c r="D179" s="83" t="s">
        <v>37</v>
      </c>
      <c r="E179" s="83" t="s">
        <v>45</v>
      </c>
      <c r="F179" s="83" t="s">
        <v>104</v>
      </c>
      <c r="G179" s="84">
        <v>3747.26</v>
      </c>
      <c r="H179" s="82">
        <v>177617827</v>
      </c>
      <c r="I179" s="84">
        <v>0</v>
      </c>
      <c r="J179" s="84">
        <v>0</v>
      </c>
      <c r="K179" s="84">
        <v>0</v>
      </c>
      <c r="L179" s="84">
        <v>-0.3</v>
      </c>
      <c r="M179" s="84">
        <v>17.55</v>
      </c>
      <c r="N179" s="83" t="s">
        <v>310</v>
      </c>
      <c r="O179" s="14">
        <f t="shared" si="30"/>
        <v>45926.04488425926</v>
      </c>
      <c r="P179" s="19">
        <f t="shared" si="31"/>
        <v>45926.253217592595</v>
      </c>
      <c r="Q179" s="20" t="str">
        <f t="shared" si="32"/>
        <v>26/09/2025</v>
      </c>
      <c r="R179" s="13" t="str">
        <f t="shared" si="33"/>
        <v>06</v>
      </c>
      <c r="S179" s="13" t="str">
        <f t="shared" si="34"/>
        <v>Fri</v>
      </c>
    </row>
    <row r="180" spans="1:19" x14ac:dyDescent="0.25">
      <c r="A180" s="77">
        <v>45926.101493055554</v>
      </c>
      <c r="B180" s="78">
        <v>189354502</v>
      </c>
      <c r="C180" s="79" t="s">
        <v>103</v>
      </c>
      <c r="D180" s="79" t="s">
        <v>37</v>
      </c>
      <c r="E180" s="79" t="s">
        <v>44</v>
      </c>
      <c r="F180" s="79" t="s">
        <v>104</v>
      </c>
      <c r="G180" s="80">
        <v>3741.31</v>
      </c>
      <c r="H180" s="78">
        <v>177625795</v>
      </c>
      <c r="I180" s="80">
        <v>0</v>
      </c>
      <c r="J180" s="80">
        <v>0</v>
      </c>
      <c r="K180" s="80">
        <v>0</v>
      </c>
      <c r="L180" s="80">
        <v>0</v>
      </c>
      <c r="M180" s="80">
        <v>17.55</v>
      </c>
      <c r="N180" s="79" t="s">
        <v>93</v>
      </c>
      <c r="O180" s="14">
        <f t="shared" si="30"/>
        <v>45926.101493055554</v>
      </c>
      <c r="P180" s="19">
        <f t="shared" si="31"/>
        <v>45926.30982638889</v>
      </c>
      <c r="Q180" s="20" t="str">
        <f t="shared" si="32"/>
        <v>26/09/2025</v>
      </c>
      <c r="R180" s="13" t="str">
        <f t="shared" si="33"/>
        <v>07</v>
      </c>
      <c r="S180" s="13" t="str">
        <f t="shared" si="34"/>
        <v>Fri</v>
      </c>
    </row>
    <row r="181" spans="1:19" x14ac:dyDescent="0.25">
      <c r="A181" s="81">
        <v>45926.102280092593</v>
      </c>
      <c r="B181" s="82">
        <v>189354854</v>
      </c>
      <c r="C181" s="83" t="s">
        <v>103</v>
      </c>
      <c r="D181" s="83" t="s">
        <v>36</v>
      </c>
      <c r="E181" s="83" t="s">
        <v>45</v>
      </c>
      <c r="F181" s="83" t="s">
        <v>104</v>
      </c>
      <c r="G181" s="84">
        <v>3742.79</v>
      </c>
      <c r="H181" s="82">
        <v>177626132</v>
      </c>
      <c r="I181" s="84">
        <v>0</v>
      </c>
      <c r="J181" s="84">
        <v>0</v>
      </c>
      <c r="K181" s="84">
        <v>0</v>
      </c>
      <c r="L181" s="84">
        <v>-0.15</v>
      </c>
      <c r="M181" s="84">
        <v>17.399999999999999</v>
      </c>
      <c r="N181" s="83"/>
      <c r="O181" s="14">
        <f t="shared" si="30"/>
        <v>45926.102280092593</v>
      </c>
      <c r="P181" s="19">
        <f t="shared" si="31"/>
        <v>45926.310613425929</v>
      </c>
      <c r="Q181" s="20" t="str">
        <f t="shared" si="32"/>
        <v>26/09/2025</v>
      </c>
      <c r="R181" s="13" t="str">
        <f t="shared" si="33"/>
        <v>07</v>
      </c>
      <c r="S181" s="13" t="str">
        <f t="shared" si="34"/>
        <v>Fri</v>
      </c>
    </row>
    <row r="182" spans="1:19" x14ac:dyDescent="0.25">
      <c r="A182" s="77">
        <v>45926.103113425925</v>
      </c>
      <c r="B182" s="78">
        <v>189354960</v>
      </c>
      <c r="C182" s="79" t="s">
        <v>103</v>
      </c>
      <c r="D182" s="79" t="s">
        <v>37</v>
      </c>
      <c r="E182" s="79" t="s">
        <v>44</v>
      </c>
      <c r="F182" s="79" t="s">
        <v>104</v>
      </c>
      <c r="G182" s="80">
        <v>3742.52</v>
      </c>
      <c r="H182" s="78">
        <v>177626238</v>
      </c>
      <c r="I182" s="80">
        <v>0</v>
      </c>
      <c r="J182" s="80">
        <v>0</v>
      </c>
      <c r="K182" s="80">
        <v>0</v>
      </c>
      <c r="L182" s="80">
        <v>0</v>
      </c>
      <c r="M182" s="80">
        <v>17.399999999999999</v>
      </c>
      <c r="N182" s="79" t="s">
        <v>93</v>
      </c>
      <c r="O182" s="14">
        <f t="shared" si="30"/>
        <v>45926.103113425925</v>
      </c>
      <c r="P182" s="19">
        <f t="shared" si="31"/>
        <v>45926.31144675926</v>
      </c>
      <c r="Q182" s="20" t="str">
        <f t="shared" si="32"/>
        <v>26/09/2025</v>
      </c>
      <c r="R182" s="13" t="str">
        <f t="shared" si="33"/>
        <v>07</v>
      </c>
      <c r="S182" s="13" t="str">
        <f t="shared" si="34"/>
        <v>Fri</v>
      </c>
    </row>
    <row r="183" spans="1:19" x14ac:dyDescent="0.25">
      <c r="A183" s="81">
        <v>45926.119618055556</v>
      </c>
      <c r="B183" s="82">
        <v>189358018</v>
      </c>
      <c r="C183" s="83" t="s">
        <v>103</v>
      </c>
      <c r="D183" s="83" t="s">
        <v>36</v>
      </c>
      <c r="E183" s="83" t="s">
        <v>45</v>
      </c>
      <c r="F183" s="83" t="s">
        <v>104</v>
      </c>
      <c r="G183" s="84">
        <v>3745.6</v>
      </c>
      <c r="H183" s="82">
        <v>177629117</v>
      </c>
      <c r="I183" s="84">
        <v>0</v>
      </c>
      <c r="J183" s="84">
        <v>0</v>
      </c>
      <c r="K183" s="84">
        <v>0</v>
      </c>
      <c r="L183" s="84">
        <v>-0.31</v>
      </c>
      <c r="M183" s="84">
        <v>17.09</v>
      </c>
      <c r="N183" s="83" t="s">
        <v>311</v>
      </c>
      <c r="O183" s="14">
        <f t="shared" si="30"/>
        <v>45926.119618055556</v>
      </c>
      <c r="P183" s="19">
        <f t="shared" si="31"/>
        <v>45926.327951388892</v>
      </c>
      <c r="Q183" s="20" t="str">
        <f t="shared" si="32"/>
        <v>26/09/2025</v>
      </c>
      <c r="R183" s="13" t="str">
        <f t="shared" si="33"/>
        <v>07</v>
      </c>
      <c r="S183" s="13" t="str">
        <f t="shared" si="34"/>
        <v>Fri</v>
      </c>
    </row>
    <row r="184" spans="1:19" x14ac:dyDescent="0.25">
      <c r="A184" s="77">
        <v>45926.124525462961</v>
      </c>
      <c r="B184" s="78">
        <v>189358652</v>
      </c>
      <c r="C184" s="79" t="s">
        <v>103</v>
      </c>
      <c r="D184" s="79" t="s">
        <v>36</v>
      </c>
      <c r="E184" s="79" t="s">
        <v>44</v>
      </c>
      <c r="F184" s="79" t="s">
        <v>104</v>
      </c>
      <c r="G184" s="80">
        <v>3745.07</v>
      </c>
      <c r="H184" s="78">
        <v>177629764</v>
      </c>
      <c r="I184" s="80">
        <v>0</v>
      </c>
      <c r="J184" s="80">
        <v>0</v>
      </c>
      <c r="K184" s="80">
        <v>0</v>
      </c>
      <c r="L184" s="80">
        <v>0</v>
      </c>
      <c r="M184" s="80">
        <v>17.09</v>
      </c>
      <c r="N184" s="79" t="s">
        <v>93</v>
      </c>
      <c r="O184" s="14">
        <f t="shared" si="30"/>
        <v>45926.124525462961</v>
      </c>
      <c r="P184" s="19">
        <f t="shared" si="31"/>
        <v>45926.332858796297</v>
      </c>
      <c r="Q184" s="20" t="str">
        <f t="shared" si="32"/>
        <v>26/09/2025</v>
      </c>
      <c r="R184" s="13" t="str">
        <f t="shared" si="33"/>
        <v>07</v>
      </c>
      <c r="S184" s="13" t="str">
        <f t="shared" si="34"/>
        <v>Fri</v>
      </c>
    </row>
    <row r="185" spans="1:19" x14ac:dyDescent="0.25">
      <c r="A185" s="81">
        <v>45926.126342592594</v>
      </c>
      <c r="B185" s="82">
        <v>189359586</v>
      </c>
      <c r="C185" s="83" t="s">
        <v>103</v>
      </c>
      <c r="D185" s="83" t="s">
        <v>37</v>
      </c>
      <c r="E185" s="83" t="s">
        <v>45</v>
      </c>
      <c r="F185" s="83" t="s">
        <v>104</v>
      </c>
      <c r="G185" s="84">
        <v>3748.63</v>
      </c>
      <c r="H185" s="82">
        <v>177630640</v>
      </c>
      <c r="I185" s="84">
        <v>0</v>
      </c>
      <c r="J185" s="84">
        <v>0</v>
      </c>
      <c r="K185" s="84">
        <v>0</v>
      </c>
      <c r="L185" s="84">
        <v>0.36</v>
      </c>
      <c r="M185" s="84">
        <v>17.45</v>
      </c>
      <c r="N185" s="83" t="s">
        <v>312</v>
      </c>
      <c r="O185" s="14">
        <f t="shared" si="30"/>
        <v>45926.126342592594</v>
      </c>
      <c r="P185" s="19">
        <f t="shared" si="31"/>
        <v>45926.334675925929</v>
      </c>
      <c r="Q185" s="20" t="str">
        <f t="shared" si="32"/>
        <v>26/09/2025</v>
      </c>
      <c r="R185" s="13" t="str">
        <f t="shared" si="33"/>
        <v>08</v>
      </c>
      <c r="S185" s="13" t="str">
        <f t="shared" si="34"/>
        <v>Fri</v>
      </c>
    </row>
    <row r="186" spans="1:19" x14ac:dyDescent="0.25">
      <c r="A186" s="77">
        <v>45926.128807870373</v>
      </c>
      <c r="B186" s="78">
        <v>189360404</v>
      </c>
      <c r="C186" s="79" t="s">
        <v>103</v>
      </c>
      <c r="D186" s="79" t="s">
        <v>36</v>
      </c>
      <c r="E186" s="79" t="s">
        <v>44</v>
      </c>
      <c r="F186" s="79" t="s">
        <v>104</v>
      </c>
      <c r="G186" s="80">
        <v>3745.99</v>
      </c>
      <c r="H186" s="78">
        <v>177631427</v>
      </c>
      <c r="I186" s="80">
        <v>0</v>
      </c>
      <c r="J186" s="80">
        <v>0</v>
      </c>
      <c r="K186" s="80">
        <v>0</v>
      </c>
      <c r="L186" s="80">
        <v>0</v>
      </c>
      <c r="M186" s="80">
        <v>17.45</v>
      </c>
      <c r="N186" s="79" t="s">
        <v>93</v>
      </c>
      <c r="O186" s="14">
        <f t="shared" si="30"/>
        <v>45926.128807870373</v>
      </c>
      <c r="P186" s="19">
        <f t="shared" si="31"/>
        <v>45926.337141203709</v>
      </c>
      <c r="Q186" s="20" t="str">
        <f t="shared" si="32"/>
        <v>26/09/2025</v>
      </c>
      <c r="R186" s="13" t="str">
        <f t="shared" si="33"/>
        <v>08</v>
      </c>
      <c r="S186" s="13" t="str">
        <f t="shared" si="34"/>
        <v>Fri</v>
      </c>
    </row>
    <row r="187" spans="1:19" x14ac:dyDescent="0.25">
      <c r="A187" s="81">
        <v>45926.130567129629</v>
      </c>
      <c r="B187" s="82">
        <v>189361087</v>
      </c>
      <c r="C187" s="83" t="s">
        <v>103</v>
      </c>
      <c r="D187" s="83" t="s">
        <v>37</v>
      </c>
      <c r="E187" s="83" t="s">
        <v>45</v>
      </c>
      <c r="F187" s="83" t="s">
        <v>104</v>
      </c>
      <c r="G187" s="84">
        <v>3742.93</v>
      </c>
      <c r="H187" s="82">
        <v>177632079</v>
      </c>
      <c r="I187" s="84">
        <v>0</v>
      </c>
      <c r="J187" s="84">
        <v>0</v>
      </c>
      <c r="K187" s="84">
        <v>0</v>
      </c>
      <c r="L187" s="84">
        <v>-0.31</v>
      </c>
      <c r="M187" s="84">
        <v>17.14</v>
      </c>
      <c r="N187" s="83" t="s">
        <v>313</v>
      </c>
      <c r="O187" s="14">
        <f t="shared" si="30"/>
        <v>45926.130567129629</v>
      </c>
      <c r="P187" s="19">
        <f t="shared" si="31"/>
        <v>45926.338900462964</v>
      </c>
      <c r="Q187" s="20" t="str">
        <f t="shared" si="32"/>
        <v>26/09/2025</v>
      </c>
      <c r="R187" s="13" t="str">
        <f t="shared" si="33"/>
        <v>08</v>
      </c>
      <c r="S187" s="13" t="str">
        <f t="shared" si="34"/>
        <v>Fri</v>
      </c>
    </row>
    <row r="188" spans="1:19" x14ac:dyDescent="0.25">
      <c r="A188" s="77">
        <v>45926.13621527778</v>
      </c>
      <c r="B188" s="78">
        <v>189362482</v>
      </c>
      <c r="C188" s="79" t="s">
        <v>103</v>
      </c>
      <c r="D188" s="79" t="s">
        <v>36</v>
      </c>
      <c r="E188" s="79" t="s">
        <v>44</v>
      </c>
      <c r="F188" s="79" t="s">
        <v>104</v>
      </c>
      <c r="G188" s="80">
        <v>3746.22</v>
      </c>
      <c r="H188" s="78">
        <v>177633392</v>
      </c>
      <c r="I188" s="80">
        <v>0</v>
      </c>
      <c r="J188" s="80">
        <v>0</v>
      </c>
      <c r="K188" s="80">
        <v>0</v>
      </c>
      <c r="L188" s="80">
        <v>0</v>
      </c>
      <c r="M188" s="80">
        <v>17.14</v>
      </c>
      <c r="N188" s="79" t="s">
        <v>93</v>
      </c>
      <c r="O188" s="14">
        <f t="shared" si="30"/>
        <v>45926.13621527778</v>
      </c>
      <c r="P188" s="19">
        <f t="shared" si="31"/>
        <v>45926.344548611116</v>
      </c>
      <c r="Q188" s="20" t="str">
        <f t="shared" si="32"/>
        <v>26/09/2025</v>
      </c>
      <c r="R188" s="13" t="str">
        <f t="shared" si="33"/>
        <v>08</v>
      </c>
      <c r="S188" s="13" t="str">
        <f t="shared" si="34"/>
        <v>Fri</v>
      </c>
    </row>
    <row r="189" spans="1:19" x14ac:dyDescent="0.25">
      <c r="A189" s="81">
        <v>45926.143437500003</v>
      </c>
      <c r="B189" s="82">
        <v>189364092</v>
      </c>
      <c r="C189" s="83" t="s">
        <v>103</v>
      </c>
      <c r="D189" s="83" t="s">
        <v>37</v>
      </c>
      <c r="E189" s="83" t="s">
        <v>45</v>
      </c>
      <c r="F189" s="83" t="s">
        <v>104</v>
      </c>
      <c r="G189" s="84">
        <v>3743.21</v>
      </c>
      <c r="H189" s="82">
        <v>177634951</v>
      </c>
      <c r="I189" s="84">
        <v>0</v>
      </c>
      <c r="J189" s="84">
        <v>0</v>
      </c>
      <c r="K189" s="84">
        <v>0</v>
      </c>
      <c r="L189" s="84">
        <v>-0.3</v>
      </c>
      <c r="M189" s="84">
        <v>16.84</v>
      </c>
      <c r="N189" s="83" t="s">
        <v>314</v>
      </c>
      <c r="O189" s="14">
        <f t="shared" si="30"/>
        <v>45926.143437500003</v>
      </c>
      <c r="P189" s="19">
        <f t="shared" si="31"/>
        <v>45926.351770833338</v>
      </c>
      <c r="Q189" s="20" t="str">
        <f t="shared" si="32"/>
        <v>26/09/2025</v>
      </c>
      <c r="R189" s="13" t="str">
        <f t="shared" si="33"/>
        <v>08</v>
      </c>
      <c r="S189" s="13" t="str">
        <f t="shared" si="34"/>
        <v>Fri</v>
      </c>
    </row>
    <row r="190" spans="1:19" x14ac:dyDescent="0.25">
      <c r="A190" s="77">
        <v>45926.14640046296</v>
      </c>
      <c r="B190" s="78">
        <v>189365392</v>
      </c>
      <c r="C190" s="79" t="s">
        <v>103</v>
      </c>
      <c r="D190" s="79" t="s">
        <v>37</v>
      </c>
      <c r="E190" s="79" t="s">
        <v>44</v>
      </c>
      <c r="F190" s="79" t="s">
        <v>104</v>
      </c>
      <c r="G190" s="80">
        <v>3742.81</v>
      </c>
      <c r="H190" s="78">
        <v>177636197</v>
      </c>
      <c r="I190" s="80">
        <v>0</v>
      </c>
      <c r="J190" s="80">
        <v>0</v>
      </c>
      <c r="K190" s="80">
        <v>0</v>
      </c>
      <c r="L190" s="80">
        <v>0</v>
      </c>
      <c r="M190" s="80">
        <v>16.84</v>
      </c>
      <c r="N190" s="79" t="s">
        <v>93</v>
      </c>
      <c r="O190" s="14">
        <f t="shared" si="30"/>
        <v>45926.14640046296</v>
      </c>
      <c r="P190" s="19">
        <f t="shared" si="31"/>
        <v>45926.354733796295</v>
      </c>
      <c r="Q190" s="20" t="str">
        <f t="shared" si="32"/>
        <v>26/09/2025</v>
      </c>
      <c r="R190" s="13" t="str">
        <f t="shared" si="33"/>
        <v>08</v>
      </c>
      <c r="S190" s="13" t="str">
        <f t="shared" si="34"/>
        <v>Fri</v>
      </c>
    </row>
    <row r="191" spans="1:19" x14ac:dyDescent="0.25">
      <c r="A191" s="81">
        <v>45926.151921296296</v>
      </c>
      <c r="B191" s="82">
        <v>189366773</v>
      </c>
      <c r="C191" s="83" t="s">
        <v>103</v>
      </c>
      <c r="D191" s="83" t="s">
        <v>36</v>
      </c>
      <c r="E191" s="83" t="s">
        <v>45</v>
      </c>
      <c r="F191" s="83" t="s">
        <v>104</v>
      </c>
      <c r="G191" s="84">
        <v>3745.83</v>
      </c>
      <c r="H191" s="82">
        <v>177637533</v>
      </c>
      <c r="I191" s="84">
        <v>0</v>
      </c>
      <c r="J191" s="84">
        <v>0</v>
      </c>
      <c r="K191" s="84">
        <v>0</v>
      </c>
      <c r="L191" s="84">
        <v>-0.3</v>
      </c>
      <c r="M191" s="84">
        <v>16.54</v>
      </c>
      <c r="N191" s="83" t="s">
        <v>315</v>
      </c>
      <c r="O191" s="14">
        <f t="shared" si="30"/>
        <v>45926.151921296296</v>
      </c>
      <c r="P191" s="19">
        <f t="shared" si="31"/>
        <v>45926.360254629632</v>
      </c>
      <c r="Q191" s="20" t="str">
        <f t="shared" si="32"/>
        <v>26/09/2025</v>
      </c>
      <c r="R191" s="13" t="str">
        <f t="shared" si="33"/>
        <v>08</v>
      </c>
      <c r="S191" s="13" t="str">
        <f t="shared" si="34"/>
        <v>Fri</v>
      </c>
    </row>
    <row r="192" spans="1:19" x14ac:dyDescent="0.25">
      <c r="A192" s="77">
        <v>45926.165613425925</v>
      </c>
      <c r="B192" s="78">
        <v>189369611</v>
      </c>
      <c r="C192" s="79" t="s">
        <v>103</v>
      </c>
      <c r="D192" s="79" t="s">
        <v>36</v>
      </c>
      <c r="E192" s="79" t="s">
        <v>44</v>
      </c>
      <c r="F192" s="79" t="s">
        <v>104</v>
      </c>
      <c r="G192" s="80">
        <v>3748.57</v>
      </c>
      <c r="H192" s="78">
        <v>177640141</v>
      </c>
      <c r="I192" s="80">
        <v>0</v>
      </c>
      <c r="J192" s="80">
        <v>0</v>
      </c>
      <c r="K192" s="80">
        <v>0</v>
      </c>
      <c r="L192" s="80">
        <v>0</v>
      </c>
      <c r="M192" s="80">
        <v>16.54</v>
      </c>
      <c r="N192" s="79" t="s">
        <v>93</v>
      </c>
      <c r="O192" s="14">
        <f t="shared" si="30"/>
        <v>45926.165613425925</v>
      </c>
      <c r="P192" s="19">
        <f t="shared" si="31"/>
        <v>45926.37394675926</v>
      </c>
      <c r="Q192" s="20" t="str">
        <f t="shared" si="32"/>
        <v>26/09/2025</v>
      </c>
      <c r="R192" s="13" t="str">
        <f t="shared" si="33"/>
        <v>08</v>
      </c>
      <c r="S192" s="13" t="str">
        <f t="shared" si="34"/>
        <v>Fri</v>
      </c>
    </row>
    <row r="193" spans="1:19" x14ac:dyDescent="0.25">
      <c r="A193" s="81">
        <v>45926.170590277776</v>
      </c>
      <c r="B193" s="82">
        <v>189371725</v>
      </c>
      <c r="C193" s="83" t="s">
        <v>103</v>
      </c>
      <c r="D193" s="83" t="s">
        <v>37</v>
      </c>
      <c r="E193" s="83" t="s">
        <v>45</v>
      </c>
      <c r="F193" s="83" t="s">
        <v>104</v>
      </c>
      <c r="G193" s="84">
        <v>3751.98</v>
      </c>
      <c r="H193" s="82">
        <v>177642114</v>
      </c>
      <c r="I193" s="84">
        <v>0</v>
      </c>
      <c r="J193" s="84">
        <v>0</v>
      </c>
      <c r="K193" s="84">
        <v>0</v>
      </c>
      <c r="L193" s="84">
        <v>0.34</v>
      </c>
      <c r="M193" s="84">
        <v>16.88</v>
      </c>
      <c r="N193" s="83" t="s">
        <v>316</v>
      </c>
      <c r="O193" s="14">
        <f t="shared" si="30"/>
        <v>45926.170590277776</v>
      </c>
      <c r="P193" s="19">
        <f t="shared" si="31"/>
        <v>45926.378923611112</v>
      </c>
      <c r="Q193" s="20" t="str">
        <f t="shared" si="32"/>
        <v>26/09/2025</v>
      </c>
      <c r="R193" s="13" t="str">
        <f t="shared" si="33"/>
        <v>09</v>
      </c>
      <c r="S193" s="13" t="str">
        <f t="shared" si="34"/>
        <v>Fri</v>
      </c>
    </row>
    <row r="194" spans="1:19" x14ac:dyDescent="0.25">
      <c r="A194" s="77">
        <v>45926.17255787037</v>
      </c>
      <c r="B194" s="78">
        <v>189373021</v>
      </c>
      <c r="C194" s="79" t="s">
        <v>103</v>
      </c>
      <c r="D194" s="79" t="s">
        <v>36</v>
      </c>
      <c r="E194" s="79" t="s">
        <v>44</v>
      </c>
      <c r="F194" s="79" t="s">
        <v>104</v>
      </c>
      <c r="G194" s="80">
        <v>3751.04</v>
      </c>
      <c r="H194" s="78">
        <v>177643324</v>
      </c>
      <c r="I194" s="80">
        <v>0</v>
      </c>
      <c r="J194" s="80">
        <v>0</v>
      </c>
      <c r="K194" s="80">
        <v>0</v>
      </c>
      <c r="L194" s="80">
        <v>0</v>
      </c>
      <c r="M194" s="80">
        <v>16.88</v>
      </c>
      <c r="N194" s="79" t="s">
        <v>93</v>
      </c>
      <c r="O194" s="14">
        <f t="shared" si="30"/>
        <v>45926.17255787037</v>
      </c>
      <c r="P194" s="19">
        <f t="shared" si="31"/>
        <v>45926.380891203706</v>
      </c>
      <c r="Q194" s="20" t="str">
        <f t="shared" si="32"/>
        <v>26/09/2025</v>
      </c>
      <c r="R194" s="13" t="str">
        <f t="shared" si="33"/>
        <v>09</v>
      </c>
      <c r="S194" s="13" t="str">
        <f t="shared" si="34"/>
        <v>Fri</v>
      </c>
    </row>
    <row r="195" spans="1:19" x14ac:dyDescent="0.25">
      <c r="A195" s="81">
        <v>45926.173900462964</v>
      </c>
      <c r="B195" s="82">
        <v>189373677</v>
      </c>
      <c r="C195" s="83" t="s">
        <v>103</v>
      </c>
      <c r="D195" s="83" t="s">
        <v>37</v>
      </c>
      <c r="E195" s="83" t="s">
        <v>45</v>
      </c>
      <c r="F195" s="83" t="s">
        <v>104</v>
      </c>
      <c r="G195" s="84">
        <v>3747.83</v>
      </c>
      <c r="H195" s="82">
        <v>177643962</v>
      </c>
      <c r="I195" s="84">
        <v>0</v>
      </c>
      <c r="J195" s="84">
        <v>0</v>
      </c>
      <c r="K195" s="84">
        <v>0</v>
      </c>
      <c r="L195" s="84">
        <v>-0.32</v>
      </c>
      <c r="M195" s="84">
        <v>16.559999999999999</v>
      </c>
      <c r="N195" s="83" t="s">
        <v>317</v>
      </c>
      <c r="O195" s="14">
        <f t="shared" si="30"/>
        <v>45926.173900462964</v>
      </c>
      <c r="P195" s="19">
        <f t="shared" si="31"/>
        <v>45926.382233796299</v>
      </c>
      <c r="Q195" s="20" t="str">
        <f t="shared" si="32"/>
        <v>26/09/2025</v>
      </c>
      <c r="R195" s="13" t="str">
        <f t="shared" si="33"/>
        <v>09</v>
      </c>
      <c r="S195" s="13" t="str">
        <f t="shared" si="34"/>
        <v>Fri</v>
      </c>
    </row>
    <row r="196" spans="1:19" x14ac:dyDescent="0.25">
      <c r="A196" s="77">
        <v>45926.183553240742</v>
      </c>
      <c r="B196" s="78">
        <v>189378572</v>
      </c>
      <c r="C196" s="79" t="s">
        <v>103</v>
      </c>
      <c r="D196" s="79" t="s">
        <v>37</v>
      </c>
      <c r="E196" s="79" t="s">
        <v>44</v>
      </c>
      <c r="F196" s="79" t="s">
        <v>104</v>
      </c>
      <c r="G196" s="80">
        <v>3740.79</v>
      </c>
      <c r="H196" s="78">
        <v>177648568</v>
      </c>
      <c r="I196" s="80">
        <v>0</v>
      </c>
      <c r="J196" s="80">
        <v>0</v>
      </c>
      <c r="K196" s="80">
        <v>0</v>
      </c>
      <c r="L196" s="80">
        <v>0</v>
      </c>
      <c r="M196" s="80">
        <v>16.559999999999999</v>
      </c>
      <c r="N196" s="79" t="s">
        <v>93</v>
      </c>
      <c r="O196" s="14">
        <f t="shared" ref="O196:O199" si="35">A196</f>
        <v>45926.183553240742</v>
      </c>
      <c r="P196" s="19">
        <f t="shared" ref="P196:P199" si="36">O196+(5/24)</f>
        <v>45926.391886574078</v>
      </c>
      <c r="Q196" s="20" t="str">
        <f t="shared" ref="Q196:Q199" si="37">TEXT(P196,"dd/mm/yyyy")</f>
        <v>26/09/2025</v>
      </c>
      <c r="R196" s="13" t="str">
        <f t="shared" ref="R196:R199" si="38">TEXT(P196,"hh")</f>
        <v>09</v>
      </c>
      <c r="S196" s="13" t="str">
        <f t="shared" ref="S196:S199" si="39">TEXT(P196,"ddd")</f>
        <v>Fri</v>
      </c>
    </row>
    <row r="197" spans="1:19" x14ac:dyDescent="0.25">
      <c r="A197" s="81">
        <v>45926.197928240741</v>
      </c>
      <c r="B197" s="82">
        <v>189382043</v>
      </c>
      <c r="C197" s="83" t="s">
        <v>103</v>
      </c>
      <c r="D197" s="83" t="s">
        <v>36</v>
      </c>
      <c r="E197" s="83" t="s">
        <v>45</v>
      </c>
      <c r="F197" s="83" t="s">
        <v>104</v>
      </c>
      <c r="G197" s="84">
        <v>3743.82</v>
      </c>
      <c r="H197" s="82">
        <v>177651899</v>
      </c>
      <c r="I197" s="84">
        <v>0</v>
      </c>
      <c r="J197" s="84">
        <v>0</v>
      </c>
      <c r="K197" s="84">
        <v>0</v>
      </c>
      <c r="L197" s="84">
        <v>-0.3</v>
      </c>
      <c r="M197" s="84">
        <v>16.260000000000002</v>
      </c>
      <c r="N197" s="83" t="s">
        <v>318</v>
      </c>
      <c r="O197" s="14">
        <f t="shared" si="35"/>
        <v>45926.197928240741</v>
      </c>
      <c r="P197" s="19">
        <f t="shared" si="36"/>
        <v>45926.406261574077</v>
      </c>
      <c r="Q197" s="20" t="str">
        <f t="shared" si="37"/>
        <v>26/09/2025</v>
      </c>
      <c r="R197" s="13" t="str">
        <f t="shared" si="38"/>
        <v>09</v>
      </c>
      <c r="S197" s="13" t="str">
        <f t="shared" si="39"/>
        <v>Fri</v>
      </c>
    </row>
    <row r="198" spans="1:19" x14ac:dyDescent="0.25">
      <c r="A198" s="77">
        <v>45926.202997685185</v>
      </c>
      <c r="B198" s="78">
        <v>189383913</v>
      </c>
      <c r="C198" s="79" t="s">
        <v>103</v>
      </c>
      <c r="D198" s="79" t="s">
        <v>37</v>
      </c>
      <c r="E198" s="79" t="s">
        <v>44</v>
      </c>
      <c r="F198" s="79" t="s">
        <v>104</v>
      </c>
      <c r="G198" s="80">
        <v>3740.44</v>
      </c>
      <c r="H198" s="78">
        <v>177653654</v>
      </c>
      <c r="I198" s="80">
        <v>0</v>
      </c>
      <c r="J198" s="80">
        <v>0</v>
      </c>
      <c r="K198" s="80">
        <v>0</v>
      </c>
      <c r="L198" s="80">
        <v>0</v>
      </c>
      <c r="M198" s="80">
        <v>16.260000000000002</v>
      </c>
      <c r="N198" s="79" t="s">
        <v>93</v>
      </c>
      <c r="O198" s="14">
        <f t="shared" si="35"/>
        <v>45926.202997685185</v>
      </c>
      <c r="P198" s="19">
        <f t="shared" si="36"/>
        <v>45926.41133101852</v>
      </c>
      <c r="Q198" s="20" t="str">
        <f t="shared" si="37"/>
        <v>26/09/2025</v>
      </c>
      <c r="R198" s="13" t="str">
        <f t="shared" si="38"/>
        <v>09</v>
      </c>
      <c r="S198" s="13" t="str">
        <f t="shared" si="39"/>
        <v>Fri</v>
      </c>
    </row>
    <row r="199" spans="1:19" x14ac:dyDescent="0.25">
      <c r="A199" s="81">
        <v>45926.250289351854</v>
      </c>
      <c r="B199" s="82">
        <v>189395251</v>
      </c>
      <c r="C199" s="83" t="s">
        <v>103</v>
      </c>
      <c r="D199" s="83" t="s">
        <v>36</v>
      </c>
      <c r="E199" s="83" t="s">
        <v>45</v>
      </c>
      <c r="F199" s="83" t="s">
        <v>104</v>
      </c>
      <c r="G199" s="84">
        <v>3736.94</v>
      </c>
      <c r="H199" s="82">
        <v>177664522</v>
      </c>
      <c r="I199" s="84">
        <v>0</v>
      </c>
      <c r="J199" s="84">
        <v>0</v>
      </c>
      <c r="K199" s="84">
        <v>0</v>
      </c>
      <c r="L199" s="84">
        <v>0.35</v>
      </c>
      <c r="M199" s="84">
        <v>16.61</v>
      </c>
      <c r="N199" s="83" t="s">
        <v>319</v>
      </c>
      <c r="O199" s="14">
        <f t="shared" si="35"/>
        <v>45926.250289351854</v>
      </c>
      <c r="P199" s="19">
        <f t="shared" si="36"/>
        <v>45926.45862268519</v>
      </c>
      <c r="Q199" s="20" t="str">
        <f t="shared" si="37"/>
        <v>26/09/2025</v>
      </c>
      <c r="R199" s="13" t="str">
        <f t="shared" si="38"/>
        <v>11</v>
      </c>
      <c r="S199" s="13" t="str">
        <f t="shared" si="39"/>
        <v>Fri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Strategy_Builder</vt:lpstr>
      <vt:lpstr>Overall</vt:lpstr>
      <vt:lpstr>Overall (01 00-04 00 &amp; 10 00-1)</vt:lpstr>
      <vt:lpstr>strategy_19</vt:lpstr>
      <vt:lpstr>strategy_31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2025-09-26T03:06:14Z</dcterms:modified>
</cp:coreProperties>
</file>